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comments1.xml" ContentType="application/vnd.openxmlformats-officedocument.spreadsheetml.comments+xml"/>
  <Override PartName="/xl/comments2.xml" ContentType="application/vnd.openxmlformats-officedocument.spreadsheetml.comments+xml"/>
  <Override PartName="/xl/ctrlProps/ctrlProp1.xml" ContentType="application/vnd.ms-excel.controlproperties+xml"/>
  <Override PartName="/xl/ctrlProps/ctrlProp2.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vbaProject.bin" ContentType="application/vnd.ms-office.vbaProject"/>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5" rupBuild="9303" codeName="{8C4F1C90-05EB-6A55-5F09-09C24B55AC0B}"/>
  <workbookPr codeName="ThisWorkbook"/>
  <bookViews>
    <workbookView xWindow="750" yWindow="-150" windowWidth="15180" windowHeight="8715" activeTab="1"/>
  </bookViews>
  <sheets>
    <sheet name="Instructions" sheetId="13" r:id="rId1"/>
    <sheet name="Item Setup Form" sheetId="9" r:id="rId2"/>
    <sheet name="Product Creation" sheetId="11" r:id="rId3"/>
    <sheet name="data" sheetId="10" state="hidden" r:id="rId4"/>
    <sheet name="Validation" sheetId="12" state="hidden" r:id="rId5"/>
    <sheet name="LTL Form" sheetId="14" r:id="rId6"/>
  </sheets>
  <functionGroups builtInGroupCount="17"/>
  <externalReferences>
    <externalReference r:id="rId7"/>
  </externalReferences>
  <definedNames>
    <definedName name="_xlnm.Print_Area" localSheetId="1">'Item Setup Form'!$A$1:$AY$50</definedName>
    <definedName name="UPC">Table1[UPC]</definedName>
    <definedName name="upcinput">'Item Setup Form'!$N:$N</definedName>
  </definedNames>
  <calcPr calcId="145621"/>
</workbook>
</file>

<file path=xl/calcChain.xml><?xml version="1.0" encoding="utf-8"?>
<calcChain xmlns="http://schemas.openxmlformats.org/spreadsheetml/2006/main">
  <c r="AK190" i="9" l="1"/>
  <c r="AK191" i="9"/>
  <c r="AK192" i="9"/>
  <c r="AK193" i="9"/>
  <c r="AK194" i="9"/>
  <c r="AK195" i="9"/>
  <c r="AK196" i="9"/>
  <c r="AK197" i="9"/>
  <c r="AK198" i="9"/>
  <c r="AK199" i="9"/>
  <c r="AK200" i="9"/>
  <c r="AK201" i="9"/>
  <c r="AK202" i="9"/>
  <c r="AK203" i="9"/>
  <c r="AK204" i="9"/>
  <c r="AK205" i="9"/>
  <c r="AK206" i="9"/>
  <c r="AK207" i="9"/>
  <c r="AK208" i="9"/>
  <c r="AK209" i="9"/>
  <c r="AK210" i="9"/>
  <c r="AK211" i="9"/>
  <c r="AK212" i="9"/>
  <c r="AK213" i="9"/>
  <c r="AK214" i="9"/>
  <c r="AK215" i="9"/>
  <c r="AK216" i="9"/>
  <c r="AK217" i="9"/>
  <c r="AK218" i="9"/>
  <c r="AK219" i="9"/>
  <c r="AK220" i="9"/>
  <c r="AK221" i="9"/>
  <c r="AK222" i="9"/>
  <c r="AK223" i="9"/>
  <c r="AK224" i="9"/>
  <c r="AK225" i="9"/>
  <c r="AK226" i="9"/>
  <c r="AK227" i="9"/>
  <c r="AK228" i="9"/>
  <c r="AK229" i="9"/>
  <c r="AK230" i="9"/>
  <c r="AK231" i="9"/>
  <c r="AK232" i="9"/>
  <c r="AK233" i="9"/>
  <c r="AK234" i="9"/>
  <c r="AK235" i="9"/>
  <c r="AK236" i="9"/>
  <c r="AK237" i="9"/>
  <c r="AK238" i="9"/>
  <c r="AK239" i="9"/>
  <c r="AK240" i="9"/>
  <c r="AK241" i="9"/>
  <c r="AK242" i="9"/>
  <c r="AK243" i="9"/>
  <c r="AK244" i="9"/>
  <c r="AK245" i="9"/>
  <c r="AK246" i="9"/>
  <c r="AK247" i="9"/>
  <c r="AK248" i="9"/>
  <c r="AK249" i="9"/>
  <c r="AK250" i="9"/>
  <c r="AK251" i="9"/>
  <c r="AK252" i="9"/>
  <c r="AK253" i="9"/>
  <c r="AK254" i="9"/>
  <c r="AK255" i="9"/>
  <c r="AK256" i="9"/>
  <c r="AK257" i="9"/>
  <c r="AK258" i="9"/>
  <c r="AK259" i="9"/>
  <c r="AK260" i="9"/>
  <c r="AK261" i="9"/>
  <c r="AK262" i="9"/>
  <c r="AK263" i="9"/>
  <c r="AK264" i="9"/>
  <c r="AK265" i="9"/>
  <c r="AK266" i="9"/>
  <c r="AK267" i="9"/>
  <c r="AK268" i="9"/>
  <c r="AK269" i="9"/>
  <c r="AK270" i="9"/>
  <c r="AK271" i="9"/>
  <c r="AK272" i="9"/>
  <c r="AK273" i="9"/>
  <c r="AK274" i="9"/>
  <c r="AK275" i="9"/>
  <c r="AK276" i="9"/>
  <c r="AK277" i="9"/>
  <c r="AK278" i="9"/>
  <c r="AK279" i="9"/>
  <c r="AK280" i="9"/>
  <c r="AK281" i="9"/>
  <c r="AK282" i="9"/>
  <c r="AK283" i="9"/>
  <c r="AK284" i="9"/>
  <c r="AK285" i="9"/>
  <c r="AK286" i="9"/>
  <c r="AK287" i="9"/>
  <c r="AK288" i="9"/>
  <c r="AK289" i="9"/>
  <c r="AK290" i="9"/>
  <c r="AK291" i="9"/>
  <c r="AK292" i="9"/>
  <c r="AK293" i="9"/>
  <c r="AK294" i="9"/>
  <c r="AK295" i="9"/>
  <c r="AK296" i="9"/>
  <c r="AK297" i="9"/>
  <c r="AK298" i="9"/>
  <c r="AK299" i="9"/>
  <c r="AK300" i="9"/>
  <c r="AK301" i="9"/>
  <c r="AK302" i="9"/>
  <c r="AK303" i="9"/>
  <c r="AK304" i="9"/>
  <c r="AK305" i="9"/>
  <c r="AK306" i="9"/>
  <c r="AK307" i="9"/>
  <c r="AK308" i="9"/>
  <c r="AK309" i="9"/>
  <c r="AK310" i="9"/>
  <c r="AK311" i="9"/>
  <c r="AK312" i="9"/>
  <c r="AK313" i="9"/>
  <c r="AK314" i="9"/>
  <c r="AK315" i="9"/>
  <c r="AK316" i="9"/>
  <c r="AK317" i="9"/>
  <c r="AK318" i="9"/>
  <c r="AK319" i="9"/>
  <c r="AK320" i="9"/>
  <c r="AK321" i="9"/>
  <c r="AK322" i="9"/>
  <c r="AK323" i="9"/>
  <c r="AK324" i="9"/>
  <c r="AK325" i="9"/>
  <c r="AK326" i="9"/>
  <c r="AK327" i="9"/>
  <c r="AK328" i="9"/>
  <c r="AK329" i="9"/>
  <c r="AK330" i="9"/>
  <c r="AK331" i="9"/>
  <c r="AK332" i="9"/>
  <c r="AK333" i="9"/>
  <c r="AK334" i="9"/>
  <c r="AK335" i="9"/>
  <c r="AK336" i="9"/>
  <c r="AK337" i="9"/>
  <c r="AK338" i="9"/>
  <c r="AK339" i="9"/>
  <c r="AK340" i="9"/>
  <c r="AK341" i="9"/>
  <c r="AK342" i="9"/>
  <c r="AK343" i="9"/>
  <c r="AK344" i="9"/>
  <c r="AK345" i="9"/>
  <c r="AK346" i="9"/>
  <c r="AK347" i="9"/>
  <c r="AK348" i="9"/>
  <c r="AK349" i="9"/>
  <c r="AK350" i="9"/>
  <c r="AK351" i="9"/>
  <c r="AK352" i="9"/>
  <c r="AK353" i="9"/>
  <c r="AK354" i="9"/>
  <c r="AK355" i="9"/>
  <c r="AK356" i="9"/>
  <c r="AK357" i="9"/>
  <c r="AK358" i="9"/>
  <c r="AK359" i="9"/>
  <c r="AK360" i="9"/>
  <c r="AK361" i="9"/>
  <c r="AK362" i="9"/>
  <c r="AK363" i="9"/>
  <c r="AK364" i="9"/>
  <c r="AK365" i="9"/>
  <c r="AK366" i="9"/>
  <c r="AK367" i="9"/>
  <c r="AK368" i="9"/>
  <c r="AK369" i="9"/>
  <c r="AK370" i="9"/>
  <c r="AK371" i="9"/>
  <c r="AK372" i="9"/>
  <c r="AK373" i="9"/>
  <c r="AK374" i="9"/>
  <c r="AK375" i="9"/>
  <c r="AK376" i="9"/>
  <c r="AK377" i="9"/>
  <c r="AK378" i="9"/>
  <c r="AK379" i="9"/>
  <c r="AK380" i="9"/>
  <c r="AK381" i="9"/>
  <c r="AK382" i="9"/>
  <c r="AK383" i="9"/>
  <c r="AK384" i="9"/>
  <c r="AK385" i="9"/>
  <c r="AK386" i="9"/>
  <c r="AK387" i="9"/>
  <c r="AK388" i="9"/>
  <c r="AK389" i="9"/>
  <c r="AK390" i="9"/>
  <c r="AK391" i="9"/>
  <c r="AK392" i="9"/>
  <c r="AK393" i="9"/>
  <c r="AK394" i="9"/>
  <c r="AK395" i="9"/>
  <c r="AK396" i="9"/>
  <c r="AK397" i="9"/>
  <c r="AK398" i="9"/>
  <c r="AK399" i="9"/>
  <c r="AK400" i="9"/>
  <c r="AK401" i="9"/>
  <c r="AK402" i="9"/>
  <c r="AK403" i="9"/>
  <c r="AK404" i="9"/>
  <c r="AK405" i="9"/>
  <c r="AK406" i="9"/>
  <c r="AK407" i="9"/>
  <c r="AK408" i="9"/>
  <c r="AK409" i="9"/>
  <c r="AK410" i="9"/>
  <c r="AK411" i="9"/>
  <c r="AK412" i="9"/>
  <c r="AK413" i="9"/>
  <c r="AK414" i="9"/>
  <c r="AK415" i="9"/>
  <c r="AK416" i="9"/>
  <c r="AK417" i="9"/>
  <c r="AK418" i="9"/>
  <c r="AK419" i="9"/>
  <c r="AK420" i="9"/>
  <c r="AK421" i="9"/>
  <c r="AK422" i="9"/>
  <c r="AK423" i="9"/>
  <c r="AK424" i="9"/>
  <c r="AK425" i="9"/>
  <c r="AK426" i="9"/>
  <c r="AK427" i="9"/>
  <c r="AK428" i="9"/>
  <c r="AK429" i="9"/>
  <c r="AK430" i="9"/>
  <c r="AK431" i="9"/>
  <c r="AK432" i="9"/>
  <c r="AK433" i="9"/>
  <c r="AK434" i="9"/>
  <c r="AK435" i="9"/>
  <c r="AK436" i="9"/>
  <c r="AK437" i="9"/>
  <c r="AK438" i="9"/>
  <c r="AK439" i="9"/>
  <c r="AK440" i="9"/>
  <c r="AK441" i="9"/>
  <c r="AK442" i="9"/>
  <c r="AK443" i="9"/>
  <c r="AK444" i="9"/>
  <c r="AK445" i="9"/>
  <c r="AK446" i="9"/>
  <c r="AK447" i="9"/>
  <c r="AK448" i="9"/>
  <c r="AK449" i="9"/>
  <c r="AK450" i="9"/>
  <c r="AK451" i="9"/>
  <c r="AK452" i="9"/>
  <c r="AK453" i="9"/>
  <c r="AK454" i="9"/>
  <c r="AK455" i="9"/>
  <c r="AK456" i="9"/>
  <c r="AK457" i="9"/>
  <c r="AK458" i="9"/>
  <c r="AK459" i="9"/>
  <c r="AK460" i="9"/>
  <c r="AK461" i="9"/>
  <c r="AK462" i="9"/>
  <c r="AK463" i="9"/>
  <c r="AK464" i="9"/>
  <c r="AK465" i="9"/>
  <c r="AK466" i="9"/>
  <c r="AK467" i="9"/>
  <c r="AK468" i="9"/>
  <c r="AK469" i="9"/>
  <c r="AK470" i="9"/>
  <c r="AK471" i="9"/>
  <c r="AK472" i="9"/>
  <c r="AK473" i="9"/>
  <c r="AK474" i="9"/>
  <c r="AK475" i="9"/>
  <c r="AK476" i="9"/>
  <c r="AK477" i="9"/>
  <c r="AK478" i="9"/>
  <c r="AK479" i="9"/>
  <c r="AK480" i="9"/>
  <c r="AK481" i="9"/>
  <c r="AK482" i="9"/>
  <c r="AK483" i="9"/>
  <c r="AK484" i="9"/>
  <c r="AK485" i="9"/>
  <c r="AK486" i="9"/>
  <c r="AK487" i="9"/>
  <c r="AK488" i="9"/>
  <c r="AK489" i="9"/>
  <c r="AK490" i="9"/>
  <c r="AK491" i="9"/>
  <c r="AK492" i="9"/>
  <c r="AK493" i="9"/>
  <c r="AK494" i="9"/>
  <c r="AK495" i="9"/>
  <c r="AK496" i="9"/>
  <c r="AK497" i="9"/>
  <c r="AK498" i="9"/>
  <c r="AK499" i="9"/>
  <c r="AK500" i="9"/>
  <c r="AK501" i="9"/>
  <c r="AK502" i="9"/>
  <c r="AK503" i="9"/>
  <c r="AK504" i="9"/>
  <c r="AK505" i="9"/>
  <c r="AK506" i="9"/>
  <c r="AK507" i="9"/>
  <c r="AK508" i="9"/>
  <c r="AK509" i="9"/>
  <c r="AK510" i="9"/>
  <c r="AK511" i="9"/>
  <c r="AK512" i="9"/>
  <c r="AK513" i="9"/>
  <c r="AK514" i="9"/>
  <c r="AK515" i="9"/>
  <c r="AK516" i="9"/>
  <c r="AK517" i="9"/>
  <c r="AK518" i="9"/>
  <c r="AK519" i="9"/>
  <c r="AK520" i="9"/>
  <c r="AK521" i="9"/>
  <c r="AK522" i="9"/>
  <c r="AK523" i="9"/>
  <c r="AK524" i="9"/>
  <c r="AK525" i="9"/>
  <c r="AK526" i="9"/>
  <c r="AK527" i="9"/>
  <c r="AK528" i="9"/>
  <c r="AK529" i="9"/>
  <c r="AK530" i="9"/>
  <c r="AK531" i="9"/>
  <c r="AK532" i="9"/>
  <c r="AK533" i="9"/>
  <c r="AK534" i="9"/>
  <c r="AK535" i="9"/>
  <c r="AK536" i="9"/>
  <c r="AK537" i="9"/>
  <c r="AK538" i="9"/>
  <c r="AK539" i="9"/>
  <c r="AK540" i="9"/>
  <c r="AK541" i="9"/>
  <c r="AK542" i="9"/>
  <c r="AK543" i="9"/>
  <c r="AK544" i="9"/>
  <c r="AK545" i="9"/>
  <c r="AK546" i="9"/>
  <c r="AK547" i="9"/>
  <c r="AK548" i="9"/>
  <c r="AK549" i="9"/>
  <c r="AK550" i="9"/>
  <c r="AK551" i="9"/>
  <c r="AK552" i="9"/>
  <c r="AK553" i="9"/>
  <c r="AK554" i="9"/>
  <c r="AK555" i="9"/>
  <c r="AK556" i="9"/>
  <c r="AK557" i="9"/>
  <c r="AK558" i="9"/>
  <c r="AK559" i="9"/>
  <c r="AK560" i="9"/>
  <c r="AK561" i="9"/>
  <c r="AK562" i="9"/>
  <c r="AK563" i="9"/>
  <c r="AK564" i="9"/>
  <c r="AK565" i="9"/>
  <c r="AK566" i="9"/>
  <c r="AK567" i="9"/>
  <c r="AK568" i="9"/>
  <c r="AK569" i="9"/>
  <c r="AK570" i="9"/>
  <c r="AK571" i="9"/>
  <c r="AK572" i="9"/>
  <c r="AK573" i="9"/>
  <c r="AK574" i="9"/>
  <c r="AK575" i="9"/>
  <c r="AK576" i="9"/>
  <c r="AK577" i="9"/>
  <c r="AK578" i="9"/>
  <c r="AK579" i="9"/>
  <c r="AK580" i="9"/>
  <c r="AK581" i="9"/>
  <c r="AK582" i="9"/>
  <c r="AK583" i="9"/>
  <c r="AK584" i="9"/>
  <c r="AK585" i="9"/>
  <c r="AK586" i="9"/>
  <c r="AK587" i="9"/>
  <c r="AK588" i="9"/>
  <c r="AK589" i="9"/>
  <c r="AK590" i="9"/>
  <c r="AK591" i="9"/>
  <c r="AK592" i="9"/>
  <c r="AK593" i="9"/>
  <c r="AK594" i="9"/>
  <c r="AK595" i="9"/>
  <c r="AK596" i="9"/>
  <c r="AK597" i="9"/>
  <c r="AK598" i="9"/>
  <c r="AK599" i="9"/>
  <c r="AK600" i="9"/>
  <c r="AK601" i="9"/>
  <c r="AK602" i="9"/>
  <c r="AK603" i="9"/>
  <c r="AK604" i="9"/>
  <c r="AK605" i="9"/>
  <c r="AK606" i="9"/>
  <c r="AK607" i="9"/>
  <c r="AK608" i="9"/>
  <c r="AK609" i="9"/>
  <c r="AK610" i="9"/>
  <c r="AK611" i="9"/>
  <c r="AK612" i="9"/>
  <c r="AK613" i="9"/>
  <c r="AK614" i="9"/>
  <c r="AK615" i="9"/>
  <c r="AK616" i="9"/>
  <c r="AK617" i="9"/>
  <c r="AK618" i="9"/>
  <c r="AK619" i="9"/>
  <c r="AK620" i="9"/>
  <c r="AK621" i="9"/>
  <c r="AK622" i="9"/>
  <c r="AK623" i="9"/>
  <c r="AK624" i="9"/>
  <c r="AK625" i="9"/>
  <c r="AK626" i="9"/>
  <c r="AK627" i="9"/>
  <c r="AK628" i="9"/>
  <c r="AK629" i="9"/>
  <c r="AK630" i="9"/>
  <c r="AK631" i="9"/>
  <c r="AK632" i="9"/>
  <c r="AK633" i="9"/>
  <c r="AK634" i="9"/>
  <c r="AK635" i="9"/>
  <c r="AK636" i="9"/>
  <c r="AK637" i="9"/>
  <c r="AK638" i="9"/>
  <c r="AK639" i="9"/>
  <c r="AK640" i="9"/>
  <c r="AK641" i="9"/>
  <c r="AK642" i="9"/>
  <c r="AK643" i="9"/>
  <c r="AK644" i="9"/>
  <c r="AK645" i="9"/>
  <c r="AK646" i="9"/>
  <c r="AK647" i="9"/>
  <c r="AK648" i="9"/>
  <c r="AK649" i="9"/>
  <c r="AK650" i="9"/>
  <c r="AK651" i="9"/>
  <c r="AK652" i="9"/>
  <c r="AK653" i="9"/>
  <c r="AK654" i="9"/>
  <c r="AK655" i="9"/>
  <c r="AK656" i="9"/>
  <c r="AK657" i="9"/>
  <c r="AK658" i="9"/>
  <c r="AK659" i="9"/>
  <c r="AK660" i="9"/>
  <c r="AK661" i="9"/>
  <c r="AK662" i="9"/>
  <c r="AK663" i="9"/>
  <c r="AK664" i="9"/>
  <c r="AK665" i="9"/>
  <c r="AK666" i="9"/>
  <c r="AK667" i="9"/>
  <c r="AK668" i="9"/>
  <c r="AK669" i="9"/>
  <c r="AK670" i="9"/>
  <c r="AK671" i="9"/>
  <c r="AK672" i="9"/>
  <c r="AK673" i="9"/>
  <c r="AK674" i="9"/>
  <c r="AK675" i="9"/>
  <c r="AK676" i="9"/>
  <c r="AK677" i="9"/>
  <c r="AK678" i="9"/>
  <c r="AK679" i="9"/>
  <c r="AK680" i="9"/>
  <c r="AK681" i="9"/>
  <c r="AK682" i="9"/>
  <c r="AK683" i="9"/>
  <c r="AK684" i="9"/>
  <c r="AK685" i="9"/>
  <c r="AK686" i="9"/>
  <c r="AK687" i="9"/>
  <c r="AK688" i="9"/>
  <c r="AK689" i="9"/>
  <c r="AK690" i="9"/>
  <c r="AK691" i="9"/>
  <c r="AK692" i="9"/>
  <c r="AK693" i="9"/>
  <c r="AK694" i="9"/>
  <c r="AK695" i="9"/>
  <c r="AK696" i="9"/>
  <c r="AK697" i="9"/>
  <c r="AK698" i="9"/>
  <c r="AK699" i="9"/>
  <c r="AK700" i="9"/>
  <c r="AK701" i="9"/>
  <c r="AK702" i="9"/>
  <c r="AK703" i="9"/>
  <c r="AK704" i="9"/>
  <c r="AK705" i="9"/>
  <c r="AK706" i="9"/>
  <c r="AK707" i="9"/>
  <c r="AK708" i="9"/>
  <c r="AK709" i="9"/>
  <c r="AK710" i="9"/>
  <c r="AK711" i="9"/>
  <c r="AK712" i="9"/>
  <c r="AK713" i="9"/>
  <c r="AK714" i="9"/>
  <c r="AK715" i="9"/>
  <c r="AK716" i="9"/>
  <c r="AK717" i="9"/>
  <c r="AK718" i="9"/>
  <c r="AK719" i="9"/>
  <c r="AK720" i="9"/>
  <c r="AK721" i="9"/>
  <c r="AK722" i="9"/>
  <c r="AK723" i="9"/>
  <c r="AK724" i="9"/>
  <c r="AK725" i="9"/>
  <c r="AK726" i="9"/>
  <c r="AK727" i="9"/>
  <c r="AK728" i="9"/>
  <c r="AK729" i="9"/>
  <c r="AK730" i="9"/>
  <c r="AK731" i="9"/>
  <c r="AK732" i="9"/>
  <c r="AK733" i="9"/>
  <c r="AK734" i="9"/>
  <c r="AK735" i="9"/>
  <c r="AK736" i="9"/>
  <c r="AK737" i="9"/>
  <c r="AK738" i="9"/>
  <c r="AK739" i="9"/>
  <c r="AK740" i="9"/>
  <c r="AK741" i="9"/>
  <c r="AK742" i="9"/>
  <c r="AK743" i="9"/>
  <c r="AK744" i="9"/>
  <c r="AK745" i="9"/>
  <c r="AK746" i="9"/>
  <c r="AK747" i="9"/>
  <c r="AK748" i="9"/>
  <c r="AK749" i="9"/>
  <c r="AK750" i="9"/>
  <c r="AK751" i="9"/>
  <c r="AK752" i="9"/>
  <c r="AK753" i="9"/>
  <c r="AK754" i="9"/>
  <c r="AK755" i="9"/>
  <c r="AK756" i="9"/>
  <c r="AK757" i="9"/>
  <c r="AK758" i="9"/>
  <c r="AK759" i="9"/>
  <c r="AK760" i="9"/>
  <c r="AK761" i="9"/>
  <c r="AK762" i="9"/>
  <c r="AK763" i="9"/>
  <c r="AK764" i="9"/>
  <c r="AK765" i="9"/>
  <c r="AK766" i="9"/>
  <c r="AK767" i="9"/>
  <c r="AK768" i="9"/>
  <c r="AK769" i="9"/>
  <c r="AK770" i="9"/>
  <c r="AK771" i="9"/>
  <c r="AK772" i="9"/>
  <c r="AK773" i="9"/>
  <c r="AK774" i="9"/>
  <c r="AK775" i="9"/>
  <c r="AK776" i="9"/>
  <c r="AK777" i="9"/>
  <c r="AK778" i="9"/>
  <c r="AK779" i="9"/>
  <c r="AK780" i="9"/>
  <c r="AK781" i="9"/>
  <c r="AK782" i="9"/>
  <c r="AK783" i="9"/>
  <c r="AK784" i="9"/>
  <c r="AK785" i="9"/>
  <c r="AK786" i="9"/>
  <c r="AK787" i="9"/>
  <c r="AK788" i="9"/>
  <c r="AK789" i="9"/>
  <c r="AK790" i="9"/>
  <c r="AK791" i="9"/>
  <c r="AK792" i="9"/>
  <c r="AK793" i="9"/>
  <c r="AK794" i="9"/>
  <c r="AK795" i="9"/>
  <c r="AK796" i="9"/>
  <c r="AK797" i="9"/>
  <c r="AK798" i="9"/>
  <c r="AK799" i="9"/>
  <c r="AK800" i="9"/>
  <c r="AK801" i="9"/>
  <c r="AK802" i="9"/>
  <c r="AK803" i="9"/>
  <c r="AK804" i="9"/>
  <c r="AK805" i="9"/>
  <c r="AK806" i="9"/>
  <c r="AK807" i="9"/>
  <c r="AK808" i="9"/>
  <c r="AK809" i="9"/>
  <c r="AK810" i="9"/>
  <c r="AK811" i="9"/>
  <c r="AK812" i="9"/>
  <c r="AK813" i="9"/>
  <c r="AK814" i="9"/>
  <c r="AK815" i="9"/>
  <c r="AK816" i="9"/>
  <c r="AK817" i="9"/>
  <c r="AK818" i="9"/>
  <c r="AK819" i="9"/>
  <c r="AK820" i="9"/>
  <c r="AK821" i="9"/>
  <c r="AK822" i="9"/>
  <c r="AK823" i="9"/>
  <c r="AK824" i="9"/>
  <c r="AK825" i="9"/>
  <c r="AK826" i="9"/>
  <c r="AK827" i="9"/>
  <c r="AK828" i="9"/>
  <c r="AK829" i="9"/>
  <c r="AK830" i="9"/>
  <c r="AK831" i="9"/>
  <c r="AK832" i="9"/>
  <c r="AK833" i="9"/>
  <c r="AK834" i="9"/>
  <c r="AK835" i="9"/>
  <c r="AK836" i="9"/>
  <c r="AK837" i="9"/>
  <c r="AK838" i="9"/>
  <c r="AK839" i="9"/>
  <c r="AK840" i="9"/>
  <c r="AK841" i="9"/>
  <c r="AK842" i="9"/>
  <c r="AK843" i="9"/>
  <c r="AK844" i="9"/>
  <c r="AK845" i="9"/>
  <c r="AK846" i="9"/>
  <c r="AK847" i="9"/>
  <c r="AK848" i="9"/>
  <c r="AK849" i="9"/>
  <c r="AK850" i="9"/>
  <c r="AK851" i="9"/>
  <c r="AK852" i="9"/>
  <c r="AK853" i="9"/>
  <c r="AK854" i="9"/>
  <c r="AK855" i="9"/>
  <c r="AK856" i="9"/>
  <c r="AK857" i="9"/>
  <c r="AK858" i="9"/>
  <c r="AK859" i="9"/>
  <c r="AK860" i="9"/>
  <c r="AK861" i="9"/>
  <c r="AK862" i="9"/>
  <c r="AK863" i="9"/>
  <c r="AK864" i="9"/>
  <c r="AK865" i="9"/>
  <c r="AK866" i="9"/>
  <c r="AK867" i="9"/>
  <c r="AK868" i="9"/>
  <c r="AK869" i="9"/>
  <c r="AK870" i="9"/>
  <c r="AK871" i="9"/>
  <c r="AK872" i="9"/>
  <c r="AK873" i="9"/>
  <c r="AK874" i="9"/>
  <c r="AK875" i="9"/>
  <c r="AK876" i="9"/>
  <c r="AK877" i="9"/>
  <c r="AK878" i="9"/>
  <c r="AK879" i="9"/>
  <c r="AK880" i="9"/>
  <c r="AK881" i="9"/>
  <c r="AK882" i="9"/>
  <c r="AK883" i="9"/>
  <c r="AK884" i="9"/>
  <c r="AK885" i="9"/>
  <c r="AK886" i="9"/>
  <c r="AK887" i="9"/>
  <c r="AK888" i="9"/>
  <c r="AK889" i="9"/>
  <c r="AK890" i="9"/>
  <c r="AK891" i="9"/>
  <c r="AK892" i="9"/>
  <c r="AK893" i="9"/>
  <c r="AK894" i="9"/>
  <c r="AK895" i="9"/>
  <c r="AK896" i="9"/>
  <c r="AK897" i="9"/>
  <c r="AK898" i="9"/>
  <c r="AK899" i="9"/>
  <c r="AK900" i="9"/>
  <c r="AK901" i="9"/>
  <c r="AK902" i="9"/>
  <c r="AK903" i="9"/>
  <c r="AK904" i="9"/>
  <c r="AK905" i="9"/>
  <c r="AK906" i="9"/>
  <c r="AK907" i="9"/>
  <c r="AK908" i="9"/>
  <c r="AK909" i="9"/>
  <c r="AK910" i="9"/>
  <c r="AK911" i="9"/>
  <c r="AK912" i="9"/>
  <c r="AK913" i="9"/>
  <c r="AK914" i="9"/>
  <c r="AK915" i="9"/>
  <c r="AK916" i="9"/>
  <c r="AK917" i="9"/>
  <c r="AK918" i="9"/>
  <c r="AK919" i="9"/>
  <c r="AK920" i="9"/>
  <c r="AK921" i="9"/>
  <c r="AK922" i="9"/>
  <c r="AK923" i="9"/>
  <c r="AK924" i="9"/>
  <c r="AK925" i="9"/>
  <c r="AK926" i="9"/>
  <c r="AK927" i="9"/>
  <c r="AK928" i="9"/>
  <c r="AK929" i="9"/>
  <c r="AK930" i="9"/>
  <c r="AK931" i="9"/>
  <c r="AK932" i="9"/>
  <c r="AK933" i="9"/>
  <c r="AK934" i="9"/>
  <c r="AK935" i="9"/>
  <c r="AK936" i="9"/>
  <c r="AK937" i="9"/>
  <c r="AK938" i="9"/>
  <c r="AK939" i="9"/>
  <c r="AK940" i="9"/>
  <c r="AK941" i="9"/>
  <c r="AK942" i="9"/>
  <c r="AK943" i="9"/>
  <c r="AK944" i="9"/>
  <c r="AK945" i="9"/>
  <c r="AK946" i="9"/>
  <c r="AK947" i="9"/>
  <c r="AK948" i="9"/>
  <c r="AK949" i="9"/>
  <c r="AK950" i="9"/>
  <c r="AK951" i="9"/>
  <c r="AK952" i="9"/>
  <c r="AK953" i="9"/>
  <c r="AK954" i="9"/>
  <c r="AK955" i="9"/>
  <c r="AK956" i="9"/>
  <c r="AK957" i="9"/>
  <c r="AK958" i="9"/>
  <c r="AK959" i="9"/>
  <c r="AK960" i="9"/>
  <c r="AK961" i="9"/>
  <c r="AK962" i="9"/>
  <c r="AK963" i="9"/>
  <c r="AK964" i="9"/>
  <c r="AK965" i="9"/>
  <c r="AK966" i="9"/>
  <c r="AK967" i="9"/>
  <c r="AK968" i="9"/>
  <c r="AK969" i="9"/>
  <c r="AK970" i="9"/>
  <c r="AK971" i="9"/>
  <c r="AK972" i="9"/>
  <c r="AK973" i="9"/>
  <c r="AK974" i="9"/>
  <c r="AK975" i="9"/>
  <c r="AK976" i="9"/>
  <c r="AK977" i="9"/>
  <c r="AL190" i="9"/>
  <c r="AL191" i="9"/>
  <c r="AL192" i="9"/>
  <c r="AL193" i="9"/>
  <c r="AL194" i="9"/>
  <c r="AL195" i="9"/>
  <c r="AL196" i="9"/>
  <c r="AL197" i="9"/>
  <c r="AL198" i="9"/>
  <c r="AL199" i="9"/>
  <c r="AL200" i="9"/>
  <c r="AL201" i="9"/>
  <c r="AL202" i="9"/>
  <c r="AL203" i="9"/>
  <c r="AL204" i="9"/>
  <c r="AL205" i="9"/>
  <c r="AL206" i="9"/>
  <c r="AL207" i="9"/>
  <c r="AL208" i="9"/>
  <c r="AL209" i="9"/>
  <c r="AL210" i="9"/>
  <c r="AL211" i="9"/>
  <c r="AL212" i="9"/>
  <c r="AL213" i="9"/>
  <c r="AL214" i="9"/>
  <c r="AL215" i="9"/>
  <c r="AL216" i="9"/>
  <c r="AL217" i="9"/>
  <c r="AL218" i="9"/>
  <c r="AL219" i="9"/>
  <c r="AL220" i="9"/>
  <c r="AL221" i="9"/>
  <c r="AL222" i="9"/>
  <c r="AL223" i="9"/>
  <c r="AL224" i="9"/>
  <c r="AL225" i="9"/>
  <c r="AL226" i="9"/>
  <c r="AL227" i="9"/>
  <c r="AL228" i="9"/>
  <c r="AL229" i="9"/>
  <c r="AL230" i="9"/>
  <c r="AL231" i="9"/>
  <c r="AL232" i="9"/>
  <c r="AL233" i="9"/>
  <c r="AL234" i="9"/>
  <c r="AL235" i="9"/>
  <c r="AL236" i="9"/>
  <c r="AL237" i="9"/>
  <c r="AL238" i="9"/>
  <c r="AL239" i="9"/>
  <c r="AL240" i="9"/>
  <c r="AL241" i="9"/>
  <c r="AL242" i="9"/>
  <c r="AL243" i="9"/>
  <c r="AL244" i="9"/>
  <c r="AL245" i="9"/>
  <c r="AL246" i="9"/>
  <c r="AL247" i="9"/>
  <c r="AL248" i="9"/>
  <c r="AL249" i="9"/>
  <c r="AL250" i="9"/>
  <c r="AL251" i="9"/>
  <c r="AL252" i="9"/>
  <c r="AL253" i="9"/>
  <c r="AL254" i="9"/>
  <c r="AL255" i="9"/>
  <c r="AL256" i="9"/>
  <c r="AL257" i="9"/>
  <c r="AL258" i="9"/>
  <c r="AL259" i="9"/>
  <c r="AL260" i="9"/>
  <c r="AL261" i="9"/>
  <c r="AL262" i="9"/>
  <c r="AL263" i="9"/>
  <c r="AL264" i="9"/>
  <c r="AL265" i="9"/>
  <c r="AL266" i="9"/>
  <c r="AL267" i="9"/>
  <c r="AL268" i="9"/>
  <c r="AL269" i="9"/>
  <c r="AL270" i="9"/>
  <c r="AL271" i="9"/>
  <c r="AL272" i="9"/>
  <c r="AL273" i="9"/>
  <c r="AL274" i="9"/>
  <c r="AL275" i="9"/>
  <c r="AL276" i="9"/>
  <c r="AL277" i="9"/>
  <c r="AL278" i="9"/>
  <c r="AL279" i="9"/>
  <c r="AL280" i="9"/>
  <c r="AL281" i="9"/>
  <c r="AL282" i="9"/>
  <c r="AL283" i="9"/>
  <c r="AL284" i="9"/>
  <c r="AL285" i="9"/>
  <c r="AL286" i="9"/>
  <c r="AL287" i="9"/>
  <c r="AL288" i="9"/>
  <c r="AL289" i="9"/>
  <c r="AL290" i="9"/>
  <c r="AL291" i="9"/>
  <c r="AL292" i="9"/>
  <c r="AL293" i="9"/>
  <c r="AL294" i="9"/>
  <c r="AL295" i="9"/>
  <c r="AL296" i="9"/>
  <c r="AL297" i="9"/>
  <c r="AL298" i="9"/>
  <c r="AL299" i="9"/>
  <c r="AL300" i="9"/>
  <c r="AL301" i="9"/>
  <c r="AL302" i="9"/>
  <c r="AL303" i="9"/>
  <c r="AL304" i="9"/>
  <c r="AL305" i="9"/>
  <c r="AL306" i="9"/>
  <c r="AL307" i="9"/>
  <c r="AL308" i="9"/>
  <c r="AL309" i="9"/>
  <c r="AL310" i="9"/>
  <c r="AL311" i="9"/>
  <c r="AL312" i="9"/>
  <c r="AL313" i="9"/>
  <c r="AL314" i="9"/>
  <c r="AL315" i="9"/>
  <c r="AL316" i="9"/>
  <c r="AL317" i="9"/>
  <c r="AL318" i="9"/>
  <c r="AL319" i="9"/>
  <c r="AL320" i="9"/>
  <c r="AL321" i="9"/>
  <c r="AL322" i="9"/>
  <c r="AL323" i="9"/>
  <c r="AL324" i="9"/>
  <c r="AL325" i="9"/>
  <c r="AL326" i="9"/>
  <c r="AL327" i="9"/>
  <c r="AL328" i="9"/>
  <c r="AL329" i="9"/>
  <c r="AL330" i="9"/>
  <c r="AL331" i="9"/>
  <c r="AL332" i="9"/>
  <c r="AL333" i="9"/>
  <c r="AL334" i="9"/>
  <c r="AL335" i="9"/>
  <c r="AL336" i="9"/>
  <c r="AL337" i="9"/>
  <c r="AL338" i="9"/>
  <c r="AL339" i="9"/>
  <c r="AL340" i="9"/>
  <c r="AL341" i="9"/>
  <c r="AL342" i="9"/>
  <c r="AL343" i="9"/>
  <c r="AL344" i="9"/>
  <c r="AL345" i="9"/>
  <c r="AL346" i="9"/>
  <c r="AL347" i="9"/>
  <c r="AL348" i="9"/>
  <c r="AL349" i="9"/>
  <c r="AL350" i="9"/>
  <c r="AL351" i="9"/>
  <c r="AL352" i="9"/>
  <c r="AL353" i="9"/>
  <c r="AL354" i="9"/>
  <c r="AL355" i="9"/>
  <c r="AL356" i="9"/>
  <c r="AL357" i="9"/>
  <c r="AL358" i="9"/>
  <c r="AL359" i="9"/>
  <c r="AL360" i="9"/>
  <c r="AL361" i="9"/>
  <c r="AL362" i="9"/>
  <c r="AL363" i="9"/>
  <c r="AL364" i="9"/>
  <c r="AL365" i="9"/>
  <c r="AL366" i="9"/>
  <c r="AL367" i="9"/>
  <c r="AL368" i="9"/>
  <c r="AL369" i="9"/>
  <c r="AL370" i="9"/>
  <c r="AL371" i="9"/>
  <c r="AL372" i="9"/>
  <c r="AL373" i="9"/>
  <c r="AL374" i="9"/>
  <c r="AL375" i="9"/>
  <c r="AL376" i="9"/>
  <c r="AL377" i="9"/>
  <c r="AL378" i="9"/>
  <c r="AL379" i="9"/>
  <c r="AL380" i="9"/>
  <c r="AL381" i="9"/>
  <c r="AL382" i="9"/>
  <c r="AL383" i="9"/>
  <c r="AL384" i="9"/>
  <c r="AL385" i="9"/>
  <c r="AL386" i="9"/>
  <c r="AL387" i="9"/>
  <c r="AL388" i="9"/>
  <c r="AL389" i="9"/>
  <c r="AL390" i="9"/>
  <c r="AL391" i="9"/>
  <c r="AL392" i="9"/>
  <c r="AL393" i="9"/>
  <c r="AL394" i="9"/>
  <c r="AL395" i="9"/>
  <c r="AL396" i="9"/>
  <c r="AL397" i="9"/>
  <c r="AL398" i="9"/>
  <c r="AL399" i="9"/>
  <c r="AL400" i="9"/>
  <c r="AL401" i="9"/>
  <c r="AL402" i="9"/>
  <c r="AL403" i="9"/>
  <c r="AL404" i="9"/>
  <c r="AL405" i="9"/>
  <c r="AL406" i="9"/>
  <c r="AL407" i="9"/>
  <c r="AL408" i="9"/>
  <c r="AL409" i="9"/>
  <c r="AL410" i="9"/>
  <c r="AL411" i="9"/>
  <c r="AL412" i="9"/>
  <c r="AL413" i="9"/>
  <c r="AL414" i="9"/>
  <c r="AL415" i="9"/>
  <c r="AL416" i="9"/>
  <c r="AL417" i="9"/>
  <c r="AL418" i="9"/>
  <c r="AL419" i="9"/>
  <c r="AL420" i="9"/>
  <c r="AL421" i="9"/>
  <c r="AL422" i="9"/>
  <c r="AL423" i="9"/>
  <c r="AL424" i="9"/>
  <c r="AL425" i="9"/>
  <c r="AL426" i="9"/>
  <c r="AL427" i="9"/>
  <c r="AL428" i="9"/>
  <c r="AL429" i="9"/>
  <c r="AL430" i="9"/>
  <c r="AL431" i="9"/>
  <c r="AL432" i="9"/>
  <c r="AL433" i="9"/>
  <c r="AL434" i="9"/>
  <c r="AL435" i="9"/>
  <c r="AL436" i="9"/>
  <c r="AL437" i="9"/>
  <c r="AL438" i="9"/>
  <c r="AL439" i="9"/>
  <c r="AL440" i="9"/>
  <c r="AL441" i="9"/>
  <c r="AL442" i="9"/>
  <c r="AL443" i="9"/>
  <c r="AL444" i="9"/>
  <c r="AL445" i="9"/>
  <c r="AL446" i="9"/>
  <c r="AL447" i="9"/>
  <c r="AL448" i="9"/>
  <c r="AL449" i="9"/>
  <c r="AL450" i="9"/>
  <c r="AL451" i="9"/>
  <c r="AL452" i="9"/>
  <c r="AL453" i="9"/>
  <c r="AL454" i="9"/>
  <c r="AL455" i="9"/>
  <c r="AL456" i="9"/>
  <c r="AL457" i="9"/>
  <c r="AL458" i="9"/>
  <c r="AL459" i="9"/>
  <c r="AL460" i="9"/>
  <c r="AL461" i="9"/>
  <c r="AL462" i="9"/>
  <c r="AL463" i="9"/>
  <c r="AL464" i="9"/>
  <c r="AL465" i="9"/>
  <c r="AL466" i="9"/>
  <c r="AL467" i="9"/>
  <c r="AL468" i="9"/>
  <c r="AL469" i="9"/>
  <c r="AL470" i="9"/>
  <c r="AL471" i="9"/>
  <c r="AL472" i="9"/>
  <c r="AL473" i="9"/>
  <c r="AL474" i="9"/>
  <c r="AL475" i="9"/>
  <c r="AL476" i="9"/>
  <c r="AL477" i="9"/>
  <c r="AL478" i="9"/>
  <c r="AL479" i="9"/>
  <c r="AL480" i="9"/>
  <c r="AL481" i="9"/>
  <c r="AL482" i="9"/>
  <c r="AL483" i="9"/>
  <c r="AL484" i="9"/>
  <c r="AL485" i="9"/>
  <c r="AL486" i="9"/>
  <c r="AL487" i="9"/>
  <c r="AL488" i="9"/>
  <c r="AL489" i="9"/>
  <c r="AL490" i="9"/>
  <c r="AL491" i="9"/>
  <c r="AL492" i="9"/>
  <c r="AL493" i="9"/>
  <c r="AL494" i="9"/>
  <c r="AL495" i="9"/>
  <c r="AL496" i="9"/>
  <c r="AL497" i="9"/>
  <c r="AL498" i="9"/>
  <c r="AL499" i="9"/>
  <c r="AL500" i="9"/>
  <c r="AL501" i="9"/>
  <c r="AL502" i="9"/>
  <c r="AL503" i="9"/>
  <c r="AL504" i="9"/>
  <c r="AL505" i="9"/>
  <c r="AL506" i="9"/>
  <c r="AL507" i="9"/>
  <c r="AL508" i="9"/>
  <c r="AL509" i="9"/>
  <c r="AL510" i="9"/>
  <c r="AL511" i="9"/>
  <c r="AL512" i="9"/>
  <c r="AL513" i="9"/>
  <c r="AL514" i="9"/>
  <c r="AL515" i="9"/>
  <c r="AL516" i="9"/>
  <c r="AL517" i="9"/>
  <c r="AL518" i="9"/>
  <c r="AL519" i="9"/>
  <c r="AL520" i="9"/>
  <c r="AL521" i="9"/>
  <c r="AL522" i="9"/>
  <c r="AL523" i="9"/>
  <c r="AL524" i="9"/>
  <c r="AL525" i="9"/>
  <c r="AL526" i="9"/>
  <c r="AL527" i="9"/>
  <c r="AL528" i="9"/>
  <c r="AL529" i="9"/>
  <c r="AL530" i="9"/>
  <c r="AL531" i="9"/>
  <c r="AL532" i="9"/>
  <c r="AL533" i="9"/>
  <c r="AL534" i="9"/>
  <c r="AL535" i="9"/>
  <c r="AL536" i="9"/>
  <c r="AL537" i="9"/>
  <c r="AL538" i="9"/>
  <c r="AL539" i="9"/>
  <c r="AL540" i="9"/>
  <c r="AL541" i="9"/>
  <c r="AL542" i="9"/>
  <c r="AL543" i="9"/>
  <c r="AL544" i="9"/>
  <c r="AL545" i="9"/>
  <c r="AL546" i="9"/>
  <c r="AL547" i="9"/>
  <c r="AL548" i="9"/>
  <c r="AL549" i="9"/>
  <c r="AL550" i="9"/>
  <c r="AL551" i="9"/>
  <c r="AL552" i="9"/>
  <c r="AL553" i="9"/>
  <c r="AL554" i="9"/>
  <c r="AL555" i="9"/>
  <c r="AL556" i="9"/>
  <c r="AL557" i="9"/>
  <c r="AL558" i="9"/>
  <c r="AL559" i="9"/>
  <c r="AL560" i="9"/>
  <c r="AL561" i="9"/>
  <c r="AL562" i="9"/>
  <c r="AL563" i="9"/>
  <c r="AL564" i="9"/>
  <c r="AL565" i="9"/>
  <c r="AL566" i="9"/>
  <c r="AL567" i="9"/>
  <c r="AL568" i="9"/>
  <c r="AL569" i="9"/>
  <c r="AL570" i="9"/>
  <c r="AL571" i="9"/>
  <c r="AL572" i="9"/>
  <c r="AL573" i="9"/>
  <c r="AL574" i="9"/>
  <c r="AL575" i="9"/>
  <c r="AL576" i="9"/>
  <c r="AL577" i="9"/>
  <c r="AL578" i="9"/>
  <c r="AL579" i="9"/>
  <c r="AL580" i="9"/>
  <c r="AL581" i="9"/>
  <c r="AL582" i="9"/>
  <c r="AL583" i="9"/>
  <c r="AL584" i="9"/>
  <c r="AL585" i="9"/>
  <c r="AL586" i="9"/>
  <c r="AL587" i="9"/>
  <c r="AL588" i="9"/>
  <c r="AL589" i="9"/>
  <c r="AL590" i="9"/>
  <c r="AL591" i="9"/>
  <c r="AL592" i="9"/>
  <c r="AL593" i="9"/>
  <c r="AL594" i="9"/>
  <c r="AL595" i="9"/>
  <c r="AL596" i="9"/>
  <c r="AL597" i="9"/>
  <c r="AL598" i="9"/>
  <c r="AL599" i="9"/>
  <c r="AL600" i="9"/>
  <c r="AL601" i="9"/>
  <c r="AL602" i="9"/>
  <c r="AL603" i="9"/>
  <c r="AL604" i="9"/>
  <c r="AL605" i="9"/>
  <c r="AL606" i="9"/>
  <c r="AL607" i="9"/>
  <c r="AL608" i="9"/>
  <c r="AL609" i="9"/>
  <c r="AL610" i="9"/>
  <c r="AL611" i="9"/>
  <c r="AL612" i="9"/>
  <c r="AL613" i="9"/>
  <c r="AL614" i="9"/>
  <c r="AL615" i="9"/>
  <c r="AL616" i="9"/>
  <c r="AL617" i="9"/>
  <c r="AL618" i="9"/>
  <c r="AL619" i="9"/>
  <c r="AL620" i="9"/>
  <c r="AL621" i="9"/>
  <c r="AL622" i="9"/>
  <c r="AL623" i="9"/>
  <c r="AL624" i="9"/>
  <c r="AL625" i="9"/>
  <c r="AL626" i="9"/>
  <c r="AL627" i="9"/>
  <c r="AL628" i="9"/>
  <c r="AL629" i="9"/>
  <c r="AL630" i="9"/>
  <c r="AL631" i="9"/>
  <c r="AL632" i="9"/>
  <c r="AL633" i="9"/>
  <c r="AL634" i="9"/>
  <c r="AL635" i="9"/>
  <c r="AL636" i="9"/>
  <c r="AL637" i="9"/>
  <c r="AL638" i="9"/>
  <c r="AL639" i="9"/>
  <c r="AL640" i="9"/>
  <c r="AL641" i="9"/>
  <c r="AL642" i="9"/>
  <c r="AL643" i="9"/>
  <c r="AL644" i="9"/>
  <c r="AL645" i="9"/>
  <c r="AL646" i="9"/>
  <c r="AL647" i="9"/>
  <c r="AL648" i="9"/>
  <c r="AL649" i="9"/>
  <c r="AL650" i="9"/>
  <c r="AL651" i="9"/>
  <c r="AL652" i="9"/>
  <c r="AL653" i="9"/>
  <c r="AL654" i="9"/>
  <c r="AL655" i="9"/>
  <c r="AL656" i="9"/>
  <c r="AL657" i="9"/>
  <c r="AL658" i="9"/>
  <c r="AL659" i="9"/>
  <c r="AL660" i="9"/>
  <c r="AL661" i="9"/>
  <c r="AL662" i="9"/>
  <c r="AL663" i="9"/>
  <c r="AL664" i="9"/>
  <c r="AL665" i="9"/>
  <c r="AL666" i="9"/>
  <c r="AL667" i="9"/>
  <c r="AL668" i="9"/>
  <c r="AL669" i="9"/>
  <c r="AL670" i="9"/>
  <c r="AL671" i="9"/>
  <c r="AL672" i="9"/>
  <c r="AL673" i="9"/>
  <c r="AL674" i="9"/>
  <c r="AL675" i="9"/>
  <c r="AL676" i="9"/>
  <c r="AL677" i="9"/>
  <c r="AL678" i="9"/>
  <c r="AL679" i="9"/>
  <c r="AL680" i="9"/>
  <c r="AL681" i="9"/>
  <c r="AL682" i="9"/>
  <c r="AL683" i="9"/>
  <c r="AL684" i="9"/>
  <c r="AL685" i="9"/>
  <c r="AL686" i="9"/>
  <c r="AL687" i="9"/>
  <c r="AL688" i="9"/>
  <c r="AL689" i="9"/>
  <c r="AL690" i="9"/>
  <c r="AL691" i="9"/>
  <c r="AL692" i="9"/>
  <c r="AL693" i="9"/>
  <c r="AL694" i="9"/>
  <c r="AL695" i="9"/>
  <c r="AL696" i="9"/>
  <c r="AL697" i="9"/>
  <c r="AL698" i="9"/>
  <c r="AL699" i="9"/>
  <c r="AL700" i="9"/>
  <c r="AL701" i="9"/>
  <c r="AL702" i="9"/>
  <c r="AL703" i="9"/>
  <c r="AL704" i="9"/>
  <c r="AL705" i="9"/>
  <c r="AL706" i="9"/>
  <c r="AL707" i="9"/>
  <c r="AL708" i="9"/>
  <c r="AL709" i="9"/>
  <c r="AL710" i="9"/>
  <c r="AL711" i="9"/>
  <c r="AL712" i="9"/>
  <c r="AL713" i="9"/>
  <c r="AL714" i="9"/>
  <c r="AL715" i="9"/>
  <c r="AL716" i="9"/>
  <c r="AL717" i="9"/>
  <c r="AL718" i="9"/>
  <c r="AL719" i="9"/>
  <c r="AL720" i="9"/>
  <c r="AL721" i="9"/>
  <c r="AL722" i="9"/>
  <c r="AL723" i="9"/>
  <c r="AL724" i="9"/>
  <c r="AL725" i="9"/>
  <c r="AL726" i="9"/>
  <c r="AL727" i="9"/>
  <c r="AL728" i="9"/>
  <c r="AL729" i="9"/>
  <c r="AL730" i="9"/>
  <c r="AL731" i="9"/>
  <c r="AL732" i="9"/>
  <c r="AL733" i="9"/>
  <c r="AL734" i="9"/>
  <c r="AL735" i="9"/>
  <c r="AL736" i="9"/>
  <c r="AL737" i="9"/>
  <c r="AL738" i="9"/>
  <c r="AL739" i="9"/>
  <c r="AL740" i="9"/>
  <c r="AL741" i="9"/>
  <c r="AL742" i="9"/>
  <c r="AL743" i="9"/>
  <c r="AL744" i="9"/>
  <c r="AL745" i="9"/>
  <c r="AL746" i="9"/>
  <c r="AL747" i="9"/>
  <c r="AL748" i="9"/>
  <c r="AL749" i="9"/>
  <c r="AL750" i="9"/>
  <c r="AL751" i="9"/>
  <c r="AL752" i="9"/>
  <c r="AL753" i="9"/>
  <c r="AL754" i="9"/>
  <c r="AL755" i="9"/>
  <c r="AL756" i="9"/>
  <c r="AL757" i="9"/>
  <c r="AL758" i="9"/>
  <c r="AL759" i="9"/>
  <c r="AL760" i="9"/>
  <c r="AL761" i="9"/>
  <c r="AL762" i="9"/>
  <c r="AL763" i="9"/>
  <c r="AL764" i="9"/>
  <c r="AL765" i="9"/>
  <c r="AL766" i="9"/>
  <c r="AL767" i="9"/>
  <c r="AL768" i="9"/>
  <c r="AL769" i="9"/>
  <c r="AL770" i="9"/>
  <c r="AL771" i="9"/>
  <c r="AL772" i="9"/>
  <c r="AL773" i="9"/>
  <c r="AL774" i="9"/>
  <c r="AL775" i="9"/>
  <c r="AL776" i="9"/>
  <c r="AL777" i="9"/>
  <c r="AL778" i="9"/>
  <c r="AL779" i="9"/>
  <c r="AL780" i="9"/>
  <c r="AL781" i="9"/>
  <c r="AL782" i="9"/>
  <c r="AL783" i="9"/>
  <c r="AL784" i="9"/>
  <c r="AL785" i="9"/>
  <c r="AL786" i="9"/>
  <c r="AL787" i="9"/>
  <c r="AL788" i="9"/>
  <c r="AL789" i="9"/>
  <c r="AL790" i="9"/>
  <c r="AL791" i="9"/>
  <c r="AL792" i="9"/>
  <c r="AL793" i="9"/>
  <c r="AL794" i="9"/>
  <c r="AL795" i="9"/>
  <c r="AL796" i="9"/>
  <c r="AL797" i="9"/>
  <c r="AL798" i="9"/>
  <c r="AL799" i="9"/>
  <c r="AL800" i="9"/>
  <c r="AL801" i="9"/>
  <c r="AL802" i="9"/>
  <c r="AL803" i="9"/>
  <c r="AL804" i="9"/>
  <c r="AL805" i="9"/>
  <c r="AL806" i="9"/>
  <c r="AL807" i="9"/>
  <c r="AL808" i="9"/>
  <c r="AL809" i="9"/>
  <c r="AL810" i="9"/>
  <c r="AL811" i="9"/>
  <c r="AL812" i="9"/>
  <c r="AL813" i="9"/>
  <c r="AL814" i="9"/>
  <c r="AL815" i="9"/>
  <c r="AL816" i="9"/>
  <c r="AL817" i="9"/>
  <c r="AL818" i="9"/>
  <c r="AL819" i="9"/>
  <c r="AL820" i="9"/>
  <c r="AL821" i="9"/>
  <c r="AL822" i="9"/>
  <c r="AL823" i="9"/>
  <c r="AL824" i="9"/>
  <c r="AL825" i="9"/>
  <c r="AL826" i="9"/>
  <c r="AL827" i="9"/>
  <c r="AL828" i="9"/>
  <c r="AL829" i="9"/>
  <c r="AL830" i="9"/>
  <c r="AL831" i="9"/>
  <c r="AL832" i="9"/>
  <c r="AL833" i="9"/>
  <c r="AL834" i="9"/>
  <c r="AL835" i="9"/>
  <c r="AL836" i="9"/>
  <c r="AL837" i="9"/>
  <c r="AL838" i="9"/>
  <c r="AL839" i="9"/>
  <c r="AL840" i="9"/>
  <c r="AL841" i="9"/>
  <c r="AL842" i="9"/>
  <c r="AL843" i="9"/>
  <c r="AL844" i="9"/>
  <c r="AL845" i="9"/>
  <c r="AL846" i="9"/>
  <c r="AL847" i="9"/>
  <c r="AL848" i="9"/>
  <c r="AL849" i="9"/>
  <c r="AL850" i="9"/>
  <c r="AL851" i="9"/>
  <c r="AL852" i="9"/>
  <c r="AL853" i="9"/>
  <c r="AL854" i="9"/>
  <c r="AL855" i="9"/>
  <c r="AL856" i="9"/>
  <c r="AL857" i="9"/>
  <c r="AL858" i="9"/>
  <c r="AL859" i="9"/>
  <c r="AL860" i="9"/>
  <c r="AL861" i="9"/>
  <c r="AL862" i="9"/>
  <c r="AL863" i="9"/>
  <c r="AL864" i="9"/>
  <c r="AL865" i="9"/>
  <c r="AL866" i="9"/>
  <c r="AL867" i="9"/>
  <c r="AL868" i="9"/>
  <c r="AL869" i="9"/>
  <c r="AL870" i="9"/>
  <c r="AL871" i="9"/>
  <c r="AL872" i="9"/>
  <c r="AL873" i="9"/>
  <c r="AL874" i="9"/>
  <c r="AL875" i="9"/>
  <c r="AL876" i="9"/>
  <c r="AL877" i="9"/>
  <c r="AL878" i="9"/>
  <c r="AL879" i="9"/>
  <c r="AL880" i="9"/>
  <c r="AL881" i="9"/>
  <c r="AL882" i="9"/>
  <c r="AL883" i="9"/>
  <c r="AL884" i="9"/>
  <c r="AL885" i="9"/>
  <c r="AL886" i="9"/>
  <c r="AL887" i="9"/>
  <c r="AL888" i="9"/>
  <c r="AL889" i="9"/>
  <c r="AL890" i="9"/>
  <c r="AL891" i="9"/>
  <c r="AL892" i="9"/>
  <c r="AL893" i="9"/>
  <c r="AL894" i="9"/>
  <c r="AL895" i="9"/>
  <c r="AL896" i="9"/>
  <c r="AL897" i="9"/>
  <c r="AL898" i="9"/>
  <c r="AL899" i="9"/>
  <c r="AL900" i="9"/>
  <c r="AL901" i="9"/>
  <c r="AL902" i="9"/>
  <c r="AL903" i="9"/>
  <c r="AL904" i="9"/>
  <c r="AL905" i="9"/>
  <c r="AL906" i="9"/>
  <c r="AL907" i="9"/>
  <c r="AL908" i="9"/>
  <c r="AL909" i="9"/>
  <c r="AL910" i="9"/>
  <c r="AL911" i="9"/>
  <c r="AL912" i="9"/>
  <c r="AL913" i="9"/>
  <c r="AL914" i="9"/>
  <c r="AL915" i="9"/>
  <c r="AL916" i="9"/>
  <c r="AL917" i="9"/>
  <c r="AL918" i="9"/>
  <c r="AL919" i="9"/>
  <c r="AL920" i="9"/>
  <c r="AL921" i="9"/>
  <c r="AL922" i="9"/>
  <c r="AL923" i="9"/>
  <c r="AL924" i="9"/>
  <c r="AL925" i="9"/>
  <c r="AL926" i="9"/>
  <c r="AL927" i="9"/>
  <c r="AL928" i="9"/>
  <c r="AL929" i="9"/>
  <c r="AL930" i="9"/>
  <c r="AL931" i="9"/>
  <c r="AL932" i="9"/>
  <c r="AL933" i="9"/>
  <c r="AL934" i="9"/>
  <c r="AL935" i="9"/>
  <c r="AL936" i="9"/>
  <c r="AL937" i="9"/>
  <c r="AL938" i="9"/>
  <c r="AL939" i="9"/>
  <c r="AL940" i="9"/>
  <c r="AL941" i="9"/>
  <c r="AL942" i="9"/>
  <c r="AL943" i="9"/>
  <c r="AL944" i="9"/>
  <c r="AL945" i="9"/>
  <c r="AL946" i="9"/>
  <c r="AL947" i="9"/>
  <c r="AL948" i="9"/>
  <c r="AL949" i="9"/>
  <c r="AL950" i="9"/>
  <c r="AL951" i="9"/>
  <c r="AL952" i="9"/>
  <c r="AL953" i="9"/>
  <c r="AL954" i="9"/>
  <c r="AL955" i="9"/>
  <c r="AL956" i="9"/>
  <c r="AL957" i="9"/>
  <c r="AL958" i="9"/>
  <c r="AL959" i="9"/>
  <c r="AL960" i="9"/>
  <c r="AL961" i="9"/>
  <c r="AL962" i="9"/>
  <c r="AL963" i="9"/>
  <c r="AL964" i="9"/>
  <c r="AL965" i="9"/>
  <c r="AL966" i="9"/>
  <c r="AL967" i="9"/>
  <c r="AL968" i="9"/>
  <c r="AL969" i="9"/>
  <c r="AL970" i="9"/>
  <c r="AL971" i="9"/>
  <c r="AL972" i="9"/>
  <c r="AL973" i="9"/>
  <c r="AL974" i="9"/>
  <c r="AL975" i="9"/>
  <c r="AL976" i="9"/>
  <c r="AL977" i="9"/>
  <c r="AU190" i="9"/>
  <c r="AU191" i="9"/>
  <c r="AU192" i="9"/>
  <c r="AU193" i="9"/>
  <c r="AU194" i="9"/>
  <c r="AU195" i="9"/>
  <c r="AU196" i="9"/>
  <c r="AU197" i="9"/>
  <c r="AU198" i="9"/>
  <c r="AU199" i="9"/>
  <c r="AU200" i="9"/>
  <c r="AU201" i="9"/>
  <c r="AU202" i="9"/>
  <c r="AU203" i="9"/>
  <c r="AU204" i="9"/>
  <c r="AU205" i="9"/>
  <c r="AU206" i="9"/>
  <c r="AU207" i="9"/>
  <c r="AU208" i="9"/>
  <c r="AU209" i="9"/>
  <c r="AU210" i="9"/>
  <c r="AU211" i="9"/>
  <c r="AU212" i="9"/>
  <c r="AU213" i="9"/>
  <c r="AU214" i="9"/>
  <c r="AU215" i="9"/>
  <c r="AU216" i="9"/>
  <c r="AU217" i="9"/>
  <c r="AU218" i="9"/>
  <c r="AU219" i="9"/>
  <c r="AU220" i="9"/>
  <c r="AU221" i="9"/>
  <c r="AU222" i="9"/>
  <c r="AU223" i="9"/>
  <c r="AU224" i="9"/>
  <c r="AU225" i="9"/>
  <c r="AU226" i="9"/>
  <c r="AU227" i="9"/>
  <c r="AU228" i="9"/>
  <c r="AU229" i="9"/>
  <c r="AU230" i="9"/>
  <c r="AU231" i="9"/>
  <c r="AU232" i="9"/>
  <c r="AU233" i="9"/>
  <c r="AU234" i="9"/>
  <c r="AU235" i="9"/>
  <c r="AU236" i="9"/>
  <c r="AU237" i="9"/>
  <c r="AU238" i="9"/>
  <c r="AU239" i="9"/>
  <c r="AU240" i="9"/>
  <c r="AU241" i="9"/>
  <c r="AU242" i="9"/>
  <c r="AU243" i="9"/>
  <c r="AU244" i="9"/>
  <c r="AU245" i="9"/>
  <c r="AU246" i="9"/>
  <c r="AU247" i="9"/>
  <c r="AU248" i="9"/>
  <c r="AU249" i="9"/>
  <c r="AU250" i="9"/>
  <c r="AU251" i="9"/>
  <c r="AU252" i="9"/>
  <c r="AU253" i="9"/>
  <c r="AU254" i="9"/>
  <c r="AU255" i="9"/>
  <c r="AU256" i="9"/>
  <c r="AU257" i="9"/>
  <c r="AU258" i="9"/>
  <c r="AU259" i="9"/>
  <c r="AU260" i="9"/>
  <c r="AU261" i="9"/>
  <c r="AU262" i="9"/>
  <c r="AU263" i="9"/>
  <c r="AU264" i="9"/>
  <c r="AU265" i="9"/>
  <c r="AU266" i="9"/>
  <c r="AU267" i="9"/>
  <c r="AU268" i="9"/>
  <c r="AU269" i="9"/>
  <c r="AU270" i="9"/>
  <c r="AU271" i="9"/>
  <c r="AU272" i="9"/>
  <c r="AU273" i="9"/>
  <c r="AU274" i="9"/>
  <c r="AU275" i="9"/>
  <c r="AU276" i="9"/>
  <c r="AU277" i="9"/>
  <c r="AU278" i="9"/>
  <c r="AU279" i="9"/>
  <c r="AU280" i="9"/>
  <c r="AU281" i="9"/>
  <c r="AU282" i="9"/>
  <c r="AU283" i="9"/>
  <c r="AU284" i="9"/>
  <c r="AU285" i="9"/>
  <c r="AU286" i="9"/>
  <c r="AU287" i="9"/>
  <c r="AU288" i="9"/>
  <c r="AU289" i="9"/>
  <c r="AU290" i="9"/>
  <c r="AU291" i="9"/>
  <c r="AU292" i="9"/>
  <c r="AU293" i="9"/>
  <c r="AU294" i="9"/>
  <c r="AU295" i="9"/>
  <c r="AU296" i="9"/>
  <c r="AU297" i="9"/>
  <c r="AU298" i="9"/>
  <c r="AU299" i="9"/>
  <c r="AU300" i="9"/>
  <c r="AU301" i="9"/>
  <c r="AU302" i="9"/>
  <c r="AU303" i="9"/>
  <c r="AU304" i="9"/>
  <c r="AU305" i="9"/>
  <c r="AU306" i="9"/>
  <c r="AU307" i="9"/>
  <c r="AU308" i="9"/>
  <c r="AU309" i="9"/>
  <c r="AU310" i="9"/>
  <c r="AU311" i="9"/>
  <c r="AU312" i="9"/>
  <c r="AU313" i="9"/>
  <c r="AU314" i="9"/>
  <c r="AU315" i="9"/>
  <c r="AU316" i="9"/>
  <c r="AU317" i="9"/>
  <c r="AU318" i="9"/>
  <c r="AU319" i="9"/>
  <c r="AU320" i="9"/>
  <c r="AU321" i="9"/>
  <c r="AU322" i="9"/>
  <c r="AU323" i="9"/>
  <c r="AU324" i="9"/>
  <c r="AU325" i="9"/>
  <c r="AU326" i="9"/>
  <c r="AU327" i="9"/>
  <c r="AU328" i="9"/>
  <c r="AU329" i="9"/>
  <c r="AU330" i="9"/>
  <c r="AU331" i="9"/>
  <c r="AU332" i="9"/>
  <c r="AU333" i="9"/>
  <c r="AU334" i="9"/>
  <c r="AU335" i="9"/>
  <c r="AU336" i="9"/>
  <c r="AU337" i="9"/>
  <c r="AU338" i="9"/>
  <c r="AU339" i="9"/>
  <c r="AU340" i="9"/>
  <c r="AU341" i="9"/>
  <c r="AU342" i="9"/>
  <c r="AU343" i="9"/>
  <c r="AU344" i="9"/>
  <c r="AU345" i="9"/>
  <c r="AU346" i="9"/>
  <c r="AU347" i="9"/>
  <c r="AU348" i="9"/>
  <c r="AU349" i="9"/>
  <c r="AU350" i="9"/>
  <c r="AU351" i="9"/>
  <c r="AU352" i="9"/>
  <c r="AU353" i="9"/>
  <c r="AU354" i="9"/>
  <c r="AU355" i="9"/>
  <c r="AU356" i="9"/>
  <c r="AU357" i="9"/>
  <c r="AU358" i="9"/>
  <c r="AU359" i="9"/>
  <c r="AU360" i="9"/>
  <c r="AU361" i="9"/>
  <c r="AU362" i="9"/>
  <c r="AU363" i="9"/>
  <c r="AU364" i="9"/>
  <c r="AU365" i="9"/>
  <c r="AU366" i="9"/>
  <c r="AU367" i="9"/>
  <c r="AU368" i="9"/>
  <c r="AU369" i="9"/>
  <c r="AU370" i="9"/>
  <c r="AU371" i="9"/>
  <c r="AU372" i="9"/>
  <c r="AU373" i="9"/>
  <c r="AU374" i="9"/>
  <c r="AU375" i="9"/>
  <c r="AU376" i="9"/>
  <c r="AU377" i="9"/>
  <c r="AU378" i="9"/>
  <c r="AU379" i="9"/>
  <c r="AU380" i="9"/>
  <c r="AU381" i="9"/>
  <c r="AU382" i="9"/>
  <c r="AU383" i="9"/>
  <c r="AU384" i="9"/>
  <c r="AU385" i="9"/>
  <c r="AU386" i="9"/>
  <c r="AU387" i="9"/>
  <c r="AU388" i="9"/>
  <c r="AU389" i="9"/>
  <c r="AU390" i="9"/>
  <c r="AU391" i="9"/>
  <c r="AU392" i="9"/>
  <c r="AU393" i="9"/>
  <c r="AU394" i="9"/>
  <c r="AU395" i="9"/>
  <c r="AU396" i="9"/>
  <c r="AU397" i="9"/>
  <c r="AU398" i="9"/>
  <c r="AU399" i="9"/>
  <c r="AU400" i="9"/>
  <c r="AU401" i="9"/>
  <c r="AU402" i="9"/>
  <c r="AU403" i="9"/>
  <c r="AU404" i="9"/>
  <c r="AU405" i="9"/>
  <c r="AU406" i="9"/>
  <c r="AU407" i="9"/>
  <c r="AU408" i="9"/>
  <c r="AU409" i="9"/>
  <c r="AU410" i="9"/>
  <c r="AU411" i="9"/>
  <c r="AU412" i="9"/>
  <c r="AU413" i="9"/>
  <c r="AU414" i="9"/>
  <c r="AU415" i="9"/>
  <c r="AU416" i="9"/>
  <c r="AU417" i="9"/>
  <c r="AU418" i="9"/>
  <c r="AU419" i="9"/>
  <c r="AU420" i="9"/>
  <c r="AU421" i="9"/>
  <c r="AU422" i="9"/>
  <c r="AU423" i="9"/>
  <c r="AU424" i="9"/>
  <c r="AU425" i="9"/>
  <c r="AU426" i="9"/>
  <c r="AU427" i="9"/>
  <c r="AU428" i="9"/>
  <c r="AU429" i="9"/>
  <c r="AU430" i="9"/>
  <c r="AU431" i="9"/>
  <c r="AU432" i="9"/>
  <c r="AU433" i="9"/>
  <c r="AU434" i="9"/>
  <c r="AU435" i="9"/>
  <c r="AU436" i="9"/>
  <c r="AU437" i="9"/>
  <c r="AU438" i="9"/>
  <c r="AU439" i="9"/>
  <c r="AU440" i="9"/>
  <c r="AU441" i="9"/>
  <c r="AU442" i="9"/>
  <c r="AU443" i="9"/>
  <c r="AU444" i="9"/>
  <c r="AU445" i="9"/>
  <c r="AU446" i="9"/>
  <c r="AU447" i="9"/>
  <c r="AU448" i="9"/>
  <c r="AU449" i="9"/>
  <c r="AU450" i="9"/>
  <c r="AU451" i="9"/>
  <c r="AU452" i="9"/>
  <c r="AU453" i="9"/>
  <c r="AU454" i="9"/>
  <c r="AU455" i="9"/>
  <c r="AU456" i="9"/>
  <c r="AU457" i="9"/>
  <c r="AU458" i="9"/>
  <c r="AU459" i="9"/>
  <c r="AU460" i="9"/>
  <c r="AU461" i="9"/>
  <c r="AU462" i="9"/>
  <c r="AU463" i="9"/>
  <c r="AU464" i="9"/>
  <c r="AU465" i="9"/>
  <c r="AU466" i="9"/>
  <c r="AU467" i="9"/>
  <c r="AU468" i="9"/>
  <c r="AU469" i="9"/>
  <c r="AU470" i="9"/>
  <c r="AU471" i="9"/>
  <c r="AU472" i="9"/>
  <c r="AU473" i="9"/>
  <c r="AU474" i="9"/>
  <c r="AU475" i="9"/>
  <c r="AU476" i="9"/>
  <c r="AU477" i="9"/>
  <c r="AU478" i="9"/>
  <c r="AU479" i="9"/>
  <c r="AU480" i="9"/>
  <c r="AU481" i="9"/>
  <c r="AU482" i="9"/>
  <c r="AU483" i="9"/>
  <c r="AU484" i="9"/>
  <c r="AU485" i="9"/>
  <c r="AU486" i="9"/>
  <c r="AU487" i="9"/>
  <c r="AU488" i="9"/>
  <c r="AU489" i="9"/>
  <c r="AU490" i="9"/>
  <c r="AU491" i="9"/>
  <c r="AU492" i="9"/>
  <c r="AU493" i="9"/>
  <c r="AU494" i="9"/>
  <c r="AU495" i="9"/>
  <c r="AU496" i="9"/>
  <c r="AU497" i="9"/>
  <c r="AU498" i="9"/>
  <c r="AU499" i="9"/>
  <c r="AU500" i="9"/>
  <c r="AU501" i="9"/>
  <c r="AU502" i="9"/>
  <c r="AU503" i="9"/>
  <c r="AU504" i="9"/>
  <c r="AU505" i="9"/>
  <c r="AU506" i="9"/>
  <c r="AU507" i="9"/>
  <c r="AU508" i="9"/>
  <c r="AU509" i="9"/>
  <c r="AU510" i="9"/>
  <c r="AU511" i="9"/>
  <c r="AU512" i="9"/>
  <c r="AU513" i="9"/>
  <c r="AU514" i="9"/>
  <c r="AU515" i="9"/>
  <c r="AU516" i="9"/>
  <c r="AU517" i="9"/>
  <c r="AU518" i="9"/>
  <c r="AU519" i="9"/>
  <c r="AU520" i="9"/>
  <c r="AU521" i="9"/>
  <c r="AU522" i="9"/>
  <c r="AU523" i="9"/>
  <c r="AU524" i="9"/>
  <c r="AU525" i="9"/>
  <c r="AU526" i="9"/>
  <c r="AU527" i="9"/>
  <c r="AU528" i="9"/>
  <c r="AU529" i="9"/>
  <c r="AU530" i="9"/>
  <c r="AU531" i="9"/>
  <c r="AU532" i="9"/>
  <c r="AU533" i="9"/>
  <c r="AU534" i="9"/>
  <c r="AU535" i="9"/>
  <c r="AU536" i="9"/>
  <c r="AU537" i="9"/>
  <c r="AU538" i="9"/>
  <c r="AU539" i="9"/>
  <c r="AU540" i="9"/>
  <c r="AU541" i="9"/>
  <c r="AU542" i="9"/>
  <c r="AU543" i="9"/>
  <c r="AU544" i="9"/>
  <c r="AU545" i="9"/>
  <c r="AU546" i="9"/>
  <c r="AU547" i="9"/>
  <c r="AU548" i="9"/>
  <c r="AU549" i="9"/>
  <c r="AU550" i="9"/>
  <c r="AU551" i="9"/>
  <c r="AU552" i="9"/>
  <c r="AU553" i="9"/>
  <c r="AU554" i="9"/>
  <c r="AU555" i="9"/>
  <c r="AU556" i="9"/>
  <c r="AU557" i="9"/>
  <c r="AU558" i="9"/>
  <c r="AU559" i="9"/>
  <c r="AU560" i="9"/>
  <c r="AU561" i="9"/>
  <c r="AU562" i="9"/>
  <c r="AU563" i="9"/>
  <c r="AU564" i="9"/>
  <c r="AU565" i="9"/>
  <c r="AU566" i="9"/>
  <c r="AU567" i="9"/>
  <c r="AU568" i="9"/>
  <c r="AU569" i="9"/>
  <c r="AU570" i="9"/>
  <c r="AU571" i="9"/>
  <c r="AU572" i="9"/>
  <c r="AU573" i="9"/>
  <c r="AU574" i="9"/>
  <c r="AU575" i="9"/>
  <c r="AU576" i="9"/>
  <c r="AU577" i="9"/>
  <c r="AU578" i="9"/>
  <c r="AU579" i="9"/>
  <c r="AU580" i="9"/>
  <c r="AU581" i="9"/>
  <c r="AU582" i="9"/>
  <c r="AU583" i="9"/>
  <c r="AU584" i="9"/>
  <c r="AU585" i="9"/>
  <c r="AU586" i="9"/>
  <c r="AU587" i="9"/>
  <c r="AU588" i="9"/>
  <c r="AU589" i="9"/>
  <c r="AU590" i="9"/>
  <c r="AU591" i="9"/>
  <c r="AU592" i="9"/>
  <c r="AU593" i="9"/>
  <c r="AU594" i="9"/>
  <c r="AU595" i="9"/>
  <c r="AU596" i="9"/>
  <c r="AU597" i="9"/>
  <c r="AU598" i="9"/>
  <c r="AU599" i="9"/>
  <c r="AU600" i="9"/>
  <c r="AU601" i="9"/>
  <c r="AU602" i="9"/>
  <c r="AU603" i="9"/>
  <c r="AU604" i="9"/>
  <c r="AU605" i="9"/>
  <c r="AU606" i="9"/>
  <c r="AU607" i="9"/>
  <c r="AU608" i="9"/>
  <c r="AU609" i="9"/>
  <c r="AU610" i="9"/>
  <c r="AU611" i="9"/>
  <c r="AU612" i="9"/>
  <c r="AU613" i="9"/>
  <c r="AU614" i="9"/>
  <c r="AU615" i="9"/>
  <c r="AU616" i="9"/>
  <c r="AU617" i="9"/>
  <c r="AU618" i="9"/>
  <c r="AU619" i="9"/>
  <c r="AU620" i="9"/>
  <c r="AU621" i="9"/>
  <c r="AU622" i="9"/>
  <c r="AU623" i="9"/>
  <c r="AU624" i="9"/>
  <c r="AU625" i="9"/>
  <c r="AU626" i="9"/>
  <c r="AU627" i="9"/>
  <c r="AU628" i="9"/>
  <c r="AU629" i="9"/>
  <c r="AU630" i="9"/>
  <c r="AU631" i="9"/>
  <c r="AU632" i="9"/>
  <c r="AU633" i="9"/>
  <c r="AU634" i="9"/>
  <c r="AU635" i="9"/>
  <c r="AU636" i="9"/>
  <c r="AU637" i="9"/>
  <c r="AU638" i="9"/>
  <c r="AU639" i="9"/>
  <c r="AU640" i="9"/>
  <c r="AU641" i="9"/>
  <c r="AU642" i="9"/>
  <c r="AU643" i="9"/>
  <c r="AU644" i="9"/>
  <c r="AU645" i="9"/>
  <c r="AU646" i="9"/>
  <c r="AU647" i="9"/>
  <c r="AU648" i="9"/>
  <c r="AU649" i="9"/>
  <c r="AU650" i="9"/>
  <c r="AU651" i="9"/>
  <c r="AU652" i="9"/>
  <c r="AU653" i="9"/>
  <c r="AU654" i="9"/>
  <c r="AU655" i="9"/>
  <c r="AU656" i="9"/>
  <c r="AU657" i="9"/>
  <c r="AU658" i="9"/>
  <c r="AU659" i="9"/>
  <c r="AU660" i="9"/>
  <c r="AU661" i="9"/>
  <c r="AU662" i="9"/>
  <c r="AU663" i="9"/>
  <c r="AU664" i="9"/>
  <c r="AU665" i="9"/>
  <c r="AU666" i="9"/>
  <c r="AU667" i="9"/>
  <c r="AU668" i="9"/>
  <c r="AU669" i="9"/>
  <c r="AU670" i="9"/>
  <c r="AU671" i="9"/>
  <c r="AU672" i="9"/>
  <c r="AU673" i="9"/>
  <c r="AU674" i="9"/>
  <c r="AU675" i="9"/>
  <c r="AU676" i="9"/>
  <c r="AU677" i="9"/>
  <c r="AU678" i="9"/>
  <c r="AU679" i="9"/>
  <c r="AU680" i="9"/>
  <c r="AU681" i="9"/>
  <c r="AU682" i="9"/>
  <c r="AU683" i="9"/>
  <c r="AU684" i="9"/>
  <c r="AU685" i="9"/>
  <c r="AU686" i="9"/>
  <c r="AU687" i="9"/>
  <c r="AU688" i="9"/>
  <c r="AU689" i="9"/>
  <c r="AU690" i="9"/>
  <c r="AU691" i="9"/>
  <c r="AU692" i="9"/>
  <c r="AU693" i="9"/>
  <c r="AU694" i="9"/>
  <c r="AU695" i="9"/>
  <c r="AU696" i="9"/>
  <c r="AU697" i="9"/>
  <c r="AU698" i="9"/>
  <c r="AU699" i="9"/>
  <c r="AU700" i="9"/>
  <c r="AU701" i="9"/>
  <c r="AU702" i="9"/>
  <c r="AU703" i="9"/>
  <c r="AU704" i="9"/>
  <c r="AU705" i="9"/>
  <c r="AU706" i="9"/>
  <c r="AU707" i="9"/>
  <c r="AU708" i="9"/>
  <c r="AU709" i="9"/>
  <c r="AU710" i="9"/>
  <c r="AU711" i="9"/>
  <c r="AU712" i="9"/>
  <c r="AU713" i="9"/>
  <c r="AU714" i="9"/>
  <c r="AU715" i="9"/>
  <c r="AU716" i="9"/>
  <c r="AU717" i="9"/>
  <c r="AU718" i="9"/>
  <c r="AU719" i="9"/>
  <c r="AU720" i="9"/>
  <c r="AU721" i="9"/>
  <c r="AU722" i="9"/>
  <c r="AU723" i="9"/>
  <c r="AU724" i="9"/>
  <c r="AU725" i="9"/>
  <c r="AU726" i="9"/>
  <c r="AU727" i="9"/>
  <c r="AU728" i="9"/>
  <c r="AU729" i="9"/>
  <c r="AU730" i="9"/>
  <c r="AU731" i="9"/>
  <c r="AU732" i="9"/>
  <c r="AU733" i="9"/>
  <c r="AU734" i="9"/>
  <c r="AU735" i="9"/>
  <c r="AU736" i="9"/>
  <c r="AU737" i="9"/>
  <c r="AU738" i="9"/>
  <c r="AU739" i="9"/>
  <c r="AU740" i="9"/>
  <c r="AU741" i="9"/>
  <c r="AU742" i="9"/>
  <c r="AU743" i="9"/>
  <c r="AU744" i="9"/>
  <c r="AU745" i="9"/>
  <c r="AU746" i="9"/>
  <c r="AU747" i="9"/>
  <c r="AU748" i="9"/>
  <c r="AU749" i="9"/>
  <c r="AU750" i="9"/>
  <c r="AU751" i="9"/>
  <c r="AU752" i="9"/>
  <c r="AU753" i="9"/>
  <c r="AU754" i="9"/>
  <c r="AU755" i="9"/>
  <c r="AU756" i="9"/>
  <c r="AU757" i="9"/>
  <c r="AU758" i="9"/>
  <c r="AU759" i="9"/>
  <c r="AU760" i="9"/>
  <c r="AU761" i="9"/>
  <c r="AU762" i="9"/>
  <c r="AU763" i="9"/>
  <c r="AU764" i="9"/>
  <c r="AU765" i="9"/>
  <c r="AU766" i="9"/>
  <c r="AU767" i="9"/>
  <c r="AU768" i="9"/>
  <c r="AU769" i="9"/>
  <c r="AU770" i="9"/>
  <c r="AU771" i="9"/>
  <c r="AU772" i="9"/>
  <c r="AU773" i="9"/>
  <c r="AU774" i="9"/>
  <c r="AU775" i="9"/>
  <c r="AU776" i="9"/>
  <c r="AU777" i="9"/>
  <c r="AU778" i="9"/>
  <c r="AU779" i="9"/>
  <c r="AU780" i="9"/>
  <c r="AU781" i="9"/>
  <c r="AU782" i="9"/>
  <c r="AU783" i="9"/>
  <c r="AU784" i="9"/>
  <c r="AU785" i="9"/>
  <c r="AU786" i="9"/>
  <c r="AU787" i="9"/>
  <c r="AU788" i="9"/>
  <c r="AU789" i="9"/>
  <c r="AU790" i="9"/>
  <c r="AU791" i="9"/>
  <c r="AU792" i="9"/>
  <c r="AU793" i="9"/>
  <c r="AU794" i="9"/>
  <c r="AU795" i="9"/>
  <c r="AU796" i="9"/>
  <c r="AU797" i="9"/>
  <c r="AU798" i="9"/>
  <c r="AU799" i="9"/>
  <c r="AU800" i="9"/>
  <c r="AU801" i="9"/>
  <c r="AU802" i="9"/>
  <c r="AU803" i="9"/>
  <c r="AU804" i="9"/>
  <c r="AU805" i="9"/>
  <c r="AU806" i="9"/>
  <c r="AU807" i="9"/>
  <c r="AU808" i="9"/>
  <c r="AU809" i="9"/>
  <c r="AU810" i="9"/>
  <c r="AU811" i="9"/>
  <c r="AU812" i="9"/>
  <c r="AU813" i="9"/>
  <c r="AU814" i="9"/>
  <c r="AU815" i="9"/>
  <c r="AU816" i="9"/>
  <c r="AU817" i="9"/>
  <c r="AU818" i="9"/>
  <c r="AU819" i="9"/>
  <c r="AU820" i="9"/>
  <c r="AU821" i="9"/>
  <c r="AU822" i="9"/>
  <c r="AU823" i="9"/>
  <c r="AU824" i="9"/>
  <c r="AU825" i="9"/>
  <c r="AU826" i="9"/>
  <c r="AU827" i="9"/>
  <c r="AU828" i="9"/>
  <c r="AU829" i="9"/>
  <c r="AU830" i="9"/>
  <c r="AU831" i="9"/>
  <c r="AU832" i="9"/>
  <c r="AU833" i="9"/>
  <c r="AU834" i="9"/>
  <c r="AU835" i="9"/>
  <c r="AU836" i="9"/>
  <c r="AU837" i="9"/>
  <c r="AU838" i="9"/>
  <c r="AU839" i="9"/>
  <c r="AU840" i="9"/>
  <c r="AU841" i="9"/>
  <c r="AU842" i="9"/>
  <c r="AU843" i="9"/>
  <c r="AU844" i="9"/>
  <c r="AU845" i="9"/>
  <c r="AU846" i="9"/>
  <c r="AU847" i="9"/>
  <c r="AU848" i="9"/>
  <c r="AU849" i="9"/>
  <c r="AU850" i="9"/>
  <c r="AU851" i="9"/>
  <c r="AU852" i="9"/>
  <c r="AU853" i="9"/>
  <c r="AU854" i="9"/>
  <c r="AU855" i="9"/>
  <c r="AU856" i="9"/>
  <c r="AU857" i="9"/>
  <c r="AU858" i="9"/>
  <c r="AU859" i="9"/>
  <c r="AU860" i="9"/>
  <c r="AU861" i="9"/>
  <c r="AU862" i="9"/>
  <c r="AU863" i="9"/>
  <c r="AU864" i="9"/>
  <c r="AU865" i="9"/>
  <c r="AU866" i="9"/>
  <c r="AU867" i="9"/>
  <c r="AU868" i="9"/>
  <c r="AU869" i="9"/>
  <c r="AU870" i="9"/>
  <c r="AU871" i="9"/>
  <c r="AU872" i="9"/>
  <c r="AU873" i="9"/>
  <c r="AU874" i="9"/>
  <c r="AU875" i="9"/>
  <c r="AU876" i="9"/>
  <c r="AU877" i="9"/>
  <c r="AU878" i="9"/>
  <c r="AU879" i="9"/>
  <c r="AU880" i="9"/>
  <c r="AU881" i="9"/>
  <c r="AU882" i="9"/>
  <c r="AU883" i="9"/>
  <c r="AU884" i="9"/>
  <c r="AU885" i="9"/>
  <c r="AU886" i="9"/>
  <c r="AU887" i="9"/>
  <c r="AU888" i="9"/>
  <c r="AU889" i="9"/>
  <c r="AU890" i="9"/>
  <c r="AU891" i="9"/>
  <c r="AU892" i="9"/>
  <c r="AU893" i="9"/>
  <c r="AU894" i="9"/>
  <c r="AU895" i="9"/>
  <c r="AU896" i="9"/>
  <c r="AU897" i="9"/>
  <c r="AU898" i="9"/>
  <c r="AU899" i="9"/>
  <c r="AU900" i="9"/>
  <c r="AU901" i="9"/>
  <c r="AU902" i="9"/>
  <c r="AU903" i="9"/>
  <c r="AU904" i="9"/>
  <c r="AU905" i="9"/>
  <c r="AU906" i="9"/>
  <c r="AU907" i="9"/>
  <c r="AU908" i="9"/>
  <c r="AU909" i="9"/>
  <c r="AU910" i="9"/>
  <c r="AU911" i="9"/>
  <c r="AU912" i="9"/>
  <c r="AU913" i="9"/>
  <c r="AU914" i="9"/>
  <c r="AU915" i="9"/>
  <c r="AU916" i="9"/>
  <c r="AU917" i="9"/>
  <c r="AU918" i="9"/>
  <c r="AU919" i="9"/>
  <c r="AU920" i="9"/>
  <c r="AU921" i="9"/>
  <c r="AU922" i="9"/>
  <c r="AU923" i="9"/>
  <c r="AU924" i="9"/>
  <c r="AU925" i="9"/>
  <c r="AU926" i="9"/>
  <c r="AU927" i="9"/>
  <c r="AU928" i="9"/>
  <c r="AU929" i="9"/>
  <c r="AU930" i="9"/>
  <c r="AU931" i="9"/>
  <c r="AU932" i="9"/>
  <c r="AU933" i="9"/>
  <c r="AU934" i="9"/>
  <c r="AU935" i="9"/>
  <c r="AU936" i="9"/>
  <c r="AU937" i="9"/>
  <c r="AU938" i="9"/>
  <c r="AU939" i="9"/>
  <c r="AU940" i="9"/>
  <c r="AU941" i="9"/>
  <c r="AU942" i="9"/>
  <c r="AU943" i="9"/>
  <c r="AU944" i="9"/>
  <c r="AU945" i="9"/>
  <c r="AU946" i="9"/>
  <c r="AU947" i="9"/>
  <c r="AU948" i="9"/>
  <c r="AU949" i="9"/>
  <c r="AU950" i="9"/>
  <c r="AU951" i="9"/>
  <c r="AU952" i="9"/>
  <c r="AU953" i="9"/>
  <c r="AU954" i="9"/>
  <c r="AU955" i="9"/>
  <c r="AU956" i="9"/>
  <c r="AU957" i="9"/>
  <c r="AU958" i="9"/>
  <c r="AU959" i="9"/>
  <c r="AU960" i="9"/>
  <c r="AU961" i="9"/>
  <c r="AU962" i="9"/>
  <c r="AU963" i="9"/>
  <c r="AU964" i="9"/>
  <c r="AU965" i="9"/>
  <c r="AU966" i="9"/>
  <c r="AU967" i="9"/>
  <c r="AU968" i="9"/>
  <c r="AU969" i="9"/>
  <c r="AU970" i="9"/>
  <c r="AU971" i="9"/>
  <c r="AU972" i="9"/>
  <c r="AU973" i="9"/>
  <c r="AU974" i="9"/>
  <c r="AU975" i="9"/>
  <c r="AU976" i="9"/>
  <c r="AU977" i="9"/>
  <c r="AV190" i="9"/>
  <c r="AV191" i="9"/>
  <c r="AV192" i="9"/>
  <c r="AV193" i="9"/>
  <c r="AV194" i="9"/>
  <c r="AV195" i="9"/>
  <c r="AV196" i="9"/>
  <c r="AV197" i="9"/>
  <c r="AV198" i="9"/>
  <c r="AV199" i="9"/>
  <c r="AV200" i="9"/>
  <c r="AV201" i="9"/>
  <c r="AV202" i="9"/>
  <c r="AV203" i="9"/>
  <c r="AV204" i="9"/>
  <c r="AV205" i="9"/>
  <c r="AV206" i="9"/>
  <c r="AV207" i="9"/>
  <c r="AV208" i="9"/>
  <c r="AV209" i="9"/>
  <c r="AV210" i="9"/>
  <c r="AV211" i="9"/>
  <c r="AV212" i="9"/>
  <c r="AV213" i="9"/>
  <c r="AV214" i="9"/>
  <c r="AV215" i="9"/>
  <c r="AV216" i="9"/>
  <c r="AV217" i="9"/>
  <c r="AV218" i="9"/>
  <c r="AV219" i="9"/>
  <c r="AV220" i="9"/>
  <c r="AV221" i="9"/>
  <c r="AV222" i="9"/>
  <c r="AV223" i="9"/>
  <c r="AV224" i="9"/>
  <c r="AV225" i="9"/>
  <c r="AV226" i="9"/>
  <c r="AV227" i="9"/>
  <c r="AV228" i="9"/>
  <c r="AV229" i="9"/>
  <c r="AV230" i="9"/>
  <c r="AV231" i="9"/>
  <c r="AV232" i="9"/>
  <c r="AV233" i="9"/>
  <c r="AV234" i="9"/>
  <c r="AV235" i="9"/>
  <c r="AV236" i="9"/>
  <c r="AV237" i="9"/>
  <c r="AV238" i="9"/>
  <c r="AV239" i="9"/>
  <c r="AV240" i="9"/>
  <c r="AV241" i="9"/>
  <c r="AV242" i="9"/>
  <c r="AV243" i="9"/>
  <c r="AV244" i="9"/>
  <c r="AV245" i="9"/>
  <c r="AV246" i="9"/>
  <c r="AV247" i="9"/>
  <c r="AV248" i="9"/>
  <c r="AV249" i="9"/>
  <c r="AV250" i="9"/>
  <c r="AV251" i="9"/>
  <c r="AV252" i="9"/>
  <c r="AV253" i="9"/>
  <c r="AV254" i="9"/>
  <c r="AV255" i="9"/>
  <c r="AV256" i="9"/>
  <c r="AV257" i="9"/>
  <c r="AV258" i="9"/>
  <c r="AV259" i="9"/>
  <c r="AV260" i="9"/>
  <c r="AV261" i="9"/>
  <c r="AV262" i="9"/>
  <c r="AV263" i="9"/>
  <c r="AV264" i="9"/>
  <c r="AV265" i="9"/>
  <c r="AV266" i="9"/>
  <c r="AV267" i="9"/>
  <c r="AV268" i="9"/>
  <c r="AV269" i="9"/>
  <c r="AV270" i="9"/>
  <c r="AV271" i="9"/>
  <c r="AV272" i="9"/>
  <c r="AV273" i="9"/>
  <c r="AV274" i="9"/>
  <c r="AV275" i="9"/>
  <c r="AV276" i="9"/>
  <c r="AV277" i="9"/>
  <c r="AV278" i="9"/>
  <c r="AV279" i="9"/>
  <c r="AV280" i="9"/>
  <c r="AV281" i="9"/>
  <c r="AV282" i="9"/>
  <c r="AV283" i="9"/>
  <c r="AV284" i="9"/>
  <c r="AV285" i="9"/>
  <c r="AV286" i="9"/>
  <c r="AV287" i="9"/>
  <c r="AV288" i="9"/>
  <c r="AV289" i="9"/>
  <c r="AV290" i="9"/>
  <c r="AV291" i="9"/>
  <c r="AV292" i="9"/>
  <c r="AV293" i="9"/>
  <c r="AV294" i="9"/>
  <c r="AV295" i="9"/>
  <c r="AV296" i="9"/>
  <c r="AV297" i="9"/>
  <c r="AV298" i="9"/>
  <c r="AV299" i="9"/>
  <c r="AV300" i="9"/>
  <c r="AV301" i="9"/>
  <c r="AV302" i="9"/>
  <c r="AV303" i="9"/>
  <c r="AV304" i="9"/>
  <c r="AV305" i="9"/>
  <c r="AV306" i="9"/>
  <c r="AV307" i="9"/>
  <c r="AV308" i="9"/>
  <c r="AV309" i="9"/>
  <c r="AV310" i="9"/>
  <c r="AV311" i="9"/>
  <c r="AV312" i="9"/>
  <c r="AV313" i="9"/>
  <c r="AV314" i="9"/>
  <c r="AV315" i="9"/>
  <c r="AV316" i="9"/>
  <c r="AV317" i="9"/>
  <c r="AV318" i="9"/>
  <c r="AV319" i="9"/>
  <c r="AV320" i="9"/>
  <c r="AV321" i="9"/>
  <c r="AV322" i="9"/>
  <c r="AV323" i="9"/>
  <c r="AV324" i="9"/>
  <c r="AV325" i="9"/>
  <c r="AV326" i="9"/>
  <c r="AV327" i="9"/>
  <c r="AV328" i="9"/>
  <c r="AV329" i="9"/>
  <c r="AV330" i="9"/>
  <c r="AV331" i="9"/>
  <c r="AV332" i="9"/>
  <c r="AV333" i="9"/>
  <c r="AV334" i="9"/>
  <c r="AV335" i="9"/>
  <c r="AV336" i="9"/>
  <c r="AV337" i="9"/>
  <c r="AV338" i="9"/>
  <c r="AV339" i="9"/>
  <c r="AV340" i="9"/>
  <c r="AV341" i="9"/>
  <c r="AV342" i="9"/>
  <c r="AV343" i="9"/>
  <c r="AV344" i="9"/>
  <c r="AV345" i="9"/>
  <c r="AV346" i="9"/>
  <c r="AV347" i="9"/>
  <c r="AV348" i="9"/>
  <c r="AV349" i="9"/>
  <c r="AV350" i="9"/>
  <c r="AV351" i="9"/>
  <c r="AV352" i="9"/>
  <c r="AV353" i="9"/>
  <c r="AV354" i="9"/>
  <c r="AV355" i="9"/>
  <c r="AV356" i="9"/>
  <c r="AV357" i="9"/>
  <c r="AV358" i="9"/>
  <c r="AV359" i="9"/>
  <c r="AV360" i="9"/>
  <c r="AV361" i="9"/>
  <c r="AV362" i="9"/>
  <c r="AV363" i="9"/>
  <c r="AV364" i="9"/>
  <c r="AV365" i="9"/>
  <c r="AV366" i="9"/>
  <c r="AV367" i="9"/>
  <c r="AV368" i="9"/>
  <c r="AV369" i="9"/>
  <c r="AV370" i="9"/>
  <c r="AV371" i="9"/>
  <c r="AV372" i="9"/>
  <c r="AV373" i="9"/>
  <c r="AV374" i="9"/>
  <c r="AV375" i="9"/>
  <c r="AV376" i="9"/>
  <c r="AV377" i="9"/>
  <c r="AV378" i="9"/>
  <c r="AV379" i="9"/>
  <c r="AV380" i="9"/>
  <c r="AV381" i="9"/>
  <c r="AV382" i="9"/>
  <c r="AV383" i="9"/>
  <c r="AV384" i="9"/>
  <c r="AV385" i="9"/>
  <c r="AV386" i="9"/>
  <c r="AV387" i="9"/>
  <c r="AV388" i="9"/>
  <c r="AV389" i="9"/>
  <c r="AV390" i="9"/>
  <c r="AV391" i="9"/>
  <c r="AV392" i="9"/>
  <c r="AV393" i="9"/>
  <c r="AV394" i="9"/>
  <c r="AV395" i="9"/>
  <c r="AV396" i="9"/>
  <c r="AV397" i="9"/>
  <c r="AV398" i="9"/>
  <c r="AV399" i="9"/>
  <c r="AV400" i="9"/>
  <c r="AV401" i="9"/>
  <c r="AV402" i="9"/>
  <c r="AV403" i="9"/>
  <c r="AV404" i="9"/>
  <c r="AV405" i="9"/>
  <c r="AV406" i="9"/>
  <c r="AV407" i="9"/>
  <c r="AV408" i="9"/>
  <c r="AV409" i="9"/>
  <c r="AV410" i="9"/>
  <c r="AV411" i="9"/>
  <c r="AV412" i="9"/>
  <c r="AV413" i="9"/>
  <c r="AV414" i="9"/>
  <c r="AV415" i="9"/>
  <c r="AV416" i="9"/>
  <c r="AV417" i="9"/>
  <c r="AV418" i="9"/>
  <c r="AV419" i="9"/>
  <c r="AV420" i="9"/>
  <c r="AV421" i="9"/>
  <c r="AV422" i="9"/>
  <c r="AV423" i="9"/>
  <c r="AV424" i="9"/>
  <c r="AV425" i="9"/>
  <c r="AV426" i="9"/>
  <c r="AV427" i="9"/>
  <c r="AV428" i="9"/>
  <c r="AV429" i="9"/>
  <c r="AV430" i="9"/>
  <c r="AV431" i="9"/>
  <c r="AV432" i="9"/>
  <c r="AV433" i="9"/>
  <c r="AV434" i="9"/>
  <c r="AV435" i="9"/>
  <c r="AV436" i="9"/>
  <c r="AV437" i="9"/>
  <c r="AV438" i="9"/>
  <c r="AV439" i="9"/>
  <c r="AV440" i="9"/>
  <c r="AV441" i="9"/>
  <c r="AV442" i="9"/>
  <c r="AV443" i="9"/>
  <c r="AV444" i="9"/>
  <c r="AV445" i="9"/>
  <c r="AV446" i="9"/>
  <c r="AV447" i="9"/>
  <c r="AV448" i="9"/>
  <c r="AV449" i="9"/>
  <c r="AV450" i="9"/>
  <c r="AV451" i="9"/>
  <c r="AV452" i="9"/>
  <c r="AV453" i="9"/>
  <c r="AV454" i="9"/>
  <c r="AV455" i="9"/>
  <c r="AV456" i="9"/>
  <c r="AV457" i="9"/>
  <c r="AV458" i="9"/>
  <c r="AV459" i="9"/>
  <c r="AV460" i="9"/>
  <c r="AV461" i="9"/>
  <c r="AV462" i="9"/>
  <c r="AV463" i="9"/>
  <c r="AV464" i="9"/>
  <c r="AV465" i="9"/>
  <c r="AV466" i="9"/>
  <c r="AV467" i="9"/>
  <c r="AV468" i="9"/>
  <c r="AV469" i="9"/>
  <c r="AV470" i="9"/>
  <c r="AV471" i="9"/>
  <c r="AV472" i="9"/>
  <c r="AV473" i="9"/>
  <c r="AV474" i="9"/>
  <c r="AV475" i="9"/>
  <c r="AV476" i="9"/>
  <c r="AV477" i="9"/>
  <c r="AV478" i="9"/>
  <c r="AV479" i="9"/>
  <c r="AV480" i="9"/>
  <c r="AV481" i="9"/>
  <c r="AV482" i="9"/>
  <c r="AV483" i="9"/>
  <c r="AV484" i="9"/>
  <c r="AV485" i="9"/>
  <c r="AV486" i="9"/>
  <c r="AV487" i="9"/>
  <c r="AV488" i="9"/>
  <c r="AV489" i="9"/>
  <c r="AV490" i="9"/>
  <c r="AV491" i="9"/>
  <c r="AV492" i="9"/>
  <c r="AV493" i="9"/>
  <c r="AV494" i="9"/>
  <c r="AV495" i="9"/>
  <c r="AV496" i="9"/>
  <c r="AV497" i="9"/>
  <c r="AV498" i="9"/>
  <c r="AV499" i="9"/>
  <c r="AV500" i="9"/>
  <c r="AV501" i="9"/>
  <c r="AV502" i="9"/>
  <c r="AV503" i="9"/>
  <c r="AV504" i="9"/>
  <c r="AV505" i="9"/>
  <c r="AV506" i="9"/>
  <c r="AV507" i="9"/>
  <c r="AV508" i="9"/>
  <c r="AV509" i="9"/>
  <c r="AV510" i="9"/>
  <c r="AV511" i="9"/>
  <c r="AV512" i="9"/>
  <c r="AV513" i="9"/>
  <c r="AV514" i="9"/>
  <c r="AV515" i="9"/>
  <c r="AV516" i="9"/>
  <c r="AV517" i="9"/>
  <c r="AV518" i="9"/>
  <c r="AV519" i="9"/>
  <c r="AV520" i="9"/>
  <c r="AV521" i="9"/>
  <c r="AV522" i="9"/>
  <c r="AV523" i="9"/>
  <c r="AV524" i="9"/>
  <c r="AV525" i="9"/>
  <c r="AV526" i="9"/>
  <c r="AV527" i="9"/>
  <c r="AV528" i="9"/>
  <c r="AV529" i="9"/>
  <c r="AV530" i="9"/>
  <c r="AV531" i="9"/>
  <c r="AV532" i="9"/>
  <c r="AV533" i="9"/>
  <c r="AV534" i="9"/>
  <c r="AV535" i="9"/>
  <c r="AV536" i="9"/>
  <c r="AV537" i="9"/>
  <c r="AV538" i="9"/>
  <c r="AV539" i="9"/>
  <c r="AV540" i="9"/>
  <c r="AV541" i="9"/>
  <c r="AV542" i="9"/>
  <c r="AV543" i="9"/>
  <c r="AV544" i="9"/>
  <c r="AV545" i="9"/>
  <c r="AV546" i="9"/>
  <c r="AV547" i="9"/>
  <c r="AV548" i="9"/>
  <c r="AV549" i="9"/>
  <c r="AV550" i="9"/>
  <c r="AV551" i="9"/>
  <c r="AV552" i="9"/>
  <c r="AV553" i="9"/>
  <c r="AV554" i="9"/>
  <c r="AV555" i="9"/>
  <c r="AV556" i="9"/>
  <c r="AV557" i="9"/>
  <c r="AV558" i="9"/>
  <c r="AV559" i="9"/>
  <c r="AV560" i="9"/>
  <c r="AV561" i="9"/>
  <c r="AV562" i="9"/>
  <c r="AV563" i="9"/>
  <c r="AV564" i="9"/>
  <c r="AV565" i="9"/>
  <c r="AV566" i="9"/>
  <c r="AV567" i="9"/>
  <c r="AV568" i="9"/>
  <c r="AV569" i="9"/>
  <c r="AV570" i="9"/>
  <c r="AV571" i="9"/>
  <c r="AV572" i="9"/>
  <c r="AV573" i="9"/>
  <c r="AV574" i="9"/>
  <c r="AV575" i="9"/>
  <c r="AV576" i="9"/>
  <c r="AV577" i="9"/>
  <c r="AV578" i="9"/>
  <c r="AV579" i="9"/>
  <c r="AV580" i="9"/>
  <c r="AV581" i="9"/>
  <c r="AV582" i="9"/>
  <c r="AV583" i="9"/>
  <c r="AV584" i="9"/>
  <c r="AV585" i="9"/>
  <c r="AV586" i="9"/>
  <c r="AV587" i="9"/>
  <c r="AV588" i="9"/>
  <c r="AV589" i="9"/>
  <c r="AV590" i="9"/>
  <c r="AV591" i="9"/>
  <c r="AV592" i="9"/>
  <c r="AV593" i="9"/>
  <c r="AV594" i="9"/>
  <c r="AV595" i="9"/>
  <c r="AV596" i="9"/>
  <c r="AV597" i="9"/>
  <c r="AV598" i="9"/>
  <c r="AV599" i="9"/>
  <c r="AV600" i="9"/>
  <c r="AV601" i="9"/>
  <c r="AV602" i="9"/>
  <c r="AV603" i="9"/>
  <c r="AV604" i="9"/>
  <c r="AV605" i="9"/>
  <c r="AV606" i="9"/>
  <c r="AV607" i="9"/>
  <c r="AV608" i="9"/>
  <c r="AV609" i="9"/>
  <c r="AV610" i="9"/>
  <c r="AV611" i="9"/>
  <c r="AV612" i="9"/>
  <c r="AV613" i="9"/>
  <c r="AV614" i="9"/>
  <c r="AV615" i="9"/>
  <c r="AV616" i="9"/>
  <c r="AV617" i="9"/>
  <c r="AV618" i="9"/>
  <c r="AV619" i="9"/>
  <c r="AV620" i="9"/>
  <c r="AV621" i="9"/>
  <c r="AV622" i="9"/>
  <c r="AV623" i="9"/>
  <c r="AV624" i="9"/>
  <c r="AV625" i="9"/>
  <c r="AV626" i="9"/>
  <c r="AV627" i="9"/>
  <c r="AV628" i="9"/>
  <c r="AV629" i="9"/>
  <c r="AV630" i="9"/>
  <c r="AV631" i="9"/>
  <c r="AV632" i="9"/>
  <c r="AV633" i="9"/>
  <c r="AV634" i="9"/>
  <c r="AV635" i="9"/>
  <c r="AV636" i="9"/>
  <c r="AV637" i="9"/>
  <c r="AV638" i="9"/>
  <c r="AV639" i="9"/>
  <c r="AV640" i="9"/>
  <c r="AV641" i="9"/>
  <c r="AV642" i="9"/>
  <c r="AV643" i="9"/>
  <c r="AV644" i="9"/>
  <c r="AV645" i="9"/>
  <c r="AV646" i="9"/>
  <c r="AV647" i="9"/>
  <c r="AV648" i="9"/>
  <c r="AV649" i="9"/>
  <c r="AV650" i="9"/>
  <c r="AV651" i="9"/>
  <c r="AV652" i="9"/>
  <c r="AV653" i="9"/>
  <c r="AV654" i="9"/>
  <c r="AV655" i="9"/>
  <c r="AV656" i="9"/>
  <c r="AV657" i="9"/>
  <c r="AV658" i="9"/>
  <c r="AV659" i="9"/>
  <c r="AV660" i="9"/>
  <c r="AV661" i="9"/>
  <c r="AV662" i="9"/>
  <c r="AV663" i="9"/>
  <c r="AV664" i="9"/>
  <c r="AV665" i="9"/>
  <c r="AV666" i="9"/>
  <c r="AV667" i="9"/>
  <c r="AV668" i="9"/>
  <c r="AV669" i="9"/>
  <c r="AV670" i="9"/>
  <c r="AV671" i="9"/>
  <c r="AV672" i="9"/>
  <c r="AV673" i="9"/>
  <c r="AV674" i="9"/>
  <c r="AV675" i="9"/>
  <c r="AV676" i="9"/>
  <c r="AV677" i="9"/>
  <c r="AV678" i="9"/>
  <c r="AV679" i="9"/>
  <c r="AV680" i="9"/>
  <c r="AV681" i="9"/>
  <c r="AV682" i="9"/>
  <c r="AV683" i="9"/>
  <c r="AV684" i="9"/>
  <c r="AV685" i="9"/>
  <c r="AV686" i="9"/>
  <c r="AV687" i="9"/>
  <c r="AV688" i="9"/>
  <c r="AV689" i="9"/>
  <c r="AV690" i="9"/>
  <c r="AV691" i="9"/>
  <c r="AV692" i="9"/>
  <c r="AV693" i="9"/>
  <c r="AV694" i="9"/>
  <c r="AV695" i="9"/>
  <c r="AV696" i="9"/>
  <c r="AV697" i="9"/>
  <c r="AV698" i="9"/>
  <c r="AV699" i="9"/>
  <c r="AV700" i="9"/>
  <c r="AV701" i="9"/>
  <c r="AV702" i="9"/>
  <c r="AV703" i="9"/>
  <c r="AV704" i="9"/>
  <c r="AV705" i="9"/>
  <c r="AV706" i="9"/>
  <c r="AV707" i="9"/>
  <c r="AV708" i="9"/>
  <c r="AV709" i="9"/>
  <c r="AV710" i="9"/>
  <c r="AV711" i="9"/>
  <c r="AV712" i="9"/>
  <c r="AV713" i="9"/>
  <c r="AV714" i="9"/>
  <c r="AV715" i="9"/>
  <c r="AV716" i="9"/>
  <c r="AV717" i="9"/>
  <c r="AV718" i="9"/>
  <c r="AV719" i="9"/>
  <c r="AV720" i="9"/>
  <c r="AV721" i="9"/>
  <c r="AV722" i="9"/>
  <c r="AV723" i="9"/>
  <c r="AV724" i="9"/>
  <c r="AV725" i="9"/>
  <c r="AV726" i="9"/>
  <c r="AV727" i="9"/>
  <c r="AV728" i="9"/>
  <c r="AV729" i="9"/>
  <c r="AV730" i="9"/>
  <c r="AV731" i="9"/>
  <c r="AV732" i="9"/>
  <c r="AV733" i="9"/>
  <c r="AV734" i="9"/>
  <c r="AV735" i="9"/>
  <c r="AV736" i="9"/>
  <c r="AV737" i="9"/>
  <c r="AV738" i="9"/>
  <c r="AV739" i="9"/>
  <c r="AV740" i="9"/>
  <c r="AV741" i="9"/>
  <c r="AV742" i="9"/>
  <c r="AV743" i="9"/>
  <c r="AV744" i="9"/>
  <c r="AV745" i="9"/>
  <c r="AV746" i="9"/>
  <c r="AV747" i="9"/>
  <c r="AV748" i="9"/>
  <c r="AV749" i="9"/>
  <c r="AV750" i="9"/>
  <c r="AV751" i="9"/>
  <c r="AV752" i="9"/>
  <c r="AV753" i="9"/>
  <c r="AV754" i="9"/>
  <c r="AV755" i="9"/>
  <c r="AV756" i="9"/>
  <c r="AV757" i="9"/>
  <c r="AV758" i="9"/>
  <c r="AV759" i="9"/>
  <c r="AV760" i="9"/>
  <c r="AV761" i="9"/>
  <c r="AV762" i="9"/>
  <c r="AV763" i="9"/>
  <c r="AV764" i="9"/>
  <c r="AV765" i="9"/>
  <c r="AV766" i="9"/>
  <c r="AV767" i="9"/>
  <c r="AV768" i="9"/>
  <c r="AV769" i="9"/>
  <c r="AV770" i="9"/>
  <c r="AV771" i="9"/>
  <c r="AV772" i="9"/>
  <c r="AV773" i="9"/>
  <c r="AV774" i="9"/>
  <c r="AV775" i="9"/>
  <c r="AV776" i="9"/>
  <c r="AV777" i="9"/>
  <c r="AV778" i="9"/>
  <c r="AV779" i="9"/>
  <c r="AV780" i="9"/>
  <c r="AV781" i="9"/>
  <c r="AV782" i="9"/>
  <c r="AV783" i="9"/>
  <c r="AV784" i="9"/>
  <c r="AV785" i="9"/>
  <c r="AV786" i="9"/>
  <c r="AV787" i="9"/>
  <c r="AV788" i="9"/>
  <c r="AV789" i="9"/>
  <c r="AV790" i="9"/>
  <c r="AV791" i="9"/>
  <c r="AV792" i="9"/>
  <c r="AV793" i="9"/>
  <c r="AV794" i="9"/>
  <c r="AV795" i="9"/>
  <c r="AV796" i="9"/>
  <c r="AV797" i="9"/>
  <c r="AV798" i="9"/>
  <c r="AV799" i="9"/>
  <c r="AV800" i="9"/>
  <c r="AV801" i="9"/>
  <c r="AV802" i="9"/>
  <c r="AV803" i="9"/>
  <c r="AV804" i="9"/>
  <c r="AV805" i="9"/>
  <c r="AV806" i="9"/>
  <c r="AV807" i="9"/>
  <c r="AV808" i="9"/>
  <c r="AV809" i="9"/>
  <c r="AV810" i="9"/>
  <c r="AV811" i="9"/>
  <c r="AV812" i="9"/>
  <c r="AV813" i="9"/>
  <c r="AV814" i="9"/>
  <c r="AV815" i="9"/>
  <c r="AV816" i="9"/>
  <c r="AV817" i="9"/>
  <c r="AV818" i="9"/>
  <c r="AV819" i="9"/>
  <c r="AV820" i="9"/>
  <c r="AV821" i="9"/>
  <c r="AV822" i="9"/>
  <c r="AV823" i="9"/>
  <c r="AV824" i="9"/>
  <c r="AV825" i="9"/>
  <c r="AV826" i="9"/>
  <c r="AV827" i="9"/>
  <c r="AV828" i="9"/>
  <c r="AV829" i="9"/>
  <c r="AV830" i="9"/>
  <c r="AV831" i="9"/>
  <c r="AV832" i="9"/>
  <c r="AV833" i="9"/>
  <c r="AV834" i="9"/>
  <c r="AV835" i="9"/>
  <c r="AV836" i="9"/>
  <c r="AV837" i="9"/>
  <c r="AV838" i="9"/>
  <c r="AV839" i="9"/>
  <c r="AV840" i="9"/>
  <c r="AV841" i="9"/>
  <c r="AV842" i="9"/>
  <c r="AV843" i="9"/>
  <c r="AV844" i="9"/>
  <c r="AV845" i="9"/>
  <c r="AV846" i="9"/>
  <c r="AV847" i="9"/>
  <c r="AV848" i="9"/>
  <c r="AV849" i="9"/>
  <c r="AV850" i="9"/>
  <c r="AV851" i="9"/>
  <c r="AV852" i="9"/>
  <c r="AV853" i="9"/>
  <c r="AV854" i="9"/>
  <c r="AV855" i="9"/>
  <c r="AV856" i="9"/>
  <c r="AV857" i="9"/>
  <c r="AV858" i="9"/>
  <c r="AV859" i="9"/>
  <c r="AV860" i="9"/>
  <c r="AV861" i="9"/>
  <c r="AV862" i="9"/>
  <c r="AV863" i="9"/>
  <c r="AV864" i="9"/>
  <c r="AV865" i="9"/>
  <c r="AV866" i="9"/>
  <c r="AV867" i="9"/>
  <c r="AV868" i="9"/>
  <c r="AV869" i="9"/>
  <c r="AV870" i="9"/>
  <c r="AV871" i="9"/>
  <c r="AV872" i="9"/>
  <c r="AV873" i="9"/>
  <c r="AV874" i="9"/>
  <c r="AV875" i="9"/>
  <c r="AV876" i="9"/>
  <c r="AV877" i="9"/>
  <c r="AV878" i="9"/>
  <c r="AV879" i="9"/>
  <c r="AV880" i="9"/>
  <c r="AV881" i="9"/>
  <c r="AV882" i="9"/>
  <c r="AV883" i="9"/>
  <c r="AV884" i="9"/>
  <c r="AV885" i="9"/>
  <c r="AV886" i="9"/>
  <c r="AV887" i="9"/>
  <c r="AV888" i="9"/>
  <c r="AV889" i="9"/>
  <c r="AV890" i="9"/>
  <c r="AV891" i="9"/>
  <c r="AV892" i="9"/>
  <c r="AV893" i="9"/>
  <c r="AV894" i="9"/>
  <c r="AV895" i="9"/>
  <c r="AV896" i="9"/>
  <c r="AV897" i="9"/>
  <c r="AV898" i="9"/>
  <c r="AV899" i="9"/>
  <c r="AV900" i="9"/>
  <c r="AV901" i="9"/>
  <c r="AV902" i="9"/>
  <c r="AV903" i="9"/>
  <c r="AV904" i="9"/>
  <c r="AV905" i="9"/>
  <c r="AV906" i="9"/>
  <c r="AV907" i="9"/>
  <c r="AV908" i="9"/>
  <c r="AV909" i="9"/>
  <c r="AV910" i="9"/>
  <c r="AV911" i="9"/>
  <c r="AV912" i="9"/>
  <c r="AV913" i="9"/>
  <c r="AV914" i="9"/>
  <c r="AV915" i="9"/>
  <c r="AV916" i="9"/>
  <c r="AV917" i="9"/>
  <c r="AV918" i="9"/>
  <c r="AV919" i="9"/>
  <c r="AV920" i="9"/>
  <c r="AV921" i="9"/>
  <c r="AV922" i="9"/>
  <c r="AV923" i="9"/>
  <c r="AV924" i="9"/>
  <c r="AV925" i="9"/>
  <c r="AV926" i="9"/>
  <c r="AV927" i="9"/>
  <c r="AV928" i="9"/>
  <c r="AV929" i="9"/>
  <c r="AV930" i="9"/>
  <c r="AV931" i="9"/>
  <c r="AV932" i="9"/>
  <c r="AV933" i="9"/>
  <c r="AV934" i="9"/>
  <c r="AV935" i="9"/>
  <c r="AV936" i="9"/>
  <c r="AV937" i="9"/>
  <c r="AV938" i="9"/>
  <c r="AV939" i="9"/>
  <c r="AV940" i="9"/>
  <c r="AV941" i="9"/>
  <c r="AV942" i="9"/>
  <c r="AV943" i="9"/>
  <c r="AV944" i="9"/>
  <c r="AV945" i="9"/>
  <c r="AV946" i="9"/>
  <c r="AV947" i="9"/>
  <c r="AV948" i="9"/>
  <c r="AV949" i="9"/>
  <c r="AV950" i="9"/>
  <c r="AV951" i="9"/>
  <c r="AV952" i="9"/>
  <c r="AV953" i="9"/>
  <c r="AV954" i="9"/>
  <c r="AV955" i="9"/>
  <c r="AV956" i="9"/>
  <c r="AV957" i="9"/>
  <c r="AV958" i="9"/>
  <c r="AV959" i="9"/>
  <c r="AV960" i="9"/>
  <c r="AV961" i="9"/>
  <c r="AV962" i="9"/>
  <c r="AV963" i="9"/>
  <c r="AV964" i="9"/>
  <c r="AV965" i="9"/>
  <c r="AV966" i="9"/>
  <c r="AV967" i="9"/>
  <c r="AV968" i="9"/>
  <c r="AV969" i="9"/>
  <c r="AV970" i="9"/>
  <c r="AV971" i="9"/>
  <c r="AV972" i="9"/>
  <c r="AV973" i="9"/>
  <c r="AV974" i="9"/>
  <c r="AV975" i="9"/>
  <c r="AV976" i="9"/>
  <c r="AV977" i="9"/>
  <c r="BD190" i="9"/>
  <c r="BD191" i="9"/>
  <c r="BD192" i="9"/>
  <c r="BD193" i="9"/>
  <c r="BD194" i="9"/>
  <c r="BD195" i="9"/>
  <c r="BD196" i="9"/>
  <c r="BD197" i="9"/>
  <c r="BD198" i="9"/>
  <c r="BD199" i="9"/>
  <c r="BD200" i="9"/>
  <c r="BD201" i="9"/>
  <c r="BD202" i="9"/>
  <c r="BD203" i="9"/>
  <c r="BD204" i="9"/>
  <c r="BD205" i="9"/>
  <c r="BD206" i="9"/>
  <c r="BD207" i="9"/>
  <c r="BD208" i="9"/>
  <c r="BD209" i="9"/>
  <c r="BD210" i="9"/>
  <c r="BD211" i="9"/>
  <c r="BD212" i="9"/>
  <c r="BD213" i="9"/>
  <c r="BD214" i="9"/>
  <c r="BD215" i="9"/>
  <c r="BD216" i="9"/>
  <c r="BD217" i="9"/>
  <c r="BD218" i="9"/>
  <c r="BD219" i="9"/>
  <c r="BD220" i="9"/>
  <c r="BD221" i="9"/>
  <c r="BD222" i="9"/>
  <c r="BD223" i="9"/>
  <c r="BD224" i="9"/>
  <c r="BD225" i="9"/>
  <c r="BD226" i="9"/>
  <c r="BD227" i="9"/>
  <c r="BD228" i="9"/>
  <c r="BD229" i="9"/>
  <c r="BD230" i="9"/>
  <c r="BD231" i="9"/>
  <c r="BD232" i="9"/>
  <c r="BD233" i="9"/>
  <c r="BD234" i="9"/>
  <c r="BD235" i="9"/>
  <c r="BD236" i="9"/>
  <c r="BD237" i="9"/>
  <c r="BD238" i="9"/>
  <c r="BD239" i="9"/>
  <c r="BD240" i="9"/>
  <c r="BD241" i="9"/>
  <c r="BD242" i="9"/>
  <c r="BD243" i="9"/>
  <c r="BD244" i="9"/>
  <c r="BD245" i="9"/>
  <c r="BD246" i="9"/>
  <c r="BD247" i="9"/>
  <c r="BD248" i="9"/>
  <c r="BD249" i="9"/>
  <c r="BD250" i="9"/>
  <c r="BD251" i="9"/>
  <c r="BD252" i="9"/>
  <c r="BD253" i="9"/>
  <c r="BD254" i="9"/>
  <c r="BD255" i="9"/>
  <c r="BD256" i="9"/>
  <c r="BD257" i="9"/>
  <c r="BD258" i="9"/>
  <c r="BD259" i="9"/>
  <c r="BD260" i="9"/>
  <c r="BD261" i="9"/>
  <c r="BD262" i="9"/>
  <c r="BD263" i="9"/>
  <c r="BD264" i="9"/>
  <c r="BD265" i="9"/>
  <c r="BD266" i="9"/>
  <c r="BD267" i="9"/>
  <c r="BD268" i="9"/>
  <c r="BD269" i="9"/>
  <c r="BD270" i="9"/>
  <c r="BD271" i="9"/>
  <c r="BD272" i="9"/>
  <c r="BD273" i="9"/>
  <c r="BD274" i="9"/>
  <c r="BD275" i="9"/>
  <c r="BD276" i="9"/>
  <c r="BD277" i="9"/>
  <c r="BD278" i="9"/>
  <c r="BD279" i="9"/>
  <c r="BD280" i="9"/>
  <c r="BD281" i="9"/>
  <c r="BD282" i="9"/>
  <c r="BD283" i="9"/>
  <c r="BD284" i="9"/>
  <c r="BD285" i="9"/>
  <c r="BD286" i="9"/>
  <c r="BD287" i="9"/>
  <c r="BD288" i="9"/>
  <c r="BD289" i="9"/>
  <c r="BD290" i="9"/>
  <c r="BD291" i="9"/>
  <c r="BD292" i="9"/>
  <c r="BD293" i="9"/>
  <c r="BD294" i="9"/>
  <c r="BD295" i="9"/>
  <c r="BD296" i="9"/>
  <c r="BD297" i="9"/>
  <c r="BD298" i="9"/>
  <c r="BD299" i="9"/>
  <c r="BD300" i="9"/>
  <c r="BD301" i="9"/>
  <c r="BD302" i="9"/>
  <c r="BD303" i="9"/>
  <c r="BD304" i="9"/>
  <c r="BD305" i="9"/>
  <c r="BD306" i="9"/>
  <c r="BD307" i="9"/>
  <c r="BD308" i="9"/>
  <c r="BD309" i="9"/>
  <c r="BD310" i="9"/>
  <c r="BD311" i="9"/>
  <c r="BD312" i="9"/>
  <c r="BD313" i="9"/>
  <c r="BD314" i="9"/>
  <c r="BD315" i="9"/>
  <c r="BD316" i="9"/>
  <c r="BD317" i="9"/>
  <c r="BD318" i="9"/>
  <c r="BD319" i="9"/>
  <c r="BD320" i="9"/>
  <c r="BD321" i="9"/>
  <c r="BD322" i="9"/>
  <c r="BD323" i="9"/>
  <c r="BD324" i="9"/>
  <c r="BD325" i="9"/>
  <c r="BD326" i="9"/>
  <c r="BD327" i="9"/>
  <c r="BD328" i="9"/>
  <c r="BD329" i="9"/>
  <c r="BD330" i="9"/>
  <c r="BD331" i="9"/>
  <c r="BD332" i="9"/>
  <c r="BD333" i="9"/>
  <c r="BD334" i="9"/>
  <c r="BD335" i="9"/>
  <c r="BD336" i="9"/>
  <c r="BD337" i="9"/>
  <c r="BD338" i="9"/>
  <c r="BD339" i="9"/>
  <c r="BD340" i="9"/>
  <c r="BD341" i="9"/>
  <c r="BD342" i="9"/>
  <c r="BD343" i="9"/>
  <c r="BD344" i="9"/>
  <c r="BD345" i="9"/>
  <c r="BD346" i="9"/>
  <c r="BD347" i="9"/>
  <c r="BD348" i="9"/>
  <c r="BD349" i="9"/>
  <c r="BD350" i="9"/>
  <c r="BD351" i="9"/>
  <c r="BD352" i="9"/>
  <c r="BD353" i="9"/>
  <c r="BD354" i="9"/>
  <c r="BD355" i="9"/>
  <c r="BD356" i="9"/>
  <c r="BD357" i="9"/>
  <c r="BD358" i="9"/>
  <c r="BD359" i="9"/>
  <c r="BD360" i="9"/>
  <c r="BD361" i="9"/>
  <c r="BD362" i="9"/>
  <c r="BD363" i="9"/>
  <c r="BD364" i="9"/>
  <c r="BD365" i="9"/>
  <c r="BD366" i="9"/>
  <c r="BD367" i="9"/>
  <c r="BD368" i="9"/>
  <c r="BD369" i="9"/>
  <c r="BD370" i="9"/>
  <c r="BD371" i="9"/>
  <c r="BD372" i="9"/>
  <c r="BD373" i="9"/>
  <c r="BD374" i="9"/>
  <c r="BD375" i="9"/>
  <c r="BD376" i="9"/>
  <c r="BD377" i="9"/>
  <c r="BD378" i="9"/>
  <c r="BD379" i="9"/>
  <c r="BD380" i="9"/>
  <c r="BD381" i="9"/>
  <c r="BD382" i="9"/>
  <c r="BD383" i="9"/>
  <c r="BD384" i="9"/>
  <c r="BD385" i="9"/>
  <c r="BD386" i="9"/>
  <c r="BD387" i="9"/>
  <c r="BD388" i="9"/>
  <c r="BD389" i="9"/>
  <c r="BD390" i="9"/>
  <c r="BD391" i="9"/>
  <c r="BD392" i="9"/>
  <c r="BD393" i="9"/>
  <c r="BD394" i="9"/>
  <c r="BD395" i="9"/>
  <c r="BD396" i="9"/>
  <c r="BD397" i="9"/>
  <c r="BD398" i="9"/>
  <c r="BD399" i="9"/>
  <c r="BD400" i="9"/>
  <c r="BD401" i="9"/>
  <c r="BD402" i="9"/>
  <c r="BD403" i="9"/>
  <c r="BD404" i="9"/>
  <c r="BD405" i="9"/>
  <c r="BD406" i="9"/>
  <c r="BD407" i="9"/>
  <c r="BD408" i="9"/>
  <c r="BD409" i="9"/>
  <c r="BD410" i="9"/>
  <c r="BD411" i="9"/>
  <c r="BD412" i="9"/>
  <c r="BD413" i="9"/>
  <c r="BD414" i="9"/>
  <c r="BD415" i="9"/>
  <c r="BD416" i="9"/>
  <c r="BD417" i="9"/>
  <c r="BD418" i="9"/>
  <c r="BD419" i="9"/>
  <c r="BD420" i="9"/>
  <c r="BD421" i="9"/>
  <c r="BD422" i="9"/>
  <c r="BD423" i="9"/>
  <c r="BD424" i="9"/>
  <c r="BD425" i="9"/>
  <c r="BD426" i="9"/>
  <c r="BD427" i="9"/>
  <c r="BD428" i="9"/>
  <c r="BD429" i="9"/>
  <c r="BD430" i="9"/>
  <c r="BD431" i="9"/>
  <c r="BD432" i="9"/>
  <c r="BD433" i="9"/>
  <c r="BD434" i="9"/>
  <c r="BD435" i="9"/>
  <c r="BD436" i="9"/>
  <c r="BD437" i="9"/>
  <c r="BD438" i="9"/>
  <c r="BD439" i="9"/>
  <c r="BD440" i="9"/>
  <c r="BD441" i="9"/>
  <c r="BD442" i="9"/>
  <c r="BD443" i="9"/>
  <c r="BD444" i="9"/>
  <c r="BD445" i="9"/>
  <c r="BD446" i="9"/>
  <c r="BD447" i="9"/>
  <c r="BD448" i="9"/>
  <c r="BD449" i="9"/>
  <c r="BD450" i="9"/>
  <c r="BD451" i="9"/>
  <c r="BD452" i="9"/>
  <c r="BD453" i="9"/>
  <c r="BD454" i="9"/>
  <c r="BD455" i="9"/>
  <c r="BD456" i="9"/>
  <c r="BD457" i="9"/>
  <c r="BD458" i="9"/>
  <c r="BD459" i="9"/>
  <c r="BD460" i="9"/>
  <c r="BD461" i="9"/>
  <c r="BD462" i="9"/>
  <c r="BD463" i="9"/>
  <c r="BD464" i="9"/>
  <c r="BD465" i="9"/>
  <c r="BD466" i="9"/>
  <c r="BD467" i="9"/>
  <c r="BD468" i="9"/>
  <c r="BD469" i="9"/>
  <c r="BD470" i="9"/>
  <c r="BD471" i="9"/>
  <c r="BD472" i="9"/>
  <c r="BD473" i="9"/>
  <c r="BD474" i="9"/>
  <c r="BD475" i="9"/>
  <c r="BD476" i="9"/>
  <c r="BD477" i="9"/>
  <c r="BD478" i="9"/>
  <c r="BD479" i="9"/>
  <c r="BD480" i="9"/>
  <c r="BD481" i="9"/>
  <c r="BD482" i="9"/>
  <c r="BD483" i="9"/>
  <c r="BD484" i="9"/>
  <c r="BD485" i="9"/>
  <c r="BD486" i="9"/>
  <c r="BD487" i="9"/>
  <c r="BD488" i="9"/>
  <c r="BD489" i="9"/>
  <c r="BD490" i="9"/>
  <c r="BD491" i="9"/>
  <c r="BD492" i="9"/>
  <c r="BD493" i="9"/>
  <c r="BD494" i="9"/>
  <c r="BD495" i="9"/>
  <c r="BD496" i="9"/>
  <c r="BD497" i="9"/>
  <c r="BD498" i="9"/>
  <c r="BD499" i="9"/>
  <c r="BD500" i="9"/>
  <c r="BD501" i="9"/>
  <c r="BD502" i="9"/>
  <c r="BD503" i="9"/>
  <c r="BD504" i="9"/>
  <c r="BD505" i="9"/>
  <c r="BD506" i="9"/>
  <c r="BD507" i="9"/>
  <c r="BD508" i="9"/>
  <c r="BD509" i="9"/>
  <c r="BD510" i="9"/>
  <c r="BD511" i="9"/>
  <c r="BD512" i="9"/>
  <c r="BD513" i="9"/>
  <c r="BD514" i="9"/>
  <c r="BD515" i="9"/>
  <c r="BD516" i="9"/>
  <c r="BD517" i="9"/>
  <c r="BD518" i="9"/>
  <c r="BD519" i="9"/>
  <c r="BD520" i="9"/>
  <c r="BD521" i="9"/>
  <c r="BD522" i="9"/>
  <c r="BD523" i="9"/>
  <c r="BD524" i="9"/>
  <c r="BD525" i="9"/>
  <c r="BD526" i="9"/>
  <c r="BD527" i="9"/>
  <c r="BD528" i="9"/>
  <c r="BD529" i="9"/>
  <c r="BD530" i="9"/>
  <c r="BD531" i="9"/>
  <c r="BD532" i="9"/>
  <c r="BD533" i="9"/>
  <c r="BD534" i="9"/>
  <c r="BD535" i="9"/>
  <c r="BD536" i="9"/>
  <c r="BD537" i="9"/>
  <c r="BD538" i="9"/>
  <c r="BD539" i="9"/>
  <c r="BD540" i="9"/>
  <c r="BD541" i="9"/>
  <c r="BD542" i="9"/>
  <c r="BD543" i="9"/>
  <c r="BD544" i="9"/>
  <c r="BD545" i="9"/>
  <c r="BD546" i="9"/>
  <c r="BD547" i="9"/>
  <c r="BD548" i="9"/>
  <c r="BD549" i="9"/>
  <c r="BD550" i="9"/>
  <c r="BD551" i="9"/>
  <c r="BD552" i="9"/>
  <c r="BD553" i="9"/>
  <c r="BD554" i="9"/>
  <c r="BD555" i="9"/>
  <c r="BD556" i="9"/>
  <c r="BD557" i="9"/>
  <c r="BD558" i="9"/>
  <c r="BD559" i="9"/>
  <c r="BD560" i="9"/>
  <c r="BD561" i="9"/>
  <c r="BD562" i="9"/>
  <c r="BD563" i="9"/>
  <c r="BD564" i="9"/>
  <c r="BD565" i="9"/>
  <c r="BD566" i="9"/>
  <c r="BD567" i="9"/>
  <c r="BD568" i="9"/>
  <c r="BD569" i="9"/>
  <c r="BD570" i="9"/>
  <c r="BD571" i="9"/>
  <c r="BD572" i="9"/>
  <c r="BD573" i="9"/>
  <c r="BD574" i="9"/>
  <c r="BD575" i="9"/>
  <c r="BD576" i="9"/>
  <c r="BD577" i="9"/>
  <c r="BD578" i="9"/>
  <c r="BD579" i="9"/>
  <c r="BD580" i="9"/>
  <c r="BD581" i="9"/>
  <c r="BD582" i="9"/>
  <c r="BD583" i="9"/>
  <c r="BD584" i="9"/>
  <c r="BD585" i="9"/>
  <c r="BD586" i="9"/>
  <c r="BD587" i="9"/>
  <c r="BD588" i="9"/>
  <c r="BD589" i="9"/>
  <c r="BD590" i="9"/>
  <c r="BD591" i="9"/>
  <c r="BD592" i="9"/>
  <c r="BD593" i="9"/>
  <c r="BD594" i="9"/>
  <c r="BD595" i="9"/>
  <c r="BD596" i="9"/>
  <c r="BD597" i="9"/>
  <c r="BD598" i="9"/>
  <c r="BD599" i="9"/>
  <c r="BD600" i="9"/>
  <c r="BD601" i="9"/>
  <c r="BD602" i="9"/>
  <c r="BD603" i="9"/>
  <c r="BD604" i="9"/>
  <c r="BD605" i="9"/>
  <c r="BD606" i="9"/>
  <c r="BD607" i="9"/>
  <c r="BD608" i="9"/>
  <c r="BD609" i="9"/>
  <c r="BD610" i="9"/>
  <c r="BD611" i="9"/>
  <c r="BD612" i="9"/>
  <c r="BD613" i="9"/>
  <c r="BD614" i="9"/>
  <c r="BD615" i="9"/>
  <c r="BD616" i="9"/>
  <c r="BD617" i="9"/>
  <c r="BD618" i="9"/>
  <c r="BD619" i="9"/>
  <c r="BD620" i="9"/>
  <c r="BD621" i="9"/>
  <c r="BD622" i="9"/>
  <c r="BD623" i="9"/>
  <c r="BD624" i="9"/>
  <c r="BD625" i="9"/>
  <c r="BD626" i="9"/>
  <c r="BD627" i="9"/>
  <c r="BD628" i="9"/>
  <c r="BD629" i="9"/>
  <c r="BD630" i="9"/>
  <c r="BD631" i="9"/>
  <c r="BD632" i="9"/>
  <c r="BD633" i="9"/>
  <c r="BD634" i="9"/>
  <c r="BD635" i="9"/>
  <c r="BD636" i="9"/>
  <c r="BD637" i="9"/>
  <c r="BD638" i="9"/>
  <c r="BD639" i="9"/>
  <c r="BD640" i="9"/>
  <c r="BD641" i="9"/>
  <c r="BD642" i="9"/>
  <c r="BD643" i="9"/>
  <c r="BD644" i="9"/>
  <c r="BD645" i="9"/>
  <c r="BD646" i="9"/>
  <c r="BD647" i="9"/>
  <c r="BD648" i="9"/>
  <c r="BD649" i="9"/>
  <c r="BD650" i="9"/>
  <c r="BD651" i="9"/>
  <c r="BD652" i="9"/>
  <c r="BD653" i="9"/>
  <c r="BD654" i="9"/>
  <c r="BD655" i="9"/>
  <c r="BD656" i="9"/>
  <c r="BD657" i="9"/>
  <c r="BD658" i="9"/>
  <c r="BD659" i="9"/>
  <c r="BD660" i="9"/>
  <c r="BD661" i="9"/>
  <c r="BD662" i="9"/>
  <c r="BD663" i="9"/>
  <c r="BD664" i="9"/>
  <c r="BD665" i="9"/>
  <c r="BD666" i="9"/>
  <c r="BD667" i="9"/>
  <c r="BD668" i="9"/>
  <c r="BD669" i="9"/>
  <c r="BD670" i="9"/>
  <c r="BD671" i="9"/>
  <c r="BD672" i="9"/>
  <c r="BD673" i="9"/>
  <c r="BD674" i="9"/>
  <c r="BD675" i="9"/>
  <c r="BD676" i="9"/>
  <c r="BD677" i="9"/>
  <c r="BD678" i="9"/>
  <c r="BD679" i="9"/>
  <c r="BD680" i="9"/>
  <c r="BD681" i="9"/>
  <c r="BD682" i="9"/>
  <c r="BD683" i="9"/>
  <c r="BD684" i="9"/>
  <c r="BD685" i="9"/>
  <c r="BD686" i="9"/>
  <c r="BD687" i="9"/>
  <c r="BD688" i="9"/>
  <c r="BD689" i="9"/>
  <c r="BD690" i="9"/>
  <c r="BD691" i="9"/>
  <c r="BD692" i="9"/>
  <c r="BD693" i="9"/>
  <c r="BD694" i="9"/>
  <c r="BD695" i="9"/>
  <c r="BD696" i="9"/>
  <c r="BD697" i="9"/>
  <c r="BD698" i="9"/>
  <c r="BD699" i="9"/>
  <c r="BD700" i="9"/>
  <c r="BD701" i="9"/>
  <c r="BD702" i="9"/>
  <c r="BD703" i="9"/>
  <c r="BD704" i="9"/>
  <c r="BD705" i="9"/>
  <c r="BD706" i="9"/>
  <c r="BD707" i="9"/>
  <c r="BD708" i="9"/>
  <c r="BD709" i="9"/>
  <c r="BD710" i="9"/>
  <c r="BD711" i="9"/>
  <c r="BD712" i="9"/>
  <c r="BD713" i="9"/>
  <c r="BD714" i="9"/>
  <c r="BD715" i="9"/>
  <c r="BD716" i="9"/>
  <c r="BD717" i="9"/>
  <c r="BD718" i="9"/>
  <c r="BD719" i="9"/>
  <c r="BD720" i="9"/>
  <c r="BD721" i="9"/>
  <c r="BD722" i="9"/>
  <c r="BD723" i="9"/>
  <c r="BD724" i="9"/>
  <c r="BD725" i="9"/>
  <c r="BD726" i="9"/>
  <c r="BD727" i="9"/>
  <c r="BD728" i="9"/>
  <c r="BD729" i="9"/>
  <c r="BD730" i="9"/>
  <c r="BD731" i="9"/>
  <c r="BD732" i="9"/>
  <c r="BD733" i="9"/>
  <c r="BD734" i="9"/>
  <c r="BD735" i="9"/>
  <c r="BD736" i="9"/>
  <c r="BD737" i="9"/>
  <c r="BD738" i="9"/>
  <c r="BD739" i="9"/>
  <c r="BD740" i="9"/>
  <c r="BD741" i="9"/>
  <c r="BD742" i="9"/>
  <c r="BD743" i="9"/>
  <c r="BD744" i="9"/>
  <c r="BD745" i="9"/>
  <c r="BD746" i="9"/>
  <c r="BD747" i="9"/>
  <c r="BD748" i="9"/>
  <c r="BD749" i="9"/>
  <c r="BD750" i="9"/>
  <c r="BD751" i="9"/>
  <c r="BD752" i="9"/>
  <c r="BD753" i="9"/>
  <c r="BD754" i="9"/>
  <c r="BD755" i="9"/>
  <c r="BD756" i="9"/>
  <c r="BD757" i="9"/>
  <c r="BD758" i="9"/>
  <c r="BD759" i="9"/>
  <c r="BD760" i="9"/>
  <c r="BD761" i="9"/>
  <c r="BD762" i="9"/>
  <c r="BD763" i="9"/>
  <c r="BD764" i="9"/>
  <c r="BD765" i="9"/>
  <c r="BD766" i="9"/>
  <c r="BD767" i="9"/>
  <c r="BD768" i="9"/>
  <c r="BD769" i="9"/>
  <c r="BD770" i="9"/>
  <c r="BD771" i="9"/>
  <c r="BD772" i="9"/>
  <c r="BD773" i="9"/>
  <c r="BD774" i="9"/>
  <c r="BD775" i="9"/>
  <c r="BD776" i="9"/>
  <c r="BD777" i="9"/>
  <c r="BD778" i="9"/>
  <c r="BD779" i="9"/>
  <c r="BD780" i="9"/>
  <c r="BD781" i="9"/>
  <c r="BD782" i="9"/>
  <c r="BD783" i="9"/>
  <c r="BD784" i="9"/>
  <c r="BD785" i="9"/>
  <c r="BD786" i="9"/>
  <c r="BD787" i="9"/>
  <c r="BD788" i="9"/>
  <c r="BD789" i="9"/>
  <c r="BD790" i="9"/>
  <c r="BD791" i="9"/>
  <c r="BD792" i="9"/>
  <c r="BD793" i="9"/>
  <c r="BD794" i="9"/>
  <c r="BD795" i="9"/>
  <c r="BD796" i="9"/>
  <c r="BD797" i="9"/>
  <c r="BD798" i="9"/>
  <c r="BD799" i="9"/>
  <c r="BD800" i="9"/>
  <c r="BD801" i="9"/>
  <c r="BD802" i="9"/>
  <c r="BD803" i="9"/>
  <c r="BD804" i="9"/>
  <c r="BD805" i="9"/>
  <c r="BD806" i="9"/>
  <c r="BD807" i="9"/>
  <c r="BD808" i="9"/>
  <c r="BD809" i="9"/>
  <c r="BD810" i="9"/>
  <c r="BD811" i="9"/>
  <c r="BD812" i="9"/>
  <c r="BD813" i="9"/>
  <c r="BD814" i="9"/>
  <c r="BD815" i="9"/>
  <c r="BD816" i="9"/>
  <c r="BD817" i="9"/>
  <c r="BD818" i="9"/>
  <c r="BD819" i="9"/>
  <c r="BD820" i="9"/>
  <c r="BD821" i="9"/>
  <c r="BD822" i="9"/>
  <c r="BD823" i="9"/>
  <c r="BD824" i="9"/>
  <c r="BD825" i="9"/>
  <c r="BD826" i="9"/>
  <c r="BD827" i="9"/>
  <c r="BD828" i="9"/>
  <c r="BD829" i="9"/>
  <c r="BD830" i="9"/>
  <c r="BD831" i="9"/>
  <c r="BD832" i="9"/>
  <c r="BD833" i="9"/>
  <c r="BD834" i="9"/>
  <c r="BD835" i="9"/>
  <c r="BD836" i="9"/>
  <c r="BD837" i="9"/>
  <c r="BD838" i="9"/>
  <c r="BD839" i="9"/>
  <c r="BD840" i="9"/>
  <c r="BD841" i="9"/>
  <c r="BD842" i="9"/>
  <c r="BD843" i="9"/>
  <c r="BD844" i="9"/>
  <c r="BD845" i="9"/>
  <c r="BD846" i="9"/>
  <c r="BD847" i="9"/>
  <c r="BD848" i="9"/>
  <c r="BD849" i="9"/>
  <c r="BD850" i="9"/>
  <c r="BD851" i="9"/>
  <c r="BD852" i="9"/>
  <c r="BD853" i="9"/>
  <c r="BD854" i="9"/>
  <c r="BD855" i="9"/>
  <c r="BD856" i="9"/>
  <c r="BD857" i="9"/>
  <c r="BD858" i="9"/>
  <c r="BD859" i="9"/>
  <c r="BD860" i="9"/>
  <c r="BD861" i="9"/>
  <c r="BD862" i="9"/>
  <c r="BD863" i="9"/>
  <c r="BD864" i="9"/>
  <c r="BD865" i="9"/>
  <c r="BD866" i="9"/>
  <c r="BD867" i="9"/>
  <c r="BD868" i="9"/>
  <c r="BD869" i="9"/>
  <c r="BD870" i="9"/>
  <c r="BD871" i="9"/>
  <c r="BD872" i="9"/>
  <c r="BD873" i="9"/>
  <c r="BD874" i="9"/>
  <c r="BD875" i="9"/>
  <c r="BD876" i="9"/>
  <c r="BD877" i="9"/>
  <c r="BD878" i="9"/>
  <c r="BD879" i="9"/>
  <c r="BD880" i="9"/>
  <c r="BD881" i="9"/>
  <c r="BD882" i="9"/>
  <c r="BD883" i="9"/>
  <c r="BD884" i="9"/>
  <c r="BD885" i="9"/>
  <c r="BD886" i="9"/>
  <c r="BD887" i="9"/>
  <c r="BD888" i="9"/>
  <c r="BD889" i="9"/>
  <c r="BD890" i="9"/>
  <c r="BD891" i="9"/>
  <c r="BD892" i="9"/>
  <c r="BD893" i="9"/>
  <c r="BD894" i="9"/>
  <c r="BD895" i="9"/>
  <c r="BD896" i="9"/>
  <c r="BD897" i="9"/>
  <c r="BD898" i="9"/>
  <c r="BD899" i="9"/>
  <c r="BD900" i="9"/>
  <c r="BD901" i="9"/>
  <c r="BD902" i="9"/>
  <c r="BD903" i="9"/>
  <c r="BD904" i="9"/>
  <c r="BD905" i="9"/>
  <c r="BD906" i="9"/>
  <c r="BD907" i="9"/>
  <c r="BD908" i="9"/>
  <c r="BD909" i="9"/>
  <c r="BD910" i="9"/>
  <c r="BD911" i="9"/>
  <c r="BD912" i="9"/>
  <c r="BD913" i="9"/>
  <c r="BD914" i="9"/>
  <c r="BD915" i="9"/>
  <c r="BD916" i="9"/>
  <c r="BD917" i="9"/>
  <c r="BD918" i="9"/>
  <c r="BD919" i="9"/>
  <c r="BD920" i="9"/>
  <c r="BD921" i="9"/>
  <c r="BD922" i="9"/>
  <c r="BD923" i="9"/>
  <c r="BD924" i="9"/>
  <c r="BD925" i="9"/>
  <c r="BD926" i="9"/>
  <c r="BD927" i="9"/>
  <c r="BD928" i="9"/>
  <c r="BD929" i="9"/>
  <c r="BD930" i="9"/>
  <c r="BD931" i="9"/>
  <c r="BD932" i="9"/>
  <c r="BD933" i="9"/>
  <c r="BD934" i="9"/>
  <c r="BD935" i="9"/>
  <c r="BD936" i="9"/>
  <c r="BD937" i="9"/>
  <c r="BD938" i="9"/>
  <c r="BD939" i="9"/>
  <c r="BD940" i="9"/>
  <c r="BD941" i="9"/>
  <c r="BD942" i="9"/>
  <c r="BD943" i="9"/>
  <c r="BD944" i="9"/>
  <c r="BD945" i="9"/>
  <c r="BD946" i="9"/>
  <c r="BD947" i="9"/>
  <c r="BD948" i="9"/>
  <c r="BD949" i="9"/>
  <c r="BD950" i="9"/>
  <c r="BD951" i="9"/>
  <c r="BD952" i="9"/>
  <c r="BD953" i="9"/>
  <c r="BD954" i="9"/>
  <c r="BD955" i="9"/>
  <c r="BD956" i="9"/>
  <c r="BD957" i="9"/>
  <c r="BD958" i="9"/>
  <c r="BD959" i="9"/>
  <c r="BD960" i="9"/>
  <c r="BD961" i="9"/>
  <c r="BD962" i="9"/>
  <c r="BD963" i="9"/>
  <c r="BD964" i="9"/>
  <c r="BD965" i="9"/>
  <c r="BD966" i="9"/>
  <c r="BD967" i="9"/>
  <c r="BD968" i="9"/>
  <c r="BD969" i="9"/>
  <c r="BD970" i="9"/>
  <c r="BD971" i="9"/>
  <c r="BD972" i="9"/>
  <c r="BD973" i="9"/>
  <c r="BD974" i="9"/>
  <c r="BD975" i="9"/>
  <c r="BD976" i="9"/>
  <c r="BD977" i="9"/>
  <c r="BE190" i="9"/>
  <c r="BE191" i="9"/>
  <c r="BE192" i="9"/>
  <c r="BE193" i="9"/>
  <c r="BE194" i="9"/>
  <c r="BE195" i="9"/>
  <c r="BE196" i="9"/>
  <c r="BE197" i="9"/>
  <c r="BE198" i="9"/>
  <c r="BE199" i="9"/>
  <c r="BE200" i="9"/>
  <c r="BE201" i="9"/>
  <c r="BE202" i="9"/>
  <c r="BE203" i="9"/>
  <c r="BE204" i="9"/>
  <c r="BE205" i="9"/>
  <c r="BE206" i="9"/>
  <c r="BE207" i="9"/>
  <c r="BE208" i="9"/>
  <c r="BE209" i="9"/>
  <c r="BE210" i="9"/>
  <c r="BE211" i="9"/>
  <c r="BE212" i="9"/>
  <c r="BE213" i="9"/>
  <c r="BE214" i="9"/>
  <c r="BE215" i="9"/>
  <c r="BE216" i="9"/>
  <c r="BE217" i="9"/>
  <c r="BE218" i="9"/>
  <c r="BE219" i="9"/>
  <c r="BE220" i="9"/>
  <c r="BE221" i="9"/>
  <c r="BE222" i="9"/>
  <c r="BE223" i="9"/>
  <c r="BE224" i="9"/>
  <c r="BE225" i="9"/>
  <c r="BE226" i="9"/>
  <c r="BE227" i="9"/>
  <c r="BE228" i="9"/>
  <c r="BE229" i="9"/>
  <c r="BE230" i="9"/>
  <c r="BE231" i="9"/>
  <c r="BE232" i="9"/>
  <c r="BE233" i="9"/>
  <c r="BE234" i="9"/>
  <c r="BE235" i="9"/>
  <c r="BE236" i="9"/>
  <c r="BE237" i="9"/>
  <c r="BE238" i="9"/>
  <c r="BE239" i="9"/>
  <c r="BE240" i="9"/>
  <c r="BE241" i="9"/>
  <c r="BE242" i="9"/>
  <c r="BE243" i="9"/>
  <c r="BE244" i="9"/>
  <c r="BE245" i="9"/>
  <c r="BE246" i="9"/>
  <c r="BE247" i="9"/>
  <c r="BE248" i="9"/>
  <c r="BE249" i="9"/>
  <c r="BE250" i="9"/>
  <c r="BE251" i="9"/>
  <c r="BE252" i="9"/>
  <c r="BE253" i="9"/>
  <c r="BE254" i="9"/>
  <c r="BE255" i="9"/>
  <c r="BE256" i="9"/>
  <c r="BE257" i="9"/>
  <c r="BE258" i="9"/>
  <c r="BE259" i="9"/>
  <c r="BE260" i="9"/>
  <c r="BE261" i="9"/>
  <c r="BE262" i="9"/>
  <c r="BE263" i="9"/>
  <c r="BE264" i="9"/>
  <c r="BE265" i="9"/>
  <c r="BE266" i="9"/>
  <c r="BE267" i="9"/>
  <c r="BE268" i="9"/>
  <c r="BE269" i="9"/>
  <c r="BE270" i="9"/>
  <c r="BE271" i="9"/>
  <c r="BE272" i="9"/>
  <c r="BE273" i="9"/>
  <c r="BE274" i="9"/>
  <c r="BE275" i="9"/>
  <c r="BE276" i="9"/>
  <c r="BE277" i="9"/>
  <c r="BE278" i="9"/>
  <c r="BE279" i="9"/>
  <c r="BE280" i="9"/>
  <c r="BE281" i="9"/>
  <c r="BE282" i="9"/>
  <c r="BE283" i="9"/>
  <c r="BE284" i="9"/>
  <c r="BE285" i="9"/>
  <c r="BE286" i="9"/>
  <c r="BE287" i="9"/>
  <c r="BE288" i="9"/>
  <c r="BE289" i="9"/>
  <c r="BE290" i="9"/>
  <c r="BE291" i="9"/>
  <c r="BE292" i="9"/>
  <c r="BE293" i="9"/>
  <c r="BE294" i="9"/>
  <c r="BE295" i="9"/>
  <c r="BE296" i="9"/>
  <c r="BE297" i="9"/>
  <c r="BE298" i="9"/>
  <c r="BE299" i="9"/>
  <c r="BE300" i="9"/>
  <c r="BE301" i="9"/>
  <c r="BE302" i="9"/>
  <c r="BE303" i="9"/>
  <c r="BE304" i="9"/>
  <c r="BE305" i="9"/>
  <c r="BE306" i="9"/>
  <c r="BE307" i="9"/>
  <c r="BE308" i="9"/>
  <c r="BE309" i="9"/>
  <c r="BE310" i="9"/>
  <c r="BE311" i="9"/>
  <c r="BE312" i="9"/>
  <c r="BE313" i="9"/>
  <c r="BE314" i="9"/>
  <c r="BE315" i="9"/>
  <c r="BE316" i="9"/>
  <c r="BE317" i="9"/>
  <c r="BE318" i="9"/>
  <c r="BE319" i="9"/>
  <c r="BE320" i="9"/>
  <c r="BE321" i="9"/>
  <c r="BE322" i="9"/>
  <c r="BE323" i="9"/>
  <c r="BE324" i="9"/>
  <c r="BE325" i="9"/>
  <c r="BE326" i="9"/>
  <c r="BE327" i="9"/>
  <c r="BE328" i="9"/>
  <c r="BE329" i="9"/>
  <c r="BE330" i="9"/>
  <c r="BE331" i="9"/>
  <c r="BE332" i="9"/>
  <c r="BE333" i="9"/>
  <c r="BE334" i="9"/>
  <c r="BE335" i="9"/>
  <c r="BE336" i="9"/>
  <c r="BE337" i="9"/>
  <c r="BE338" i="9"/>
  <c r="BE339" i="9"/>
  <c r="BE340" i="9"/>
  <c r="BE341" i="9"/>
  <c r="BE342" i="9"/>
  <c r="BE343" i="9"/>
  <c r="BE344" i="9"/>
  <c r="BE345" i="9"/>
  <c r="BE346" i="9"/>
  <c r="BE347" i="9"/>
  <c r="BE348" i="9"/>
  <c r="BE349" i="9"/>
  <c r="BE350" i="9"/>
  <c r="BE351" i="9"/>
  <c r="BE352" i="9"/>
  <c r="BE353" i="9"/>
  <c r="BE354" i="9"/>
  <c r="BE355" i="9"/>
  <c r="BE356" i="9"/>
  <c r="BE357" i="9"/>
  <c r="BE358" i="9"/>
  <c r="BE359" i="9"/>
  <c r="BE360" i="9"/>
  <c r="BE361" i="9"/>
  <c r="BE362" i="9"/>
  <c r="BE363" i="9"/>
  <c r="BE364" i="9"/>
  <c r="BE365" i="9"/>
  <c r="BE366" i="9"/>
  <c r="BE367" i="9"/>
  <c r="BE368" i="9"/>
  <c r="BE369" i="9"/>
  <c r="BE370" i="9"/>
  <c r="BE371" i="9"/>
  <c r="BE372" i="9"/>
  <c r="BE373" i="9"/>
  <c r="BE374" i="9"/>
  <c r="BE375" i="9"/>
  <c r="BE376" i="9"/>
  <c r="BE377" i="9"/>
  <c r="BE378" i="9"/>
  <c r="BE379" i="9"/>
  <c r="BE380" i="9"/>
  <c r="BE381" i="9"/>
  <c r="BE382" i="9"/>
  <c r="BE383" i="9"/>
  <c r="BE384" i="9"/>
  <c r="BE385" i="9"/>
  <c r="BE386" i="9"/>
  <c r="BE387" i="9"/>
  <c r="BE388" i="9"/>
  <c r="BE389" i="9"/>
  <c r="BE390" i="9"/>
  <c r="BE391" i="9"/>
  <c r="BE392" i="9"/>
  <c r="BE393" i="9"/>
  <c r="BE394" i="9"/>
  <c r="BE395" i="9"/>
  <c r="BE396" i="9"/>
  <c r="BE397" i="9"/>
  <c r="BE398" i="9"/>
  <c r="BE399" i="9"/>
  <c r="BE400" i="9"/>
  <c r="BE401" i="9"/>
  <c r="BE402" i="9"/>
  <c r="BE403" i="9"/>
  <c r="BE404" i="9"/>
  <c r="BE405" i="9"/>
  <c r="BE406" i="9"/>
  <c r="BE407" i="9"/>
  <c r="BE408" i="9"/>
  <c r="BE409" i="9"/>
  <c r="BE410" i="9"/>
  <c r="BE411" i="9"/>
  <c r="BE412" i="9"/>
  <c r="BE413" i="9"/>
  <c r="BE414" i="9"/>
  <c r="BE415" i="9"/>
  <c r="BE416" i="9"/>
  <c r="BE417" i="9"/>
  <c r="BE418" i="9"/>
  <c r="BE419" i="9"/>
  <c r="BE420" i="9"/>
  <c r="BE421" i="9"/>
  <c r="BE422" i="9"/>
  <c r="BE423" i="9"/>
  <c r="BE424" i="9"/>
  <c r="BE425" i="9"/>
  <c r="BE426" i="9"/>
  <c r="BE427" i="9"/>
  <c r="BE428" i="9"/>
  <c r="BE429" i="9"/>
  <c r="BE430" i="9"/>
  <c r="BE431" i="9"/>
  <c r="BE432" i="9"/>
  <c r="BE433" i="9"/>
  <c r="BE434" i="9"/>
  <c r="BE435" i="9"/>
  <c r="BE436" i="9"/>
  <c r="BE437" i="9"/>
  <c r="BE438" i="9"/>
  <c r="BE439" i="9"/>
  <c r="BE440" i="9"/>
  <c r="BE441" i="9"/>
  <c r="BE442" i="9"/>
  <c r="BE443" i="9"/>
  <c r="BE444" i="9"/>
  <c r="BE445" i="9"/>
  <c r="BE446" i="9"/>
  <c r="BE447" i="9"/>
  <c r="BE448" i="9"/>
  <c r="BE449" i="9"/>
  <c r="BE450" i="9"/>
  <c r="BE451" i="9"/>
  <c r="BE452" i="9"/>
  <c r="BE453" i="9"/>
  <c r="BE454" i="9"/>
  <c r="BE455" i="9"/>
  <c r="BE456" i="9"/>
  <c r="BE457" i="9"/>
  <c r="BE458" i="9"/>
  <c r="BE459" i="9"/>
  <c r="BE460" i="9"/>
  <c r="BE461" i="9"/>
  <c r="BE462" i="9"/>
  <c r="BE463" i="9"/>
  <c r="BE464" i="9"/>
  <c r="BE465" i="9"/>
  <c r="BE466" i="9"/>
  <c r="BE467" i="9"/>
  <c r="BE468" i="9"/>
  <c r="BE469" i="9"/>
  <c r="BE470" i="9"/>
  <c r="BE471" i="9"/>
  <c r="BE472" i="9"/>
  <c r="BE473" i="9"/>
  <c r="BE474" i="9"/>
  <c r="BE475" i="9"/>
  <c r="BE476" i="9"/>
  <c r="BE477" i="9"/>
  <c r="BE478" i="9"/>
  <c r="BE479" i="9"/>
  <c r="BE480" i="9"/>
  <c r="BE481" i="9"/>
  <c r="BE482" i="9"/>
  <c r="BE483" i="9"/>
  <c r="BE484" i="9"/>
  <c r="BE485" i="9"/>
  <c r="BE486" i="9"/>
  <c r="BE487" i="9"/>
  <c r="BE488" i="9"/>
  <c r="BE489" i="9"/>
  <c r="BE490" i="9"/>
  <c r="BE491" i="9"/>
  <c r="BE492" i="9"/>
  <c r="BE493" i="9"/>
  <c r="BE494" i="9"/>
  <c r="BE495" i="9"/>
  <c r="BE496" i="9"/>
  <c r="BE497" i="9"/>
  <c r="BE498" i="9"/>
  <c r="BE499" i="9"/>
  <c r="BE500" i="9"/>
  <c r="BE501" i="9"/>
  <c r="BE502" i="9"/>
  <c r="BE503" i="9"/>
  <c r="BE504" i="9"/>
  <c r="BE505" i="9"/>
  <c r="BE506" i="9"/>
  <c r="BE507" i="9"/>
  <c r="BE508" i="9"/>
  <c r="BE509" i="9"/>
  <c r="BE510" i="9"/>
  <c r="BE511" i="9"/>
  <c r="BE512" i="9"/>
  <c r="BE513" i="9"/>
  <c r="BE514" i="9"/>
  <c r="BE515" i="9"/>
  <c r="BE516" i="9"/>
  <c r="BE517" i="9"/>
  <c r="BE518" i="9"/>
  <c r="BE519" i="9"/>
  <c r="BE520" i="9"/>
  <c r="BE521" i="9"/>
  <c r="BE522" i="9"/>
  <c r="BE523" i="9"/>
  <c r="BE524" i="9"/>
  <c r="BE525" i="9"/>
  <c r="BE526" i="9"/>
  <c r="BE527" i="9"/>
  <c r="BE528" i="9"/>
  <c r="BE529" i="9"/>
  <c r="BE530" i="9"/>
  <c r="BE531" i="9"/>
  <c r="BE532" i="9"/>
  <c r="BE533" i="9"/>
  <c r="BE534" i="9"/>
  <c r="BE535" i="9"/>
  <c r="BE536" i="9"/>
  <c r="BE537" i="9"/>
  <c r="BE538" i="9"/>
  <c r="BE539" i="9"/>
  <c r="BE540" i="9"/>
  <c r="BE541" i="9"/>
  <c r="BE542" i="9"/>
  <c r="BE543" i="9"/>
  <c r="BE544" i="9"/>
  <c r="BE545" i="9"/>
  <c r="BE546" i="9"/>
  <c r="BE547" i="9"/>
  <c r="BE548" i="9"/>
  <c r="BE549" i="9"/>
  <c r="BE550" i="9"/>
  <c r="BE551" i="9"/>
  <c r="BE552" i="9"/>
  <c r="BE553" i="9"/>
  <c r="BE554" i="9"/>
  <c r="BE555" i="9"/>
  <c r="BE556" i="9"/>
  <c r="BE557" i="9"/>
  <c r="BE558" i="9"/>
  <c r="BE559" i="9"/>
  <c r="BE560" i="9"/>
  <c r="BE561" i="9"/>
  <c r="BE562" i="9"/>
  <c r="BE563" i="9"/>
  <c r="BE564" i="9"/>
  <c r="BE565" i="9"/>
  <c r="BE566" i="9"/>
  <c r="BE567" i="9"/>
  <c r="BE568" i="9"/>
  <c r="BE569" i="9"/>
  <c r="BE570" i="9"/>
  <c r="BE571" i="9"/>
  <c r="BE572" i="9"/>
  <c r="BE573" i="9"/>
  <c r="BE574" i="9"/>
  <c r="BE575" i="9"/>
  <c r="BE576" i="9"/>
  <c r="BE577" i="9"/>
  <c r="BE578" i="9"/>
  <c r="BE579" i="9"/>
  <c r="BE580" i="9"/>
  <c r="BE581" i="9"/>
  <c r="BE582" i="9"/>
  <c r="BE583" i="9"/>
  <c r="BE584" i="9"/>
  <c r="BE585" i="9"/>
  <c r="BE586" i="9"/>
  <c r="BE587" i="9"/>
  <c r="BE588" i="9"/>
  <c r="BE589" i="9"/>
  <c r="BE590" i="9"/>
  <c r="BE591" i="9"/>
  <c r="BE592" i="9"/>
  <c r="BE593" i="9"/>
  <c r="BE594" i="9"/>
  <c r="BE595" i="9"/>
  <c r="BE596" i="9"/>
  <c r="BE597" i="9"/>
  <c r="BE598" i="9"/>
  <c r="BE599" i="9"/>
  <c r="BE600" i="9"/>
  <c r="BE601" i="9"/>
  <c r="BE602" i="9"/>
  <c r="BE603" i="9"/>
  <c r="BE604" i="9"/>
  <c r="BE605" i="9"/>
  <c r="BE606" i="9"/>
  <c r="BE607" i="9"/>
  <c r="BE608" i="9"/>
  <c r="BE609" i="9"/>
  <c r="BE610" i="9"/>
  <c r="BE611" i="9"/>
  <c r="BE612" i="9"/>
  <c r="BE613" i="9"/>
  <c r="BE614" i="9"/>
  <c r="BE615" i="9"/>
  <c r="BE616" i="9"/>
  <c r="BE617" i="9"/>
  <c r="BE618" i="9"/>
  <c r="BE619" i="9"/>
  <c r="BE620" i="9"/>
  <c r="BE621" i="9"/>
  <c r="BE622" i="9"/>
  <c r="BE623" i="9"/>
  <c r="BE624" i="9"/>
  <c r="BE625" i="9"/>
  <c r="BE626" i="9"/>
  <c r="BE627" i="9"/>
  <c r="BE628" i="9"/>
  <c r="BE629" i="9"/>
  <c r="BE630" i="9"/>
  <c r="BE631" i="9"/>
  <c r="BE632" i="9"/>
  <c r="BE633" i="9"/>
  <c r="BE634" i="9"/>
  <c r="BE635" i="9"/>
  <c r="BE636" i="9"/>
  <c r="BE637" i="9"/>
  <c r="BE638" i="9"/>
  <c r="BE639" i="9"/>
  <c r="BE640" i="9"/>
  <c r="BE641" i="9"/>
  <c r="BE642" i="9"/>
  <c r="BE643" i="9"/>
  <c r="BE644" i="9"/>
  <c r="BE645" i="9"/>
  <c r="BE646" i="9"/>
  <c r="BE647" i="9"/>
  <c r="BE648" i="9"/>
  <c r="BE649" i="9"/>
  <c r="BE650" i="9"/>
  <c r="BE651" i="9"/>
  <c r="BE652" i="9"/>
  <c r="BE653" i="9"/>
  <c r="BE654" i="9"/>
  <c r="BE655" i="9"/>
  <c r="BE656" i="9"/>
  <c r="BE657" i="9"/>
  <c r="BE658" i="9"/>
  <c r="BE659" i="9"/>
  <c r="BE660" i="9"/>
  <c r="BE661" i="9"/>
  <c r="BE662" i="9"/>
  <c r="BE663" i="9"/>
  <c r="BE664" i="9"/>
  <c r="BE665" i="9"/>
  <c r="BE666" i="9"/>
  <c r="BE667" i="9"/>
  <c r="BE668" i="9"/>
  <c r="BE669" i="9"/>
  <c r="BE670" i="9"/>
  <c r="BE671" i="9"/>
  <c r="BE672" i="9"/>
  <c r="BE673" i="9"/>
  <c r="BE674" i="9"/>
  <c r="BE675" i="9"/>
  <c r="BE676" i="9"/>
  <c r="BE677" i="9"/>
  <c r="BE678" i="9"/>
  <c r="BE679" i="9"/>
  <c r="BE680" i="9"/>
  <c r="BE681" i="9"/>
  <c r="BE682" i="9"/>
  <c r="BE683" i="9"/>
  <c r="BE684" i="9"/>
  <c r="BE685" i="9"/>
  <c r="BE686" i="9"/>
  <c r="BE687" i="9"/>
  <c r="BE688" i="9"/>
  <c r="BE689" i="9"/>
  <c r="BE690" i="9"/>
  <c r="BE691" i="9"/>
  <c r="BE692" i="9"/>
  <c r="BE693" i="9"/>
  <c r="BE694" i="9"/>
  <c r="BE695" i="9"/>
  <c r="BE696" i="9"/>
  <c r="BE697" i="9"/>
  <c r="BE698" i="9"/>
  <c r="BE699" i="9"/>
  <c r="BE700" i="9"/>
  <c r="BE701" i="9"/>
  <c r="BE702" i="9"/>
  <c r="BE703" i="9"/>
  <c r="BE704" i="9"/>
  <c r="BE705" i="9"/>
  <c r="BE706" i="9"/>
  <c r="BE707" i="9"/>
  <c r="BE708" i="9"/>
  <c r="BE709" i="9"/>
  <c r="BE710" i="9"/>
  <c r="BE711" i="9"/>
  <c r="BE712" i="9"/>
  <c r="BE713" i="9"/>
  <c r="BE714" i="9"/>
  <c r="BE715" i="9"/>
  <c r="BE716" i="9"/>
  <c r="BE717" i="9"/>
  <c r="BE718" i="9"/>
  <c r="BE719" i="9"/>
  <c r="BE720" i="9"/>
  <c r="BE721" i="9"/>
  <c r="BE722" i="9"/>
  <c r="BE723" i="9"/>
  <c r="BE724" i="9"/>
  <c r="BE725" i="9"/>
  <c r="BE726" i="9"/>
  <c r="BE727" i="9"/>
  <c r="BE728" i="9"/>
  <c r="BE729" i="9"/>
  <c r="BE730" i="9"/>
  <c r="BE731" i="9"/>
  <c r="BE732" i="9"/>
  <c r="BE733" i="9"/>
  <c r="BE734" i="9"/>
  <c r="BE735" i="9"/>
  <c r="BE736" i="9"/>
  <c r="BE737" i="9"/>
  <c r="BE738" i="9"/>
  <c r="BE739" i="9"/>
  <c r="BE740" i="9"/>
  <c r="BE741" i="9"/>
  <c r="BE742" i="9"/>
  <c r="BE743" i="9"/>
  <c r="BE744" i="9"/>
  <c r="BE745" i="9"/>
  <c r="BE746" i="9"/>
  <c r="BE747" i="9"/>
  <c r="BE748" i="9"/>
  <c r="BE749" i="9"/>
  <c r="BE750" i="9"/>
  <c r="BE751" i="9"/>
  <c r="BE752" i="9"/>
  <c r="BE753" i="9"/>
  <c r="BE754" i="9"/>
  <c r="BE755" i="9"/>
  <c r="BE756" i="9"/>
  <c r="BE757" i="9"/>
  <c r="BE758" i="9"/>
  <c r="BE759" i="9"/>
  <c r="BE760" i="9"/>
  <c r="BE761" i="9"/>
  <c r="BE762" i="9"/>
  <c r="BE763" i="9"/>
  <c r="BE764" i="9"/>
  <c r="BE765" i="9"/>
  <c r="BE766" i="9"/>
  <c r="BE767" i="9"/>
  <c r="BE768" i="9"/>
  <c r="BE769" i="9"/>
  <c r="BE770" i="9"/>
  <c r="BE771" i="9"/>
  <c r="BE772" i="9"/>
  <c r="BE773" i="9"/>
  <c r="BE774" i="9"/>
  <c r="BE775" i="9"/>
  <c r="BE776" i="9"/>
  <c r="BE777" i="9"/>
  <c r="BE778" i="9"/>
  <c r="BE779" i="9"/>
  <c r="BE780" i="9"/>
  <c r="BE781" i="9"/>
  <c r="BE782" i="9"/>
  <c r="BE783" i="9"/>
  <c r="BE784" i="9"/>
  <c r="BE785" i="9"/>
  <c r="BE786" i="9"/>
  <c r="BE787" i="9"/>
  <c r="BE788" i="9"/>
  <c r="BE789" i="9"/>
  <c r="BE790" i="9"/>
  <c r="BE791" i="9"/>
  <c r="BE792" i="9"/>
  <c r="BE793" i="9"/>
  <c r="BE794" i="9"/>
  <c r="BE795" i="9"/>
  <c r="BE796" i="9"/>
  <c r="BE797" i="9"/>
  <c r="BE798" i="9"/>
  <c r="BE799" i="9"/>
  <c r="BE800" i="9"/>
  <c r="BE801" i="9"/>
  <c r="BE802" i="9"/>
  <c r="BE803" i="9"/>
  <c r="BE804" i="9"/>
  <c r="BE805" i="9"/>
  <c r="BE806" i="9"/>
  <c r="BE807" i="9"/>
  <c r="BE808" i="9"/>
  <c r="BE809" i="9"/>
  <c r="BE810" i="9"/>
  <c r="BE811" i="9"/>
  <c r="BE812" i="9"/>
  <c r="BE813" i="9"/>
  <c r="BE814" i="9"/>
  <c r="BE815" i="9"/>
  <c r="BE816" i="9"/>
  <c r="BE817" i="9"/>
  <c r="BE818" i="9"/>
  <c r="BE819" i="9"/>
  <c r="BE820" i="9"/>
  <c r="BE821" i="9"/>
  <c r="BE822" i="9"/>
  <c r="BE823" i="9"/>
  <c r="BE824" i="9"/>
  <c r="BE825" i="9"/>
  <c r="BE826" i="9"/>
  <c r="BE827" i="9"/>
  <c r="BE828" i="9"/>
  <c r="BE829" i="9"/>
  <c r="BE830" i="9"/>
  <c r="BE831" i="9"/>
  <c r="BE832" i="9"/>
  <c r="BE833" i="9"/>
  <c r="BE834" i="9"/>
  <c r="BE835" i="9"/>
  <c r="BE836" i="9"/>
  <c r="BE837" i="9"/>
  <c r="BE838" i="9"/>
  <c r="BE839" i="9"/>
  <c r="BE840" i="9"/>
  <c r="BE841" i="9"/>
  <c r="BE842" i="9"/>
  <c r="BE843" i="9"/>
  <c r="BE844" i="9"/>
  <c r="BE845" i="9"/>
  <c r="BE846" i="9"/>
  <c r="BE847" i="9"/>
  <c r="BE848" i="9"/>
  <c r="BE849" i="9"/>
  <c r="BE850" i="9"/>
  <c r="BE851" i="9"/>
  <c r="BE852" i="9"/>
  <c r="BE853" i="9"/>
  <c r="BE854" i="9"/>
  <c r="BE855" i="9"/>
  <c r="BE856" i="9"/>
  <c r="BE857" i="9"/>
  <c r="BE858" i="9"/>
  <c r="BE859" i="9"/>
  <c r="BE860" i="9"/>
  <c r="BE861" i="9"/>
  <c r="BE862" i="9"/>
  <c r="BE863" i="9"/>
  <c r="BE864" i="9"/>
  <c r="BE865" i="9"/>
  <c r="BE866" i="9"/>
  <c r="BE867" i="9"/>
  <c r="BE868" i="9"/>
  <c r="BE869" i="9"/>
  <c r="BE870" i="9"/>
  <c r="BE871" i="9"/>
  <c r="BE872" i="9"/>
  <c r="BE873" i="9"/>
  <c r="BE874" i="9"/>
  <c r="BE875" i="9"/>
  <c r="BE876" i="9"/>
  <c r="BE877" i="9"/>
  <c r="BE878" i="9"/>
  <c r="BE879" i="9"/>
  <c r="BE880" i="9"/>
  <c r="BE881" i="9"/>
  <c r="BE882" i="9"/>
  <c r="BE883" i="9"/>
  <c r="BE884" i="9"/>
  <c r="BE885" i="9"/>
  <c r="BE886" i="9"/>
  <c r="BE887" i="9"/>
  <c r="BE888" i="9"/>
  <c r="BE889" i="9"/>
  <c r="BE890" i="9"/>
  <c r="BE891" i="9"/>
  <c r="BE892" i="9"/>
  <c r="BE893" i="9"/>
  <c r="BE894" i="9"/>
  <c r="BE895" i="9"/>
  <c r="BE896" i="9"/>
  <c r="BE897" i="9"/>
  <c r="BE898" i="9"/>
  <c r="BE899" i="9"/>
  <c r="BE900" i="9"/>
  <c r="BE901" i="9"/>
  <c r="BE902" i="9"/>
  <c r="BE903" i="9"/>
  <c r="BE904" i="9"/>
  <c r="BE905" i="9"/>
  <c r="BE906" i="9"/>
  <c r="BE907" i="9"/>
  <c r="BE908" i="9"/>
  <c r="BE909" i="9"/>
  <c r="BE910" i="9"/>
  <c r="BE911" i="9"/>
  <c r="BE912" i="9"/>
  <c r="BE913" i="9"/>
  <c r="BE914" i="9"/>
  <c r="BE915" i="9"/>
  <c r="BE916" i="9"/>
  <c r="BE917" i="9"/>
  <c r="BE918" i="9"/>
  <c r="BE919" i="9"/>
  <c r="BE920" i="9"/>
  <c r="BE921" i="9"/>
  <c r="BE922" i="9"/>
  <c r="BE923" i="9"/>
  <c r="BE924" i="9"/>
  <c r="BE925" i="9"/>
  <c r="BE926" i="9"/>
  <c r="BE927" i="9"/>
  <c r="BE928" i="9"/>
  <c r="BE929" i="9"/>
  <c r="BE930" i="9"/>
  <c r="BE931" i="9"/>
  <c r="BE932" i="9"/>
  <c r="BE933" i="9"/>
  <c r="BE934" i="9"/>
  <c r="BE935" i="9"/>
  <c r="BE936" i="9"/>
  <c r="BE937" i="9"/>
  <c r="BE938" i="9"/>
  <c r="BE939" i="9"/>
  <c r="BE940" i="9"/>
  <c r="BE941" i="9"/>
  <c r="BE942" i="9"/>
  <c r="BE943" i="9"/>
  <c r="BE944" i="9"/>
  <c r="BE945" i="9"/>
  <c r="BE946" i="9"/>
  <c r="BE947" i="9"/>
  <c r="BE948" i="9"/>
  <c r="BE949" i="9"/>
  <c r="BE950" i="9"/>
  <c r="BE951" i="9"/>
  <c r="BE952" i="9"/>
  <c r="BE953" i="9"/>
  <c r="BE954" i="9"/>
  <c r="BE955" i="9"/>
  <c r="BE956" i="9"/>
  <c r="BE957" i="9"/>
  <c r="BE958" i="9"/>
  <c r="BE959" i="9"/>
  <c r="BE960" i="9"/>
  <c r="BE961" i="9"/>
  <c r="BE962" i="9"/>
  <c r="BE963" i="9"/>
  <c r="BE964" i="9"/>
  <c r="BE965" i="9"/>
  <c r="BE966" i="9"/>
  <c r="BE967" i="9"/>
  <c r="BE968" i="9"/>
  <c r="BE969" i="9"/>
  <c r="BE970" i="9"/>
  <c r="BE971" i="9"/>
  <c r="BE972" i="9"/>
  <c r="BE973" i="9"/>
  <c r="BE974" i="9"/>
  <c r="BE975" i="9"/>
  <c r="BE976" i="9"/>
  <c r="BE977" i="9"/>
  <c r="BF190" i="9" l="1"/>
  <c r="BF191" i="9"/>
  <c r="BF192" i="9"/>
  <c r="BF193" i="9"/>
  <c r="BF194" i="9"/>
  <c r="BF195" i="9"/>
  <c r="BF196" i="9"/>
  <c r="BF197" i="9"/>
  <c r="BF198" i="9"/>
  <c r="BF199" i="9"/>
  <c r="BF200" i="9"/>
  <c r="BF201" i="9"/>
  <c r="BF202" i="9"/>
  <c r="BF203" i="9"/>
  <c r="BF204" i="9"/>
  <c r="BF205" i="9"/>
  <c r="BF206" i="9"/>
  <c r="BF207" i="9"/>
  <c r="BF208" i="9"/>
  <c r="BF209" i="9"/>
  <c r="BF210" i="9"/>
  <c r="BF211" i="9"/>
  <c r="BF212" i="9"/>
  <c r="BF213" i="9"/>
  <c r="BF214" i="9"/>
  <c r="BF215" i="9"/>
  <c r="BF216" i="9"/>
  <c r="BF217" i="9"/>
  <c r="BF218" i="9"/>
  <c r="BF219" i="9"/>
  <c r="BF220" i="9"/>
  <c r="BF221" i="9"/>
  <c r="BF222" i="9"/>
  <c r="BF223" i="9"/>
  <c r="BF224" i="9"/>
  <c r="BF225" i="9"/>
  <c r="BF226" i="9"/>
  <c r="BF227" i="9"/>
  <c r="BF228" i="9"/>
  <c r="BF229" i="9"/>
  <c r="BF230" i="9"/>
  <c r="BF231" i="9"/>
  <c r="BF232" i="9"/>
  <c r="BF233" i="9"/>
  <c r="BF234" i="9"/>
  <c r="BF235" i="9"/>
  <c r="BF236" i="9"/>
  <c r="BF237" i="9"/>
  <c r="BF238" i="9"/>
  <c r="BF239" i="9"/>
  <c r="BF240" i="9"/>
  <c r="BF241" i="9"/>
  <c r="BF242" i="9"/>
  <c r="BF243" i="9"/>
  <c r="BF244" i="9"/>
  <c r="BF245" i="9"/>
  <c r="BF246" i="9"/>
  <c r="BF247" i="9"/>
  <c r="BF248" i="9"/>
  <c r="BF249" i="9"/>
  <c r="BF250" i="9"/>
  <c r="BF251" i="9"/>
  <c r="BF252" i="9"/>
  <c r="BF253" i="9"/>
  <c r="BF254" i="9"/>
  <c r="BF255" i="9"/>
  <c r="BF256" i="9"/>
  <c r="BF257" i="9"/>
  <c r="BF258" i="9"/>
  <c r="BF259" i="9"/>
  <c r="BF260" i="9"/>
  <c r="BF261" i="9"/>
  <c r="BF262" i="9"/>
  <c r="BF263" i="9"/>
  <c r="BF264" i="9"/>
  <c r="BF265" i="9"/>
  <c r="BF266" i="9"/>
  <c r="BF267" i="9"/>
  <c r="BF268" i="9"/>
  <c r="BF269" i="9"/>
  <c r="BF270" i="9"/>
  <c r="BF271" i="9"/>
  <c r="BF272" i="9"/>
  <c r="BF273" i="9"/>
  <c r="BF274" i="9"/>
  <c r="BF275" i="9"/>
  <c r="BF276" i="9"/>
  <c r="BF277" i="9"/>
  <c r="BF278" i="9"/>
  <c r="BF279" i="9"/>
  <c r="BF280" i="9"/>
  <c r="BF281" i="9"/>
  <c r="BF282" i="9"/>
  <c r="BF283" i="9"/>
  <c r="BF284" i="9"/>
  <c r="BF285" i="9"/>
  <c r="BF286" i="9"/>
  <c r="BF287" i="9"/>
  <c r="BF288" i="9"/>
  <c r="BF289" i="9"/>
  <c r="BF290" i="9"/>
  <c r="BF291" i="9"/>
  <c r="BF292" i="9"/>
  <c r="BF293" i="9"/>
  <c r="BF294" i="9"/>
  <c r="BF295" i="9"/>
  <c r="BF296" i="9"/>
  <c r="BF297" i="9"/>
  <c r="BF298" i="9"/>
  <c r="BF299" i="9"/>
  <c r="BF300" i="9"/>
  <c r="BF301" i="9"/>
  <c r="BF302" i="9"/>
  <c r="BF303" i="9"/>
  <c r="BF304" i="9"/>
  <c r="BF305" i="9"/>
  <c r="BF306" i="9"/>
  <c r="BF307" i="9"/>
  <c r="BF308" i="9"/>
  <c r="BF309" i="9"/>
  <c r="BF310" i="9"/>
  <c r="BF311" i="9"/>
  <c r="BF312" i="9"/>
  <c r="BF313" i="9"/>
  <c r="BF314" i="9"/>
  <c r="BF315" i="9"/>
  <c r="BF316" i="9"/>
  <c r="BF317" i="9"/>
  <c r="BF318" i="9"/>
  <c r="BF319" i="9"/>
  <c r="BF320" i="9"/>
  <c r="BF321" i="9"/>
  <c r="BF322" i="9"/>
  <c r="BF323" i="9"/>
  <c r="BF324" i="9"/>
  <c r="BF325" i="9"/>
  <c r="BF326" i="9"/>
  <c r="BF327" i="9"/>
  <c r="BF328" i="9"/>
  <c r="BF329" i="9"/>
  <c r="BF330" i="9"/>
  <c r="BF331" i="9"/>
  <c r="BF332" i="9"/>
  <c r="BF333" i="9"/>
  <c r="BF334" i="9"/>
  <c r="BF335" i="9"/>
  <c r="BF336" i="9"/>
  <c r="BF337" i="9"/>
  <c r="BF338" i="9"/>
  <c r="BF339" i="9"/>
  <c r="BF340" i="9"/>
  <c r="BF341" i="9"/>
  <c r="BF342" i="9"/>
  <c r="BF343" i="9"/>
  <c r="BF344" i="9"/>
  <c r="BF345" i="9"/>
  <c r="BF346" i="9"/>
  <c r="BF347" i="9"/>
  <c r="BF348" i="9"/>
  <c r="BF349" i="9"/>
  <c r="BF350" i="9"/>
  <c r="BF351" i="9"/>
  <c r="BF352" i="9"/>
  <c r="BF353" i="9"/>
  <c r="BF354" i="9"/>
  <c r="BF355" i="9"/>
  <c r="BF356" i="9"/>
  <c r="BF357" i="9"/>
  <c r="BF358" i="9"/>
  <c r="BF359" i="9"/>
  <c r="BF360" i="9"/>
  <c r="BF361" i="9"/>
  <c r="BF362" i="9"/>
  <c r="BF363" i="9"/>
  <c r="BF364" i="9"/>
  <c r="BF365" i="9"/>
  <c r="BF366" i="9"/>
  <c r="BF367" i="9"/>
  <c r="BF368" i="9"/>
  <c r="BF369" i="9"/>
  <c r="BF370" i="9"/>
  <c r="BF371" i="9"/>
  <c r="BF372" i="9"/>
  <c r="BF373" i="9"/>
  <c r="BF374" i="9"/>
  <c r="BF375" i="9"/>
  <c r="BF376" i="9"/>
  <c r="BF377" i="9"/>
  <c r="BF378" i="9"/>
  <c r="BF379" i="9"/>
  <c r="BF380" i="9"/>
  <c r="BF381" i="9"/>
  <c r="BF382" i="9"/>
  <c r="BF383" i="9"/>
  <c r="BF384" i="9"/>
  <c r="BF385" i="9"/>
  <c r="BF386" i="9"/>
  <c r="BF387" i="9"/>
  <c r="BF388" i="9"/>
  <c r="BF389" i="9"/>
  <c r="BF390" i="9"/>
  <c r="BF391" i="9"/>
  <c r="BF392" i="9"/>
  <c r="BF393" i="9"/>
  <c r="BF394" i="9"/>
  <c r="BF395" i="9"/>
  <c r="BF396" i="9"/>
  <c r="BF397" i="9"/>
  <c r="BF398" i="9"/>
  <c r="BF399" i="9"/>
  <c r="BF400" i="9"/>
  <c r="BF401" i="9"/>
  <c r="BF402" i="9"/>
  <c r="BF403" i="9"/>
  <c r="BF404" i="9"/>
  <c r="BF405" i="9"/>
  <c r="BF406" i="9"/>
  <c r="BF407" i="9"/>
  <c r="BF408" i="9"/>
  <c r="BF409" i="9"/>
  <c r="BF410" i="9"/>
  <c r="BF411" i="9"/>
  <c r="BF412" i="9"/>
  <c r="BF413" i="9"/>
  <c r="BF414" i="9"/>
  <c r="BF415" i="9"/>
  <c r="BF416" i="9"/>
  <c r="BF417" i="9"/>
  <c r="BF418" i="9"/>
  <c r="BF419" i="9"/>
  <c r="BF420" i="9"/>
  <c r="BF421" i="9"/>
  <c r="BF422" i="9"/>
  <c r="BF423" i="9"/>
  <c r="BF424" i="9"/>
  <c r="BF425" i="9"/>
  <c r="BF426" i="9"/>
  <c r="BF427" i="9"/>
  <c r="BF428" i="9"/>
  <c r="BF429" i="9"/>
  <c r="BF430" i="9"/>
  <c r="BF431" i="9"/>
  <c r="BF432" i="9"/>
  <c r="BF433" i="9"/>
  <c r="BF434" i="9"/>
  <c r="BF435" i="9"/>
  <c r="BF436" i="9"/>
  <c r="BF437" i="9"/>
  <c r="BF438" i="9"/>
  <c r="BF439" i="9"/>
  <c r="BF440" i="9"/>
  <c r="BF441" i="9"/>
  <c r="BF442" i="9"/>
  <c r="BF443" i="9"/>
  <c r="BF444" i="9"/>
  <c r="BF445" i="9"/>
  <c r="BF446" i="9"/>
  <c r="BF447" i="9"/>
  <c r="BF448" i="9"/>
  <c r="BF449" i="9"/>
  <c r="BF450" i="9"/>
  <c r="BF451" i="9"/>
  <c r="BF452" i="9"/>
  <c r="BF453" i="9"/>
  <c r="BF454" i="9"/>
  <c r="BF455" i="9"/>
  <c r="BF456" i="9"/>
  <c r="BF457" i="9"/>
  <c r="BF458" i="9"/>
  <c r="BF459" i="9"/>
  <c r="BF460" i="9"/>
  <c r="BF461" i="9"/>
  <c r="BF462" i="9"/>
  <c r="BF463" i="9"/>
  <c r="BF464" i="9"/>
  <c r="BF465" i="9"/>
  <c r="BF466" i="9"/>
  <c r="BF467" i="9"/>
  <c r="BF468" i="9"/>
  <c r="BF469" i="9"/>
  <c r="BF470" i="9"/>
  <c r="BF471" i="9"/>
  <c r="BF472" i="9"/>
  <c r="BF473" i="9"/>
  <c r="BF474" i="9"/>
  <c r="BF475" i="9"/>
  <c r="BF476" i="9"/>
  <c r="BF477" i="9"/>
  <c r="BF478" i="9"/>
  <c r="BF479" i="9"/>
  <c r="BF480" i="9"/>
  <c r="BF481" i="9"/>
  <c r="BF482" i="9"/>
  <c r="BF483" i="9"/>
  <c r="BF484" i="9"/>
  <c r="BF485" i="9"/>
  <c r="BF486" i="9"/>
  <c r="BF487" i="9"/>
  <c r="BF488" i="9"/>
  <c r="BF489" i="9"/>
  <c r="BF490" i="9"/>
  <c r="BF491" i="9"/>
  <c r="BF492" i="9"/>
  <c r="BF493" i="9"/>
  <c r="BF494" i="9"/>
  <c r="BF495" i="9"/>
  <c r="BF496" i="9"/>
  <c r="BF497" i="9"/>
  <c r="BF498" i="9"/>
  <c r="BF499" i="9"/>
  <c r="BF500" i="9"/>
  <c r="BF501" i="9"/>
  <c r="BF502" i="9"/>
  <c r="BF503" i="9"/>
  <c r="BF504" i="9"/>
  <c r="BF505" i="9"/>
  <c r="BF506" i="9"/>
  <c r="BF507" i="9"/>
  <c r="BF508" i="9"/>
  <c r="BF509" i="9"/>
  <c r="BF510" i="9"/>
  <c r="BF511" i="9"/>
  <c r="BF512" i="9"/>
  <c r="BF513" i="9"/>
  <c r="BF514" i="9"/>
  <c r="BF515" i="9"/>
  <c r="BF516" i="9"/>
  <c r="BF517" i="9"/>
  <c r="BF518" i="9"/>
  <c r="BF519" i="9"/>
  <c r="BF520" i="9"/>
  <c r="BF521" i="9"/>
  <c r="BF522" i="9"/>
  <c r="BF523" i="9"/>
  <c r="BF524" i="9"/>
  <c r="BF525" i="9"/>
  <c r="BF526" i="9"/>
  <c r="BF527" i="9"/>
  <c r="BF528" i="9"/>
  <c r="BF529" i="9"/>
  <c r="BF530" i="9"/>
  <c r="BF531" i="9"/>
  <c r="BF532" i="9"/>
  <c r="BF533" i="9"/>
  <c r="BF534" i="9"/>
  <c r="BF535" i="9"/>
  <c r="BF536" i="9"/>
  <c r="BF537" i="9"/>
  <c r="BF538" i="9"/>
  <c r="BF539" i="9"/>
  <c r="BF540" i="9"/>
  <c r="BF541" i="9"/>
  <c r="BF542" i="9"/>
  <c r="BF543" i="9"/>
  <c r="BF544" i="9"/>
  <c r="BF545" i="9"/>
  <c r="BF546" i="9"/>
  <c r="BF547" i="9"/>
  <c r="BF548" i="9"/>
  <c r="BF549" i="9"/>
  <c r="BF550" i="9"/>
  <c r="BF551" i="9"/>
  <c r="BF552" i="9"/>
  <c r="BF553" i="9"/>
  <c r="BF554" i="9"/>
  <c r="BF555" i="9"/>
  <c r="BF556" i="9"/>
  <c r="BF557" i="9"/>
  <c r="BF558" i="9"/>
  <c r="BF559" i="9"/>
  <c r="BF560" i="9"/>
  <c r="BF561" i="9"/>
  <c r="BF562" i="9"/>
  <c r="BF563" i="9"/>
  <c r="BF564" i="9"/>
  <c r="BF565" i="9"/>
  <c r="BF566" i="9"/>
  <c r="BF567" i="9"/>
  <c r="BF568" i="9"/>
  <c r="BF569" i="9"/>
  <c r="BF570" i="9"/>
  <c r="BF571" i="9"/>
  <c r="BF572" i="9"/>
  <c r="BF573" i="9"/>
  <c r="BF574" i="9"/>
  <c r="BF575" i="9"/>
  <c r="BF576" i="9"/>
  <c r="BF577" i="9"/>
  <c r="BF578" i="9"/>
  <c r="BF579" i="9"/>
  <c r="BF580" i="9"/>
  <c r="BF581" i="9"/>
  <c r="BF582" i="9"/>
  <c r="BF583" i="9"/>
  <c r="BF584" i="9"/>
  <c r="BF585" i="9"/>
  <c r="BF586" i="9"/>
  <c r="BF587" i="9"/>
  <c r="BF588" i="9"/>
  <c r="BF589" i="9"/>
  <c r="BF590" i="9"/>
  <c r="BF591" i="9"/>
  <c r="BF592" i="9"/>
  <c r="BF593" i="9"/>
  <c r="BF594" i="9"/>
  <c r="BF595" i="9"/>
  <c r="BF596" i="9"/>
  <c r="BF597" i="9"/>
  <c r="BF598" i="9"/>
  <c r="BF599" i="9"/>
  <c r="BF600" i="9"/>
  <c r="BF601" i="9"/>
  <c r="BF602" i="9"/>
  <c r="BF603" i="9"/>
  <c r="BF604" i="9"/>
  <c r="BF605" i="9"/>
  <c r="BF606" i="9"/>
  <c r="BF607" i="9"/>
  <c r="BF608" i="9"/>
  <c r="BF609" i="9"/>
  <c r="BF610" i="9"/>
  <c r="BF611" i="9"/>
  <c r="BF612" i="9"/>
  <c r="BF613" i="9"/>
  <c r="BF614" i="9"/>
  <c r="BF615" i="9"/>
  <c r="BF616" i="9"/>
  <c r="BF617" i="9"/>
  <c r="BF618" i="9"/>
  <c r="BF619" i="9"/>
  <c r="BF620" i="9"/>
  <c r="BF621" i="9"/>
  <c r="BF622" i="9"/>
  <c r="BF623" i="9"/>
  <c r="BF624" i="9"/>
  <c r="BF625" i="9"/>
  <c r="BF626" i="9"/>
  <c r="BF627" i="9"/>
  <c r="BF628" i="9"/>
  <c r="BF629" i="9"/>
  <c r="BF630" i="9"/>
  <c r="BF631" i="9"/>
  <c r="BF632" i="9"/>
  <c r="BF633" i="9"/>
  <c r="BF634" i="9"/>
  <c r="BF635" i="9"/>
  <c r="BF636" i="9"/>
  <c r="BF637" i="9"/>
  <c r="BF638" i="9"/>
  <c r="BF639" i="9"/>
  <c r="BF640" i="9"/>
  <c r="BF641" i="9"/>
  <c r="BF642" i="9"/>
  <c r="BF643" i="9"/>
  <c r="BF644" i="9"/>
  <c r="BF645" i="9"/>
  <c r="BF646" i="9"/>
  <c r="BF647" i="9"/>
  <c r="BF648" i="9"/>
  <c r="BF649" i="9"/>
  <c r="BF650" i="9"/>
  <c r="BF651" i="9"/>
  <c r="BF652" i="9"/>
  <c r="BF653" i="9"/>
  <c r="BF654" i="9"/>
  <c r="BF655" i="9"/>
  <c r="BF656" i="9"/>
  <c r="BF657" i="9"/>
  <c r="BF658" i="9"/>
  <c r="BF659" i="9"/>
  <c r="BF660" i="9"/>
  <c r="BF661" i="9"/>
  <c r="BF662" i="9"/>
  <c r="BF663" i="9"/>
  <c r="BF664" i="9"/>
  <c r="BF665" i="9"/>
  <c r="BF666" i="9"/>
  <c r="BF667" i="9"/>
  <c r="BF668" i="9"/>
  <c r="BF669" i="9"/>
  <c r="BF670" i="9"/>
  <c r="BF671" i="9"/>
  <c r="BF672" i="9"/>
  <c r="BF673" i="9"/>
  <c r="BF674" i="9"/>
  <c r="BF675" i="9"/>
  <c r="BF676" i="9"/>
  <c r="BF677" i="9"/>
  <c r="BF678" i="9"/>
  <c r="BF679" i="9"/>
  <c r="BF680" i="9"/>
  <c r="BF681" i="9"/>
  <c r="BF682" i="9"/>
  <c r="BF683" i="9"/>
  <c r="BF684" i="9"/>
  <c r="BF685" i="9"/>
  <c r="BF686" i="9"/>
  <c r="BF687" i="9"/>
  <c r="BF688" i="9"/>
  <c r="BF689" i="9"/>
  <c r="BF690" i="9"/>
  <c r="BF691" i="9"/>
  <c r="BF692" i="9"/>
  <c r="BF693" i="9"/>
  <c r="BF694" i="9"/>
  <c r="BF695" i="9"/>
  <c r="BF696" i="9"/>
  <c r="BF697" i="9"/>
  <c r="BF698" i="9"/>
  <c r="BF699" i="9"/>
  <c r="BF700" i="9"/>
  <c r="BF701" i="9"/>
  <c r="BF702" i="9"/>
  <c r="BF703" i="9"/>
  <c r="BF704" i="9"/>
  <c r="BF705" i="9"/>
  <c r="BF706" i="9"/>
  <c r="BF707" i="9"/>
  <c r="BF708" i="9"/>
  <c r="BF709" i="9"/>
  <c r="BF710" i="9"/>
  <c r="BF711" i="9"/>
  <c r="BF712" i="9"/>
  <c r="BF713" i="9"/>
  <c r="BF714" i="9"/>
  <c r="BF715" i="9"/>
  <c r="BF716" i="9"/>
  <c r="BF717" i="9"/>
  <c r="BF718" i="9"/>
  <c r="BF719" i="9"/>
  <c r="BF720" i="9"/>
  <c r="BF721" i="9"/>
  <c r="BF722" i="9"/>
  <c r="BF723" i="9"/>
  <c r="BF724" i="9"/>
  <c r="BF725" i="9"/>
  <c r="BF726" i="9"/>
  <c r="BF727" i="9"/>
  <c r="BF728" i="9"/>
  <c r="BF729" i="9"/>
  <c r="BF730" i="9"/>
  <c r="BF731" i="9"/>
  <c r="BF732" i="9"/>
  <c r="BF733" i="9"/>
  <c r="BF734" i="9"/>
  <c r="BF735" i="9"/>
  <c r="BF736" i="9"/>
  <c r="BF737" i="9"/>
  <c r="BF738" i="9"/>
  <c r="BF739" i="9"/>
  <c r="BF740" i="9"/>
  <c r="BF741" i="9"/>
  <c r="BF742" i="9"/>
  <c r="BF743" i="9"/>
  <c r="BF744" i="9"/>
  <c r="BF745" i="9"/>
  <c r="BF746" i="9"/>
  <c r="BF747" i="9"/>
  <c r="BF748" i="9"/>
  <c r="BF749" i="9"/>
  <c r="BF750" i="9"/>
  <c r="BF751" i="9"/>
  <c r="BF752" i="9"/>
  <c r="BF753" i="9"/>
  <c r="BF754" i="9"/>
  <c r="BF755" i="9"/>
  <c r="BF756" i="9"/>
  <c r="BF757" i="9"/>
  <c r="BF758" i="9"/>
  <c r="BF759" i="9"/>
  <c r="BF760" i="9"/>
  <c r="BF761" i="9"/>
  <c r="BF762" i="9"/>
  <c r="BF763" i="9"/>
  <c r="BF764" i="9"/>
  <c r="BF765" i="9"/>
  <c r="BF766" i="9"/>
  <c r="BF767" i="9"/>
  <c r="BF768" i="9"/>
  <c r="BF769" i="9"/>
  <c r="BF770" i="9"/>
  <c r="BF771" i="9"/>
  <c r="BF772" i="9"/>
  <c r="BF773" i="9"/>
  <c r="BF774" i="9"/>
  <c r="BF775" i="9"/>
  <c r="BF776" i="9"/>
  <c r="BF777" i="9"/>
  <c r="BF778" i="9"/>
  <c r="BF779" i="9"/>
  <c r="BF780" i="9"/>
  <c r="BF781" i="9"/>
  <c r="BF782" i="9"/>
  <c r="BF783" i="9"/>
  <c r="BF784" i="9"/>
  <c r="BF785" i="9"/>
  <c r="BF786" i="9"/>
  <c r="BF787" i="9"/>
  <c r="BF788" i="9"/>
  <c r="BF789" i="9"/>
  <c r="BF790" i="9"/>
  <c r="BF791" i="9"/>
  <c r="BF792" i="9"/>
  <c r="BF793" i="9"/>
  <c r="BF794" i="9"/>
  <c r="BF795" i="9"/>
  <c r="BF796" i="9"/>
  <c r="BF797" i="9"/>
  <c r="BF798" i="9"/>
  <c r="BF799" i="9"/>
  <c r="BF800" i="9"/>
  <c r="BF801" i="9"/>
  <c r="BF802" i="9"/>
  <c r="BF803" i="9"/>
  <c r="BF804" i="9"/>
  <c r="BF805" i="9"/>
  <c r="BF806" i="9"/>
  <c r="BF807" i="9"/>
  <c r="BF808" i="9"/>
  <c r="BF809" i="9"/>
  <c r="BF810" i="9"/>
  <c r="BF811" i="9"/>
  <c r="BF812" i="9"/>
  <c r="BF813" i="9"/>
  <c r="BF814" i="9"/>
  <c r="BF815" i="9"/>
  <c r="BF816" i="9"/>
  <c r="BF817" i="9"/>
  <c r="BF818" i="9"/>
  <c r="BF819" i="9"/>
  <c r="BF820" i="9"/>
  <c r="BF821" i="9"/>
  <c r="BF822" i="9"/>
  <c r="BF823" i="9"/>
  <c r="BF824" i="9"/>
  <c r="BF825" i="9"/>
  <c r="BF826" i="9"/>
  <c r="BF827" i="9"/>
  <c r="BF828" i="9"/>
  <c r="BF829" i="9"/>
  <c r="BF830" i="9"/>
  <c r="BF831" i="9"/>
  <c r="BF832" i="9"/>
  <c r="BF833" i="9"/>
  <c r="BF834" i="9"/>
  <c r="BF835" i="9"/>
  <c r="BF836" i="9"/>
  <c r="BF837" i="9"/>
  <c r="BF838" i="9"/>
  <c r="BF839" i="9"/>
  <c r="BF840" i="9"/>
  <c r="BF841" i="9"/>
  <c r="BF842" i="9"/>
  <c r="BF843" i="9"/>
  <c r="BF844" i="9"/>
  <c r="BF845" i="9"/>
  <c r="BF846" i="9"/>
  <c r="BF847" i="9"/>
  <c r="BF848" i="9"/>
  <c r="BF849" i="9"/>
  <c r="BF850" i="9"/>
  <c r="BF851" i="9"/>
  <c r="BF852" i="9"/>
  <c r="BF853" i="9"/>
  <c r="BF854" i="9"/>
  <c r="BF855" i="9"/>
  <c r="BF856" i="9"/>
  <c r="BF857" i="9"/>
  <c r="BF858" i="9"/>
  <c r="BF859" i="9"/>
  <c r="BF860" i="9"/>
  <c r="BF861" i="9"/>
  <c r="BF862" i="9"/>
  <c r="BF863" i="9"/>
  <c r="BF864" i="9"/>
  <c r="BF865" i="9"/>
  <c r="BF866" i="9"/>
  <c r="BF867" i="9"/>
  <c r="BF868" i="9"/>
  <c r="BF869" i="9"/>
  <c r="BF870" i="9"/>
  <c r="BF871" i="9"/>
  <c r="BF872" i="9"/>
  <c r="BF873" i="9"/>
  <c r="BF874" i="9"/>
  <c r="BF875" i="9"/>
  <c r="BF876" i="9"/>
  <c r="BF877" i="9"/>
  <c r="BF878" i="9"/>
  <c r="BF879" i="9"/>
  <c r="BF880" i="9"/>
  <c r="BF881" i="9"/>
  <c r="BF882" i="9"/>
  <c r="BF883" i="9"/>
  <c r="BF884" i="9"/>
  <c r="BF885" i="9"/>
  <c r="BF886" i="9"/>
  <c r="BF887" i="9"/>
  <c r="BF888" i="9"/>
  <c r="BF889" i="9"/>
  <c r="BF890" i="9"/>
  <c r="BF891" i="9"/>
  <c r="BF892" i="9"/>
  <c r="BF893" i="9"/>
  <c r="BF894" i="9"/>
  <c r="BF895" i="9"/>
  <c r="BF896" i="9"/>
  <c r="BF897" i="9"/>
  <c r="BF898" i="9"/>
  <c r="BF899" i="9"/>
  <c r="BF900" i="9"/>
  <c r="BF901" i="9"/>
  <c r="BF902" i="9"/>
  <c r="BF903" i="9"/>
  <c r="BF904" i="9"/>
  <c r="BF905" i="9"/>
  <c r="BF906" i="9"/>
  <c r="BF907" i="9"/>
  <c r="BF908" i="9"/>
  <c r="BF909" i="9"/>
  <c r="BF910" i="9"/>
  <c r="BF911" i="9"/>
  <c r="BF912" i="9"/>
  <c r="BF913" i="9"/>
  <c r="BF914" i="9"/>
  <c r="BF915" i="9"/>
  <c r="BF916" i="9"/>
  <c r="BF917" i="9"/>
  <c r="BF918" i="9"/>
  <c r="BF919" i="9"/>
  <c r="BF920" i="9"/>
  <c r="BF921" i="9"/>
  <c r="BF922" i="9"/>
  <c r="BF923" i="9"/>
  <c r="BF924" i="9"/>
  <c r="BF925" i="9"/>
  <c r="BF926" i="9"/>
  <c r="BF927" i="9"/>
  <c r="BF928" i="9"/>
  <c r="BF929" i="9"/>
  <c r="BF930" i="9"/>
  <c r="BF931" i="9"/>
  <c r="BF932" i="9"/>
  <c r="BF933" i="9"/>
  <c r="BF934" i="9"/>
  <c r="BF935" i="9"/>
  <c r="BF936" i="9"/>
  <c r="BF937" i="9"/>
  <c r="BF938" i="9"/>
  <c r="BF939" i="9"/>
  <c r="BF940" i="9"/>
  <c r="BF941" i="9"/>
  <c r="BF942" i="9"/>
  <c r="BF943" i="9"/>
  <c r="BF944" i="9"/>
  <c r="BF945" i="9"/>
  <c r="BF946" i="9"/>
  <c r="BF947" i="9"/>
  <c r="BF948" i="9"/>
  <c r="BF949" i="9"/>
  <c r="BF950" i="9"/>
  <c r="BF951" i="9"/>
  <c r="BF952" i="9"/>
  <c r="BF953" i="9"/>
  <c r="BF954" i="9"/>
  <c r="BF955" i="9"/>
  <c r="BF956" i="9"/>
  <c r="BF957" i="9"/>
  <c r="BF958" i="9"/>
  <c r="BF959" i="9"/>
  <c r="BF960" i="9"/>
  <c r="BF961" i="9"/>
  <c r="BF962" i="9"/>
  <c r="BF963" i="9"/>
  <c r="BF964" i="9"/>
  <c r="BF965" i="9"/>
  <c r="BF966" i="9"/>
  <c r="BF967" i="9"/>
  <c r="BF968" i="9"/>
  <c r="BF969" i="9"/>
  <c r="BF970" i="9"/>
  <c r="BF971" i="9"/>
  <c r="BF972" i="9"/>
  <c r="BF973" i="9"/>
  <c r="BF974" i="9"/>
  <c r="BF975" i="9"/>
  <c r="BF976" i="9"/>
  <c r="BF977" i="9"/>
  <c r="X190" i="9" l="1"/>
  <c r="X191" i="9"/>
  <c r="X192" i="9"/>
  <c r="X193" i="9"/>
  <c r="X194" i="9"/>
  <c r="X195" i="9"/>
  <c r="X196" i="9"/>
  <c r="X197" i="9"/>
  <c r="X198" i="9"/>
  <c r="X199" i="9"/>
  <c r="X200" i="9"/>
  <c r="X201" i="9"/>
  <c r="X202" i="9"/>
  <c r="X203" i="9"/>
  <c r="X204" i="9"/>
  <c r="X205" i="9"/>
  <c r="X206" i="9"/>
  <c r="X207" i="9"/>
  <c r="X208" i="9"/>
  <c r="X209" i="9"/>
  <c r="X210" i="9"/>
  <c r="X211" i="9"/>
  <c r="X212" i="9"/>
  <c r="X213" i="9"/>
  <c r="X214" i="9"/>
  <c r="X215" i="9"/>
  <c r="X216" i="9"/>
  <c r="X217" i="9"/>
  <c r="X218" i="9"/>
  <c r="X219" i="9"/>
  <c r="X220" i="9"/>
  <c r="X221" i="9"/>
  <c r="X222" i="9"/>
  <c r="X223" i="9"/>
  <c r="X224" i="9"/>
  <c r="X225" i="9"/>
  <c r="X226" i="9"/>
  <c r="X227" i="9"/>
  <c r="X228" i="9"/>
  <c r="X229" i="9"/>
  <c r="X230" i="9"/>
  <c r="X231" i="9"/>
  <c r="X232" i="9"/>
  <c r="X233" i="9"/>
  <c r="X234" i="9"/>
  <c r="X235" i="9"/>
  <c r="X236" i="9"/>
  <c r="X237" i="9"/>
  <c r="X238" i="9"/>
  <c r="X239" i="9"/>
  <c r="X240" i="9"/>
  <c r="X241" i="9"/>
  <c r="X242" i="9"/>
  <c r="X243" i="9"/>
  <c r="X244" i="9"/>
  <c r="X245" i="9"/>
  <c r="X246" i="9"/>
  <c r="X247" i="9"/>
  <c r="X248" i="9"/>
  <c r="X249" i="9"/>
  <c r="X250" i="9"/>
  <c r="X251" i="9"/>
  <c r="X252" i="9"/>
  <c r="X253" i="9"/>
  <c r="X254" i="9"/>
  <c r="X255" i="9"/>
  <c r="X256" i="9"/>
  <c r="X257" i="9"/>
  <c r="X258" i="9"/>
  <c r="X259" i="9"/>
  <c r="X260" i="9"/>
  <c r="X261" i="9"/>
  <c r="X262" i="9"/>
  <c r="X263" i="9"/>
  <c r="X264" i="9"/>
  <c r="X265" i="9"/>
  <c r="X266" i="9"/>
  <c r="X267" i="9"/>
  <c r="X268" i="9"/>
  <c r="X269" i="9"/>
  <c r="X270" i="9"/>
  <c r="X271" i="9"/>
  <c r="X272" i="9"/>
  <c r="X273" i="9"/>
  <c r="X274" i="9"/>
  <c r="X275" i="9"/>
  <c r="X276" i="9"/>
  <c r="X277" i="9"/>
  <c r="X278" i="9"/>
  <c r="X279" i="9"/>
  <c r="X280" i="9"/>
  <c r="X281" i="9"/>
  <c r="X282" i="9"/>
  <c r="X283" i="9"/>
  <c r="X284" i="9"/>
  <c r="X285" i="9"/>
  <c r="X286" i="9"/>
  <c r="X287" i="9"/>
  <c r="X288" i="9"/>
  <c r="X289" i="9"/>
  <c r="X290" i="9"/>
  <c r="X291" i="9"/>
  <c r="X292" i="9"/>
  <c r="X293" i="9"/>
  <c r="X294" i="9"/>
  <c r="X295" i="9"/>
  <c r="X296" i="9"/>
  <c r="X297" i="9"/>
  <c r="X298" i="9"/>
  <c r="X299" i="9"/>
  <c r="X300" i="9"/>
  <c r="X301" i="9"/>
  <c r="X302" i="9"/>
  <c r="X303" i="9"/>
  <c r="X304" i="9"/>
  <c r="X305" i="9"/>
  <c r="X306" i="9"/>
  <c r="X307" i="9"/>
  <c r="X308" i="9"/>
  <c r="X309" i="9"/>
  <c r="X310" i="9"/>
  <c r="X311" i="9"/>
  <c r="X312" i="9"/>
  <c r="X313" i="9"/>
  <c r="X314" i="9"/>
  <c r="X315" i="9"/>
  <c r="X316" i="9"/>
  <c r="X317" i="9"/>
  <c r="X318" i="9"/>
  <c r="X319" i="9"/>
  <c r="X320" i="9"/>
  <c r="X321" i="9"/>
  <c r="X322" i="9"/>
  <c r="X323" i="9"/>
  <c r="X324" i="9"/>
  <c r="X325" i="9"/>
  <c r="X326" i="9"/>
  <c r="X327" i="9"/>
  <c r="X328" i="9"/>
  <c r="X329" i="9"/>
  <c r="X330" i="9"/>
  <c r="X331" i="9"/>
  <c r="X332" i="9"/>
  <c r="X333" i="9"/>
  <c r="X334" i="9"/>
  <c r="X335" i="9"/>
  <c r="X336" i="9"/>
  <c r="X337" i="9"/>
  <c r="X338" i="9"/>
  <c r="X339" i="9"/>
  <c r="X340" i="9"/>
  <c r="X341" i="9"/>
  <c r="X342" i="9"/>
  <c r="X343" i="9"/>
  <c r="X344" i="9"/>
  <c r="X345" i="9"/>
  <c r="X346" i="9"/>
  <c r="X347" i="9"/>
  <c r="X348" i="9"/>
  <c r="X349" i="9"/>
  <c r="X350" i="9"/>
  <c r="X351" i="9"/>
  <c r="X352" i="9"/>
  <c r="X353" i="9"/>
  <c r="X354" i="9"/>
  <c r="X355" i="9"/>
  <c r="X356" i="9"/>
  <c r="X357" i="9"/>
  <c r="X358" i="9"/>
  <c r="X359" i="9"/>
  <c r="X360" i="9"/>
  <c r="X361" i="9"/>
  <c r="X362" i="9"/>
  <c r="X363" i="9"/>
  <c r="X364" i="9"/>
  <c r="X365" i="9"/>
  <c r="X366" i="9"/>
  <c r="X367" i="9"/>
  <c r="X368" i="9"/>
  <c r="X369" i="9"/>
  <c r="X370" i="9"/>
  <c r="X371" i="9"/>
  <c r="X372" i="9"/>
  <c r="X373" i="9"/>
  <c r="X374" i="9"/>
  <c r="X375" i="9"/>
  <c r="X376" i="9"/>
  <c r="X377" i="9"/>
  <c r="X378" i="9"/>
  <c r="X379" i="9"/>
  <c r="X380" i="9"/>
  <c r="X381" i="9"/>
  <c r="X382" i="9"/>
  <c r="X383" i="9"/>
  <c r="X384" i="9"/>
  <c r="X385" i="9"/>
  <c r="X386" i="9"/>
  <c r="X387" i="9"/>
  <c r="X388" i="9"/>
  <c r="X389" i="9"/>
  <c r="X390" i="9"/>
  <c r="X391" i="9"/>
  <c r="X392" i="9"/>
  <c r="X393" i="9"/>
  <c r="X394" i="9"/>
  <c r="X395" i="9"/>
  <c r="X396" i="9"/>
  <c r="X397" i="9"/>
  <c r="X398" i="9"/>
  <c r="X399" i="9"/>
  <c r="X400" i="9"/>
  <c r="X401" i="9"/>
  <c r="X402" i="9"/>
  <c r="X403" i="9"/>
  <c r="X404" i="9"/>
  <c r="X405" i="9"/>
  <c r="X406" i="9"/>
  <c r="X407" i="9"/>
  <c r="X408" i="9"/>
  <c r="X409" i="9"/>
  <c r="X410" i="9"/>
  <c r="X411" i="9"/>
  <c r="X412" i="9"/>
  <c r="X413" i="9"/>
  <c r="X414" i="9"/>
  <c r="X415" i="9"/>
  <c r="X416" i="9"/>
  <c r="X417" i="9"/>
  <c r="X418" i="9"/>
  <c r="X419" i="9"/>
  <c r="X420" i="9"/>
  <c r="X421" i="9"/>
  <c r="X422" i="9"/>
  <c r="X423" i="9"/>
  <c r="X424" i="9"/>
  <c r="X425" i="9"/>
  <c r="X426" i="9"/>
  <c r="X427" i="9"/>
  <c r="X428" i="9"/>
  <c r="X429" i="9"/>
  <c r="X430" i="9"/>
  <c r="X431" i="9"/>
  <c r="X432" i="9"/>
  <c r="X433" i="9"/>
  <c r="X434" i="9"/>
  <c r="X435" i="9"/>
  <c r="X436" i="9"/>
  <c r="X437" i="9"/>
  <c r="X438" i="9"/>
  <c r="X439" i="9"/>
  <c r="X440" i="9"/>
  <c r="X441" i="9"/>
  <c r="X442" i="9"/>
  <c r="X443" i="9"/>
  <c r="X444" i="9"/>
  <c r="X445" i="9"/>
  <c r="X446" i="9"/>
  <c r="X447" i="9"/>
  <c r="X448" i="9"/>
  <c r="X449" i="9"/>
  <c r="X450" i="9"/>
  <c r="X451" i="9"/>
  <c r="X452" i="9"/>
  <c r="X453" i="9"/>
  <c r="X454" i="9"/>
  <c r="X455" i="9"/>
  <c r="X456" i="9"/>
  <c r="X457" i="9"/>
  <c r="X458" i="9"/>
  <c r="X459" i="9"/>
  <c r="X460" i="9"/>
  <c r="X461" i="9"/>
  <c r="X462" i="9"/>
  <c r="X463" i="9"/>
  <c r="X464" i="9"/>
  <c r="X465" i="9"/>
  <c r="X466" i="9"/>
  <c r="X467" i="9"/>
  <c r="X468" i="9"/>
  <c r="X469" i="9"/>
  <c r="X470" i="9"/>
  <c r="X471" i="9"/>
  <c r="X472" i="9"/>
  <c r="X473" i="9"/>
  <c r="X474" i="9"/>
  <c r="X475" i="9"/>
  <c r="X476" i="9"/>
  <c r="X477" i="9"/>
  <c r="X478" i="9"/>
  <c r="X479" i="9"/>
  <c r="X480" i="9"/>
  <c r="X481" i="9"/>
  <c r="X482" i="9"/>
  <c r="X483" i="9"/>
  <c r="X484" i="9"/>
  <c r="X485" i="9"/>
  <c r="X486" i="9"/>
  <c r="X487" i="9"/>
  <c r="X488" i="9"/>
  <c r="X489" i="9"/>
  <c r="X490" i="9"/>
  <c r="X491" i="9"/>
  <c r="X492" i="9"/>
  <c r="X493" i="9"/>
  <c r="X494" i="9"/>
  <c r="X495" i="9"/>
  <c r="X496" i="9"/>
  <c r="X497" i="9"/>
  <c r="X498" i="9"/>
  <c r="X499" i="9"/>
  <c r="X500" i="9"/>
  <c r="X501" i="9"/>
  <c r="X502" i="9"/>
  <c r="X503" i="9"/>
  <c r="X504" i="9"/>
  <c r="X505" i="9"/>
  <c r="X506" i="9"/>
  <c r="X507" i="9"/>
  <c r="X508" i="9"/>
  <c r="X509" i="9"/>
  <c r="X510" i="9"/>
  <c r="X511" i="9"/>
  <c r="X512" i="9"/>
  <c r="X513" i="9"/>
  <c r="X514" i="9"/>
  <c r="X515" i="9"/>
  <c r="X516" i="9"/>
  <c r="X517" i="9"/>
  <c r="X518" i="9"/>
  <c r="X519" i="9"/>
  <c r="X520" i="9"/>
  <c r="X521" i="9"/>
  <c r="X522" i="9"/>
  <c r="X523" i="9"/>
  <c r="X524" i="9"/>
  <c r="X525" i="9"/>
  <c r="X526" i="9"/>
  <c r="X527" i="9"/>
  <c r="X528" i="9"/>
  <c r="X529" i="9"/>
  <c r="X530" i="9"/>
  <c r="X531" i="9"/>
  <c r="X532" i="9"/>
  <c r="X533" i="9"/>
  <c r="X534" i="9"/>
  <c r="X535" i="9"/>
  <c r="X536" i="9"/>
  <c r="X537" i="9"/>
  <c r="X538" i="9"/>
  <c r="X539" i="9"/>
  <c r="X540" i="9"/>
  <c r="X541" i="9"/>
  <c r="X542" i="9"/>
  <c r="X543" i="9"/>
  <c r="X544" i="9"/>
  <c r="X545" i="9"/>
  <c r="X546" i="9"/>
  <c r="X547" i="9"/>
  <c r="X548" i="9"/>
  <c r="X549" i="9"/>
  <c r="X550" i="9"/>
  <c r="X551" i="9"/>
  <c r="X552" i="9"/>
  <c r="X553" i="9"/>
  <c r="X554" i="9"/>
  <c r="X555" i="9"/>
  <c r="X556" i="9"/>
  <c r="X557" i="9"/>
  <c r="X558" i="9"/>
  <c r="X559" i="9"/>
  <c r="X560" i="9"/>
  <c r="X561" i="9"/>
  <c r="X562" i="9"/>
  <c r="X563" i="9"/>
  <c r="X564" i="9"/>
  <c r="X565" i="9"/>
  <c r="X566" i="9"/>
  <c r="X567" i="9"/>
  <c r="X568" i="9"/>
  <c r="X569" i="9"/>
  <c r="X570" i="9"/>
  <c r="X571" i="9"/>
  <c r="X572" i="9"/>
  <c r="X573" i="9"/>
  <c r="X574" i="9"/>
  <c r="X575" i="9"/>
  <c r="X576" i="9"/>
  <c r="X577" i="9"/>
  <c r="X578" i="9"/>
  <c r="X579" i="9"/>
  <c r="X580" i="9"/>
  <c r="X581" i="9"/>
  <c r="X582" i="9"/>
  <c r="X583" i="9"/>
  <c r="X584" i="9"/>
  <c r="X585" i="9"/>
  <c r="X586" i="9"/>
  <c r="X587" i="9"/>
  <c r="X588" i="9"/>
  <c r="X589" i="9"/>
  <c r="X590" i="9"/>
  <c r="X591" i="9"/>
  <c r="X592" i="9"/>
  <c r="X593" i="9"/>
  <c r="X594" i="9"/>
  <c r="X595" i="9"/>
  <c r="X596" i="9"/>
  <c r="X597" i="9"/>
  <c r="X598" i="9"/>
  <c r="X599" i="9"/>
  <c r="X600" i="9"/>
  <c r="X601" i="9"/>
  <c r="X602" i="9"/>
  <c r="X603" i="9"/>
  <c r="X604" i="9"/>
  <c r="X605" i="9"/>
  <c r="X606" i="9"/>
  <c r="X607" i="9"/>
  <c r="X608" i="9"/>
  <c r="X609" i="9"/>
  <c r="X610" i="9"/>
  <c r="X611" i="9"/>
  <c r="X612" i="9"/>
  <c r="X613" i="9"/>
  <c r="X614" i="9"/>
  <c r="X615" i="9"/>
  <c r="X616" i="9"/>
  <c r="X617" i="9"/>
  <c r="X618" i="9"/>
  <c r="X619" i="9"/>
  <c r="X620" i="9"/>
  <c r="X621" i="9"/>
  <c r="X622" i="9"/>
  <c r="X623" i="9"/>
  <c r="X624" i="9"/>
  <c r="X625" i="9"/>
  <c r="X626" i="9"/>
  <c r="X627" i="9"/>
  <c r="X628" i="9"/>
  <c r="X629" i="9"/>
  <c r="X630" i="9"/>
  <c r="X631" i="9"/>
  <c r="X632" i="9"/>
  <c r="X633" i="9"/>
  <c r="X634" i="9"/>
  <c r="X635" i="9"/>
  <c r="X636" i="9"/>
  <c r="X637" i="9"/>
  <c r="X638" i="9"/>
  <c r="X639" i="9"/>
  <c r="X640" i="9"/>
  <c r="X641" i="9"/>
  <c r="X642" i="9"/>
  <c r="X643" i="9"/>
  <c r="X644" i="9"/>
  <c r="X645" i="9"/>
  <c r="X646" i="9"/>
  <c r="X647" i="9"/>
  <c r="X648" i="9"/>
  <c r="X649" i="9"/>
  <c r="X650" i="9"/>
  <c r="X651" i="9"/>
  <c r="X652" i="9"/>
  <c r="X653" i="9"/>
  <c r="X654" i="9"/>
  <c r="X655" i="9"/>
  <c r="X656" i="9"/>
  <c r="X657" i="9"/>
  <c r="X658" i="9"/>
  <c r="X659" i="9"/>
  <c r="X660" i="9"/>
  <c r="X661" i="9"/>
  <c r="X662" i="9"/>
  <c r="X663" i="9"/>
  <c r="X664" i="9"/>
  <c r="X665" i="9"/>
  <c r="X666" i="9"/>
  <c r="X667" i="9"/>
  <c r="X668" i="9"/>
  <c r="X669" i="9"/>
  <c r="X670" i="9"/>
  <c r="X671" i="9"/>
  <c r="X672" i="9"/>
  <c r="X673" i="9"/>
  <c r="X674" i="9"/>
  <c r="X675" i="9"/>
  <c r="X676" i="9"/>
  <c r="X677" i="9"/>
  <c r="X678" i="9"/>
  <c r="X679" i="9"/>
  <c r="X680" i="9"/>
  <c r="X681" i="9"/>
  <c r="X682" i="9"/>
  <c r="X683" i="9"/>
  <c r="X684" i="9"/>
  <c r="X685" i="9"/>
  <c r="X686" i="9"/>
  <c r="X687" i="9"/>
  <c r="X688" i="9"/>
  <c r="X689" i="9"/>
  <c r="X690" i="9"/>
  <c r="X691" i="9"/>
  <c r="X692" i="9"/>
  <c r="X693" i="9"/>
  <c r="X694" i="9"/>
  <c r="X695" i="9"/>
  <c r="X696" i="9"/>
  <c r="X697" i="9"/>
  <c r="X698" i="9"/>
  <c r="X699" i="9"/>
  <c r="X700" i="9"/>
  <c r="X701" i="9"/>
  <c r="X702" i="9"/>
  <c r="X703" i="9"/>
  <c r="X704" i="9"/>
  <c r="X705" i="9"/>
  <c r="X706" i="9"/>
  <c r="X707" i="9"/>
  <c r="X708" i="9"/>
  <c r="X709" i="9"/>
  <c r="X710" i="9"/>
  <c r="X711" i="9"/>
  <c r="X712" i="9"/>
  <c r="X713" i="9"/>
  <c r="X714" i="9"/>
  <c r="X715" i="9"/>
  <c r="X716" i="9"/>
  <c r="X717" i="9"/>
  <c r="X718" i="9"/>
  <c r="X719" i="9"/>
  <c r="X720" i="9"/>
  <c r="X721" i="9"/>
  <c r="X722" i="9"/>
  <c r="X723" i="9"/>
  <c r="X724" i="9"/>
  <c r="X725" i="9"/>
  <c r="X726" i="9"/>
  <c r="X727" i="9"/>
  <c r="X728" i="9"/>
  <c r="X729" i="9"/>
  <c r="X730" i="9"/>
  <c r="X731" i="9"/>
  <c r="X732" i="9"/>
  <c r="X733" i="9"/>
  <c r="X734" i="9"/>
  <c r="X735" i="9"/>
  <c r="X736" i="9"/>
  <c r="X737" i="9"/>
  <c r="X738" i="9"/>
  <c r="X739" i="9"/>
  <c r="X740" i="9"/>
  <c r="X741" i="9"/>
  <c r="X742" i="9"/>
  <c r="X743" i="9"/>
  <c r="X744" i="9"/>
  <c r="X745" i="9"/>
  <c r="X746" i="9"/>
  <c r="X747" i="9"/>
  <c r="X748" i="9"/>
  <c r="X749" i="9"/>
  <c r="X750" i="9"/>
  <c r="X751" i="9"/>
  <c r="X752" i="9"/>
  <c r="X753" i="9"/>
  <c r="X754" i="9"/>
  <c r="X755" i="9"/>
  <c r="X756" i="9"/>
  <c r="X757" i="9"/>
  <c r="X758" i="9"/>
  <c r="X759" i="9"/>
  <c r="X760" i="9"/>
  <c r="X761" i="9"/>
  <c r="X762" i="9"/>
  <c r="X763" i="9"/>
  <c r="X764" i="9"/>
  <c r="X765" i="9"/>
  <c r="X766" i="9"/>
  <c r="X767" i="9"/>
  <c r="X768" i="9"/>
  <c r="X769" i="9"/>
  <c r="X770" i="9"/>
  <c r="X771" i="9"/>
  <c r="X772" i="9"/>
  <c r="X773" i="9"/>
  <c r="X774" i="9"/>
  <c r="X775" i="9"/>
  <c r="X776" i="9"/>
  <c r="X777" i="9"/>
  <c r="X778" i="9"/>
  <c r="X779" i="9"/>
  <c r="X780" i="9"/>
  <c r="X781" i="9"/>
  <c r="X782" i="9"/>
  <c r="X783" i="9"/>
  <c r="X784" i="9"/>
  <c r="X785" i="9"/>
  <c r="X786" i="9"/>
  <c r="X787" i="9"/>
  <c r="X788" i="9"/>
  <c r="X789" i="9"/>
  <c r="X790" i="9"/>
  <c r="X791" i="9"/>
  <c r="X792" i="9"/>
  <c r="X793" i="9"/>
  <c r="X794" i="9"/>
  <c r="X795" i="9"/>
  <c r="X796" i="9"/>
  <c r="X797" i="9"/>
  <c r="X798" i="9"/>
  <c r="X799" i="9"/>
  <c r="X800" i="9"/>
  <c r="X801" i="9"/>
  <c r="X802" i="9"/>
  <c r="X803" i="9"/>
  <c r="X804" i="9"/>
  <c r="X805" i="9"/>
  <c r="X806" i="9"/>
  <c r="X807" i="9"/>
  <c r="X808" i="9"/>
  <c r="X809" i="9"/>
  <c r="X810" i="9"/>
  <c r="X811" i="9"/>
  <c r="X812" i="9"/>
  <c r="X813" i="9"/>
  <c r="X814" i="9"/>
  <c r="X815" i="9"/>
  <c r="X816" i="9"/>
  <c r="X817" i="9"/>
  <c r="X818" i="9"/>
  <c r="X819" i="9"/>
  <c r="X820" i="9"/>
  <c r="X821" i="9"/>
  <c r="X822" i="9"/>
  <c r="X823" i="9"/>
  <c r="X824" i="9"/>
  <c r="X825" i="9"/>
  <c r="X826" i="9"/>
  <c r="X827" i="9"/>
  <c r="X828" i="9"/>
  <c r="X829" i="9"/>
  <c r="X830" i="9"/>
  <c r="X831" i="9"/>
  <c r="X832" i="9"/>
  <c r="X833" i="9"/>
  <c r="X834" i="9"/>
  <c r="X835" i="9"/>
  <c r="X836" i="9"/>
  <c r="X837" i="9"/>
  <c r="X838" i="9"/>
  <c r="X839" i="9"/>
  <c r="X840" i="9"/>
  <c r="X841" i="9"/>
  <c r="X842" i="9"/>
  <c r="X843" i="9"/>
  <c r="X844" i="9"/>
  <c r="X845" i="9"/>
  <c r="X846" i="9"/>
  <c r="X847" i="9"/>
  <c r="X848" i="9"/>
  <c r="X849" i="9"/>
  <c r="X850" i="9"/>
  <c r="X851" i="9"/>
  <c r="X852" i="9"/>
  <c r="X853" i="9"/>
  <c r="X854" i="9"/>
  <c r="X855" i="9"/>
  <c r="X856" i="9"/>
  <c r="X857" i="9"/>
  <c r="X858" i="9"/>
  <c r="X859" i="9"/>
  <c r="X860" i="9"/>
  <c r="X861" i="9"/>
  <c r="X862" i="9"/>
  <c r="X863" i="9"/>
  <c r="X864" i="9"/>
  <c r="X865" i="9"/>
  <c r="X866" i="9"/>
  <c r="X867" i="9"/>
  <c r="X868" i="9"/>
  <c r="X869" i="9"/>
  <c r="X870" i="9"/>
  <c r="X871" i="9"/>
  <c r="X872" i="9"/>
  <c r="X873" i="9"/>
  <c r="X874" i="9"/>
  <c r="X875" i="9"/>
  <c r="X876" i="9"/>
  <c r="X877" i="9"/>
  <c r="X878" i="9"/>
  <c r="X879" i="9"/>
  <c r="X880" i="9"/>
  <c r="X881" i="9"/>
  <c r="X882" i="9"/>
  <c r="X883" i="9"/>
  <c r="X884" i="9"/>
  <c r="X885" i="9"/>
  <c r="X886" i="9"/>
  <c r="X887" i="9"/>
  <c r="X888" i="9"/>
  <c r="X889" i="9"/>
  <c r="X890" i="9"/>
  <c r="X891" i="9"/>
  <c r="X892" i="9"/>
  <c r="X893" i="9"/>
  <c r="X894" i="9"/>
  <c r="X895" i="9"/>
  <c r="X896" i="9"/>
  <c r="X897" i="9"/>
  <c r="X898" i="9"/>
  <c r="X899" i="9"/>
  <c r="X900" i="9"/>
  <c r="X901" i="9"/>
  <c r="X902" i="9"/>
  <c r="X903" i="9"/>
  <c r="X904" i="9"/>
  <c r="X905" i="9"/>
  <c r="X906" i="9"/>
  <c r="X907" i="9"/>
  <c r="X908" i="9"/>
  <c r="X909" i="9"/>
  <c r="X910" i="9"/>
  <c r="X911" i="9"/>
  <c r="X912" i="9"/>
  <c r="X913" i="9"/>
  <c r="X914" i="9"/>
  <c r="X915" i="9"/>
  <c r="X916" i="9"/>
  <c r="X917" i="9"/>
  <c r="X918" i="9"/>
  <c r="X919" i="9"/>
  <c r="X920" i="9"/>
  <c r="X921" i="9"/>
  <c r="X922" i="9"/>
  <c r="X923" i="9"/>
  <c r="X924" i="9"/>
  <c r="X925" i="9"/>
  <c r="X926" i="9"/>
  <c r="X927" i="9"/>
  <c r="X928" i="9"/>
  <c r="X929" i="9"/>
  <c r="X930" i="9"/>
  <c r="X931" i="9"/>
  <c r="X932" i="9"/>
  <c r="X933" i="9"/>
  <c r="X934" i="9"/>
  <c r="X935" i="9"/>
  <c r="X936" i="9"/>
  <c r="X937" i="9"/>
  <c r="X938" i="9"/>
  <c r="X939" i="9"/>
  <c r="X940" i="9"/>
  <c r="X941" i="9"/>
  <c r="X942" i="9"/>
  <c r="X943" i="9"/>
  <c r="X944" i="9"/>
  <c r="X945" i="9"/>
  <c r="X946" i="9"/>
  <c r="X947" i="9"/>
  <c r="X948" i="9"/>
  <c r="X949" i="9"/>
  <c r="X950" i="9"/>
  <c r="X951" i="9"/>
  <c r="X952" i="9"/>
  <c r="X953" i="9"/>
  <c r="X954" i="9"/>
  <c r="X955" i="9"/>
  <c r="X956" i="9"/>
  <c r="X957" i="9"/>
  <c r="X958" i="9"/>
  <c r="X959" i="9"/>
  <c r="X960" i="9"/>
  <c r="X961" i="9"/>
  <c r="X962" i="9"/>
  <c r="X963" i="9"/>
  <c r="X964" i="9"/>
  <c r="X965" i="9"/>
  <c r="X966" i="9"/>
  <c r="X967" i="9"/>
  <c r="X968" i="9"/>
  <c r="X969" i="9"/>
  <c r="X970" i="9"/>
  <c r="X971" i="9"/>
  <c r="X972" i="9"/>
  <c r="X973" i="9"/>
  <c r="X974" i="9"/>
  <c r="X975" i="9"/>
  <c r="X976" i="9"/>
  <c r="X977" i="9"/>
  <c r="K5" i="11" l="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556" i="11"/>
  <c r="K557" i="11"/>
  <c r="K558" i="11"/>
  <c r="K559" i="11"/>
  <c r="K560" i="11"/>
  <c r="K561" i="11"/>
  <c r="K562" i="11"/>
  <c r="K563" i="11"/>
  <c r="K564" i="11"/>
  <c r="K565" i="11"/>
  <c r="K566" i="11"/>
  <c r="K567" i="11"/>
  <c r="K568" i="11"/>
  <c r="K569" i="11"/>
  <c r="K570" i="11"/>
  <c r="K571" i="11"/>
  <c r="K572" i="11"/>
  <c r="K573" i="11"/>
  <c r="K574" i="11"/>
  <c r="K575" i="11"/>
  <c r="K576" i="11"/>
  <c r="K577" i="11"/>
  <c r="K578" i="11"/>
  <c r="K579" i="11"/>
  <c r="K580" i="11"/>
  <c r="K581" i="11"/>
  <c r="K582" i="11"/>
  <c r="K583" i="11"/>
  <c r="K584" i="11"/>
  <c r="K585" i="11"/>
  <c r="K586" i="11"/>
  <c r="K587" i="11"/>
  <c r="K588" i="11"/>
  <c r="K589" i="11"/>
  <c r="K590" i="11"/>
  <c r="K591" i="11"/>
  <c r="K592" i="11"/>
  <c r="K593" i="11"/>
  <c r="K594" i="11"/>
  <c r="K595" i="11"/>
  <c r="K596" i="11"/>
  <c r="K597" i="11"/>
  <c r="K598" i="11"/>
  <c r="K599" i="11"/>
  <c r="K600" i="11"/>
  <c r="K601" i="11"/>
  <c r="K602" i="11"/>
  <c r="K603" i="11"/>
  <c r="K604" i="11"/>
  <c r="K605" i="11"/>
  <c r="K606" i="11"/>
  <c r="K607" i="11"/>
  <c r="K608" i="11"/>
  <c r="K609" i="11"/>
  <c r="K610" i="11"/>
  <c r="K611" i="11"/>
  <c r="K612" i="11"/>
  <c r="K613" i="11"/>
  <c r="K614" i="11"/>
  <c r="K615" i="11"/>
  <c r="K616" i="11"/>
  <c r="K617" i="11"/>
  <c r="K618" i="11"/>
  <c r="K619" i="11"/>
  <c r="K620" i="11"/>
  <c r="K621" i="11"/>
  <c r="K622" i="11"/>
  <c r="K623" i="11"/>
  <c r="K624" i="11"/>
  <c r="K625" i="11"/>
  <c r="K626" i="11"/>
  <c r="K627" i="11"/>
  <c r="K628" i="11"/>
  <c r="K629" i="11"/>
  <c r="K630" i="11"/>
  <c r="K631" i="11"/>
  <c r="K632" i="11"/>
  <c r="K633" i="11"/>
  <c r="K634" i="11"/>
  <c r="K635" i="11"/>
  <c r="K636" i="11"/>
  <c r="K637" i="11"/>
  <c r="K638" i="11"/>
  <c r="K639" i="11"/>
  <c r="K640" i="11"/>
  <c r="K641" i="11"/>
  <c r="K642" i="11"/>
  <c r="K643" i="11"/>
  <c r="K644" i="11"/>
  <c r="K645" i="11"/>
  <c r="K646" i="11"/>
  <c r="K647" i="11"/>
  <c r="K648" i="11"/>
  <c r="K649" i="11"/>
  <c r="K650" i="11"/>
  <c r="K651" i="11"/>
  <c r="K652" i="11"/>
  <c r="K653" i="11"/>
  <c r="K654" i="11"/>
  <c r="K655" i="11"/>
  <c r="K656" i="11"/>
  <c r="K657" i="11"/>
  <c r="K658" i="11"/>
  <c r="K659" i="11"/>
  <c r="K660" i="11"/>
  <c r="K661" i="11"/>
  <c r="K662" i="11"/>
  <c r="K663" i="11"/>
  <c r="K664" i="11"/>
  <c r="K665" i="11"/>
  <c r="K666" i="11"/>
  <c r="K667" i="11"/>
  <c r="K668" i="11"/>
  <c r="K669" i="11"/>
  <c r="K670" i="11"/>
  <c r="K671" i="11"/>
  <c r="K672" i="11"/>
  <c r="K673" i="11"/>
  <c r="K674" i="11"/>
  <c r="K675" i="11"/>
  <c r="K676" i="11"/>
  <c r="K677" i="11"/>
  <c r="K678" i="11"/>
  <c r="K679" i="11"/>
  <c r="K680" i="11"/>
  <c r="K681" i="11"/>
  <c r="K682" i="11"/>
  <c r="K683" i="11"/>
  <c r="K684" i="11"/>
  <c r="K685" i="11"/>
  <c r="K686" i="11"/>
  <c r="K687" i="11"/>
  <c r="K688" i="11"/>
  <c r="K689" i="11"/>
  <c r="K690" i="11"/>
  <c r="K691" i="11"/>
  <c r="K692" i="11"/>
  <c r="K693" i="11"/>
  <c r="K694" i="11"/>
  <c r="K695" i="11"/>
  <c r="K696" i="11"/>
  <c r="K697" i="11"/>
  <c r="K698" i="11"/>
  <c r="K699" i="11"/>
  <c r="K700" i="11"/>
  <c r="K701" i="11"/>
  <c r="K702" i="11"/>
  <c r="K703" i="11"/>
  <c r="K704" i="11"/>
  <c r="K705" i="11"/>
  <c r="K706" i="11"/>
  <c r="K707" i="11"/>
  <c r="K708" i="11"/>
  <c r="K709" i="11"/>
  <c r="K710" i="11"/>
  <c r="K711" i="11"/>
  <c r="K712" i="11"/>
  <c r="K713" i="11"/>
  <c r="K714" i="11"/>
  <c r="K715" i="11"/>
  <c r="K716" i="11"/>
  <c r="K717" i="11"/>
  <c r="K718" i="11"/>
  <c r="K719" i="11"/>
  <c r="K720" i="11"/>
  <c r="K721" i="11"/>
  <c r="K722" i="11"/>
  <c r="K723" i="11"/>
  <c r="K724" i="11"/>
  <c r="K725" i="11"/>
  <c r="K726" i="11"/>
  <c r="K727" i="11"/>
  <c r="K728" i="11"/>
  <c r="K729" i="11"/>
  <c r="K730" i="11"/>
  <c r="K731" i="11"/>
  <c r="K732" i="11"/>
  <c r="K733" i="11"/>
  <c r="K734" i="11"/>
  <c r="K735" i="11"/>
  <c r="K736" i="11"/>
  <c r="K737" i="11"/>
  <c r="K738" i="11"/>
  <c r="K739" i="11"/>
  <c r="K740" i="11"/>
  <c r="K741" i="11"/>
  <c r="K742" i="11"/>
  <c r="K743" i="11"/>
  <c r="K744" i="11"/>
  <c r="K745" i="11"/>
  <c r="K746" i="11"/>
  <c r="K747" i="11"/>
  <c r="K748" i="11"/>
  <c r="K749" i="11"/>
  <c r="K750" i="11"/>
  <c r="K751" i="11"/>
  <c r="K752" i="11"/>
  <c r="K753" i="11"/>
  <c r="K754" i="11"/>
  <c r="K755" i="11"/>
  <c r="K756" i="11"/>
  <c r="K757" i="11"/>
  <c r="K758" i="11"/>
  <c r="K759" i="11"/>
  <c r="K760" i="11"/>
  <c r="K761" i="11"/>
  <c r="K762" i="11"/>
  <c r="K763" i="11"/>
  <c r="K764" i="11"/>
  <c r="K765" i="11"/>
  <c r="K766" i="11"/>
  <c r="K767" i="11"/>
  <c r="K768" i="11"/>
  <c r="K769" i="11"/>
  <c r="K770" i="11"/>
  <c r="K771" i="11"/>
  <c r="K772" i="11"/>
  <c r="K773" i="11"/>
  <c r="K774" i="11"/>
  <c r="K775" i="11"/>
  <c r="K776" i="11"/>
  <c r="K777" i="11"/>
  <c r="K778" i="11"/>
  <c r="K779" i="11"/>
  <c r="K780" i="11"/>
  <c r="K781" i="11"/>
  <c r="K782" i="11"/>
  <c r="K783" i="11"/>
  <c r="K784" i="11"/>
  <c r="K785" i="11"/>
  <c r="K786" i="11"/>
  <c r="K787" i="11"/>
  <c r="K788" i="11"/>
  <c r="K789" i="11"/>
  <c r="K790" i="11"/>
  <c r="K791" i="11"/>
  <c r="K792" i="11"/>
  <c r="K793" i="11"/>
  <c r="K794" i="11"/>
  <c r="K795" i="11"/>
  <c r="K796" i="11"/>
  <c r="K797" i="11"/>
  <c r="K798" i="11"/>
  <c r="K799" i="11"/>
  <c r="K800" i="11"/>
  <c r="K801" i="11"/>
  <c r="K802" i="11"/>
  <c r="K803" i="11"/>
  <c r="K804" i="11"/>
  <c r="K805" i="11"/>
  <c r="K806" i="11"/>
  <c r="K807" i="11"/>
  <c r="K808" i="11"/>
  <c r="K809" i="11"/>
  <c r="K810" i="11"/>
  <c r="K811" i="11"/>
  <c r="K812" i="11"/>
  <c r="K813" i="11"/>
  <c r="K814" i="11"/>
  <c r="K815" i="11"/>
  <c r="K816" i="11"/>
  <c r="K817" i="11"/>
  <c r="K818" i="11"/>
  <c r="K819" i="11"/>
  <c r="K820" i="11"/>
  <c r="K821" i="11"/>
  <c r="K822" i="11"/>
  <c r="K823" i="11"/>
  <c r="K824" i="11"/>
  <c r="K825" i="11"/>
  <c r="K826" i="11"/>
  <c r="K827" i="11"/>
  <c r="K828" i="11"/>
  <c r="K829" i="11"/>
  <c r="K830" i="11"/>
  <c r="K831" i="11"/>
  <c r="K832" i="11"/>
  <c r="K833" i="11"/>
  <c r="K834" i="11"/>
  <c r="K835" i="11"/>
  <c r="K836" i="11"/>
  <c r="K837" i="11"/>
  <c r="K838" i="11"/>
  <c r="K839" i="11"/>
  <c r="K840" i="11"/>
  <c r="K841" i="11"/>
  <c r="K842" i="11"/>
  <c r="K843" i="11"/>
  <c r="K844" i="11"/>
  <c r="K845" i="11"/>
  <c r="K846" i="11"/>
  <c r="K847" i="11"/>
  <c r="K848" i="11"/>
  <c r="K849" i="11"/>
  <c r="K850" i="11"/>
  <c r="K851" i="11"/>
  <c r="K852" i="11"/>
  <c r="K853" i="11"/>
  <c r="K854" i="11"/>
  <c r="K855" i="11"/>
  <c r="K856" i="11"/>
  <c r="K857" i="11"/>
  <c r="K858" i="11"/>
  <c r="K859" i="11"/>
  <c r="K860" i="11"/>
  <c r="K861" i="11"/>
  <c r="K862" i="11"/>
  <c r="K863" i="11"/>
  <c r="K864" i="11"/>
  <c r="K865" i="11"/>
  <c r="K866" i="11"/>
  <c r="K867" i="11"/>
  <c r="K868" i="11"/>
  <c r="K869" i="11"/>
  <c r="K870" i="11"/>
  <c r="K871" i="11"/>
  <c r="K872" i="11"/>
  <c r="K873" i="11"/>
  <c r="K874" i="11"/>
  <c r="K875" i="11"/>
  <c r="K876" i="11"/>
  <c r="K877" i="11"/>
  <c r="K878" i="11"/>
  <c r="K879" i="11"/>
  <c r="K880" i="11"/>
  <c r="K881" i="11"/>
  <c r="K882" i="11"/>
  <c r="K883" i="11"/>
  <c r="K884" i="11"/>
  <c r="K885" i="11"/>
  <c r="K886" i="11"/>
  <c r="K887" i="11"/>
  <c r="K888" i="11"/>
  <c r="K889" i="11"/>
  <c r="K890" i="11"/>
  <c r="K891" i="11"/>
  <c r="K892" i="11"/>
  <c r="K893" i="11"/>
  <c r="K894" i="11"/>
  <c r="K895" i="11"/>
  <c r="K896" i="11"/>
  <c r="K897" i="11"/>
  <c r="K898" i="11"/>
  <c r="K899" i="11"/>
  <c r="K900" i="11"/>
  <c r="K901" i="11"/>
  <c r="K902" i="11"/>
  <c r="K903" i="11"/>
  <c r="K904" i="11"/>
  <c r="K905" i="11"/>
  <c r="K906" i="11"/>
  <c r="K907" i="11"/>
  <c r="K908" i="11"/>
  <c r="K909" i="11"/>
  <c r="K910" i="11"/>
  <c r="K911" i="11"/>
  <c r="K912" i="11"/>
  <c r="K913" i="11"/>
  <c r="K914" i="11"/>
  <c r="K915" i="11"/>
  <c r="K916" i="11"/>
  <c r="K917" i="11"/>
  <c r="K918" i="11"/>
  <c r="K919" i="11"/>
  <c r="K920" i="11"/>
  <c r="K921" i="11"/>
  <c r="K922" i="11"/>
  <c r="K923" i="11"/>
  <c r="K924" i="11"/>
  <c r="K925" i="11"/>
  <c r="K926" i="11"/>
  <c r="K927" i="11"/>
  <c r="K928" i="11"/>
  <c r="K929" i="11"/>
  <c r="K930" i="11"/>
  <c r="K931" i="11"/>
  <c r="K932" i="11"/>
  <c r="K933" i="11"/>
  <c r="K934" i="11"/>
  <c r="K935" i="11"/>
  <c r="K936" i="11"/>
  <c r="K937" i="11"/>
  <c r="K938" i="11"/>
  <c r="K939" i="11"/>
  <c r="K940" i="11"/>
  <c r="K941" i="11"/>
  <c r="K942" i="11"/>
  <c r="K943" i="11"/>
  <c r="K944" i="11"/>
  <c r="K945" i="11"/>
  <c r="K946" i="11"/>
  <c r="K947" i="11"/>
  <c r="K948" i="11"/>
  <c r="K949" i="11"/>
  <c r="K950" i="11"/>
  <c r="K951" i="11"/>
  <c r="K952" i="11"/>
  <c r="K953" i="11"/>
  <c r="K954" i="11"/>
  <c r="K955" i="11"/>
  <c r="K956" i="11"/>
  <c r="K957" i="11"/>
  <c r="K958" i="11"/>
  <c r="K959" i="11"/>
  <c r="K960" i="11"/>
  <c r="K961" i="11"/>
  <c r="K962" i="11"/>
  <c r="K963" i="11"/>
  <c r="K964" i="11"/>
  <c r="K965" i="11"/>
  <c r="K966" i="11"/>
  <c r="K967" i="11"/>
  <c r="K968" i="11"/>
  <c r="K969" i="11"/>
  <c r="K970" i="11"/>
  <c r="K971" i="11"/>
  <c r="K972" i="11"/>
  <c r="K973" i="11"/>
  <c r="K974" i="11"/>
  <c r="K975"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8" i="11"/>
  <c r="J559" i="11"/>
  <c r="J560" i="11"/>
  <c r="J561" i="11"/>
  <c r="J562" i="11"/>
  <c r="J563" i="11"/>
  <c r="J564" i="11"/>
  <c r="J565" i="11"/>
  <c r="J566" i="11"/>
  <c r="J567" i="11"/>
  <c r="J568" i="11"/>
  <c r="J569" i="11"/>
  <c r="J570" i="11"/>
  <c r="J571" i="11"/>
  <c r="J572" i="11"/>
  <c r="J573" i="11"/>
  <c r="J574" i="11"/>
  <c r="J575" i="11"/>
  <c r="J576" i="11"/>
  <c r="J577" i="11"/>
  <c r="J578" i="11"/>
  <c r="J579" i="11"/>
  <c r="J580" i="11"/>
  <c r="J581" i="11"/>
  <c r="J582" i="11"/>
  <c r="J583" i="11"/>
  <c r="J584" i="11"/>
  <c r="J585" i="11"/>
  <c r="J586" i="11"/>
  <c r="J587" i="11"/>
  <c r="J588" i="11"/>
  <c r="J589" i="11"/>
  <c r="J590" i="11"/>
  <c r="J591" i="11"/>
  <c r="J592" i="11"/>
  <c r="J593" i="11"/>
  <c r="J594" i="11"/>
  <c r="J595" i="11"/>
  <c r="J596" i="11"/>
  <c r="J597" i="11"/>
  <c r="J598" i="11"/>
  <c r="J599" i="11"/>
  <c r="J600" i="11"/>
  <c r="J601" i="11"/>
  <c r="J602" i="11"/>
  <c r="J603" i="11"/>
  <c r="J604" i="11"/>
  <c r="J605" i="11"/>
  <c r="J606" i="11"/>
  <c r="J607" i="11"/>
  <c r="J608" i="11"/>
  <c r="J609" i="11"/>
  <c r="J610" i="11"/>
  <c r="J611" i="11"/>
  <c r="J612" i="11"/>
  <c r="J613" i="11"/>
  <c r="J614" i="11"/>
  <c r="J615" i="11"/>
  <c r="J616" i="11"/>
  <c r="J617" i="11"/>
  <c r="J618" i="11"/>
  <c r="J619" i="11"/>
  <c r="J620" i="11"/>
  <c r="J621" i="11"/>
  <c r="J622" i="11"/>
  <c r="J623" i="11"/>
  <c r="J624" i="11"/>
  <c r="J625" i="11"/>
  <c r="J626" i="11"/>
  <c r="J627" i="11"/>
  <c r="J628" i="11"/>
  <c r="J629" i="11"/>
  <c r="J630" i="11"/>
  <c r="J631" i="11"/>
  <c r="J632" i="11"/>
  <c r="J633" i="11"/>
  <c r="J634" i="11"/>
  <c r="J635" i="11"/>
  <c r="J636" i="11"/>
  <c r="J637" i="11"/>
  <c r="J638" i="11"/>
  <c r="J639" i="11"/>
  <c r="J640" i="11"/>
  <c r="J641" i="11"/>
  <c r="J642" i="11"/>
  <c r="J643" i="11"/>
  <c r="J644" i="11"/>
  <c r="J645" i="11"/>
  <c r="J646" i="11"/>
  <c r="J647" i="11"/>
  <c r="J648" i="11"/>
  <c r="J649" i="11"/>
  <c r="J650" i="11"/>
  <c r="J651" i="11"/>
  <c r="J652" i="11"/>
  <c r="J653" i="11"/>
  <c r="J654" i="11"/>
  <c r="J655" i="11"/>
  <c r="J656" i="11"/>
  <c r="J657" i="11"/>
  <c r="J658" i="11"/>
  <c r="J659" i="11"/>
  <c r="J660" i="11"/>
  <c r="J661" i="11"/>
  <c r="J662" i="11"/>
  <c r="J663" i="11"/>
  <c r="J664" i="11"/>
  <c r="J665" i="11"/>
  <c r="J666" i="11"/>
  <c r="J667" i="11"/>
  <c r="J668" i="11"/>
  <c r="J669" i="11"/>
  <c r="J670" i="11"/>
  <c r="J671" i="11"/>
  <c r="J672" i="11"/>
  <c r="J673" i="11"/>
  <c r="J674" i="11"/>
  <c r="J675" i="11"/>
  <c r="J676" i="11"/>
  <c r="J677" i="11"/>
  <c r="J678" i="11"/>
  <c r="J679" i="11"/>
  <c r="J680" i="11"/>
  <c r="J681" i="11"/>
  <c r="J682" i="11"/>
  <c r="J683" i="11"/>
  <c r="J684" i="11"/>
  <c r="J685" i="11"/>
  <c r="J686" i="11"/>
  <c r="J687" i="11"/>
  <c r="J688" i="11"/>
  <c r="J689" i="11"/>
  <c r="J690" i="11"/>
  <c r="J691" i="11"/>
  <c r="J692" i="11"/>
  <c r="J693" i="11"/>
  <c r="J694" i="11"/>
  <c r="J695" i="11"/>
  <c r="J696" i="11"/>
  <c r="J697" i="11"/>
  <c r="J698" i="11"/>
  <c r="J699" i="11"/>
  <c r="J700" i="11"/>
  <c r="J701" i="11"/>
  <c r="J702" i="11"/>
  <c r="J703" i="11"/>
  <c r="J704" i="11"/>
  <c r="J705" i="11"/>
  <c r="J706" i="11"/>
  <c r="J707" i="11"/>
  <c r="J708" i="11"/>
  <c r="J709" i="11"/>
  <c r="J710" i="11"/>
  <c r="J711" i="11"/>
  <c r="J712" i="11"/>
  <c r="J713" i="11"/>
  <c r="J714" i="11"/>
  <c r="J715" i="11"/>
  <c r="J716" i="11"/>
  <c r="J717" i="11"/>
  <c r="J718" i="11"/>
  <c r="J719" i="11"/>
  <c r="J720" i="11"/>
  <c r="J721" i="11"/>
  <c r="J722" i="11"/>
  <c r="J723" i="11"/>
  <c r="J724" i="11"/>
  <c r="J725" i="11"/>
  <c r="J726" i="11"/>
  <c r="J727" i="11"/>
  <c r="J728" i="11"/>
  <c r="J729" i="11"/>
  <c r="J730" i="11"/>
  <c r="J731" i="11"/>
  <c r="J732" i="11"/>
  <c r="J733" i="11"/>
  <c r="J734" i="11"/>
  <c r="J735" i="11"/>
  <c r="J736" i="11"/>
  <c r="J737" i="11"/>
  <c r="J738" i="11"/>
  <c r="J739" i="11"/>
  <c r="J740" i="11"/>
  <c r="J741" i="11"/>
  <c r="J742" i="11"/>
  <c r="J743" i="11"/>
  <c r="J744" i="11"/>
  <c r="J745" i="11"/>
  <c r="J746" i="11"/>
  <c r="J747" i="11"/>
  <c r="J748" i="11"/>
  <c r="J749" i="11"/>
  <c r="J750" i="11"/>
  <c r="J751" i="11"/>
  <c r="J752" i="11"/>
  <c r="J753" i="11"/>
  <c r="J754" i="11"/>
  <c r="J755" i="11"/>
  <c r="J756" i="11"/>
  <c r="J757" i="11"/>
  <c r="J758" i="11"/>
  <c r="J759" i="11"/>
  <c r="J760" i="11"/>
  <c r="J761" i="11"/>
  <c r="J762" i="11"/>
  <c r="J763" i="11"/>
  <c r="J764" i="11"/>
  <c r="J765" i="11"/>
  <c r="J766" i="11"/>
  <c r="J767" i="11"/>
  <c r="J768" i="11"/>
  <c r="J769" i="11"/>
  <c r="J770" i="11"/>
  <c r="J771" i="11"/>
  <c r="J772" i="11"/>
  <c r="J773" i="11"/>
  <c r="J774" i="11"/>
  <c r="J775" i="11"/>
  <c r="J776" i="11"/>
  <c r="J777" i="11"/>
  <c r="J778" i="11"/>
  <c r="J779" i="11"/>
  <c r="J780" i="11"/>
  <c r="J781" i="11"/>
  <c r="J782" i="11"/>
  <c r="J783" i="11"/>
  <c r="J784" i="11"/>
  <c r="J785" i="11"/>
  <c r="J786" i="11"/>
  <c r="J787" i="11"/>
  <c r="J788" i="11"/>
  <c r="J789" i="11"/>
  <c r="J790" i="11"/>
  <c r="J791" i="11"/>
  <c r="J792" i="11"/>
  <c r="J793" i="11"/>
  <c r="J794" i="11"/>
  <c r="J795" i="11"/>
  <c r="J796" i="11"/>
  <c r="J797" i="11"/>
  <c r="J798" i="11"/>
  <c r="J799" i="11"/>
  <c r="J800" i="11"/>
  <c r="J801" i="11"/>
  <c r="J802" i="11"/>
  <c r="J803" i="11"/>
  <c r="J804" i="11"/>
  <c r="J805" i="11"/>
  <c r="J806" i="11"/>
  <c r="J807" i="11"/>
  <c r="J808" i="11"/>
  <c r="J809" i="11"/>
  <c r="J810" i="11"/>
  <c r="J811" i="11"/>
  <c r="J812" i="11"/>
  <c r="J813" i="11"/>
  <c r="J814" i="11"/>
  <c r="J815" i="11"/>
  <c r="J816" i="11"/>
  <c r="J817" i="11"/>
  <c r="J818" i="11"/>
  <c r="J819" i="11"/>
  <c r="J820" i="11"/>
  <c r="J821" i="11"/>
  <c r="J822" i="11"/>
  <c r="J823" i="11"/>
  <c r="J824" i="11"/>
  <c r="J825" i="11"/>
  <c r="J826" i="11"/>
  <c r="J827" i="11"/>
  <c r="J828" i="11"/>
  <c r="J829" i="11"/>
  <c r="J830" i="11"/>
  <c r="J831" i="11"/>
  <c r="J832" i="11"/>
  <c r="J833" i="11"/>
  <c r="J834" i="11"/>
  <c r="J835" i="11"/>
  <c r="J836" i="11"/>
  <c r="J837" i="11"/>
  <c r="J838" i="11"/>
  <c r="J839" i="11"/>
  <c r="J840" i="11"/>
  <c r="J841" i="11"/>
  <c r="J842" i="11"/>
  <c r="J843" i="11"/>
  <c r="J844" i="11"/>
  <c r="J845" i="11"/>
  <c r="J846" i="11"/>
  <c r="J847" i="11"/>
  <c r="J848" i="11"/>
  <c r="J849" i="11"/>
  <c r="J850" i="11"/>
  <c r="J851" i="11"/>
  <c r="J852" i="11"/>
  <c r="J853" i="11"/>
  <c r="J854" i="11"/>
  <c r="J855" i="11"/>
  <c r="J856" i="11"/>
  <c r="J857" i="11"/>
  <c r="J858" i="11"/>
  <c r="J859" i="11"/>
  <c r="J860" i="11"/>
  <c r="J861" i="11"/>
  <c r="J862" i="11"/>
  <c r="J863" i="11"/>
  <c r="J864" i="11"/>
  <c r="J865" i="11"/>
  <c r="J866" i="11"/>
  <c r="J867" i="11"/>
  <c r="J868" i="11"/>
  <c r="J869" i="11"/>
  <c r="J870" i="11"/>
  <c r="J871" i="11"/>
  <c r="J872" i="11"/>
  <c r="J873" i="11"/>
  <c r="J874" i="11"/>
  <c r="J875" i="11"/>
  <c r="J876" i="11"/>
  <c r="J877" i="11"/>
  <c r="J878" i="11"/>
  <c r="J879" i="11"/>
  <c r="J880" i="11"/>
  <c r="J881" i="11"/>
  <c r="J882" i="11"/>
  <c r="J883" i="11"/>
  <c r="J884" i="11"/>
  <c r="J885" i="11"/>
  <c r="J886" i="11"/>
  <c r="J887" i="11"/>
  <c r="J888" i="11"/>
  <c r="J889" i="11"/>
  <c r="J890" i="11"/>
  <c r="J891" i="11"/>
  <c r="J892" i="11"/>
  <c r="J893" i="11"/>
  <c r="J894" i="11"/>
  <c r="J895" i="11"/>
  <c r="J896" i="11"/>
  <c r="J897" i="11"/>
  <c r="J898" i="11"/>
  <c r="J899" i="11"/>
  <c r="J900" i="11"/>
  <c r="J901" i="11"/>
  <c r="J902" i="11"/>
  <c r="J903" i="11"/>
  <c r="J904" i="11"/>
  <c r="J905" i="11"/>
  <c r="J906" i="11"/>
  <c r="J907" i="11"/>
  <c r="J908" i="11"/>
  <c r="J909" i="11"/>
  <c r="J910" i="11"/>
  <c r="J911" i="11"/>
  <c r="J912" i="11"/>
  <c r="J913" i="11"/>
  <c r="J914" i="11"/>
  <c r="J915" i="11"/>
  <c r="J916" i="11"/>
  <c r="J917" i="11"/>
  <c r="J918" i="11"/>
  <c r="J919" i="11"/>
  <c r="J920" i="11"/>
  <c r="J921" i="11"/>
  <c r="J922" i="11"/>
  <c r="J923" i="11"/>
  <c r="J924" i="11"/>
  <c r="J925" i="11"/>
  <c r="J926" i="11"/>
  <c r="J927" i="11"/>
  <c r="J928" i="11"/>
  <c r="J929" i="11"/>
  <c r="J930" i="11"/>
  <c r="J931" i="11"/>
  <c r="J932" i="11"/>
  <c r="J933" i="11"/>
  <c r="J934" i="11"/>
  <c r="J935" i="11"/>
  <c r="J936" i="11"/>
  <c r="J937" i="11"/>
  <c r="J938" i="11"/>
  <c r="J939" i="11"/>
  <c r="J940" i="11"/>
  <c r="J941" i="11"/>
  <c r="J942" i="11"/>
  <c r="J943" i="11"/>
  <c r="J944" i="11"/>
  <c r="J945" i="11"/>
  <c r="J946" i="11"/>
  <c r="J947" i="11"/>
  <c r="J948" i="11"/>
  <c r="J949" i="11"/>
  <c r="J950" i="11"/>
  <c r="J951" i="11"/>
  <c r="J952" i="11"/>
  <c r="J953" i="11"/>
  <c r="J954" i="11"/>
  <c r="J955" i="11"/>
  <c r="J956" i="11"/>
  <c r="J957" i="11"/>
  <c r="J958" i="11"/>
  <c r="J959" i="11"/>
  <c r="J960" i="11"/>
  <c r="J961" i="11"/>
  <c r="J962" i="11"/>
  <c r="J963" i="11"/>
  <c r="J964" i="11"/>
  <c r="J965" i="11"/>
  <c r="J966" i="11"/>
  <c r="J967" i="11"/>
  <c r="J968" i="11"/>
  <c r="J969" i="11"/>
  <c r="J970" i="11"/>
  <c r="J971" i="11"/>
  <c r="J972" i="11"/>
  <c r="J973" i="11"/>
  <c r="J974" i="11"/>
  <c r="J975" i="11"/>
  <c r="K4" i="11"/>
  <c r="J4"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6"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191" i="11"/>
  <c r="M192" i="11"/>
  <c r="M193" i="11"/>
  <c r="M194" i="11"/>
  <c r="M195" i="11"/>
  <c r="M196" i="11"/>
  <c r="M197" i="11"/>
  <c r="M198" i="11"/>
  <c r="M199" i="11"/>
  <c r="M200" i="11"/>
  <c r="M201" i="11"/>
  <c r="M202" i="11"/>
  <c r="M203" i="11"/>
  <c r="M204" i="11"/>
  <c r="M205" i="11"/>
  <c r="M206" i="11"/>
  <c r="M207" i="11"/>
  <c r="M208" i="11"/>
  <c r="M209" i="11"/>
  <c r="M210" i="11"/>
  <c r="M211" i="11"/>
  <c r="M212" i="11"/>
  <c r="M213" i="11"/>
  <c r="M214" i="11"/>
  <c r="M215" i="11"/>
  <c r="M216" i="11"/>
  <c r="M217" i="11"/>
  <c r="M218" i="11"/>
  <c r="M219" i="11"/>
  <c r="M220" i="11"/>
  <c r="M221" i="11"/>
  <c r="M222" i="11"/>
  <c r="M223" i="11"/>
  <c r="M224" i="11"/>
  <c r="M225" i="11"/>
  <c r="M226" i="11"/>
  <c r="M227" i="11"/>
  <c r="M228" i="11"/>
  <c r="M229" i="11"/>
  <c r="M230" i="11"/>
  <c r="M231" i="11"/>
  <c r="M232" i="11"/>
  <c r="M233" i="11"/>
  <c r="M234" i="11"/>
  <c r="M235" i="11"/>
  <c r="M236" i="11"/>
  <c r="M237" i="11"/>
  <c r="M238" i="11"/>
  <c r="M239" i="11"/>
  <c r="M240" i="11"/>
  <c r="M241" i="11"/>
  <c r="M242" i="11"/>
  <c r="M243" i="11"/>
  <c r="M244" i="11"/>
  <c r="M245" i="11"/>
  <c r="M246" i="11"/>
  <c r="M247" i="11"/>
  <c r="M248" i="11"/>
  <c r="M249" i="11"/>
  <c r="M250" i="11"/>
  <c r="M251" i="11"/>
  <c r="M252" i="11"/>
  <c r="M253" i="11"/>
  <c r="M254" i="11"/>
  <c r="M255" i="11"/>
  <c r="M256" i="11"/>
  <c r="M257" i="11"/>
  <c r="M258" i="11"/>
  <c r="M259" i="11"/>
  <c r="M260" i="11"/>
  <c r="M261" i="11"/>
  <c r="M262" i="11"/>
  <c r="M263" i="11"/>
  <c r="M264" i="11"/>
  <c r="M265" i="11"/>
  <c r="M266" i="11"/>
  <c r="M267" i="11"/>
  <c r="M268" i="11"/>
  <c r="M269" i="11"/>
  <c r="M270" i="11"/>
  <c r="M271" i="11"/>
  <c r="M272" i="11"/>
  <c r="M273" i="11"/>
  <c r="M274" i="11"/>
  <c r="M275" i="11"/>
  <c r="M276" i="11"/>
  <c r="M277" i="11"/>
  <c r="M278" i="11"/>
  <c r="M279" i="11"/>
  <c r="M280" i="11"/>
  <c r="M281" i="11"/>
  <c r="M282" i="11"/>
  <c r="M283" i="11"/>
  <c r="M284" i="11"/>
  <c r="M285" i="11"/>
  <c r="M286" i="11"/>
  <c r="M287" i="11"/>
  <c r="M288" i="11"/>
  <c r="M289" i="11"/>
  <c r="M290" i="11"/>
  <c r="M291" i="11"/>
  <c r="M292" i="11"/>
  <c r="M293" i="11"/>
  <c r="M294" i="11"/>
  <c r="M295" i="11"/>
  <c r="M296" i="11"/>
  <c r="M297" i="11"/>
  <c r="M298" i="11"/>
  <c r="M299" i="11"/>
  <c r="M300" i="11"/>
  <c r="M301" i="11"/>
  <c r="M302" i="11"/>
  <c r="M303" i="11"/>
  <c r="M304" i="11"/>
  <c r="M305" i="11"/>
  <c r="M306" i="11"/>
  <c r="M307" i="11"/>
  <c r="M308" i="11"/>
  <c r="M309" i="11"/>
  <c r="M310" i="11"/>
  <c r="M311" i="11"/>
  <c r="M312" i="11"/>
  <c r="M313" i="11"/>
  <c r="M314" i="11"/>
  <c r="M315" i="11"/>
  <c r="M316" i="11"/>
  <c r="M317" i="11"/>
  <c r="M318" i="11"/>
  <c r="M319" i="11"/>
  <c r="M320" i="11"/>
  <c r="M321" i="11"/>
  <c r="M322" i="11"/>
  <c r="M323" i="11"/>
  <c r="M324" i="11"/>
  <c r="M325" i="11"/>
  <c r="M326" i="11"/>
  <c r="M327" i="11"/>
  <c r="M328" i="11"/>
  <c r="M329" i="11"/>
  <c r="M330" i="11"/>
  <c r="M331" i="11"/>
  <c r="M332" i="11"/>
  <c r="M333" i="11"/>
  <c r="M334" i="11"/>
  <c r="M335" i="11"/>
  <c r="M336" i="11"/>
  <c r="M337" i="11"/>
  <c r="M338" i="11"/>
  <c r="M339" i="11"/>
  <c r="M340" i="11"/>
  <c r="M341" i="11"/>
  <c r="M342" i="11"/>
  <c r="M343" i="11"/>
  <c r="M344" i="11"/>
  <c r="M345" i="11"/>
  <c r="M346" i="11"/>
  <c r="M347" i="11"/>
  <c r="M348" i="11"/>
  <c r="M349" i="11"/>
  <c r="M350" i="11"/>
  <c r="M351" i="11"/>
  <c r="M352" i="11"/>
  <c r="M353" i="11"/>
  <c r="M354" i="11"/>
  <c r="M355" i="11"/>
  <c r="M356" i="11"/>
  <c r="M357" i="11"/>
  <c r="M358" i="11"/>
  <c r="M359" i="11"/>
  <c r="M360" i="11"/>
  <c r="M361" i="11"/>
  <c r="M362" i="11"/>
  <c r="M363" i="11"/>
  <c r="M364" i="11"/>
  <c r="M365" i="11"/>
  <c r="M366" i="11"/>
  <c r="M367" i="11"/>
  <c r="M368" i="11"/>
  <c r="M369" i="11"/>
  <c r="M370" i="11"/>
  <c r="M371" i="11"/>
  <c r="M372" i="11"/>
  <c r="M373" i="11"/>
  <c r="M374" i="11"/>
  <c r="M375" i="11"/>
  <c r="M376" i="11"/>
  <c r="M377" i="11"/>
  <c r="M378" i="11"/>
  <c r="M379" i="11"/>
  <c r="M380" i="11"/>
  <c r="M381" i="11"/>
  <c r="M382" i="11"/>
  <c r="M383" i="11"/>
  <c r="M384" i="11"/>
  <c r="M385" i="11"/>
  <c r="M386" i="11"/>
  <c r="M387" i="11"/>
  <c r="M388" i="11"/>
  <c r="M389" i="11"/>
  <c r="M390" i="11"/>
  <c r="M391" i="11"/>
  <c r="M392" i="11"/>
  <c r="M393" i="11"/>
  <c r="M394" i="11"/>
  <c r="M395" i="11"/>
  <c r="M396" i="11"/>
  <c r="M397" i="11"/>
  <c r="M398" i="11"/>
  <c r="M399" i="11"/>
  <c r="M400" i="11"/>
  <c r="M401" i="11"/>
  <c r="M402" i="11"/>
  <c r="M403" i="11"/>
  <c r="M404" i="11"/>
  <c r="M405" i="11"/>
  <c r="M406" i="11"/>
  <c r="M407" i="11"/>
  <c r="M408" i="11"/>
  <c r="M409" i="11"/>
  <c r="M410" i="11"/>
  <c r="M411" i="11"/>
  <c r="M412" i="11"/>
  <c r="M413" i="11"/>
  <c r="M414" i="11"/>
  <c r="M415" i="11"/>
  <c r="M416" i="11"/>
  <c r="M417" i="11"/>
  <c r="M418" i="11"/>
  <c r="M419" i="11"/>
  <c r="M420" i="11"/>
  <c r="M421" i="11"/>
  <c r="M422" i="11"/>
  <c r="M423" i="11"/>
  <c r="M424" i="11"/>
  <c r="M425" i="11"/>
  <c r="M426" i="11"/>
  <c r="M427" i="11"/>
  <c r="M428" i="11"/>
  <c r="M429" i="11"/>
  <c r="M430" i="11"/>
  <c r="M431" i="11"/>
  <c r="M432" i="11"/>
  <c r="M433" i="11"/>
  <c r="M434" i="11"/>
  <c r="M435" i="11"/>
  <c r="M436" i="11"/>
  <c r="M437" i="11"/>
  <c r="M438" i="11"/>
  <c r="M439" i="11"/>
  <c r="M440" i="11"/>
  <c r="M441" i="11"/>
  <c r="M442" i="11"/>
  <c r="M443" i="11"/>
  <c r="M444" i="11"/>
  <c r="M445" i="11"/>
  <c r="M446" i="11"/>
  <c r="M447" i="11"/>
  <c r="M448" i="11"/>
  <c r="M449" i="11"/>
  <c r="M450" i="11"/>
  <c r="M451" i="11"/>
  <c r="M452" i="11"/>
  <c r="M453" i="11"/>
  <c r="M454" i="11"/>
  <c r="M455" i="11"/>
  <c r="M456" i="11"/>
  <c r="M457" i="11"/>
  <c r="M458" i="11"/>
  <c r="M459" i="11"/>
  <c r="M460" i="11"/>
  <c r="M461" i="11"/>
  <c r="M462" i="11"/>
  <c r="M463" i="11"/>
  <c r="M464" i="11"/>
  <c r="M465" i="11"/>
  <c r="M466" i="11"/>
  <c r="M467" i="11"/>
  <c r="M468" i="11"/>
  <c r="M469" i="11"/>
  <c r="M470" i="11"/>
  <c r="M471" i="11"/>
  <c r="M472" i="11"/>
  <c r="M473" i="11"/>
  <c r="M474" i="11"/>
  <c r="M475" i="11"/>
  <c r="M476" i="11"/>
  <c r="M477" i="11"/>
  <c r="M478" i="11"/>
  <c r="M479" i="11"/>
  <c r="M480" i="11"/>
  <c r="M481" i="11"/>
  <c r="M482" i="11"/>
  <c r="M483" i="11"/>
  <c r="M484" i="11"/>
  <c r="M485" i="11"/>
  <c r="M486" i="11"/>
  <c r="M487" i="11"/>
  <c r="M488" i="11"/>
  <c r="M489" i="11"/>
  <c r="M490" i="11"/>
  <c r="M491" i="11"/>
  <c r="M492" i="11"/>
  <c r="M493" i="11"/>
  <c r="M494" i="11"/>
  <c r="M495" i="11"/>
  <c r="M496" i="11"/>
  <c r="M497" i="11"/>
  <c r="M498" i="11"/>
  <c r="M499" i="11"/>
  <c r="M500" i="11"/>
  <c r="M501" i="11"/>
  <c r="M502" i="11"/>
  <c r="M503" i="11"/>
  <c r="M504" i="11"/>
  <c r="M505" i="11"/>
  <c r="M506" i="11"/>
  <c r="M507" i="11"/>
  <c r="M508" i="11"/>
  <c r="M509" i="11"/>
  <c r="M510" i="11"/>
  <c r="M511" i="11"/>
  <c r="M512" i="11"/>
  <c r="M513" i="11"/>
  <c r="M514" i="11"/>
  <c r="M515" i="11"/>
  <c r="M516" i="11"/>
  <c r="M517" i="11"/>
  <c r="M518" i="11"/>
  <c r="M519" i="11"/>
  <c r="M520" i="11"/>
  <c r="M521" i="11"/>
  <c r="M522" i="11"/>
  <c r="M523" i="11"/>
  <c r="M524" i="11"/>
  <c r="M525" i="11"/>
  <c r="M526" i="11"/>
  <c r="M527" i="11"/>
  <c r="M528" i="11"/>
  <c r="M529" i="11"/>
  <c r="M530" i="11"/>
  <c r="M531" i="11"/>
  <c r="M532" i="11"/>
  <c r="M533" i="11"/>
  <c r="M534" i="11"/>
  <c r="M535" i="11"/>
  <c r="M536" i="11"/>
  <c r="M537" i="11"/>
  <c r="M538" i="11"/>
  <c r="M539" i="11"/>
  <c r="M540" i="11"/>
  <c r="M541" i="11"/>
  <c r="M542" i="11"/>
  <c r="M543" i="11"/>
  <c r="M544" i="11"/>
  <c r="M545" i="11"/>
  <c r="M546" i="11"/>
  <c r="M547" i="11"/>
  <c r="M548" i="11"/>
  <c r="M549" i="11"/>
  <c r="M550" i="11"/>
  <c r="M551" i="11"/>
  <c r="M552" i="11"/>
  <c r="M553" i="11"/>
  <c r="M554" i="11"/>
  <c r="M555" i="11"/>
  <c r="M556" i="11"/>
  <c r="M557" i="11"/>
  <c r="M558" i="11"/>
  <c r="M559" i="11"/>
  <c r="M560" i="11"/>
  <c r="M561" i="11"/>
  <c r="M562" i="11"/>
  <c r="M563" i="11"/>
  <c r="M564" i="11"/>
  <c r="M565" i="11"/>
  <c r="M566" i="11"/>
  <c r="M567" i="11"/>
  <c r="M568" i="11"/>
  <c r="M569" i="11"/>
  <c r="M570" i="11"/>
  <c r="M571" i="11"/>
  <c r="M572" i="11"/>
  <c r="M573" i="11"/>
  <c r="M574" i="11"/>
  <c r="M575" i="11"/>
  <c r="M576" i="11"/>
  <c r="M577" i="11"/>
  <c r="M578" i="11"/>
  <c r="M579" i="11"/>
  <c r="M580" i="11"/>
  <c r="M581" i="11"/>
  <c r="M582" i="11"/>
  <c r="M583" i="11"/>
  <c r="M584" i="11"/>
  <c r="M585" i="11"/>
  <c r="M586" i="11"/>
  <c r="M587" i="11"/>
  <c r="M588" i="11"/>
  <c r="M589" i="11"/>
  <c r="M590" i="11"/>
  <c r="M591" i="11"/>
  <c r="M592" i="11"/>
  <c r="M593" i="11"/>
  <c r="M594" i="11"/>
  <c r="M595" i="11"/>
  <c r="M596" i="11"/>
  <c r="M597" i="11"/>
  <c r="M598" i="11"/>
  <c r="M599" i="11"/>
  <c r="M600" i="11"/>
  <c r="M601" i="11"/>
  <c r="M602" i="11"/>
  <c r="M603" i="11"/>
  <c r="M604" i="11"/>
  <c r="M605" i="11"/>
  <c r="M606" i="11"/>
  <c r="M607" i="11"/>
  <c r="M608" i="11"/>
  <c r="M609" i="11"/>
  <c r="M610" i="11"/>
  <c r="M611" i="11"/>
  <c r="M612" i="11"/>
  <c r="M613" i="11"/>
  <c r="M614" i="11"/>
  <c r="M615" i="11"/>
  <c r="M616" i="11"/>
  <c r="M617" i="11"/>
  <c r="M618" i="11"/>
  <c r="M619" i="11"/>
  <c r="M620" i="11"/>
  <c r="M621" i="11"/>
  <c r="M622" i="11"/>
  <c r="M623" i="11"/>
  <c r="M624" i="11"/>
  <c r="M625" i="11"/>
  <c r="M626" i="11"/>
  <c r="M627" i="11"/>
  <c r="M628" i="11"/>
  <c r="M629" i="11"/>
  <c r="M630" i="11"/>
  <c r="M631" i="11"/>
  <c r="M632" i="11"/>
  <c r="M633" i="11"/>
  <c r="M634" i="11"/>
  <c r="M635" i="11"/>
  <c r="M636" i="11"/>
  <c r="M637" i="11"/>
  <c r="M638" i="11"/>
  <c r="M639" i="11"/>
  <c r="M640" i="11"/>
  <c r="M641" i="11"/>
  <c r="M642" i="11"/>
  <c r="M643" i="11"/>
  <c r="M644" i="11"/>
  <c r="M645" i="11"/>
  <c r="M646" i="11"/>
  <c r="M647" i="11"/>
  <c r="M648" i="11"/>
  <c r="M649" i="11"/>
  <c r="M650" i="11"/>
  <c r="M651" i="11"/>
  <c r="M652" i="11"/>
  <c r="M653" i="11"/>
  <c r="M654" i="11"/>
  <c r="M655" i="11"/>
  <c r="M656" i="11"/>
  <c r="M657" i="11"/>
  <c r="M658" i="11"/>
  <c r="M659" i="11"/>
  <c r="M660" i="11"/>
  <c r="M661" i="11"/>
  <c r="M662" i="11"/>
  <c r="M663" i="11"/>
  <c r="M664" i="11"/>
  <c r="M665" i="11"/>
  <c r="M666" i="11"/>
  <c r="M667" i="11"/>
  <c r="M668" i="11"/>
  <c r="M669" i="11"/>
  <c r="M670" i="11"/>
  <c r="M671" i="11"/>
  <c r="M672" i="11"/>
  <c r="M673" i="11"/>
  <c r="M674" i="11"/>
  <c r="M675" i="11"/>
  <c r="M676" i="11"/>
  <c r="M677" i="11"/>
  <c r="M678" i="11"/>
  <c r="M679" i="11"/>
  <c r="M680" i="11"/>
  <c r="M681" i="11"/>
  <c r="M682" i="11"/>
  <c r="M683" i="11"/>
  <c r="M684" i="11"/>
  <c r="M685" i="11"/>
  <c r="M686" i="11"/>
  <c r="M687" i="11"/>
  <c r="M688" i="11"/>
  <c r="M689" i="11"/>
  <c r="M690" i="11"/>
  <c r="M691" i="11"/>
  <c r="M692" i="11"/>
  <c r="M693" i="11"/>
  <c r="M694" i="11"/>
  <c r="M695" i="11"/>
  <c r="M696" i="11"/>
  <c r="M697" i="11"/>
  <c r="M698" i="11"/>
  <c r="M699" i="11"/>
  <c r="M700" i="11"/>
  <c r="M701" i="11"/>
  <c r="M702" i="11"/>
  <c r="M703" i="11"/>
  <c r="M704" i="11"/>
  <c r="M705" i="11"/>
  <c r="M706" i="11"/>
  <c r="M707" i="11"/>
  <c r="M708" i="11"/>
  <c r="M709" i="11"/>
  <c r="M710" i="11"/>
  <c r="M711" i="11"/>
  <c r="M712" i="11"/>
  <c r="M713" i="11"/>
  <c r="M714" i="11"/>
  <c r="M715" i="11"/>
  <c r="M716" i="11"/>
  <c r="M717" i="11"/>
  <c r="M718" i="11"/>
  <c r="M719" i="11"/>
  <c r="M720" i="11"/>
  <c r="M721" i="11"/>
  <c r="M722" i="11"/>
  <c r="M723" i="11"/>
  <c r="M724" i="11"/>
  <c r="M725" i="11"/>
  <c r="M726" i="11"/>
  <c r="M727" i="11"/>
  <c r="M728" i="11"/>
  <c r="M729" i="11"/>
  <c r="M730" i="11"/>
  <c r="M731" i="11"/>
  <c r="M732" i="11"/>
  <c r="M733" i="11"/>
  <c r="M734" i="11"/>
  <c r="M735" i="11"/>
  <c r="M736" i="11"/>
  <c r="M737" i="11"/>
  <c r="M738" i="11"/>
  <c r="M739" i="11"/>
  <c r="M740" i="11"/>
  <c r="M741" i="11"/>
  <c r="M742" i="11"/>
  <c r="M743" i="11"/>
  <c r="M744" i="11"/>
  <c r="M745" i="11"/>
  <c r="M746" i="11"/>
  <c r="M747" i="11"/>
  <c r="M748" i="11"/>
  <c r="M749" i="11"/>
  <c r="M750" i="11"/>
  <c r="M751" i="11"/>
  <c r="M752" i="11"/>
  <c r="M753" i="11"/>
  <c r="M754" i="11"/>
  <c r="M755" i="11"/>
  <c r="M756" i="11"/>
  <c r="M757" i="11"/>
  <c r="M758" i="11"/>
  <c r="M759" i="11"/>
  <c r="M760" i="11"/>
  <c r="M761" i="11"/>
  <c r="M762" i="11"/>
  <c r="M763" i="11"/>
  <c r="M764" i="11"/>
  <c r="M765" i="11"/>
  <c r="M766" i="11"/>
  <c r="M767" i="11"/>
  <c r="M768" i="11"/>
  <c r="M769" i="11"/>
  <c r="M770" i="11"/>
  <c r="M771" i="11"/>
  <c r="M772" i="11"/>
  <c r="M773" i="11"/>
  <c r="M774" i="11"/>
  <c r="M775" i="11"/>
  <c r="M776" i="11"/>
  <c r="M777" i="11"/>
  <c r="M778" i="11"/>
  <c r="M779" i="11"/>
  <c r="M780" i="11"/>
  <c r="M781" i="11"/>
  <c r="M782" i="11"/>
  <c r="M783" i="11"/>
  <c r="M784" i="11"/>
  <c r="M785" i="11"/>
  <c r="M786" i="11"/>
  <c r="M787" i="11"/>
  <c r="M788" i="11"/>
  <c r="M789" i="11"/>
  <c r="M790" i="11"/>
  <c r="M791" i="11"/>
  <c r="M792" i="11"/>
  <c r="M793" i="11"/>
  <c r="M794" i="11"/>
  <c r="M795" i="11"/>
  <c r="M796" i="11"/>
  <c r="M797" i="11"/>
  <c r="M798" i="11"/>
  <c r="M799" i="11"/>
  <c r="M800" i="11"/>
  <c r="M801" i="11"/>
  <c r="M802" i="11"/>
  <c r="M803" i="11"/>
  <c r="M804" i="11"/>
  <c r="M805" i="11"/>
  <c r="M806" i="11"/>
  <c r="M807" i="11"/>
  <c r="M808" i="11"/>
  <c r="M809" i="11"/>
  <c r="M810" i="11"/>
  <c r="M811" i="11"/>
  <c r="M812" i="11"/>
  <c r="M813" i="11"/>
  <c r="M814" i="11"/>
  <c r="M815" i="11"/>
  <c r="M816" i="11"/>
  <c r="M817" i="11"/>
  <c r="M818" i="11"/>
  <c r="M819" i="11"/>
  <c r="M820" i="11"/>
  <c r="M821" i="11"/>
  <c r="M822" i="11"/>
  <c r="M823" i="11"/>
  <c r="M824" i="11"/>
  <c r="M825" i="11"/>
  <c r="M826" i="11"/>
  <c r="M827" i="11"/>
  <c r="M828" i="11"/>
  <c r="M829" i="11"/>
  <c r="M830" i="11"/>
  <c r="M831" i="11"/>
  <c r="M832" i="11"/>
  <c r="M833" i="11"/>
  <c r="M834" i="11"/>
  <c r="M835" i="11"/>
  <c r="M836" i="11"/>
  <c r="M837" i="11"/>
  <c r="M838" i="11"/>
  <c r="M839" i="11"/>
  <c r="M840" i="11"/>
  <c r="M841" i="11"/>
  <c r="M842" i="11"/>
  <c r="M843" i="11"/>
  <c r="M844" i="11"/>
  <c r="M845" i="11"/>
  <c r="M846" i="11"/>
  <c r="M847" i="11"/>
  <c r="M848" i="11"/>
  <c r="M849" i="11"/>
  <c r="M850" i="11"/>
  <c r="M851" i="11"/>
  <c r="M852" i="11"/>
  <c r="M853" i="11"/>
  <c r="M854" i="11"/>
  <c r="M855" i="11"/>
  <c r="M856" i="11"/>
  <c r="M857" i="11"/>
  <c r="M858" i="11"/>
  <c r="M859" i="11"/>
  <c r="M860" i="11"/>
  <c r="M861" i="11"/>
  <c r="M862" i="11"/>
  <c r="M863" i="11"/>
  <c r="M864" i="11"/>
  <c r="M865" i="11"/>
  <c r="M866" i="11"/>
  <c r="M867" i="11"/>
  <c r="M868" i="11"/>
  <c r="M869" i="11"/>
  <c r="M870" i="11"/>
  <c r="M871" i="11"/>
  <c r="M872" i="11"/>
  <c r="M873" i="11"/>
  <c r="M874" i="11"/>
  <c r="M875" i="11"/>
  <c r="M876" i="11"/>
  <c r="M877" i="11"/>
  <c r="M878" i="11"/>
  <c r="M879" i="11"/>
  <c r="M880" i="11"/>
  <c r="M881" i="11"/>
  <c r="M882" i="11"/>
  <c r="M883" i="11"/>
  <c r="M884" i="11"/>
  <c r="M885" i="11"/>
  <c r="M886" i="11"/>
  <c r="M887" i="11"/>
  <c r="M888" i="11"/>
  <c r="M889" i="11"/>
  <c r="M890" i="11"/>
  <c r="M891" i="11"/>
  <c r="M892" i="11"/>
  <c r="M893" i="11"/>
  <c r="M894" i="11"/>
  <c r="M895" i="11"/>
  <c r="M896" i="11"/>
  <c r="M897" i="11"/>
  <c r="M898" i="11"/>
  <c r="M899" i="11"/>
  <c r="M900" i="11"/>
  <c r="M901" i="11"/>
  <c r="M902" i="11"/>
  <c r="M903" i="11"/>
  <c r="M904" i="11"/>
  <c r="M905" i="11"/>
  <c r="M906" i="11"/>
  <c r="M907" i="11"/>
  <c r="M908" i="11"/>
  <c r="M909" i="11"/>
  <c r="M910" i="11"/>
  <c r="M911" i="11"/>
  <c r="M912" i="11"/>
  <c r="M913" i="11"/>
  <c r="M914" i="11"/>
  <c r="M915" i="11"/>
  <c r="M916" i="11"/>
  <c r="M917" i="11"/>
  <c r="M918" i="11"/>
  <c r="M919" i="11"/>
  <c r="M920" i="11"/>
  <c r="M921" i="11"/>
  <c r="M922" i="11"/>
  <c r="M923" i="11"/>
  <c r="M924" i="11"/>
  <c r="M925" i="11"/>
  <c r="M926" i="11"/>
  <c r="M927" i="11"/>
  <c r="M928" i="11"/>
  <c r="M929" i="11"/>
  <c r="M930" i="11"/>
  <c r="M931" i="11"/>
  <c r="M932" i="11"/>
  <c r="M933" i="11"/>
  <c r="M934" i="11"/>
  <c r="M935" i="11"/>
  <c r="M936" i="11"/>
  <c r="M937" i="11"/>
  <c r="M938" i="11"/>
  <c r="M939" i="11"/>
  <c r="M940" i="11"/>
  <c r="M941" i="11"/>
  <c r="M942" i="11"/>
  <c r="M943" i="11"/>
  <c r="M944" i="11"/>
  <c r="M945" i="11"/>
  <c r="M946" i="11"/>
  <c r="M947" i="11"/>
  <c r="M948" i="11"/>
  <c r="M949" i="11"/>
  <c r="M950" i="11"/>
  <c r="M951" i="11"/>
  <c r="M952" i="11"/>
  <c r="M953" i="11"/>
  <c r="M954" i="11"/>
  <c r="M955" i="11"/>
  <c r="M956" i="11"/>
  <c r="M957" i="11"/>
  <c r="M958" i="11"/>
  <c r="M959" i="11"/>
  <c r="M960" i="11"/>
  <c r="M961" i="11"/>
  <c r="M962" i="11"/>
  <c r="M963" i="11"/>
  <c r="M964" i="11"/>
  <c r="M965" i="11"/>
  <c r="M966" i="11"/>
  <c r="M967" i="11"/>
  <c r="M968" i="11"/>
  <c r="M969" i="11"/>
  <c r="M970" i="11"/>
  <c r="M971" i="11"/>
  <c r="M972" i="11"/>
  <c r="M973" i="11"/>
  <c r="M974" i="11"/>
  <c r="M975" i="11"/>
  <c r="M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C5" i="11" l="1"/>
  <c r="D5" i="11"/>
  <c r="C6" i="11"/>
  <c r="D6" i="11"/>
  <c r="C7" i="11"/>
  <c r="D7" i="11"/>
  <c r="C8" i="11"/>
  <c r="D8" i="11"/>
  <c r="C9" i="11"/>
  <c r="D9" i="11"/>
  <c r="C10" i="11"/>
  <c r="D10" i="11"/>
  <c r="C11" i="11"/>
  <c r="D11" i="11"/>
  <c r="C12" i="11"/>
  <c r="D12" i="11"/>
  <c r="C13" i="11"/>
  <c r="D13" i="11"/>
  <c r="C14" i="11"/>
  <c r="D14" i="11"/>
  <c r="C15" i="11"/>
  <c r="D15" i="11"/>
  <c r="C16" i="11"/>
  <c r="D16" i="11"/>
  <c r="C17" i="11"/>
  <c r="D17" i="11"/>
  <c r="C18" i="11"/>
  <c r="D18" i="11"/>
  <c r="C19" i="11"/>
  <c r="D19" i="11"/>
  <c r="C20" i="11"/>
  <c r="D20" i="11"/>
  <c r="C21" i="11"/>
  <c r="D21" i="11"/>
  <c r="C22" i="11"/>
  <c r="D22" i="11"/>
  <c r="C23" i="11"/>
  <c r="D23" i="11"/>
  <c r="C24" i="11"/>
  <c r="D24" i="11"/>
  <c r="C25" i="11"/>
  <c r="D25" i="11"/>
  <c r="C26" i="11"/>
  <c r="D26" i="11"/>
  <c r="C27" i="11"/>
  <c r="D27" i="11"/>
  <c r="C28" i="11"/>
  <c r="D28" i="11"/>
  <c r="C29" i="11"/>
  <c r="D29" i="11"/>
  <c r="C30" i="11"/>
  <c r="D30" i="11"/>
  <c r="C31" i="11"/>
  <c r="D31" i="11"/>
  <c r="C32" i="11"/>
  <c r="D32" i="11"/>
  <c r="C33" i="11"/>
  <c r="D33" i="11"/>
  <c r="C34" i="11"/>
  <c r="D34" i="11"/>
  <c r="C35" i="11"/>
  <c r="D35" i="11"/>
  <c r="C36" i="11"/>
  <c r="D36" i="11"/>
  <c r="C37" i="11"/>
  <c r="D37" i="11"/>
  <c r="C38" i="11"/>
  <c r="D38" i="11"/>
  <c r="C39" i="11"/>
  <c r="D39" i="11"/>
  <c r="C40" i="11"/>
  <c r="D40" i="11"/>
  <c r="C41" i="11"/>
  <c r="D41" i="11"/>
  <c r="C42" i="11"/>
  <c r="D42" i="11"/>
  <c r="C43" i="11"/>
  <c r="D43" i="11"/>
  <c r="C44" i="11"/>
  <c r="D44" i="11"/>
  <c r="C45" i="11"/>
  <c r="D45" i="11"/>
  <c r="C46" i="11"/>
  <c r="D46" i="11"/>
  <c r="C47" i="11"/>
  <c r="D47" i="11"/>
  <c r="C48" i="11"/>
  <c r="D48" i="11"/>
  <c r="C49" i="11"/>
  <c r="D49" i="11"/>
  <c r="C50" i="11"/>
  <c r="D50" i="11"/>
  <c r="C51" i="11"/>
  <c r="D51" i="11"/>
  <c r="C52" i="11"/>
  <c r="D52" i="11"/>
  <c r="C53" i="11"/>
  <c r="D53" i="11"/>
  <c r="C54" i="11"/>
  <c r="D54" i="11"/>
  <c r="C55" i="11"/>
  <c r="D55" i="11"/>
  <c r="C56" i="11"/>
  <c r="D56" i="11"/>
  <c r="C57" i="11"/>
  <c r="D57" i="11"/>
  <c r="C58" i="11"/>
  <c r="D58" i="11"/>
  <c r="C59" i="11"/>
  <c r="D59" i="11"/>
  <c r="C60" i="11"/>
  <c r="D60" i="11"/>
  <c r="C61" i="11"/>
  <c r="D61" i="11"/>
  <c r="C62" i="11"/>
  <c r="D62" i="11"/>
  <c r="C63" i="11"/>
  <c r="D63" i="11"/>
  <c r="C64" i="11"/>
  <c r="D64" i="11"/>
  <c r="C65" i="11"/>
  <c r="D65" i="11"/>
  <c r="C66" i="11"/>
  <c r="D66" i="11"/>
  <c r="C67" i="11"/>
  <c r="D67" i="11"/>
  <c r="C68" i="11"/>
  <c r="D68" i="11"/>
  <c r="C69" i="11"/>
  <c r="D69" i="11"/>
  <c r="C70" i="11"/>
  <c r="D70" i="11"/>
  <c r="C71" i="11"/>
  <c r="D71" i="11"/>
  <c r="C72" i="11"/>
  <c r="D72" i="11"/>
  <c r="C73" i="11"/>
  <c r="D73" i="11"/>
  <c r="C74" i="11"/>
  <c r="D74" i="11"/>
  <c r="C75" i="11"/>
  <c r="D75" i="11"/>
  <c r="C76" i="11"/>
  <c r="D76" i="11"/>
  <c r="C77" i="11"/>
  <c r="D77" i="11"/>
  <c r="C78" i="11"/>
  <c r="D78" i="11"/>
  <c r="C79" i="11"/>
  <c r="D79" i="11"/>
  <c r="C80" i="11"/>
  <c r="D80" i="11"/>
  <c r="C81" i="11"/>
  <c r="D81" i="11"/>
  <c r="C82" i="11"/>
  <c r="D82" i="11"/>
  <c r="C83" i="11"/>
  <c r="D83" i="11"/>
  <c r="C84" i="11"/>
  <c r="D84" i="11"/>
  <c r="C85" i="11"/>
  <c r="D85" i="11"/>
  <c r="C86" i="11"/>
  <c r="D86" i="11"/>
  <c r="C87" i="11"/>
  <c r="D87" i="11"/>
  <c r="C88" i="11"/>
  <c r="D88" i="11"/>
  <c r="C89" i="11"/>
  <c r="D89" i="11"/>
  <c r="C90" i="11"/>
  <c r="D90" i="11"/>
  <c r="C91" i="11"/>
  <c r="D91" i="11"/>
  <c r="C92" i="11"/>
  <c r="D92" i="11"/>
  <c r="C93" i="11"/>
  <c r="D93" i="11"/>
  <c r="C94" i="11"/>
  <c r="D94" i="11"/>
  <c r="C95" i="11"/>
  <c r="D95" i="11"/>
  <c r="C96" i="11"/>
  <c r="D96" i="11"/>
  <c r="C97" i="11"/>
  <c r="D97" i="11"/>
  <c r="C98" i="11"/>
  <c r="D98" i="11"/>
  <c r="C99" i="11"/>
  <c r="D99" i="11"/>
  <c r="C100" i="11"/>
  <c r="D100" i="11"/>
  <c r="C101" i="11"/>
  <c r="D101" i="11"/>
  <c r="C102" i="11"/>
  <c r="D102" i="11"/>
  <c r="C103" i="11"/>
  <c r="D103" i="11"/>
  <c r="C104" i="11"/>
  <c r="D104" i="11"/>
  <c r="C105" i="11"/>
  <c r="D105" i="11"/>
  <c r="C106" i="11"/>
  <c r="D106" i="11"/>
  <c r="C107" i="11"/>
  <c r="D107" i="11"/>
  <c r="C108" i="11"/>
  <c r="D108" i="11"/>
  <c r="C109" i="11"/>
  <c r="D109" i="11"/>
  <c r="C110" i="11"/>
  <c r="D110" i="11"/>
  <c r="C111" i="11"/>
  <c r="D111" i="11"/>
  <c r="C112" i="11"/>
  <c r="D112" i="11"/>
  <c r="C113" i="11"/>
  <c r="D113" i="11"/>
  <c r="C114" i="11"/>
  <c r="D114" i="11"/>
  <c r="C115" i="11"/>
  <c r="D115" i="11"/>
  <c r="C116" i="11"/>
  <c r="D116" i="11"/>
  <c r="C117" i="11"/>
  <c r="D117" i="11"/>
  <c r="C118" i="11"/>
  <c r="D118" i="11"/>
  <c r="C119" i="11"/>
  <c r="D119" i="11"/>
  <c r="C120" i="11"/>
  <c r="D120" i="11"/>
  <c r="C121" i="11"/>
  <c r="D121" i="11"/>
  <c r="C122" i="11"/>
  <c r="D122" i="11"/>
  <c r="C123" i="11"/>
  <c r="D123" i="11"/>
  <c r="C124" i="11"/>
  <c r="D124" i="11"/>
  <c r="C125" i="11"/>
  <c r="D125" i="11"/>
  <c r="C126" i="11"/>
  <c r="D126" i="11"/>
  <c r="C127" i="11"/>
  <c r="D127" i="11"/>
  <c r="C128" i="11"/>
  <c r="D128" i="11"/>
  <c r="C129" i="11"/>
  <c r="D129" i="11"/>
  <c r="C130" i="11"/>
  <c r="D130" i="11"/>
  <c r="C131" i="11"/>
  <c r="D131" i="11"/>
  <c r="C132" i="11"/>
  <c r="D132" i="11"/>
  <c r="C133" i="11"/>
  <c r="D133" i="11"/>
  <c r="C134" i="11"/>
  <c r="D134" i="11"/>
  <c r="C135" i="11"/>
  <c r="D135" i="11"/>
  <c r="C136" i="11"/>
  <c r="D136" i="11"/>
  <c r="C137" i="11"/>
  <c r="D137" i="11"/>
  <c r="C138" i="11"/>
  <c r="D138" i="11"/>
  <c r="C139" i="11"/>
  <c r="D139" i="11"/>
  <c r="C140" i="11"/>
  <c r="D140" i="11"/>
  <c r="C141" i="11"/>
  <c r="D141" i="11"/>
  <c r="C142" i="11"/>
  <c r="D142" i="11"/>
  <c r="C143" i="11"/>
  <c r="D143" i="11"/>
  <c r="C144" i="11"/>
  <c r="D144" i="11"/>
  <c r="C145" i="11"/>
  <c r="D145" i="11"/>
  <c r="C146" i="11"/>
  <c r="D146" i="11"/>
  <c r="C147" i="11"/>
  <c r="D147" i="11"/>
  <c r="C148" i="11"/>
  <c r="D148" i="11"/>
  <c r="C149" i="11"/>
  <c r="D149" i="11"/>
  <c r="C150" i="11"/>
  <c r="D150" i="11"/>
  <c r="C151" i="11"/>
  <c r="D151" i="11"/>
  <c r="C152" i="11"/>
  <c r="D152" i="11"/>
  <c r="C153" i="11"/>
  <c r="D153" i="11"/>
  <c r="C154" i="11"/>
  <c r="D154" i="11"/>
  <c r="C155" i="11"/>
  <c r="D155" i="11"/>
  <c r="C156" i="11"/>
  <c r="D156" i="11"/>
  <c r="C157" i="11"/>
  <c r="D157" i="11"/>
  <c r="C158" i="11"/>
  <c r="D158" i="11"/>
  <c r="C159" i="11"/>
  <c r="D159" i="11"/>
  <c r="C160" i="11"/>
  <c r="D160" i="11"/>
  <c r="C161" i="11"/>
  <c r="D161" i="11"/>
  <c r="C162" i="11"/>
  <c r="D162" i="11"/>
  <c r="C163" i="11"/>
  <c r="D163" i="11"/>
  <c r="C164" i="11"/>
  <c r="D164" i="11"/>
  <c r="C165" i="11"/>
  <c r="D165" i="11"/>
  <c r="C166" i="11"/>
  <c r="D166" i="11"/>
  <c r="C167" i="11"/>
  <c r="D167" i="11"/>
  <c r="C168" i="11"/>
  <c r="D168" i="11"/>
  <c r="C169" i="11"/>
  <c r="D169" i="11"/>
  <c r="C170" i="11"/>
  <c r="D170" i="11"/>
  <c r="C171" i="11"/>
  <c r="D171" i="11"/>
  <c r="C172" i="11"/>
  <c r="D172" i="11"/>
  <c r="C173" i="11"/>
  <c r="D173" i="11"/>
  <c r="C174" i="11"/>
  <c r="D174" i="11"/>
  <c r="C175" i="11"/>
  <c r="D175" i="11"/>
  <c r="C176" i="11"/>
  <c r="D176" i="11"/>
  <c r="C177" i="11"/>
  <c r="D177" i="11"/>
  <c r="C178" i="11"/>
  <c r="D178" i="11"/>
  <c r="C179" i="11"/>
  <c r="D179" i="11"/>
  <c r="C180" i="11"/>
  <c r="D180" i="11"/>
  <c r="C181" i="11"/>
  <c r="D181" i="11"/>
  <c r="C182" i="11"/>
  <c r="D182" i="11"/>
  <c r="C183" i="11"/>
  <c r="D183" i="11"/>
  <c r="C184" i="11"/>
  <c r="D184" i="11"/>
  <c r="C185" i="11"/>
  <c r="D185" i="11"/>
  <c r="C186" i="11"/>
  <c r="D186" i="11"/>
  <c r="C187" i="11"/>
  <c r="D187" i="11"/>
  <c r="C188" i="11"/>
  <c r="D188" i="11"/>
  <c r="C189" i="11"/>
  <c r="D189" i="11"/>
  <c r="C190" i="11"/>
  <c r="D190" i="11"/>
  <c r="C191" i="11"/>
  <c r="D191" i="11"/>
  <c r="C192" i="11"/>
  <c r="D192" i="11"/>
  <c r="C193" i="11"/>
  <c r="D193" i="11"/>
  <c r="C194" i="11"/>
  <c r="D194" i="11"/>
  <c r="C195" i="11"/>
  <c r="D195" i="11"/>
  <c r="C196" i="11"/>
  <c r="D196" i="11"/>
  <c r="C197" i="11"/>
  <c r="D197" i="11"/>
  <c r="C198" i="11"/>
  <c r="D198" i="11"/>
  <c r="C199" i="11"/>
  <c r="D199" i="11"/>
  <c r="C200" i="11"/>
  <c r="D200" i="11"/>
  <c r="C201" i="11"/>
  <c r="D201" i="11"/>
  <c r="C202" i="11"/>
  <c r="D202" i="11"/>
  <c r="C203" i="11"/>
  <c r="D203" i="11"/>
  <c r="C204" i="11"/>
  <c r="D204" i="11"/>
  <c r="C205" i="11"/>
  <c r="D205" i="11"/>
  <c r="C206" i="11"/>
  <c r="D206" i="11"/>
  <c r="C207" i="11"/>
  <c r="D207" i="11"/>
  <c r="C208" i="11"/>
  <c r="D208" i="11"/>
  <c r="C209" i="11"/>
  <c r="D209" i="11"/>
  <c r="C210" i="11"/>
  <c r="D210" i="11"/>
  <c r="C211" i="11"/>
  <c r="D211" i="11"/>
  <c r="C212" i="11"/>
  <c r="D212" i="11"/>
  <c r="C213" i="11"/>
  <c r="D213" i="11"/>
  <c r="C214" i="11"/>
  <c r="D214" i="11"/>
  <c r="C215" i="11"/>
  <c r="D215" i="11"/>
  <c r="C216" i="11"/>
  <c r="D216" i="11"/>
  <c r="C217" i="11"/>
  <c r="D217" i="11"/>
  <c r="C218" i="11"/>
  <c r="D218" i="11"/>
  <c r="C219" i="11"/>
  <c r="D219" i="11"/>
  <c r="C220" i="11"/>
  <c r="D220" i="11"/>
  <c r="C221" i="11"/>
  <c r="D221" i="11"/>
  <c r="C222" i="11"/>
  <c r="D222" i="11"/>
  <c r="C223" i="11"/>
  <c r="D223" i="11"/>
  <c r="C224" i="11"/>
  <c r="D224" i="11"/>
  <c r="C225" i="11"/>
  <c r="D225" i="11"/>
  <c r="C226" i="11"/>
  <c r="D226" i="11"/>
  <c r="C227" i="11"/>
  <c r="D227" i="11"/>
  <c r="C228" i="11"/>
  <c r="D228" i="11"/>
  <c r="C229" i="11"/>
  <c r="D229" i="11"/>
  <c r="C230" i="11"/>
  <c r="D230" i="11"/>
  <c r="C231" i="11"/>
  <c r="D231" i="11"/>
  <c r="C232" i="11"/>
  <c r="D232" i="11"/>
  <c r="C233" i="11"/>
  <c r="D233" i="11"/>
  <c r="C234" i="11"/>
  <c r="D234" i="11"/>
  <c r="C235" i="11"/>
  <c r="D235" i="11"/>
  <c r="C236" i="11"/>
  <c r="D236" i="11"/>
  <c r="C237" i="11"/>
  <c r="D237" i="11"/>
  <c r="C238" i="11"/>
  <c r="D238" i="11"/>
  <c r="C239" i="11"/>
  <c r="D239" i="11"/>
  <c r="C240" i="11"/>
  <c r="D240" i="11"/>
  <c r="C241" i="11"/>
  <c r="D241" i="11"/>
  <c r="C242" i="11"/>
  <c r="D242" i="11"/>
  <c r="C243" i="11"/>
  <c r="D243" i="11"/>
  <c r="C244" i="11"/>
  <c r="D244" i="11"/>
  <c r="C245" i="11"/>
  <c r="D245" i="11"/>
  <c r="C246" i="11"/>
  <c r="D246" i="11"/>
  <c r="C247" i="11"/>
  <c r="D247" i="11"/>
  <c r="C248" i="11"/>
  <c r="D248" i="11"/>
  <c r="C249" i="11"/>
  <c r="D249" i="11"/>
  <c r="C250" i="11"/>
  <c r="D250" i="11"/>
  <c r="C251" i="11"/>
  <c r="D251" i="11"/>
  <c r="C252" i="11"/>
  <c r="D252" i="11"/>
  <c r="C253" i="11"/>
  <c r="D253" i="11"/>
  <c r="C254" i="11"/>
  <c r="D254" i="11"/>
  <c r="C255" i="11"/>
  <c r="D255" i="11"/>
  <c r="C256" i="11"/>
  <c r="D256" i="11"/>
  <c r="C257" i="11"/>
  <c r="D257" i="11"/>
  <c r="C258" i="11"/>
  <c r="D258" i="11"/>
  <c r="C259" i="11"/>
  <c r="D259" i="11"/>
  <c r="C260" i="11"/>
  <c r="D260" i="11"/>
  <c r="C261" i="11"/>
  <c r="D261" i="11"/>
  <c r="C262" i="11"/>
  <c r="D262" i="11"/>
  <c r="C263" i="11"/>
  <c r="D263" i="11"/>
  <c r="C264" i="11"/>
  <c r="D264" i="11"/>
  <c r="C265" i="11"/>
  <c r="D265" i="11"/>
  <c r="C266" i="11"/>
  <c r="D266" i="11"/>
  <c r="C267" i="11"/>
  <c r="D267" i="11"/>
  <c r="C268" i="11"/>
  <c r="D268" i="11"/>
  <c r="C269" i="11"/>
  <c r="D269" i="11"/>
  <c r="C270" i="11"/>
  <c r="D270" i="11"/>
  <c r="C271" i="11"/>
  <c r="D271" i="11"/>
  <c r="C272" i="11"/>
  <c r="D272" i="11"/>
  <c r="C273" i="11"/>
  <c r="D273" i="11"/>
  <c r="C274" i="11"/>
  <c r="D274" i="11"/>
  <c r="C275" i="11"/>
  <c r="D275" i="11"/>
  <c r="C276" i="11"/>
  <c r="D276" i="11"/>
  <c r="C277" i="11"/>
  <c r="D277" i="11"/>
  <c r="C278" i="11"/>
  <c r="D278" i="11"/>
  <c r="C279" i="11"/>
  <c r="D279" i="11"/>
  <c r="C280" i="11"/>
  <c r="D280" i="11"/>
  <c r="C281" i="11"/>
  <c r="D281" i="11"/>
  <c r="C282" i="11"/>
  <c r="D282" i="11"/>
  <c r="C283" i="11"/>
  <c r="D283" i="11"/>
  <c r="C284" i="11"/>
  <c r="D284" i="11"/>
  <c r="C285" i="11"/>
  <c r="D285" i="11"/>
  <c r="C286" i="11"/>
  <c r="D286" i="11"/>
  <c r="C287" i="11"/>
  <c r="D287" i="11"/>
  <c r="C288" i="11"/>
  <c r="D288" i="11"/>
  <c r="C289" i="11"/>
  <c r="D289" i="11"/>
  <c r="C290" i="11"/>
  <c r="D290" i="11"/>
  <c r="C291" i="11"/>
  <c r="D291" i="11"/>
  <c r="C292" i="11"/>
  <c r="D292" i="11"/>
  <c r="C293" i="11"/>
  <c r="D293" i="11"/>
  <c r="C294" i="11"/>
  <c r="D294" i="11"/>
  <c r="C295" i="11"/>
  <c r="D295" i="11"/>
  <c r="C296" i="11"/>
  <c r="D296" i="11"/>
  <c r="C297" i="11"/>
  <c r="D297" i="11"/>
  <c r="C298" i="11"/>
  <c r="D298" i="11"/>
  <c r="C299" i="11"/>
  <c r="D299" i="11"/>
  <c r="C300" i="11"/>
  <c r="D300" i="11"/>
  <c r="C301" i="11"/>
  <c r="D301" i="11"/>
  <c r="C302" i="11"/>
  <c r="D302" i="11"/>
  <c r="C303" i="11"/>
  <c r="D303" i="11"/>
  <c r="C304" i="11"/>
  <c r="D304" i="11"/>
  <c r="C305" i="11"/>
  <c r="D305" i="11"/>
  <c r="C306" i="11"/>
  <c r="D306" i="11"/>
  <c r="C307" i="11"/>
  <c r="D307" i="11"/>
  <c r="C308" i="11"/>
  <c r="D308" i="11"/>
  <c r="C309" i="11"/>
  <c r="D309" i="11"/>
  <c r="C310" i="11"/>
  <c r="D310" i="11"/>
  <c r="C311" i="11"/>
  <c r="D311" i="11"/>
  <c r="C312" i="11"/>
  <c r="D312" i="11"/>
  <c r="C313" i="11"/>
  <c r="D313" i="11"/>
  <c r="C314" i="11"/>
  <c r="D314" i="11"/>
  <c r="C315" i="11"/>
  <c r="D315" i="11"/>
  <c r="C316" i="11"/>
  <c r="D316" i="11"/>
  <c r="C317" i="11"/>
  <c r="D317" i="11"/>
  <c r="C318" i="11"/>
  <c r="D318" i="11"/>
  <c r="C319" i="11"/>
  <c r="D319" i="11"/>
  <c r="C320" i="11"/>
  <c r="D320" i="11"/>
  <c r="C321" i="11"/>
  <c r="D321" i="11"/>
  <c r="C322" i="11"/>
  <c r="D322" i="11"/>
  <c r="C323" i="11"/>
  <c r="D323" i="11"/>
  <c r="C324" i="11"/>
  <c r="D324" i="11"/>
  <c r="C325" i="11"/>
  <c r="D325" i="11"/>
  <c r="C326" i="11"/>
  <c r="D326" i="11"/>
  <c r="C327" i="11"/>
  <c r="D327" i="11"/>
  <c r="C328" i="11"/>
  <c r="D328" i="11"/>
  <c r="C329" i="11"/>
  <c r="D329" i="11"/>
  <c r="C330" i="11"/>
  <c r="D330" i="11"/>
  <c r="C331" i="11"/>
  <c r="D331" i="11"/>
  <c r="C332" i="11"/>
  <c r="D332" i="11"/>
  <c r="C333" i="11"/>
  <c r="D333" i="11"/>
  <c r="C334" i="11"/>
  <c r="D334" i="11"/>
  <c r="C335" i="11"/>
  <c r="D335" i="11"/>
  <c r="C336" i="11"/>
  <c r="D336" i="11"/>
  <c r="C337" i="11"/>
  <c r="D337" i="11"/>
  <c r="C338" i="11"/>
  <c r="D338" i="11"/>
  <c r="C339" i="11"/>
  <c r="D339" i="11"/>
  <c r="C340" i="11"/>
  <c r="D340" i="11"/>
  <c r="C341" i="11"/>
  <c r="D341" i="11"/>
  <c r="C342" i="11"/>
  <c r="D342" i="11"/>
  <c r="C343" i="11"/>
  <c r="D343" i="11"/>
  <c r="C344" i="11"/>
  <c r="D344" i="11"/>
  <c r="C345" i="11"/>
  <c r="D345" i="11"/>
  <c r="C346" i="11"/>
  <c r="D346" i="11"/>
  <c r="C347" i="11"/>
  <c r="D347" i="11"/>
  <c r="C348" i="11"/>
  <c r="D348" i="11"/>
  <c r="C349" i="11"/>
  <c r="D349" i="11"/>
  <c r="C350" i="11"/>
  <c r="D350" i="11"/>
  <c r="C351" i="11"/>
  <c r="D351" i="11"/>
  <c r="C352" i="11"/>
  <c r="D352" i="11"/>
  <c r="C353" i="11"/>
  <c r="D353" i="11"/>
  <c r="C354" i="11"/>
  <c r="D354" i="11"/>
  <c r="C355" i="11"/>
  <c r="D355" i="11"/>
  <c r="C356" i="11"/>
  <c r="D356" i="11"/>
  <c r="C357" i="11"/>
  <c r="D357" i="11"/>
  <c r="C358" i="11"/>
  <c r="D358" i="11"/>
  <c r="C359" i="11"/>
  <c r="D359" i="11"/>
  <c r="C360" i="11"/>
  <c r="D360" i="11"/>
  <c r="C361" i="11"/>
  <c r="D361" i="11"/>
  <c r="C362" i="11"/>
  <c r="D362" i="11"/>
  <c r="C363" i="11"/>
  <c r="D363" i="11"/>
  <c r="C364" i="11"/>
  <c r="D364" i="11"/>
  <c r="C365" i="11"/>
  <c r="D365" i="11"/>
  <c r="C366" i="11"/>
  <c r="D366" i="11"/>
  <c r="C367" i="11"/>
  <c r="D367" i="11"/>
  <c r="C368" i="11"/>
  <c r="D368" i="11"/>
  <c r="C369" i="11"/>
  <c r="D369" i="11"/>
  <c r="C370" i="11"/>
  <c r="D370" i="11"/>
  <c r="C371" i="11"/>
  <c r="D371" i="11"/>
  <c r="C372" i="11"/>
  <c r="D372" i="11"/>
  <c r="C373" i="11"/>
  <c r="D373" i="11"/>
  <c r="C374" i="11"/>
  <c r="D374" i="11"/>
  <c r="C375" i="11"/>
  <c r="D375" i="11"/>
  <c r="C376" i="11"/>
  <c r="D376" i="11"/>
  <c r="C377" i="11"/>
  <c r="D377" i="11"/>
  <c r="C378" i="11"/>
  <c r="D378" i="11"/>
  <c r="C379" i="11"/>
  <c r="D379" i="11"/>
  <c r="C380" i="11"/>
  <c r="D380" i="11"/>
  <c r="C381" i="11"/>
  <c r="D381" i="11"/>
  <c r="C382" i="11"/>
  <c r="D382" i="11"/>
  <c r="C383" i="11"/>
  <c r="D383" i="11"/>
  <c r="C384" i="11"/>
  <c r="D384" i="11"/>
  <c r="C385" i="11"/>
  <c r="D385" i="11"/>
  <c r="C386" i="11"/>
  <c r="D386" i="11"/>
  <c r="C387" i="11"/>
  <c r="D387" i="11"/>
  <c r="C388" i="11"/>
  <c r="D388" i="11"/>
  <c r="C389" i="11"/>
  <c r="D389" i="11"/>
  <c r="C390" i="11"/>
  <c r="D390" i="11"/>
  <c r="C391" i="11"/>
  <c r="D391" i="11"/>
  <c r="C392" i="11"/>
  <c r="D392" i="11"/>
  <c r="C393" i="11"/>
  <c r="D393" i="11"/>
  <c r="C394" i="11"/>
  <c r="D394" i="11"/>
  <c r="C395" i="11"/>
  <c r="D395" i="11"/>
  <c r="C396" i="11"/>
  <c r="D396" i="11"/>
  <c r="C397" i="11"/>
  <c r="D397" i="11"/>
  <c r="C398" i="11"/>
  <c r="D398" i="11"/>
  <c r="C399" i="11"/>
  <c r="D399" i="11"/>
  <c r="C400" i="11"/>
  <c r="D400" i="11"/>
  <c r="C401" i="11"/>
  <c r="D401" i="11"/>
  <c r="C402" i="11"/>
  <c r="D402" i="11"/>
  <c r="C403" i="11"/>
  <c r="D403" i="11"/>
  <c r="C404" i="11"/>
  <c r="D404" i="11"/>
  <c r="C405" i="11"/>
  <c r="D405" i="11"/>
  <c r="C406" i="11"/>
  <c r="D406" i="11"/>
  <c r="C407" i="11"/>
  <c r="D407" i="11"/>
  <c r="C408" i="11"/>
  <c r="D408" i="11"/>
  <c r="C409" i="11"/>
  <c r="D409" i="11"/>
  <c r="C410" i="11"/>
  <c r="D410" i="11"/>
  <c r="C411" i="11"/>
  <c r="D411" i="11"/>
  <c r="C412" i="11"/>
  <c r="D412" i="11"/>
  <c r="C413" i="11"/>
  <c r="D413" i="11"/>
  <c r="C414" i="11"/>
  <c r="D414" i="11"/>
  <c r="C415" i="11"/>
  <c r="D415" i="11"/>
  <c r="C416" i="11"/>
  <c r="D416" i="11"/>
  <c r="C417" i="11"/>
  <c r="D417" i="11"/>
  <c r="C418" i="11"/>
  <c r="D418" i="11"/>
  <c r="C419" i="11"/>
  <c r="D419" i="11"/>
  <c r="C420" i="11"/>
  <c r="D420" i="11"/>
  <c r="C421" i="11"/>
  <c r="D421" i="11"/>
  <c r="C422" i="11"/>
  <c r="D422" i="11"/>
  <c r="C423" i="11"/>
  <c r="D423" i="11"/>
  <c r="C424" i="11"/>
  <c r="D424" i="11"/>
  <c r="C425" i="11"/>
  <c r="D425" i="11"/>
  <c r="C426" i="11"/>
  <c r="D426" i="11"/>
  <c r="C427" i="11"/>
  <c r="D427" i="11"/>
  <c r="C428" i="11"/>
  <c r="D428" i="11"/>
  <c r="C429" i="11"/>
  <c r="D429" i="11"/>
  <c r="C430" i="11"/>
  <c r="D430" i="11"/>
  <c r="C431" i="11"/>
  <c r="D431" i="11"/>
  <c r="C432" i="11"/>
  <c r="D432" i="11"/>
  <c r="C433" i="11"/>
  <c r="D433" i="11"/>
  <c r="C434" i="11"/>
  <c r="D434" i="11"/>
  <c r="C435" i="11"/>
  <c r="D435" i="11"/>
  <c r="C436" i="11"/>
  <c r="D436" i="11"/>
  <c r="C437" i="11"/>
  <c r="D437" i="11"/>
  <c r="C438" i="11"/>
  <c r="D438" i="11"/>
  <c r="C439" i="11"/>
  <c r="D439" i="11"/>
  <c r="C440" i="11"/>
  <c r="D440" i="11"/>
  <c r="C441" i="11"/>
  <c r="D441" i="11"/>
  <c r="C442" i="11"/>
  <c r="D442" i="11"/>
  <c r="C443" i="11"/>
  <c r="D443" i="11"/>
  <c r="C444" i="11"/>
  <c r="D444" i="11"/>
  <c r="C445" i="11"/>
  <c r="D445" i="11"/>
  <c r="C446" i="11"/>
  <c r="D446" i="11"/>
  <c r="C447" i="11"/>
  <c r="D447" i="11"/>
  <c r="C448" i="11"/>
  <c r="D448" i="11"/>
  <c r="C449" i="11"/>
  <c r="D449" i="11"/>
  <c r="C450" i="11"/>
  <c r="D450" i="11"/>
  <c r="C451" i="11"/>
  <c r="D451" i="11"/>
  <c r="C452" i="11"/>
  <c r="D452" i="11"/>
  <c r="C453" i="11"/>
  <c r="D453" i="11"/>
  <c r="C454" i="11"/>
  <c r="D454" i="11"/>
  <c r="C455" i="11"/>
  <c r="D455" i="11"/>
  <c r="C456" i="11"/>
  <c r="D456" i="11"/>
  <c r="C457" i="11"/>
  <c r="D457" i="11"/>
  <c r="C458" i="11"/>
  <c r="D458" i="11"/>
  <c r="C459" i="11"/>
  <c r="D459" i="11"/>
  <c r="C460" i="11"/>
  <c r="D460" i="11"/>
  <c r="C461" i="11"/>
  <c r="D461" i="11"/>
  <c r="C462" i="11"/>
  <c r="D462" i="11"/>
  <c r="C463" i="11"/>
  <c r="D463" i="11"/>
  <c r="C464" i="11"/>
  <c r="D464" i="11"/>
  <c r="C465" i="11"/>
  <c r="D465" i="11"/>
  <c r="C466" i="11"/>
  <c r="D466" i="11"/>
  <c r="C467" i="11"/>
  <c r="D467" i="11"/>
  <c r="C468" i="11"/>
  <c r="D468" i="11"/>
  <c r="C469" i="11"/>
  <c r="D469" i="11"/>
  <c r="C470" i="11"/>
  <c r="D470" i="11"/>
  <c r="C471" i="11"/>
  <c r="D471" i="11"/>
  <c r="C472" i="11"/>
  <c r="D472" i="11"/>
  <c r="C473" i="11"/>
  <c r="D473" i="11"/>
  <c r="C474" i="11"/>
  <c r="D474" i="11"/>
  <c r="C475" i="11"/>
  <c r="D475" i="11"/>
  <c r="C476" i="11"/>
  <c r="D476" i="11"/>
  <c r="C477" i="11"/>
  <c r="D477" i="11"/>
  <c r="C478" i="11"/>
  <c r="D478" i="11"/>
  <c r="C479" i="11"/>
  <c r="D479" i="11"/>
  <c r="C480" i="11"/>
  <c r="D480" i="11"/>
  <c r="C481" i="11"/>
  <c r="D481" i="11"/>
  <c r="C482" i="11"/>
  <c r="D482" i="11"/>
  <c r="C483" i="11"/>
  <c r="D483" i="11"/>
  <c r="C484" i="11"/>
  <c r="D484" i="11"/>
  <c r="C485" i="11"/>
  <c r="D485" i="11"/>
  <c r="C486" i="11"/>
  <c r="D486" i="11"/>
  <c r="C487" i="11"/>
  <c r="D487" i="11"/>
  <c r="C488" i="11"/>
  <c r="D488" i="11"/>
  <c r="C489" i="11"/>
  <c r="D489" i="11"/>
  <c r="C490" i="11"/>
  <c r="D490" i="11"/>
  <c r="C491" i="11"/>
  <c r="D491" i="11"/>
  <c r="C492" i="11"/>
  <c r="D492" i="11"/>
  <c r="C493" i="11"/>
  <c r="D493" i="11"/>
  <c r="C494" i="11"/>
  <c r="D494" i="11"/>
  <c r="C495" i="11"/>
  <c r="D495" i="11"/>
  <c r="C496" i="11"/>
  <c r="D496" i="11"/>
  <c r="C497" i="11"/>
  <c r="D497" i="11"/>
  <c r="C498" i="11"/>
  <c r="D498" i="11"/>
  <c r="C499" i="11"/>
  <c r="D499" i="11"/>
  <c r="C500" i="11"/>
  <c r="D500" i="11"/>
  <c r="C501" i="11"/>
  <c r="D501" i="11"/>
  <c r="C502" i="11"/>
  <c r="D502" i="11"/>
  <c r="C503" i="11"/>
  <c r="D503" i="11"/>
  <c r="C504" i="11"/>
  <c r="D504" i="11"/>
  <c r="C505" i="11"/>
  <c r="D505" i="11"/>
  <c r="C506" i="11"/>
  <c r="D506" i="11"/>
  <c r="C507" i="11"/>
  <c r="D507" i="11"/>
  <c r="C508" i="11"/>
  <c r="D508" i="11"/>
  <c r="C509" i="11"/>
  <c r="D509" i="11"/>
  <c r="C510" i="11"/>
  <c r="D510" i="11"/>
  <c r="C511" i="11"/>
  <c r="D511" i="11"/>
  <c r="C512" i="11"/>
  <c r="D512" i="11"/>
  <c r="C513" i="11"/>
  <c r="D513" i="11"/>
  <c r="C514" i="11"/>
  <c r="D514" i="11"/>
  <c r="C515" i="11"/>
  <c r="D515" i="11"/>
  <c r="C516" i="11"/>
  <c r="D516" i="11"/>
  <c r="C517" i="11"/>
  <c r="D517" i="11"/>
  <c r="C518" i="11"/>
  <c r="D518" i="11"/>
  <c r="C519" i="11"/>
  <c r="D519" i="11"/>
  <c r="C520" i="11"/>
  <c r="D520" i="11"/>
  <c r="C521" i="11"/>
  <c r="D521" i="11"/>
  <c r="C522" i="11"/>
  <c r="D522" i="11"/>
  <c r="C523" i="11"/>
  <c r="D523" i="11"/>
  <c r="C524" i="11"/>
  <c r="D524" i="11"/>
  <c r="C525" i="11"/>
  <c r="D525" i="11"/>
  <c r="C526" i="11"/>
  <c r="D526" i="11"/>
  <c r="C527" i="11"/>
  <c r="D527" i="11"/>
  <c r="C528" i="11"/>
  <c r="D528" i="11"/>
  <c r="C529" i="11"/>
  <c r="D529" i="11"/>
  <c r="C530" i="11"/>
  <c r="D530" i="11"/>
  <c r="C531" i="11"/>
  <c r="D531" i="11"/>
  <c r="C532" i="11"/>
  <c r="D532" i="11"/>
  <c r="C533" i="11"/>
  <c r="D533" i="11"/>
  <c r="C534" i="11"/>
  <c r="D534" i="11"/>
  <c r="C535" i="11"/>
  <c r="D535" i="11"/>
  <c r="C536" i="11"/>
  <c r="D536" i="11"/>
  <c r="C537" i="11"/>
  <c r="D537" i="11"/>
  <c r="C538" i="11"/>
  <c r="D538" i="11"/>
  <c r="C539" i="11"/>
  <c r="D539" i="11"/>
  <c r="C540" i="11"/>
  <c r="D540" i="11"/>
  <c r="C541" i="11"/>
  <c r="D541" i="11"/>
  <c r="C542" i="11"/>
  <c r="D542" i="11"/>
  <c r="C543" i="11"/>
  <c r="D543" i="11"/>
  <c r="C544" i="11"/>
  <c r="D544" i="11"/>
  <c r="C545" i="11"/>
  <c r="D545" i="11"/>
  <c r="C546" i="11"/>
  <c r="D546" i="11"/>
  <c r="C547" i="11"/>
  <c r="D547" i="11"/>
  <c r="C548" i="11"/>
  <c r="D548" i="11"/>
  <c r="C549" i="11"/>
  <c r="D549" i="11"/>
  <c r="C550" i="11"/>
  <c r="D550" i="11"/>
  <c r="C551" i="11"/>
  <c r="D551" i="11"/>
  <c r="C552" i="11"/>
  <c r="D552" i="11"/>
  <c r="C553" i="11"/>
  <c r="D553" i="11"/>
  <c r="C554" i="11"/>
  <c r="D554" i="11"/>
  <c r="C555" i="11"/>
  <c r="D555" i="11"/>
  <c r="C556" i="11"/>
  <c r="D556" i="11"/>
  <c r="C557" i="11"/>
  <c r="D557" i="11"/>
  <c r="C558" i="11"/>
  <c r="D558" i="11"/>
  <c r="C559" i="11"/>
  <c r="D559" i="11"/>
  <c r="C560" i="11"/>
  <c r="D560" i="11"/>
  <c r="C561" i="11"/>
  <c r="D561" i="11"/>
  <c r="C562" i="11"/>
  <c r="D562" i="11"/>
  <c r="C563" i="11"/>
  <c r="D563" i="11"/>
  <c r="C564" i="11"/>
  <c r="D564" i="11"/>
  <c r="C565" i="11"/>
  <c r="D565" i="11"/>
  <c r="C566" i="11"/>
  <c r="D566" i="11"/>
  <c r="C567" i="11"/>
  <c r="D567" i="11"/>
  <c r="C568" i="11"/>
  <c r="D568" i="11"/>
  <c r="C569" i="11"/>
  <c r="D569" i="11"/>
  <c r="C570" i="11"/>
  <c r="D570" i="11"/>
  <c r="C571" i="11"/>
  <c r="D571" i="11"/>
  <c r="C572" i="11"/>
  <c r="D572" i="11"/>
  <c r="C573" i="11"/>
  <c r="D573" i="11"/>
  <c r="C574" i="11"/>
  <c r="D574" i="11"/>
  <c r="C575" i="11"/>
  <c r="D575" i="11"/>
  <c r="C576" i="11"/>
  <c r="D576" i="11"/>
  <c r="C577" i="11"/>
  <c r="D577" i="11"/>
  <c r="C578" i="11"/>
  <c r="D578" i="11"/>
  <c r="C579" i="11"/>
  <c r="D579" i="11"/>
  <c r="C580" i="11"/>
  <c r="D580" i="11"/>
  <c r="C581" i="11"/>
  <c r="D581" i="11"/>
  <c r="C582" i="11"/>
  <c r="D582" i="11"/>
  <c r="C583" i="11"/>
  <c r="D583" i="11"/>
  <c r="C584" i="11"/>
  <c r="D584" i="11"/>
  <c r="C585" i="11"/>
  <c r="D585" i="11"/>
  <c r="C586" i="11"/>
  <c r="D586" i="11"/>
  <c r="C587" i="11"/>
  <c r="D587" i="11"/>
  <c r="C588" i="11"/>
  <c r="D588" i="11"/>
  <c r="C589" i="11"/>
  <c r="D589" i="11"/>
  <c r="C590" i="11"/>
  <c r="D590" i="11"/>
  <c r="C591" i="11"/>
  <c r="D591" i="11"/>
  <c r="C592" i="11"/>
  <c r="D592" i="11"/>
  <c r="C593" i="11"/>
  <c r="D593" i="11"/>
  <c r="C594" i="11"/>
  <c r="D594" i="11"/>
  <c r="C595" i="11"/>
  <c r="D595" i="11"/>
  <c r="C596" i="11"/>
  <c r="D596" i="11"/>
  <c r="C597" i="11"/>
  <c r="D597" i="11"/>
  <c r="C598" i="11"/>
  <c r="D598" i="11"/>
  <c r="C599" i="11"/>
  <c r="D599" i="11"/>
  <c r="C600" i="11"/>
  <c r="D600" i="11"/>
  <c r="C601" i="11"/>
  <c r="D601" i="11"/>
  <c r="C602" i="11"/>
  <c r="D602" i="11"/>
  <c r="C603" i="11"/>
  <c r="D603" i="11"/>
  <c r="C604" i="11"/>
  <c r="D604" i="11"/>
  <c r="C605" i="11"/>
  <c r="D605" i="11"/>
  <c r="C606" i="11"/>
  <c r="D606" i="11"/>
  <c r="C607" i="11"/>
  <c r="D607" i="11"/>
  <c r="C608" i="11"/>
  <c r="D608" i="11"/>
  <c r="C609" i="11"/>
  <c r="D609" i="11"/>
  <c r="C610" i="11"/>
  <c r="D610" i="11"/>
  <c r="C611" i="11"/>
  <c r="D611" i="11"/>
  <c r="C612" i="11"/>
  <c r="D612" i="11"/>
  <c r="C613" i="11"/>
  <c r="D613" i="11"/>
  <c r="C614" i="11"/>
  <c r="D614" i="11"/>
  <c r="C615" i="11"/>
  <c r="D615" i="11"/>
  <c r="C616" i="11"/>
  <c r="D616" i="11"/>
  <c r="C617" i="11"/>
  <c r="D617" i="11"/>
  <c r="C618" i="11"/>
  <c r="D618" i="11"/>
  <c r="C619" i="11"/>
  <c r="D619" i="11"/>
  <c r="C620" i="11"/>
  <c r="D620" i="11"/>
  <c r="C621" i="11"/>
  <c r="D621" i="11"/>
  <c r="C622" i="11"/>
  <c r="D622" i="11"/>
  <c r="C623" i="11"/>
  <c r="D623" i="11"/>
  <c r="C624" i="11"/>
  <c r="D624" i="11"/>
  <c r="C625" i="11"/>
  <c r="D625" i="11"/>
  <c r="C626" i="11"/>
  <c r="D626" i="11"/>
  <c r="C627" i="11"/>
  <c r="D627" i="11"/>
  <c r="C628" i="11"/>
  <c r="D628" i="11"/>
  <c r="C629" i="11"/>
  <c r="D629" i="11"/>
  <c r="C630" i="11"/>
  <c r="D630" i="11"/>
  <c r="C631" i="11"/>
  <c r="D631" i="11"/>
  <c r="C632" i="11"/>
  <c r="D632" i="11"/>
  <c r="C633" i="11"/>
  <c r="D633" i="11"/>
  <c r="C634" i="11"/>
  <c r="D634" i="11"/>
  <c r="C635" i="11"/>
  <c r="D635" i="11"/>
  <c r="C636" i="11"/>
  <c r="D636" i="11"/>
  <c r="C637" i="11"/>
  <c r="D637" i="11"/>
  <c r="C638" i="11"/>
  <c r="D638" i="11"/>
  <c r="C639" i="11"/>
  <c r="D639" i="11"/>
  <c r="C640" i="11"/>
  <c r="D640" i="11"/>
  <c r="C641" i="11"/>
  <c r="D641" i="11"/>
  <c r="C642" i="11"/>
  <c r="D642" i="11"/>
  <c r="C643" i="11"/>
  <c r="D643" i="11"/>
  <c r="C644" i="11"/>
  <c r="D644" i="11"/>
  <c r="C645" i="11"/>
  <c r="D645" i="11"/>
  <c r="C646" i="11"/>
  <c r="D646" i="11"/>
  <c r="C647" i="11"/>
  <c r="D647" i="11"/>
  <c r="C648" i="11"/>
  <c r="D648" i="11"/>
  <c r="C649" i="11"/>
  <c r="D649" i="11"/>
  <c r="C650" i="11"/>
  <c r="D650" i="11"/>
  <c r="C651" i="11"/>
  <c r="D651" i="11"/>
  <c r="C652" i="11"/>
  <c r="D652" i="11"/>
  <c r="C653" i="11"/>
  <c r="D653" i="11"/>
  <c r="C654" i="11"/>
  <c r="D654" i="11"/>
  <c r="C655" i="11"/>
  <c r="D655" i="11"/>
  <c r="C656" i="11"/>
  <c r="D656" i="11"/>
  <c r="C657" i="11"/>
  <c r="D657" i="11"/>
  <c r="C658" i="11"/>
  <c r="D658" i="11"/>
  <c r="C659" i="11"/>
  <c r="D659" i="11"/>
  <c r="C660" i="11"/>
  <c r="D660" i="11"/>
  <c r="C661" i="11"/>
  <c r="D661" i="11"/>
  <c r="C662" i="11"/>
  <c r="D662" i="11"/>
  <c r="C663" i="11"/>
  <c r="D663" i="11"/>
  <c r="C664" i="11"/>
  <c r="D664" i="11"/>
  <c r="C665" i="11"/>
  <c r="D665" i="11"/>
  <c r="C666" i="11"/>
  <c r="D666" i="11"/>
  <c r="C667" i="11"/>
  <c r="D667" i="11"/>
  <c r="C668" i="11"/>
  <c r="D668" i="11"/>
  <c r="C669" i="11"/>
  <c r="D669" i="11"/>
  <c r="C670" i="11"/>
  <c r="D670" i="11"/>
  <c r="C671" i="11"/>
  <c r="D671" i="11"/>
  <c r="C672" i="11"/>
  <c r="D672" i="11"/>
  <c r="C673" i="11"/>
  <c r="D673" i="11"/>
  <c r="C674" i="11"/>
  <c r="D674" i="11"/>
  <c r="C675" i="11"/>
  <c r="D675" i="11"/>
  <c r="C676" i="11"/>
  <c r="D676" i="11"/>
  <c r="C677" i="11"/>
  <c r="D677" i="11"/>
  <c r="C678" i="11"/>
  <c r="D678" i="11"/>
  <c r="C679" i="11"/>
  <c r="D679" i="11"/>
  <c r="C680" i="11"/>
  <c r="D680" i="11"/>
  <c r="C681" i="11"/>
  <c r="D681" i="11"/>
  <c r="C682" i="11"/>
  <c r="D682" i="11"/>
  <c r="C683" i="11"/>
  <c r="D683" i="11"/>
  <c r="C684" i="11"/>
  <c r="D684" i="11"/>
  <c r="C685" i="11"/>
  <c r="D685" i="11"/>
  <c r="C686" i="11"/>
  <c r="D686" i="11"/>
  <c r="C687" i="11"/>
  <c r="D687" i="11"/>
  <c r="C688" i="11"/>
  <c r="D688" i="11"/>
  <c r="C689" i="11"/>
  <c r="D689" i="11"/>
  <c r="C690" i="11"/>
  <c r="D690" i="11"/>
  <c r="C691" i="11"/>
  <c r="D691" i="11"/>
  <c r="C692" i="11"/>
  <c r="D692" i="11"/>
  <c r="C693" i="11"/>
  <c r="D693" i="11"/>
  <c r="C694" i="11"/>
  <c r="D694" i="11"/>
  <c r="C695" i="11"/>
  <c r="D695" i="11"/>
  <c r="C696" i="11"/>
  <c r="D696" i="11"/>
  <c r="C697" i="11"/>
  <c r="D697" i="11"/>
  <c r="C698" i="11"/>
  <c r="D698" i="11"/>
  <c r="C699" i="11"/>
  <c r="D699" i="11"/>
  <c r="C700" i="11"/>
  <c r="D700" i="11"/>
  <c r="C701" i="11"/>
  <c r="D701" i="11"/>
  <c r="C702" i="11"/>
  <c r="D702" i="11"/>
  <c r="C703" i="11"/>
  <c r="D703" i="11"/>
  <c r="C704" i="11"/>
  <c r="D704" i="11"/>
  <c r="C705" i="11"/>
  <c r="D705" i="11"/>
  <c r="C706" i="11"/>
  <c r="D706" i="11"/>
  <c r="C707" i="11"/>
  <c r="D707" i="11"/>
  <c r="C708" i="11"/>
  <c r="D708" i="11"/>
  <c r="C709" i="11"/>
  <c r="D709" i="11"/>
  <c r="C710" i="11"/>
  <c r="D710" i="11"/>
  <c r="C711" i="11"/>
  <c r="D711" i="11"/>
  <c r="C712" i="11"/>
  <c r="D712" i="11"/>
  <c r="C713" i="11"/>
  <c r="D713" i="11"/>
  <c r="C714" i="11"/>
  <c r="D714" i="11"/>
  <c r="C715" i="11"/>
  <c r="D715" i="11"/>
  <c r="C716" i="11"/>
  <c r="D716" i="11"/>
  <c r="C717" i="11"/>
  <c r="D717" i="11"/>
  <c r="C718" i="11"/>
  <c r="D718" i="11"/>
  <c r="C719" i="11"/>
  <c r="D719" i="11"/>
  <c r="C720" i="11"/>
  <c r="D720" i="11"/>
  <c r="C721" i="11"/>
  <c r="D721" i="11"/>
  <c r="C722" i="11"/>
  <c r="D722" i="11"/>
  <c r="C723" i="11"/>
  <c r="D723" i="11"/>
  <c r="C724" i="11"/>
  <c r="D724" i="11"/>
  <c r="C725" i="11"/>
  <c r="D725" i="11"/>
  <c r="C726" i="11"/>
  <c r="D726" i="11"/>
  <c r="C727" i="11"/>
  <c r="D727" i="11"/>
  <c r="C728" i="11"/>
  <c r="D728" i="11"/>
  <c r="C729" i="11"/>
  <c r="D729" i="11"/>
  <c r="C730" i="11"/>
  <c r="D730" i="11"/>
  <c r="C731" i="11"/>
  <c r="D731" i="11"/>
  <c r="C732" i="11"/>
  <c r="D732" i="11"/>
  <c r="C733" i="11"/>
  <c r="D733" i="11"/>
  <c r="C734" i="11"/>
  <c r="D734" i="11"/>
  <c r="C735" i="11"/>
  <c r="D735" i="11"/>
  <c r="C736" i="11"/>
  <c r="D736" i="11"/>
  <c r="C737" i="11"/>
  <c r="D737" i="11"/>
  <c r="C738" i="11"/>
  <c r="D738" i="11"/>
  <c r="C739" i="11"/>
  <c r="D739" i="11"/>
  <c r="C740" i="11"/>
  <c r="D740" i="11"/>
  <c r="C741" i="11"/>
  <c r="D741" i="11"/>
  <c r="C742" i="11"/>
  <c r="D742" i="11"/>
  <c r="C743" i="11"/>
  <c r="D743" i="11"/>
  <c r="C744" i="11"/>
  <c r="D744" i="11"/>
  <c r="C745" i="11"/>
  <c r="D745" i="11"/>
  <c r="C746" i="11"/>
  <c r="D746" i="11"/>
  <c r="C747" i="11"/>
  <c r="D747" i="11"/>
  <c r="C748" i="11"/>
  <c r="D748" i="11"/>
  <c r="C749" i="11"/>
  <c r="D749" i="11"/>
  <c r="C750" i="11"/>
  <c r="D750" i="11"/>
  <c r="C751" i="11"/>
  <c r="D751" i="11"/>
  <c r="C752" i="11"/>
  <c r="D752" i="11"/>
  <c r="C753" i="11"/>
  <c r="D753" i="11"/>
  <c r="C754" i="11"/>
  <c r="D754" i="11"/>
  <c r="C755" i="11"/>
  <c r="D755" i="11"/>
  <c r="C756" i="11"/>
  <c r="D756" i="11"/>
  <c r="C757" i="11"/>
  <c r="D757" i="11"/>
  <c r="C758" i="11"/>
  <c r="D758" i="11"/>
  <c r="C759" i="11"/>
  <c r="D759" i="11"/>
  <c r="C760" i="11"/>
  <c r="D760" i="11"/>
  <c r="C761" i="11"/>
  <c r="D761" i="11"/>
  <c r="C762" i="11"/>
  <c r="D762" i="11"/>
  <c r="C763" i="11"/>
  <c r="D763" i="11"/>
  <c r="C764" i="11"/>
  <c r="D764" i="11"/>
  <c r="C765" i="11"/>
  <c r="D765" i="11"/>
  <c r="C766" i="11"/>
  <c r="D766" i="11"/>
  <c r="C767" i="11"/>
  <c r="D767" i="11"/>
  <c r="C768" i="11"/>
  <c r="D768" i="11"/>
  <c r="C769" i="11"/>
  <c r="D769" i="11"/>
  <c r="C770" i="11"/>
  <c r="D770" i="11"/>
  <c r="C771" i="11"/>
  <c r="D771" i="11"/>
  <c r="C772" i="11"/>
  <c r="D772" i="11"/>
  <c r="C773" i="11"/>
  <c r="D773" i="11"/>
  <c r="C774" i="11"/>
  <c r="D774" i="11"/>
  <c r="C775" i="11"/>
  <c r="D775" i="11"/>
  <c r="C776" i="11"/>
  <c r="D776" i="11"/>
  <c r="C777" i="11"/>
  <c r="D777" i="11"/>
  <c r="C778" i="11"/>
  <c r="D778" i="11"/>
  <c r="C779" i="11"/>
  <c r="D779" i="11"/>
  <c r="C780" i="11"/>
  <c r="D780" i="11"/>
  <c r="C781" i="11"/>
  <c r="D781" i="11"/>
  <c r="C782" i="11"/>
  <c r="D782" i="11"/>
  <c r="C783" i="11"/>
  <c r="D783" i="11"/>
  <c r="C784" i="11"/>
  <c r="D784" i="11"/>
  <c r="C785" i="11"/>
  <c r="D785" i="11"/>
  <c r="C786" i="11"/>
  <c r="D786" i="11"/>
  <c r="C787" i="11"/>
  <c r="D787" i="11"/>
  <c r="C788" i="11"/>
  <c r="D788" i="11"/>
  <c r="C789" i="11"/>
  <c r="D789" i="11"/>
  <c r="C790" i="11"/>
  <c r="D790" i="11"/>
  <c r="C791" i="11"/>
  <c r="D791" i="11"/>
  <c r="C792" i="11"/>
  <c r="D792" i="11"/>
  <c r="C793" i="11"/>
  <c r="D793" i="11"/>
  <c r="C794" i="11"/>
  <c r="D794" i="11"/>
  <c r="C795" i="11"/>
  <c r="D795" i="11"/>
  <c r="C796" i="11"/>
  <c r="D796" i="11"/>
  <c r="C797" i="11"/>
  <c r="D797" i="11"/>
  <c r="C798" i="11"/>
  <c r="D798" i="11"/>
  <c r="C799" i="11"/>
  <c r="D799" i="11"/>
  <c r="C800" i="11"/>
  <c r="D800" i="11"/>
  <c r="C801" i="11"/>
  <c r="D801" i="11"/>
  <c r="C802" i="11"/>
  <c r="D802" i="11"/>
  <c r="C803" i="11"/>
  <c r="D803" i="11"/>
  <c r="C804" i="11"/>
  <c r="D804" i="11"/>
  <c r="C805" i="11"/>
  <c r="D805" i="11"/>
  <c r="C806" i="11"/>
  <c r="D806" i="11"/>
  <c r="C807" i="11"/>
  <c r="D807" i="11"/>
  <c r="C808" i="11"/>
  <c r="D808" i="11"/>
  <c r="C809" i="11"/>
  <c r="D809" i="11"/>
  <c r="C810" i="11"/>
  <c r="D810" i="11"/>
  <c r="C811" i="11"/>
  <c r="D811" i="11"/>
  <c r="C812" i="11"/>
  <c r="D812" i="11"/>
  <c r="C813" i="11"/>
  <c r="D813" i="11"/>
  <c r="C814" i="11"/>
  <c r="D814" i="11"/>
  <c r="C815" i="11"/>
  <c r="D815" i="11"/>
  <c r="C816" i="11"/>
  <c r="D816" i="11"/>
  <c r="C817" i="11"/>
  <c r="D817" i="11"/>
  <c r="C818" i="11"/>
  <c r="D818" i="11"/>
  <c r="C819" i="11"/>
  <c r="D819" i="11"/>
  <c r="C820" i="11"/>
  <c r="D820" i="11"/>
  <c r="C821" i="11"/>
  <c r="D821" i="11"/>
  <c r="C822" i="11"/>
  <c r="D822" i="11"/>
  <c r="C823" i="11"/>
  <c r="D823" i="11"/>
  <c r="C824" i="11"/>
  <c r="D824" i="11"/>
  <c r="C825" i="11"/>
  <c r="D825" i="11"/>
  <c r="C826" i="11"/>
  <c r="D826" i="11"/>
  <c r="C827" i="11"/>
  <c r="D827" i="11"/>
  <c r="C828" i="11"/>
  <c r="D828" i="11"/>
  <c r="C829" i="11"/>
  <c r="D829" i="11"/>
  <c r="C830" i="11"/>
  <c r="D830" i="11"/>
  <c r="C831" i="11"/>
  <c r="D831" i="11"/>
  <c r="C832" i="11"/>
  <c r="D832" i="11"/>
  <c r="C833" i="11"/>
  <c r="D833" i="11"/>
  <c r="C834" i="11"/>
  <c r="D834" i="11"/>
  <c r="C835" i="11"/>
  <c r="D835" i="11"/>
  <c r="C836" i="11"/>
  <c r="D836" i="11"/>
  <c r="C837" i="11"/>
  <c r="D837" i="11"/>
  <c r="C838" i="11"/>
  <c r="D838" i="11"/>
  <c r="C839" i="11"/>
  <c r="D839" i="11"/>
  <c r="C840" i="11"/>
  <c r="D840" i="11"/>
  <c r="C841" i="11"/>
  <c r="D841" i="11"/>
  <c r="C842" i="11"/>
  <c r="D842" i="11"/>
  <c r="C843" i="11"/>
  <c r="D843" i="11"/>
  <c r="C844" i="11"/>
  <c r="D844" i="11"/>
  <c r="C845" i="11"/>
  <c r="D845" i="11"/>
  <c r="C846" i="11"/>
  <c r="D846" i="11"/>
  <c r="C847" i="11"/>
  <c r="D847" i="11"/>
  <c r="C848" i="11"/>
  <c r="D848" i="11"/>
  <c r="C849" i="11"/>
  <c r="D849" i="11"/>
  <c r="C850" i="11"/>
  <c r="D850" i="11"/>
  <c r="C851" i="11"/>
  <c r="D851" i="11"/>
  <c r="C852" i="11"/>
  <c r="D852" i="11"/>
  <c r="C853" i="11"/>
  <c r="D853" i="11"/>
  <c r="C854" i="11"/>
  <c r="D854" i="11"/>
  <c r="C855" i="11"/>
  <c r="D855" i="11"/>
  <c r="C856" i="11"/>
  <c r="D856" i="11"/>
  <c r="C857" i="11"/>
  <c r="D857" i="11"/>
  <c r="C858" i="11"/>
  <c r="D858" i="11"/>
  <c r="C859" i="11"/>
  <c r="D859" i="11"/>
  <c r="C860" i="11"/>
  <c r="D860" i="11"/>
  <c r="C861" i="11"/>
  <c r="D861" i="11"/>
  <c r="C862" i="11"/>
  <c r="D862" i="11"/>
  <c r="C863" i="11"/>
  <c r="D863" i="11"/>
  <c r="C864" i="11"/>
  <c r="D864" i="11"/>
  <c r="C865" i="11"/>
  <c r="D865" i="11"/>
  <c r="C866" i="11"/>
  <c r="D866" i="11"/>
  <c r="C867" i="11"/>
  <c r="D867" i="11"/>
  <c r="C868" i="11"/>
  <c r="D868" i="11"/>
  <c r="C869" i="11"/>
  <c r="D869" i="11"/>
  <c r="C870" i="11"/>
  <c r="D870" i="11"/>
  <c r="C871" i="11"/>
  <c r="D871" i="11"/>
  <c r="C872" i="11"/>
  <c r="D872" i="11"/>
  <c r="C873" i="11"/>
  <c r="D873" i="11"/>
  <c r="C874" i="11"/>
  <c r="D874" i="11"/>
  <c r="C875" i="11"/>
  <c r="D875" i="11"/>
  <c r="C876" i="11"/>
  <c r="D876" i="11"/>
  <c r="C877" i="11"/>
  <c r="D877" i="11"/>
  <c r="C878" i="11"/>
  <c r="D878" i="11"/>
  <c r="C879" i="11"/>
  <c r="D879" i="11"/>
  <c r="C880" i="11"/>
  <c r="D880" i="11"/>
  <c r="C881" i="11"/>
  <c r="D881" i="11"/>
  <c r="C882" i="11"/>
  <c r="D882" i="11"/>
  <c r="C883" i="11"/>
  <c r="D883" i="11"/>
  <c r="C884" i="11"/>
  <c r="D884" i="11"/>
  <c r="C885" i="11"/>
  <c r="D885" i="11"/>
  <c r="C886" i="11"/>
  <c r="D886" i="11"/>
  <c r="C887" i="11"/>
  <c r="D887" i="11"/>
  <c r="C888" i="11"/>
  <c r="D888" i="11"/>
  <c r="C889" i="11"/>
  <c r="D889" i="11"/>
  <c r="C890" i="11"/>
  <c r="D890" i="11"/>
  <c r="C891" i="11"/>
  <c r="D891" i="11"/>
  <c r="C892" i="11"/>
  <c r="D892" i="11"/>
  <c r="C893" i="11"/>
  <c r="D893" i="11"/>
  <c r="C894" i="11"/>
  <c r="D894" i="11"/>
  <c r="C895" i="11"/>
  <c r="D895" i="11"/>
  <c r="C896" i="11"/>
  <c r="D896" i="11"/>
  <c r="C897" i="11"/>
  <c r="D897" i="11"/>
  <c r="C898" i="11"/>
  <c r="D898" i="11"/>
  <c r="C899" i="11"/>
  <c r="D899" i="11"/>
  <c r="C900" i="11"/>
  <c r="D900" i="11"/>
  <c r="C901" i="11"/>
  <c r="D901" i="11"/>
  <c r="C902" i="11"/>
  <c r="D902" i="11"/>
  <c r="C903" i="11"/>
  <c r="D903" i="11"/>
  <c r="C904" i="11"/>
  <c r="D904" i="11"/>
  <c r="C905" i="11"/>
  <c r="D905" i="11"/>
  <c r="C906" i="11"/>
  <c r="D906" i="11"/>
  <c r="C907" i="11"/>
  <c r="D907" i="11"/>
  <c r="C908" i="11"/>
  <c r="D908" i="11"/>
  <c r="C909" i="11"/>
  <c r="D909" i="11"/>
  <c r="C910" i="11"/>
  <c r="D910" i="11"/>
  <c r="C911" i="11"/>
  <c r="D911" i="11"/>
  <c r="C912" i="11"/>
  <c r="D912" i="11"/>
  <c r="C913" i="11"/>
  <c r="D913" i="11"/>
  <c r="C914" i="11"/>
  <c r="D914" i="11"/>
  <c r="C915" i="11"/>
  <c r="D915" i="11"/>
  <c r="C916" i="11"/>
  <c r="D916" i="11"/>
  <c r="C917" i="11"/>
  <c r="D917" i="11"/>
  <c r="C918" i="11"/>
  <c r="D918" i="11"/>
  <c r="C919" i="11"/>
  <c r="D919" i="11"/>
  <c r="C920" i="11"/>
  <c r="D920" i="11"/>
  <c r="C921" i="11"/>
  <c r="D921" i="11"/>
  <c r="C922" i="11"/>
  <c r="D922" i="11"/>
  <c r="C923" i="11"/>
  <c r="D923" i="11"/>
  <c r="C924" i="11"/>
  <c r="D924" i="11"/>
  <c r="C925" i="11"/>
  <c r="D925" i="11"/>
  <c r="C926" i="11"/>
  <c r="D926" i="11"/>
  <c r="C927" i="11"/>
  <c r="D927" i="11"/>
  <c r="C928" i="11"/>
  <c r="D928" i="11"/>
  <c r="C929" i="11"/>
  <c r="D929" i="11"/>
  <c r="C930" i="11"/>
  <c r="D930" i="11"/>
  <c r="C931" i="11"/>
  <c r="D931" i="11"/>
  <c r="C932" i="11"/>
  <c r="D932" i="11"/>
  <c r="C933" i="11"/>
  <c r="D933" i="11"/>
  <c r="C934" i="11"/>
  <c r="D934" i="11"/>
  <c r="C935" i="11"/>
  <c r="D935" i="11"/>
  <c r="C936" i="11"/>
  <c r="D936" i="11"/>
  <c r="C937" i="11"/>
  <c r="D937" i="11"/>
  <c r="C938" i="11"/>
  <c r="D938" i="11"/>
  <c r="C939" i="11"/>
  <c r="D939" i="11"/>
  <c r="C940" i="11"/>
  <c r="D940" i="11"/>
  <c r="C941" i="11"/>
  <c r="D941" i="11"/>
  <c r="C942" i="11"/>
  <c r="D942" i="11"/>
  <c r="C943" i="11"/>
  <c r="D943" i="11"/>
  <c r="C944" i="11"/>
  <c r="D944" i="11"/>
  <c r="C945" i="11"/>
  <c r="D945" i="11"/>
  <c r="C946" i="11"/>
  <c r="D946" i="11"/>
  <c r="C947" i="11"/>
  <c r="D947" i="11"/>
  <c r="C948" i="11"/>
  <c r="D948" i="11"/>
  <c r="C949" i="11"/>
  <c r="D949" i="11"/>
  <c r="C950" i="11"/>
  <c r="D950" i="11"/>
  <c r="C951" i="11"/>
  <c r="D951" i="11"/>
  <c r="C952" i="11"/>
  <c r="D952" i="11"/>
  <c r="C953" i="11"/>
  <c r="D953" i="11"/>
  <c r="C954" i="11"/>
  <c r="D954" i="11"/>
  <c r="C955" i="11"/>
  <c r="D955" i="11"/>
  <c r="C956" i="11"/>
  <c r="D956" i="11"/>
  <c r="C957" i="11"/>
  <c r="D957" i="11"/>
  <c r="C958" i="11"/>
  <c r="D958" i="11"/>
  <c r="C959" i="11"/>
  <c r="D959" i="11"/>
  <c r="C960" i="11"/>
  <c r="D960" i="11"/>
  <c r="C961" i="11"/>
  <c r="D961" i="11"/>
  <c r="C962" i="11"/>
  <c r="D962" i="11"/>
  <c r="C963" i="11"/>
  <c r="D963" i="11"/>
  <c r="C964" i="11"/>
  <c r="D964" i="11"/>
  <c r="C965" i="11"/>
  <c r="D965" i="11"/>
  <c r="C966" i="11"/>
  <c r="D966" i="11"/>
  <c r="C967" i="11"/>
  <c r="D967" i="11"/>
  <c r="C968" i="11"/>
  <c r="D968" i="11"/>
  <c r="C969" i="11"/>
  <c r="D969" i="11"/>
  <c r="C970" i="11"/>
  <c r="D970" i="11"/>
  <c r="C971" i="11"/>
  <c r="D971" i="11"/>
  <c r="C972" i="11"/>
  <c r="D972" i="11"/>
  <c r="C973" i="11"/>
  <c r="D973" i="11"/>
  <c r="C974" i="11"/>
  <c r="D974" i="11"/>
  <c r="C975" i="11"/>
  <c r="D975" i="11"/>
  <c r="D4" i="11"/>
  <c r="C4" i="11"/>
  <c r="G5" i="11"/>
  <c r="H5" i="11"/>
  <c r="G6" i="11"/>
  <c r="H6" i="11"/>
  <c r="G7" i="11"/>
  <c r="H7" i="11"/>
  <c r="G8" i="11"/>
  <c r="H8" i="11"/>
  <c r="G9" i="11"/>
  <c r="H9" i="11"/>
  <c r="G10" i="11"/>
  <c r="H10" i="11"/>
  <c r="G11" i="11"/>
  <c r="H11" i="11"/>
  <c r="G12" i="11"/>
  <c r="H12" i="11"/>
  <c r="G13" i="11"/>
  <c r="H13" i="11"/>
  <c r="G14" i="11"/>
  <c r="H14" i="11"/>
  <c r="G15" i="11"/>
  <c r="H15" i="11"/>
  <c r="G16" i="11"/>
  <c r="H16" i="11"/>
  <c r="G17" i="11"/>
  <c r="H17" i="11"/>
  <c r="G18" i="11"/>
  <c r="H18" i="11"/>
  <c r="G19" i="11"/>
  <c r="H19" i="11"/>
  <c r="G20" i="11"/>
  <c r="H20" i="11"/>
  <c r="G21" i="11"/>
  <c r="H21" i="11"/>
  <c r="G22" i="11"/>
  <c r="H22" i="11"/>
  <c r="G23" i="11"/>
  <c r="H23" i="11"/>
  <c r="G24" i="11"/>
  <c r="H24" i="11"/>
  <c r="G25" i="11"/>
  <c r="H25" i="11"/>
  <c r="G26" i="11"/>
  <c r="H26" i="11"/>
  <c r="G27" i="11"/>
  <c r="H27" i="11"/>
  <c r="G28" i="11"/>
  <c r="H28" i="11"/>
  <c r="G29" i="11"/>
  <c r="H29" i="11"/>
  <c r="G30" i="11"/>
  <c r="H30" i="11"/>
  <c r="G31" i="11"/>
  <c r="H31" i="11"/>
  <c r="G32" i="11"/>
  <c r="H32" i="11"/>
  <c r="G33" i="11"/>
  <c r="H33" i="11"/>
  <c r="G34" i="11"/>
  <c r="H34" i="11"/>
  <c r="G35" i="11"/>
  <c r="H35" i="11"/>
  <c r="G36" i="11"/>
  <c r="H36" i="11"/>
  <c r="G37" i="11"/>
  <c r="H37" i="11"/>
  <c r="G38" i="11"/>
  <c r="H38" i="11"/>
  <c r="G39" i="11"/>
  <c r="H39" i="11"/>
  <c r="G40" i="11"/>
  <c r="H40" i="11"/>
  <c r="G41" i="11"/>
  <c r="H41" i="11"/>
  <c r="G42" i="11"/>
  <c r="H42" i="11"/>
  <c r="G43" i="11"/>
  <c r="H43" i="11"/>
  <c r="G44" i="11"/>
  <c r="H44" i="11"/>
  <c r="G45" i="11"/>
  <c r="H45" i="11"/>
  <c r="G46" i="11"/>
  <c r="H46" i="11"/>
  <c r="G47" i="11"/>
  <c r="H47" i="11"/>
  <c r="G48" i="11"/>
  <c r="H48" i="11"/>
  <c r="G49" i="11"/>
  <c r="H49" i="11"/>
  <c r="G50" i="11"/>
  <c r="H50" i="11"/>
  <c r="G51" i="11"/>
  <c r="H51" i="11"/>
  <c r="G52" i="11"/>
  <c r="H52" i="11"/>
  <c r="G53" i="11"/>
  <c r="H53" i="11"/>
  <c r="G54" i="11"/>
  <c r="H54" i="11"/>
  <c r="G55" i="11"/>
  <c r="H55" i="11"/>
  <c r="G56" i="11"/>
  <c r="H56" i="11"/>
  <c r="G57" i="11"/>
  <c r="H57" i="11"/>
  <c r="G58" i="11"/>
  <c r="H58" i="11"/>
  <c r="G59" i="11"/>
  <c r="H59" i="11"/>
  <c r="G60" i="11"/>
  <c r="H60" i="11"/>
  <c r="G61" i="11"/>
  <c r="H61" i="11"/>
  <c r="G62" i="11"/>
  <c r="H62" i="11"/>
  <c r="G63" i="11"/>
  <c r="H63" i="11"/>
  <c r="G64" i="11"/>
  <c r="H64" i="11"/>
  <c r="G65" i="11"/>
  <c r="H65" i="11"/>
  <c r="G66" i="11"/>
  <c r="H66" i="11"/>
  <c r="G67" i="11"/>
  <c r="H67" i="11"/>
  <c r="G68" i="11"/>
  <c r="H68" i="11"/>
  <c r="G69" i="11"/>
  <c r="H69" i="11"/>
  <c r="G70" i="11"/>
  <c r="H70" i="11"/>
  <c r="G71" i="11"/>
  <c r="H71" i="11"/>
  <c r="G72" i="11"/>
  <c r="H72" i="11"/>
  <c r="G73" i="11"/>
  <c r="H73" i="11"/>
  <c r="G74" i="11"/>
  <c r="H74" i="11"/>
  <c r="G75" i="11"/>
  <c r="H75" i="11"/>
  <c r="G76" i="11"/>
  <c r="H76" i="11"/>
  <c r="G77" i="11"/>
  <c r="H77" i="11"/>
  <c r="G78" i="11"/>
  <c r="H78" i="11"/>
  <c r="G79" i="11"/>
  <c r="H79" i="11"/>
  <c r="G80" i="11"/>
  <c r="H80" i="11"/>
  <c r="G81" i="11"/>
  <c r="H81" i="11"/>
  <c r="G82" i="11"/>
  <c r="H82" i="11"/>
  <c r="G83" i="11"/>
  <c r="H83" i="11"/>
  <c r="G84" i="11"/>
  <c r="H84" i="11"/>
  <c r="G85" i="11"/>
  <c r="H85" i="11"/>
  <c r="G86" i="11"/>
  <c r="H86" i="11"/>
  <c r="G87" i="11"/>
  <c r="H87" i="11"/>
  <c r="G88" i="11"/>
  <c r="H88" i="11"/>
  <c r="G89" i="11"/>
  <c r="H89" i="11"/>
  <c r="G90" i="11"/>
  <c r="H90" i="11"/>
  <c r="G91" i="11"/>
  <c r="H91" i="11"/>
  <c r="G92" i="11"/>
  <c r="H92" i="11"/>
  <c r="G93" i="11"/>
  <c r="H93" i="11"/>
  <c r="G94" i="11"/>
  <c r="H94" i="11"/>
  <c r="G95" i="11"/>
  <c r="H95" i="11"/>
  <c r="G96" i="11"/>
  <c r="H96" i="11"/>
  <c r="G97" i="11"/>
  <c r="H97" i="11"/>
  <c r="G98" i="11"/>
  <c r="H98" i="11"/>
  <c r="G99" i="11"/>
  <c r="H99" i="11"/>
  <c r="G100" i="11"/>
  <c r="H100" i="11"/>
  <c r="G101" i="11"/>
  <c r="H101" i="11"/>
  <c r="G102" i="11"/>
  <c r="H102" i="11"/>
  <c r="G103" i="11"/>
  <c r="H103" i="11"/>
  <c r="G104" i="11"/>
  <c r="H104" i="11"/>
  <c r="G105" i="11"/>
  <c r="H105" i="11"/>
  <c r="G106" i="11"/>
  <c r="H106" i="11"/>
  <c r="G107" i="11"/>
  <c r="H107" i="11"/>
  <c r="G108" i="11"/>
  <c r="H108" i="11"/>
  <c r="G109" i="11"/>
  <c r="H109" i="11"/>
  <c r="G110" i="11"/>
  <c r="H110" i="11"/>
  <c r="G111" i="11"/>
  <c r="H111" i="11"/>
  <c r="G112" i="11"/>
  <c r="H112" i="11"/>
  <c r="G113" i="11"/>
  <c r="H113" i="11"/>
  <c r="G114" i="11"/>
  <c r="H114" i="11"/>
  <c r="G115" i="11"/>
  <c r="H115" i="11"/>
  <c r="G116" i="11"/>
  <c r="H116" i="11"/>
  <c r="G117" i="11"/>
  <c r="H117" i="11"/>
  <c r="G118" i="11"/>
  <c r="H118" i="11"/>
  <c r="G119" i="11"/>
  <c r="H119" i="11"/>
  <c r="G120" i="11"/>
  <c r="H120" i="11"/>
  <c r="G121" i="11"/>
  <c r="H121" i="11"/>
  <c r="G122" i="11"/>
  <c r="H122" i="11"/>
  <c r="G123" i="11"/>
  <c r="H123" i="11"/>
  <c r="G124" i="11"/>
  <c r="H124" i="11"/>
  <c r="G125" i="11"/>
  <c r="H125" i="11"/>
  <c r="G126" i="11"/>
  <c r="H126" i="11"/>
  <c r="G127" i="11"/>
  <c r="H127" i="11"/>
  <c r="G128" i="11"/>
  <c r="H128" i="11"/>
  <c r="G129" i="11"/>
  <c r="H129" i="11"/>
  <c r="G130" i="11"/>
  <c r="H130" i="11"/>
  <c r="G131" i="11"/>
  <c r="H131" i="11"/>
  <c r="G132" i="11"/>
  <c r="H132" i="11"/>
  <c r="G133" i="11"/>
  <c r="H133" i="11"/>
  <c r="G134" i="11"/>
  <c r="H134" i="11"/>
  <c r="G135" i="11"/>
  <c r="H135" i="11"/>
  <c r="G136" i="11"/>
  <c r="H136" i="11"/>
  <c r="G137" i="11"/>
  <c r="H137" i="11"/>
  <c r="G138" i="11"/>
  <c r="H138" i="11"/>
  <c r="G139" i="11"/>
  <c r="H139" i="11"/>
  <c r="G140" i="11"/>
  <c r="H140" i="11"/>
  <c r="G141" i="11"/>
  <c r="H141" i="11"/>
  <c r="G142" i="11"/>
  <c r="H142" i="11"/>
  <c r="G143" i="11"/>
  <c r="H143" i="11"/>
  <c r="G144" i="11"/>
  <c r="H144" i="11"/>
  <c r="G145" i="11"/>
  <c r="H145" i="11"/>
  <c r="G146" i="11"/>
  <c r="H146" i="11"/>
  <c r="G147" i="11"/>
  <c r="H147" i="11"/>
  <c r="G148" i="11"/>
  <c r="H148" i="11"/>
  <c r="G149" i="11"/>
  <c r="H149" i="11"/>
  <c r="G150" i="11"/>
  <c r="H150" i="11"/>
  <c r="G151" i="11"/>
  <c r="H151" i="11"/>
  <c r="G152" i="11"/>
  <c r="H152" i="11"/>
  <c r="G153" i="11"/>
  <c r="H153" i="11"/>
  <c r="G154" i="11"/>
  <c r="H154" i="11"/>
  <c r="G155" i="11"/>
  <c r="H155" i="11"/>
  <c r="G156" i="11"/>
  <c r="H156" i="11"/>
  <c r="G157" i="11"/>
  <c r="H157" i="11"/>
  <c r="G158" i="11"/>
  <c r="H158" i="11"/>
  <c r="G159" i="11"/>
  <c r="H159" i="11"/>
  <c r="G160" i="11"/>
  <c r="H160" i="11"/>
  <c r="G161" i="11"/>
  <c r="H161" i="11"/>
  <c r="G162" i="11"/>
  <c r="H162" i="11"/>
  <c r="G163" i="11"/>
  <c r="H163" i="11"/>
  <c r="G164" i="11"/>
  <c r="H164" i="11"/>
  <c r="G165" i="11"/>
  <c r="H165" i="11"/>
  <c r="G166" i="11"/>
  <c r="H166" i="11"/>
  <c r="G167" i="11"/>
  <c r="H167" i="11"/>
  <c r="G168" i="11"/>
  <c r="H168" i="11"/>
  <c r="G169" i="11"/>
  <c r="H169" i="11"/>
  <c r="G170" i="11"/>
  <c r="H170" i="11"/>
  <c r="G171" i="11"/>
  <c r="H171" i="11"/>
  <c r="G172" i="11"/>
  <c r="H172" i="11"/>
  <c r="G173" i="11"/>
  <c r="H173" i="11"/>
  <c r="G174" i="11"/>
  <c r="H174" i="11"/>
  <c r="G175" i="11"/>
  <c r="H175" i="11"/>
  <c r="G176" i="11"/>
  <c r="H176" i="11"/>
  <c r="G177" i="11"/>
  <c r="H177" i="11"/>
  <c r="G178" i="11"/>
  <c r="H178" i="11"/>
  <c r="G179" i="11"/>
  <c r="H179" i="11"/>
  <c r="G180" i="11"/>
  <c r="H180" i="11"/>
  <c r="G181" i="11"/>
  <c r="H181" i="11"/>
  <c r="G182" i="11"/>
  <c r="H182" i="11"/>
  <c r="G183" i="11"/>
  <c r="H183" i="11"/>
  <c r="G184" i="11"/>
  <c r="H184" i="11"/>
  <c r="G185" i="11"/>
  <c r="H185" i="11"/>
  <c r="G186" i="11"/>
  <c r="H186" i="11"/>
  <c r="G187" i="11"/>
  <c r="H187" i="11"/>
  <c r="G188" i="11"/>
  <c r="H188" i="11"/>
  <c r="G189" i="11"/>
  <c r="H189" i="11"/>
  <c r="G190" i="11"/>
  <c r="H190" i="11"/>
  <c r="G191" i="11"/>
  <c r="H191" i="11"/>
  <c r="G192" i="11"/>
  <c r="H192" i="11"/>
  <c r="G193" i="11"/>
  <c r="H193" i="11"/>
  <c r="G194" i="11"/>
  <c r="H194" i="11"/>
  <c r="G195" i="11"/>
  <c r="H195" i="11"/>
  <c r="G196" i="11"/>
  <c r="H196" i="11"/>
  <c r="G197" i="11"/>
  <c r="H197" i="11"/>
  <c r="G198" i="11"/>
  <c r="H198" i="11"/>
  <c r="G199" i="11"/>
  <c r="H199" i="11"/>
  <c r="G200" i="11"/>
  <c r="H200" i="11"/>
  <c r="G201" i="11"/>
  <c r="H201" i="11"/>
  <c r="G202" i="11"/>
  <c r="H202" i="11"/>
  <c r="G203" i="11"/>
  <c r="H203" i="11"/>
  <c r="G204" i="11"/>
  <c r="H204" i="11"/>
  <c r="G205" i="11"/>
  <c r="H205" i="11"/>
  <c r="G206" i="11"/>
  <c r="H206" i="11"/>
  <c r="G207" i="11"/>
  <c r="H207" i="11"/>
  <c r="G208" i="11"/>
  <c r="H208" i="11"/>
  <c r="G209" i="11"/>
  <c r="H209" i="11"/>
  <c r="G210" i="11"/>
  <c r="H210" i="11"/>
  <c r="G211" i="11"/>
  <c r="H211" i="11"/>
  <c r="G212" i="11"/>
  <c r="H212" i="11"/>
  <c r="G213" i="11"/>
  <c r="H213" i="11"/>
  <c r="G214" i="11"/>
  <c r="H214" i="11"/>
  <c r="G215" i="11"/>
  <c r="H215" i="11"/>
  <c r="G216" i="11"/>
  <c r="H216" i="11"/>
  <c r="G217" i="11"/>
  <c r="H217" i="11"/>
  <c r="G218" i="11"/>
  <c r="H218" i="11"/>
  <c r="G219" i="11"/>
  <c r="H219" i="11"/>
  <c r="G220" i="11"/>
  <c r="H220" i="11"/>
  <c r="G221" i="11"/>
  <c r="H221" i="11"/>
  <c r="G222" i="11"/>
  <c r="H222" i="11"/>
  <c r="G223" i="11"/>
  <c r="H223" i="11"/>
  <c r="G224" i="11"/>
  <c r="H224" i="11"/>
  <c r="G225" i="11"/>
  <c r="H225" i="11"/>
  <c r="G226" i="11"/>
  <c r="H226" i="11"/>
  <c r="G227" i="11"/>
  <c r="H227" i="11"/>
  <c r="G228" i="11"/>
  <c r="H228" i="11"/>
  <c r="G229" i="11"/>
  <c r="H229" i="11"/>
  <c r="G230" i="11"/>
  <c r="H230" i="11"/>
  <c r="G231" i="11"/>
  <c r="H231" i="11"/>
  <c r="G232" i="11"/>
  <c r="H232" i="11"/>
  <c r="G233" i="11"/>
  <c r="H233" i="11"/>
  <c r="G234" i="11"/>
  <c r="H234" i="11"/>
  <c r="G235" i="11"/>
  <c r="H235" i="11"/>
  <c r="G236" i="11"/>
  <c r="H236" i="11"/>
  <c r="G237" i="11"/>
  <c r="H237" i="11"/>
  <c r="G238" i="11"/>
  <c r="H238" i="11"/>
  <c r="G239" i="11"/>
  <c r="H239" i="11"/>
  <c r="G240" i="11"/>
  <c r="H240" i="11"/>
  <c r="G241" i="11"/>
  <c r="H241" i="11"/>
  <c r="G242" i="11"/>
  <c r="H242" i="11"/>
  <c r="G243" i="11"/>
  <c r="H243" i="11"/>
  <c r="G244" i="11"/>
  <c r="H244" i="11"/>
  <c r="G245" i="11"/>
  <c r="H245" i="11"/>
  <c r="G246" i="11"/>
  <c r="H246" i="11"/>
  <c r="G247" i="11"/>
  <c r="H247" i="11"/>
  <c r="G248" i="11"/>
  <c r="H248" i="11"/>
  <c r="G249" i="11"/>
  <c r="H249" i="11"/>
  <c r="G250" i="11"/>
  <c r="H250" i="11"/>
  <c r="G251" i="11"/>
  <c r="H251" i="11"/>
  <c r="G252" i="11"/>
  <c r="H252" i="11"/>
  <c r="G253" i="11"/>
  <c r="H253" i="11"/>
  <c r="G254" i="11"/>
  <c r="H254" i="11"/>
  <c r="G255" i="11"/>
  <c r="H255" i="11"/>
  <c r="G256" i="11"/>
  <c r="H256" i="11"/>
  <c r="G257" i="11"/>
  <c r="H257" i="11"/>
  <c r="G258" i="11"/>
  <c r="H258" i="11"/>
  <c r="G259" i="11"/>
  <c r="H259" i="11"/>
  <c r="G260" i="11"/>
  <c r="H260" i="11"/>
  <c r="G261" i="11"/>
  <c r="H261" i="11"/>
  <c r="G262" i="11"/>
  <c r="H262" i="11"/>
  <c r="G263" i="11"/>
  <c r="H263" i="11"/>
  <c r="G264" i="11"/>
  <c r="H264" i="11"/>
  <c r="G265" i="11"/>
  <c r="H265" i="11"/>
  <c r="G266" i="11"/>
  <c r="H266" i="11"/>
  <c r="G267" i="11"/>
  <c r="H267" i="11"/>
  <c r="G268" i="11"/>
  <c r="H268" i="11"/>
  <c r="G269" i="11"/>
  <c r="H269" i="11"/>
  <c r="G270" i="11"/>
  <c r="H270" i="11"/>
  <c r="G271" i="11"/>
  <c r="H271" i="11"/>
  <c r="G272" i="11"/>
  <c r="H272" i="11"/>
  <c r="G273" i="11"/>
  <c r="H273" i="11"/>
  <c r="G274" i="11"/>
  <c r="H274" i="11"/>
  <c r="G275" i="11"/>
  <c r="H275" i="11"/>
  <c r="G276" i="11"/>
  <c r="H276" i="11"/>
  <c r="G277" i="11"/>
  <c r="H277" i="11"/>
  <c r="G278" i="11"/>
  <c r="H278" i="11"/>
  <c r="G279" i="11"/>
  <c r="H279" i="11"/>
  <c r="G280" i="11"/>
  <c r="H280" i="11"/>
  <c r="G281" i="11"/>
  <c r="H281" i="11"/>
  <c r="G282" i="11"/>
  <c r="H282" i="11"/>
  <c r="G283" i="11"/>
  <c r="H283" i="11"/>
  <c r="G284" i="11"/>
  <c r="H284" i="11"/>
  <c r="G285" i="11"/>
  <c r="H285" i="11"/>
  <c r="G286" i="11"/>
  <c r="H286" i="11"/>
  <c r="G287" i="11"/>
  <c r="H287" i="11"/>
  <c r="G288" i="11"/>
  <c r="H288" i="11"/>
  <c r="G289" i="11"/>
  <c r="H289" i="11"/>
  <c r="G290" i="11"/>
  <c r="H290" i="11"/>
  <c r="G291" i="11"/>
  <c r="H291" i="11"/>
  <c r="G292" i="11"/>
  <c r="H292" i="11"/>
  <c r="G293" i="11"/>
  <c r="H293" i="11"/>
  <c r="G294" i="11"/>
  <c r="H294" i="11"/>
  <c r="G295" i="11"/>
  <c r="H295" i="11"/>
  <c r="G296" i="11"/>
  <c r="H296" i="11"/>
  <c r="G297" i="11"/>
  <c r="H297" i="11"/>
  <c r="G298" i="11"/>
  <c r="H298" i="11"/>
  <c r="G299" i="11"/>
  <c r="H299" i="11"/>
  <c r="G300" i="11"/>
  <c r="H300" i="11"/>
  <c r="G301" i="11"/>
  <c r="H301" i="11"/>
  <c r="G302" i="11"/>
  <c r="H302" i="11"/>
  <c r="G303" i="11"/>
  <c r="H303" i="11"/>
  <c r="G304" i="11"/>
  <c r="H304" i="11"/>
  <c r="G305" i="11"/>
  <c r="H305" i="11"/>
  <c r="G306" i="11"/>
  <c r="H306" i="11"/>
  <c r="G307" i="11"/>
  <c r="H307" i="11"/>
  <c r="G308" i="11"/>
  <c r="H308" i="11"/>
  <c r="G309" i="11"/>
  <c r="H309" i="11"/>
  <c r="G310" i="11"/>
  <c r="H310" i="11"/>
  <c r="G311" i="11"/>
  <c r="H311" i="11"/>
  <c r="G312" i="11"/>
  <c r="H312" i="11"/>
  <c r="G313" i="11"/>
  <c r="H313" i="11"/>
  <c r="G314" i="11"/>
  <c r="H314" i="11"/>
  <c r="G315" i="11"/>
  <c r="H315" i="11"/>
  <c r="G316" i="11"/>
  <c r="H316" i="11"/>
  <c r="G317" i="11"/>
  <c r="H317" i="11"/>
  <c r="G318" i="11"/>
  <c r="H318" i="11"/>
  <c r="G319" i="11"/>
  <c r="H319" i="11"/>
  <c r="G320" i="11"/>
  <c r="H320" i="11"/>
  <c r="G321" i="11"/>
  <c r="H321" i="11"/>
  <c r="G322" i="11"/>
  <c r="H322" i="11"/>
  <c r="G323" i="11"/>
  <c r="H323" i="11"/>
  <c r="G324" i="11"/>
  <c r="H324" i="11"/>
  <c r="G325" i="11"/>
  <c r="H325" i="11"/>
  <c r="G326" i="11"/>
  <c r="H326" i="11"/>
  <c r="G327" i="11"/>
  <c r="H327" i="11"/>
  <c r="G328" i="11"/>
  <c r="H328" i="11"/>
  <c r="G329" i="11"/>
  <c r="H329" i="11"/>
  <c r="G330" i="11"/>
  <c r="H330" i="11"/>
  <c r="G331" i="11"/>
  <c r="H331" i="11"/>
  <c r="G332" i="11"/>
  <c r="H332" i="11"/>
  <c r="G333" i="11"/>
  <c r="H333" i="11"/>
  <c r="G334" i="11"/>
  <c r="H334" i="11"/>
  <c r="G335" i="11"/>
  <c r="H335" i="11"/>
  <c r="G336" i="11"/>
  <c r="H336" i="11"/>
  <c r="G337" i="11"/>
  <c r="H337" i="11"/>
  <c r="G338" i="11"/>
  <c r="H338" i="11"/>
  <c r="G339" i="11"/>
  <c r="H339" i="11"/>
  <c r="G340" i="11"/>
  <c r="H340" i="11"/>
  <c r="G341" i="11"/>
  <c r="H341" i="11"/>
  <c r="G342" i="11"/>
  <c r="H342" i="11"/>
  <c r="G343" i="11"/>
  <c r="H343" i="11"/>
  <c r="G344" i="11"/>
  <c r="H344" i="11"/>
  <c r="G345" i="11"/>
  <c r="H345" i="11"/>
  <c r="G346" i="11"/>
  <c r="H346" i="11"/>
  <c r="G347" i="11"/>
  <c r="H347" i="11"/>
  <c r="G348" i="11"/>
  <c r="H348" i="11"/>
  <c r="G349" i="11"/>
  <c r="H349" i="11"/>
  <c r="G350" i="11"/>
  <c r="H350" i="11"/>
  <c r="G351" i="11"/>
  <c r="H351" i="11"/>
  <c r="G352" i="11"/>
  <c r="H352" i="11"/>
  <c r="G353" i="11"/>
  <c r="H353" i="11"/>
  <c r="G354" i="11"/>
  <c r="H354" i="11"/>
  <c r="G355" i="11"/>
  <c r="H355" i="11"/>
  <c r="G356" i="11"/>
  <c r="H356" i="11"/>
  <c r="G357" i="11"/>
  <c r="H357" i="11"/>
  <c r="G358" i="11"/>
  <c r="H358" i="11"/>
  <c r="G359" i="11"/>
  <c r="H359" i="11"/>
  <c r="G360" i="11"/>
  <c r="H360" i="11"/>
  <c r="G361" i="11"/>
  <c r="H361" i="11"/>
  <c r="G362" i="11"/>
  <c r="H362" i="11"/>
  <c r="G363" i="11"/>
  <c r="H363" i="11"/>
  <c r="G364" i="11"/>
  <c r="H364" i="11"/>
  <c r="G365" i="11"/>
  <c r="H365" i="11"/>
  <c r="G366" i="11"/>
  <c r="H366" i="11"/>
  <c r="G367" i="11"/>
  <c r="H367" i="11"/>
  <c r="G368" i="11"/>
  <c r="H368" i="11"/>
  <c r="G369" i="11"/>
  <c r="H369" i="11"/>
  <c r="G370" i="11"/>
  <c r="H370" i="11"/>
  <c r="G371" i="11"/>
  <c r="H371" i="11"/>
  <c r="G372" i="11"/>
  <c r="H372" i="11"/>
  <c r="G373" i="11"/>
  <c r="H373" i="11"/>
  <c r="G374" i="11"/>
  <c r="H374" i="11"/>
  <c r="G375" i="11"/>
  <c r="H375" i="11"/>
  <c r="G376" i="11"/>
  <c r="H376" i="11"/>
  <c r="G377" i="11"/>
  <c r="H377" i="11"/>
  <c r="G378" i="11"/>
  <c r="H378" i="11"/>
  <c r="G379" i="11"/>
  <c r="H379" i="11"/>
  <c r="G380" i="11"/>
  <c r="H380" i="11"/>
  <c r="G381" i="11"/>
  <c r="H381" i="11"/>
  <c r="G382" i="11"/>
  <c r="H382" i="11"/>
  <c r="G383" i="11"/>
  <c r="H383" i="11"/>
  <c r="G384" i="11"/>
  <c r="H384" i="11"/>
  <c r="G385" i="11"/>
  <c r="H385" i="11"/>
  <c r="G386" i="11"/>
  <c r="H386" i="11"/>
  <c r="G387" i="11"/>
  <c r="H387" i="11"/>
  <c r="G388" i="11"/>
  <c r="H388" i="11"/>
  <c r="G389" i="11"/>
  <c r="H389" i="11"/>
  <c r="G390" i="11"/>
  <c r="H390" i="11"/>
  <c r="G391" i="11"/>
  <c r="H391" i="11"/>
  <c r="G392" i="11"/>
  <c r="H392" i="11"/>
  <c r="G393" i="11"/>
  <c r="H393" i="11"/>
  <c r="G394" i="11"/>
  <c r="H394" i="11"/>
  <c r="G395" i="11"/>
  <c r="H395" i="11"/>
  <c r="G396" i="11"/>
  <c r="H396" i="11"/>
  <c r="G397" i="11"/>
  <c r="H397" i="11"/>
  <c r="G398" i="11"/>
  <c r="H398" i="11"/>
  <c r="G399" i="11"/>
  <c r="H399" i="11"/>
  <c r="G400" i="11"/>
  <c r="H400" i="11"/>
  <c r="G401" i="11"/>
  <c r="H401" i="11"/>
  <c r="G402" i="11"/>
  <c r="H402" i="11"/>
  <c r="G403" i="11"/>
  <c r="H403" i="11"/>
  <c r="G404" i="11"/>
  <c r="H404" i="11"/>
  <c r="G405" i="11"/>
  <c r="H405" i="11"/>
  <c r="G406" i="11"/>
  <c r="H406" i="11"/>
  <c r="G407" i="11"/>
  <c r="H407" i="11"/>
  <c r="G408" i="11"/>
  <c r="H408" i="11"/>
  <c r="G409" i="11"/>
  <c r="H409" i="11"/>
  <c r="G410" i="11"/>
  <c r="H410" i="11"/>
  <c r="G411" i="11"/>
  <c r="H411" i="11"/>
  <c r="G412" i="11"/>
  <c r="H412" i="11"/>
  <c r="G413" i="11"/>
  <c r="H413" i="11"/>
  <c r="G414" i="11"/>
  <c r="H414" i="11"/>
  <c r="G415" i="11"/>
  <c r="H415" i="11"/>
  <c r="G416" i="11"/>
  <c r="H416" i="11"/>
  <c r="G417" i="11"/>
  <c r="H417" i="11"/>
  <c r="G418" i="11"/>
  <c r="H418" i="11"/>
  <c r="G419" i="11"/>
  <c r="H419" i="11"/>
  <c r="G420" i="11"/>
  <c r="H420" i="11"/>
  <c r="G421" i="11"/>
  <c r="H421" i="11"/>
  <c r="G422" i="11"/>
  <c r="H422" i="11"/>
  <c r="G423" i="11"/>
  <c r="H423" i="11"/>
  <c r="G424" i="11"/>
  <c r="H424" i="11"/>
  <c r="G425" i="11"/>
  <c r="H425" i="11"/>
  <c r="G426" i="11"/>
  <c r="H426" i="11"/>
  <c r="G427" i="11"/>
  <c r="H427" i="11"/>
  <c r="G428" i="11"/>
  <c r="H428" i="11"/>
  <c r="G429" i="11"/>
  <c r="H429" i="11"/>
  <c r="G430" i="11"/>
  <c r="H430" i="11"/>
  <c r="G431" i="11"/>
  <c r="H431" i="11"/>
  <c r="G432" i="11"/>
  <c r="H432" i="11"/>
  <c r="G433" i="11"/>
  <c r="H433" i="11"/>
  <c r="G434" i="11"/>
  <c r="H434" i="11"/>
  <c r="G435" i="11"/>
  <c r="H435" i="11"/>
  <c r="G436" i="11"/>
  <c r="H436" i="11"/>
  <c r="G437" i="11"/>
  <c r="H437" i="11"/>
  <c r="G438" i="11"/>
  <c r="H438" i="11"/>
  <c r="G439" i="11"/>
  <c r="H439" i="11"/>
  <c r="G440" i="11"/>
  <c r="H440" i="11"/>
  <c r="G441" i="11"/>
  <c r="H441" i="11"/>
  <c r="G442" i="11"/>
  <c r="H442" i="11"/>
  <c r="G443" i="11"/>
  <c r="H443" i="11"/>
  <c r="G444" i="11"/>
  <c r="H444" i="11"/>
  <c r="G445" i="11"/>
  <c r="H445" i="11"/>
  <c r="G446" i="11"/>
  <c r="H446" i="11"/>
  <c r="G447" i="11"/>
  <c r="H447" i="11"/>
  <c r="G448" i="11"/>
  <c r="H448" i="11"/>
  <c r="G449" i="11"/>
  <c r="H449" i="11"/>
  <c r="G450" i="11"/>
  <c r="H450" i="11"/>
  <c r="G451" i="11"/>
  <c r="H451" i="11"/>
  <c r="G452" i="11"/>
  <c r="H452" i="11"/>
  <c r="G453" i="11"/>
  <c r="H453" i="11"/>
  <c r="G454" i="11"/>
  <c r="H454" i="11"/>
  <c r="G455" i="11"/>
  <c r="H455" i="11"/>
  <c r="G456" i="11"/>
  <c r="H456" i="11"/>
  <c r="G457" i="11"/>
  <c r="H457" i="11"/>
  <c r="G458" i="11"/>
  <c r="H458" i="11"/>
  <c r="G459" i="11"/>
  <c r="H459" i="11"/>
  <c r="G460" i="11"/>
  <c r="H460" i="11"/>
  <c r="G461" i="11"/>
  <c r="H461" i="11"/>
  <c r="G462" i="11"/>
  <c r="H462" i="11"/>
  <c r="G463" i="11"/>
  <c r="H463" i="11"/>
  <c r="G464" i="11"/>
  <c r="H464" i="11"/>
  <c r="G465" i="11"/>
  <c r="H465" i="11"/>
  <c r="G466" i="11"/>
  <c r="H466" i="11"/>
  <c r="G467" i="11"/>
  <c r="H467" i="11"/>
  <c r="G468" i="11"/>
  <c r="H468" i="11"/>
  <c r="G469" i="11"/>
  <c r="H469" i="11"/>
  <c r="G470" i="11"/>
  <c r="H470" i="11"/>
  <c r="G471" i="11"/>
  <c r="H471" i="11"/>
  <c r="G472" i="11"/>
  <c r="H472" i="11"/>
  <c r="G473" i="11"/>
  <c r="H473" i="11"/>
  <c r="G474" i="11"/>
  <c r="H474" i="11"/>
  <c r="G475" i="11"/>
  <c r="H475" i="11"/>
  <c r="G476" i="11"/>
  <c r="H476" i="11"/>
  <c r="G477" i="11"/>
  <c r="H477" i="11"/>
  <c r="G478" i="11"/>
  <c r="H478" i="11"/>
  <c r="G479" i="11"/>
  <c r="H479" i="11"/>
  <c r="G480" i="11"/>
  <c r="H480" i="11"/>
  <c r="G481" i="11"/>
  <c r="H481" i="11"/>
  <c r="G482" i="11"/>
  <c r="H482" i="11"/>
  <c r="G483" i="11"/>
  <c r="H483" i="11"/>
  <c r="G484" i="11"/>
  <c r="H484" i="11"/>
  <c r="G485" i="11"/>
  <c r="H485" i="11"/>
  <c r="G486" i="11"/>
  <c r="H486" i="11"/>
  <c r="G487" i="11"/>
  <c r="H487" i="11"/>
  <c r="G488" i="11"/>
  <c r="H488" i="11"/>
  <c r="G489" i="11"/>
  <c r="H489" i="11"/>
  <c r="G490" i="11"/>
  <c r="H490" i="11"/>
  <c r="G491" i="11"/>
  <c r="H491" i="11"/>
  <c r="G492" i="11"/>
  <c r="H492" i="11"/>
  <c r="G493" i="11"/>
  <c r="H493" i="11"/>
  <c r="G494" i="11"/>
  <c r="H494" i="11"/>
  <c r="G495" i="11"/>
  <c r="H495" i="11"/>
  <c r="G496" i="11"/>
  <c r="H496" i="11"/>
  <c r="G497" i="11"/>
  <c r="H497" i="11"/>
  <c r="G498" i="11"/>
  <c r="H498" i="11"/>
  <c r="G499" i="11"/>
  <c r="H499" i="11"/>
  <c r="G500" i="11"/>
  <c r="H500" i="11"/>
  <c r="G501" i="11"/>
  <c r="H501" i="11"/>
  <c r="G502" i="11"/>
  <c r="H502" i="11"/>
  <c r="G503" i="11"/>
  <c r="H503" i="11"/>
  <c r="G504" i="11"/>
  <c r="H504" i="11"/>
  <c r="G505" i="11"/>
  <c r="H505" i="11"/>
  <c r="G506" i="11"/>
  <c r="H506" i="11"/>
  <c r="G507" i="11"/>
  <c r="H507" i="11"/>
  <c r="G508" i="11"/>
  <c r="H508" i="11"/>
  <c r="G509" i="11"/>
  <c r="H509" i="11"/>
  <c r="G510" i="11"/>
  <c r="H510" i="11"/>
  <c r="G511" i="11"/>
  <c r="H511" i="11"/>
  <c r="G512" i="11"/>
  <c r="H512" i="11"/>
  <c r="G513" i="11"/>
  <c r="H513" i="11"/>
  <c r="G514" i="11"/>
  <c r="H514" i="11"/>
  <c r="G515" i="11"/>
  <c r="H515" i="11"/>
  <c r="G516" i="11"/>
  <c r="H516" i="11"/>
  <c r="G517" i="11"/>
  <c r="H517" i="11"/>
  <c r="G518" i="11"/>
  <c r="H518" i="11"/>
  <c r="G519" i="11"/>
  <c r="H519" i="11"/>
  <c r="G520" i="11"/>
  <c r="H520" i="11"/>
  <c r="G521" i="11"/>
  <c r="H521" i="11"/>
  <c r="G522" i="11"/>
  <c r="H522" i="11"/>
  <c r="G523" i="11"/>
  <c r="H523" i="11"/>
  <c r="G524" i="11"/>
  <c r="H524" i="11"/>
  <c r="G525" i="11"/>
  <c r="H525" i="11"/>
  <c r="G526" i="11"/>
  <c r="H526" i="11"/>
  <c r="G527" i="11"/>
  <c r="H527" i="11"/>
  <c r="G528" i="11"/>
  <c r="H528" i="11"/>
  <c r="G529" i="11"/>
  <c r="H529" i="11"/>
  <c r="G530" i="11"/>
  <c r="H530" i="11"/>
  <c r="G531" i="11"/>
  <c r="H531" i="11"/>
  <c r="G532" i="11"/>
  <c r="H532" i="11"/>
  <c r="G533" i="11"/>
  <c r="H533" i="11"/>
  <c r="G534" i="11"/>
  <c r="H534" i="11"/>
  <c r="G535" i="11"/>
  <c r="H535" i="11"/>
  <c r="G536" i="11"/>
  <c r="H536" i="11"/>
  <c r="G537" i="11"/>
  <c r="H537" i="11"/>
  <c r="G538" i="11"/>
  <c r="H538" i="11"/>
  <c r="G539" i="11"/>
  <c r="H539" i="11"/>
  <c r="G540" i="11"/>
  <c r="H540" i="11"/>
  <c r="G541" i="11"/>
  <c r="H541" i="11"/>
  <c r="G542" i="11"/>
  <c r="H542" i="11"/>
  <c r="G543" i="11"/>
  <c r="H543" i="11"/>
  <c r="G544" i="11"/>
  <c r="H544" i="11"/>
  <c r="G545" i="11"/>
  <c r="H545" i="11"/>
  <c r="G546" i="11"/>
  <c r="H546" i="11"/>
  <c r="G547" i="11"/>
  <c r="H547" i="11"/>
  <c r="G548" i="11"/>
  <c r="H548" i="11"/>
  <c r="G549" i="11"/>
  <c r="H549" i="11"/>
  <c r="G550" i="11"/>
  <c r="H550" i="11"/>
  <c r="G551" i="11"/>
  <c r="H551" i="11"/>
  <c r="G552" i="11"/>
  <c r="H552" i="11"/>
  <c r="G553" i="11"/>
  <c r="H553" i="11"/>
  <c r="G554" i="11"/>
  <c r="H554" i="11"/>
  <c r="G555" i="11"/>
  <c r="H555" i="11"/>
  <c r="G556" i="11"/>
  <c r="H556" i="11"/>
  <c r="G557" i="11"/>
  <c r="H557" i="11"/>
  <c r="G558" i="11"/>
  <c r="H558" i="11"/>
  <c r="G559" i="11"/>
  <c r="H559" i="11"/>
  <c r="G560" i="11"/>
  <c r="H560" i="11"/>
  <c r="G561" i="11"/>
  <c r="H561" i="11"/>
  <c r="G562" i="11"/>
  <c r="H562" i="11"/>
  <c r="G563" i="11"/>
  <c r="H563" i="11"/>
  <c r="G564" i="11"/>
  <c r="H564" i="11"/>
  <c r="G565" i="11"/>
  <c r="H565" i="11"/>
  <c r="G566" i="11"/>
  <c r="H566" i="11"/>
  <c r="G567" i="11"/>
  <c r="H567" i="11"/>
  <c r="G568" i="11"/>
  <c r="H568" i="11"/>
  <c r="G569" i="11"/>
  <c r="H569" i="11"/>
  <c r="G570" i="11"/>
  <c r="H570" i="11"/>
  <c r="G571" i="11"/>
  <c r="H571" i="11"/>
  <c r="G572" i="11"/>
  <c r="H572" i="11"/>
  <c r="G573" i="11"/>
  <c r="H573" i="11"/>
  <c r="G574" i="11"/>
  <c r="H574" i="11"/>
  <c r="G575" i="11"/>
  <c r="H575" i="11"/>
  <c r="G576" i="11"/>
  <c r="H576" i="11"/>
  <c r="G577" i="11"/>
  <c r="H577" i="11"/>
  <c r="G578" i="11"/>
  <c r="H578" i="11"/>
  <c r="G579" i="11"/>
  <c r="H579" i="11"/>
  <c r="G580" i="11"/>
  <c r="H580" i="11"/>
  <c r="G581" i="11"/>
  <c r="H581" i="11"/>
  <c r="G582" i="11"/>
  <c r="H582" i="11"/>
  <c r="G583" i="11"/>
  <c r="H583" i="11"/>
  <c r="G584" i="11"/>
  <c r="H584" i="11"/>
  <c r="G585" i="11"/>
  <c r="H585" i="11"/>
  <c r="G586" i="11"/>
  <c r="H586" i="11"/>
  <c r="G587" i="11"/>
  <c r="H587" i="11"/>
  <c r="G588" i="11"/>
  <c r="H588" i="11"/>
  <c r="G589" i="11"/>
  <c r="H589" i="11"/>
  <c r="G590" i="11"/>
  <c r="H590" i="11"/>
  <c r="G591" i="11"/>
  <c r="H591" i="11"/>
  <c r="G592" i="11"/>
  <c r="H592" i="11"/>
  <c r="G593" i="11"/>
  <c r="H593" i="11"/>
  <c r="G594" i="11"/>
  <c r="H594" i="11"/>
  <c r="G595" i="11"/>
  <c r="H595" i="11"/>
  <c r="G596" i="11"/>
  <c r="H596" i="11"/>
  <c r="G597" i="11"/>
  <c r="H597" i="11"/>
  <c r="G598" i="11"/>
  <c r="H598" i="11"/>
  <c r="G599" i="11"/>
  <c r="H599" i="11"/>
  <c r="G600" i="11"/>
  <c r="H600" i="11"/>
  <c r="G601" i="11"/>
  <c r="H601" i="11"/>
  <c r="G602" i="11"/>
  <c r="H602" i="11"/>
  <c r="G603" i="11"/>
  <c r="H603" i="11"/>
  <c r="G604" i="11"/>
  <c r="H604" i="11"/>
  <c r="G605" i="11"/>
  <c r="H605" i="11"/>
  <c r="G606" i="11"/>
  <c r="H606" i="11"/>
  <c r="G607" i="11"/>
  <c r="H607" i="11"/>
  <c r="G608" i="11"/>
  <c r="H608" i="11"/>
  <c r="G609" i="11"/>
  <c r="H609" i="11"/>
  <c r="G610" i="11"/>
  <c r="H610" i="11"/>
  <c r="G611" i="11"/>
  <c r="H611" i="11"/>
  <c r="G612" i="11"/>
  <c r="H612" i="11"/>
  <c r="G613" i="11"/>
  <c r="H613" i="11"/>
  <c r="G614" i="11"/>
  <c r="H614" i="11"/>
  <c r="G615" i="11"/>
  <c r="H615" i="11"/>
  <c r="G616" i="11"/>
  <c r="H616" i="11"/>
  <c r="G617" i="11"/>
  <c r="H617" i="11"/>
  <c r="G618" i="11"/>
  <c r="H618" i="11"/>
  <c r="G619" i="11"/>
  <c r="H619" i="11"/>
  <c r="G620" i="11"/>
  <c r="H620" i="11"/>
  <c r="G621" i="11"/>
  <c r="H621" i="11"/>
  <c r="G622" i="11"/>
  <c r="H622" i="11"/>
  <c r="G623" i="11"/>
  <c r="H623" i="11"/>
  <c r="G624" i="11"/>
  <c r="H624" i="11"/>
  <c r="G625" i="11"/>
  <c r="H625" i="11"/>
  <c r="G626" i="11"/>
  <c r="H626" i="11"/>
  <c r="G627" i="11"/>
  <c r="H627" i="11"/>
  <c r="G628" i="11"/>
  <c r="H628" i="11"/>
  <c r="G629" i="11"/>
  <c r="H629" i="11"/>
  <c r="G630" i="11"/>
  <c r="H630" i="11"/>
  <c r="G631" i="11"/>
  <c r="H631" i="11"/>
  <c r="G632" i="11"/>
  <c r="H632" i="11"/>
  <c r="G633" i="11"/>
  <c r="H633" i="11"/>
  <c r="G634" i="11"/>
  <c r="H634" i="11"/>
  <c r="G635" i="11"/>
  <c r="H635" i="11"/>
  <c r="G636" i="11"/>
  <c r="H636" i="11"/>
  <c r="G637" i="11"/>
  <c r="H637" i="11"/>
  <c r="G638" i="11"/>
  <c r="H638" i="11"/>
  <c r="G639" i="11"/>
  <c r="H639" i="11"/>
  <c r="G640" i="11"/>
  <c r="H640" i="11"/>
  <c r="G641" i="11"/>
  <c r="H641" i="11"/>
  <c r="G642" i="11"/>
  <c r="H642" i="11"/>
  <c r="G643" i="11"/>
  <c r="H643" i="11"/>
  <c r="G644" i="11"/>
  <c r="H644" i="11"/>
  <c r="G645" i="11"/>
  <c r="H645" i="11"/>
  <c r="G646" i="11"/>
  <c r="H646" i="11"/>
  <c r="G647" i="11"/>
  <c r="H647" i="11"/>
  <c r="G648" i="11"/>
  <c r="H648" i="11"/>
  <c r="G649" i="11"/>
  <c r="H649" i="11"/>
  <c r="G650" i="11"/>
  <c r="H650" i="11"/>
  <c r="G651" i="11"/>
  <c r="H651" i="11"/>
  <c r="G652" i="11"/>
  <c r="H652" i="11"/>
  <c r="G653" i="11"/>
  <c r="H653" i="11"/>
  <c r="G654" i="11"/>
  <c r="H654" i="11"/>
  <c r="G655" i="11"/>
  <c r="H655" i="11"/>
  <c r="G656" i="11"/>
  <c r="H656" i="11"/>
  <c r="G657" i="11"/>
  <c r="H657" i="11"/>
  <c r="G658" i="11"/>
  <c r="H658" i="11"/>
  <c r="G659" i="11"/>
  <c r="H659" i="11"/>
  <c r="G660" i="11"/>
  <c r="H660" i="11"/>
  <c r="G661" i="11"/>
  <c r="H661" i="11"/>
  <c r="G662" i="11"/>
  <c r="H662" i="11"/>
  <c r="G663" i="11"/>
  <c r="H663" i="11"/>
  <c r="G664" i="11"/>
  <c r="H664" i="11"/>
  <c r="G665" i="11"/>
  <c r="H665" i="11"/>
  <c r="G666" i="11"/>
  <c r="H666" i="11"/>
  <c r="G667" i="11"/>
  <c r="H667" i="11"/>
  <c r="G668" i="11"/>
  <c r="H668" i="11"/>
  <c r="G669" i="11"/>
  <c r="H669" i="11"/>
  <c r="G670" i="11"/>
  <c r="H670" i="11"/>
  <c r="G671" i="11"/>
  <c r="H671" i="11"/>
  <c r="G672" i="11"/>
  <c r="H672" i="11"/>
  <c r="G673" i="11"/>
  <c r="H673" i="11"/>
  <c r="G674" i="11"/>
  <c r="H674" i="11"/>
  <c r="G675" i="11"/>
  <c r="H675" i="11"/>
  <c r="G676" i="11"/>
  <c r="H676" i="11"/>
  <c r="G677" i="11"/>
  <c r="H677" i="11"/>
  <c r="G678" i="11"/>
  <c r="H678" i="11"/>
  <c r="G679" i="11"/>
  <c r="H679" i="11"/>
  <c r="G680" i="11"/>
  <c r="H680" i="11"/>
  <c r="G681" i="11"/>
  <c r="H681" i="11"/>
  <c r="G682" i="11"/>
  <c r="H682" i="11"/>
  <c r="G683" i="11"/>
  <c r="H683" i="11"/>
  <c r="G684" i="11"/>
  <c r="H684" i="11"/>
  <c r="G685" i="11"/>
  <c r="H685" i="11"/>
  <c r="G686" i="11"/>
  <c r="H686" i="11"/>
  <c r="G687" i="11"/>
  <c r="H687" i="11"/>
  <c r="G688" i="11"/>
  <c r="H688" i="11"/>
  <c r="G689" i="11"/>
  <c r="H689" i="11"/>
  <c r="G690" i="11"/>
  <c r="H690" i="11"/>
  <c r="G691" i="11"/>
  <c r="H691" i="11"/>
  <c r="G692" i="11"/>
  <c r="H692" i="11"/>
  <c r="G693" i="11"/>
  <c r="H693" i="11"/>
  <c r="G694" i="11"/>
  <c r="H694" i="11"/>
  <c r="G695" i="11"/>
  <c r="H695" i="11"/>
  <c r="G696" i="11"/>
  <c r="H696" i="11"/>
  <c r="G697" i="11"/>
  <c r="H697" i="11"/>
  <c r="G698" i="11"/>
  <c r="H698" i="11"/>
  <c r="G699" i="11"/>
  <c r="H699" i="11"/>
  <c r="G700" i="11"/>
  <c r="H700" i="11"/>
  <c r="G701" i="11"/>
  <c r="H701" i="11"/>
  <c r="G702" i="11"/>
  <c r="H702" i="11"/>
  <c r="G703" i="11"/>
  <c r="H703" i="11"/>
  <c r="G704" i="11"/>
  <c r="H704" i="11"/>
  <c r="G705" i="11"/>
  <c r="H705" i="11"/>
  <c r="G706" i="11"/>
  <c r="H706" i="11"/>
  <c r="G707" i="11"/>
  <c r="H707" i="11"/>
  <c r="G708" i="11"/>
  <c r="H708" i="11"/>
  <c r="G709" i="11"/>
  <c r="H709" i="11"/>
  <c r="G710" i="11"/>
  <c r="H710" i="11"/>
  <c r="G711" i="11"/>
  <c r="H711" i="11"/>
  <c r="G712" i="11"/>
  <c r="H712" i="11"/>
  <c r="G713" i="11"/>
  <c r="H713" i="11"/>
  <c r="G714" i="11"/>
  <c r="H714" i="11"/>
  <c r="G715" i="11"/>
  <c r="H715" i="11"/>
  <c r="G716" i="11"/>
  <c r="H716" i="11"/>
  <c r="G717" i="11"/>
  <c r="H717" i="11"/>
  <c r="G718" i="11"/>
  <c r="H718" i="11"/>
  <c r="G719" i="11"/>
  <c r="H719" i="11"/>
  <c r="G720" i="11"/>
  <c r="H720" i="11"/>
  <c r="G721" i="11"/>
  <c r="H721" i="11"/>
  <c r="G722" i="11"/>
  <c r="H722" i="11"/>
  <c r="G723" i="11"/>
  <c r="H723" i="11"/>
  <c r="G724" i="11"/>
  <c r="H724" i="11"/>
  <c r="G725" i="11"/>
  <c r="H725" i="11"/>
  <c r="G726" i="11"/>
  <c r="H726" i="11"/>
  <c r="G727" i="11"/>
  <c r="H727" i="11"/>
  <c r="G728" i="11"/>
  <c r="H728" i="11"/>
  <c r="G729" i="11"/>
  <c r="H729" i="11"/>
  <c r="G730" i="11"/>
  <c r="H730" i="11"/>
  <c r="G731" i="11"/>
  <c r="H731" i="11"/>
  <c r="G732" i="11"/>
  <c r="H732" i="11"/>
  <c r="G733" i="11"/>
  <c r="H733" i="11"/>
  <c r="G734" i="11"/>
  <c r="H734" i="11"/>
  <c r="G735" i="11"/>
  <c r="H735" i="11"/>
  <c r="G736" i="11"/>
  <c r="H736" i="11"/>
  <c r="G737" i="11"/>
  <c r="H737" i="11"/>
  <c r="G738" i="11"/>
  <c r="H738" i="11"/>
  <c r="G739" i="11"/>
  <c r="H739" i="11"/>
  <c r="G740" i="11"/>
  <c r="H740" i="11"/>
  <c r="G741" i="11"/>
  <c r="H741" i="11"/>
  <c r="G742" i="11"/>
  <c r="H742" i="11"/>
  <c r="G743" i="11"/>
  <c r="H743" i="11"/>
  <c r="G744" i="11"/>
  <c r="H744" i="11"/>
  <c r="G745" i="11"/>
  <c r="H745" i="11"/>
  <c r="G746" i="11"/>
  <c r="H746" i="11"/>
  <c r="G747" i="11"/>
  <c r="H747" i="11"/>
  <c r="G748" i="11"/>
  <c r="H748" i="11"/>
  <c r="G749" i="11"/>
  <c r="H749" i="11"/>
  <c r="G750" i="11"/>
  <c r="H750" i="11"/>
  <c r="G751" i="11"/>
  <c r="H751" i="11"/>
  <c r="G752" i="11"/>
  <c r="H752" i="11"/>
  <c r="G753" i="11"/>
  <c r="H753" i="11"/>
  <c r="G754" i="11"/>
  <c r="H754" i="11"/>
  <c r="G755" i="11"/>
  <c r="H755" i="11"/>
  <c r="G756" i="11"/>
  <c r="H756" i="11"/>
  <c r="G757" i="11"/>
  <c r="H757" i="11"/>
  <c r="G758" i="11"/>
  <c r="H758" i="11"/>
  <c r="G759" i="11"/>
  <c r="H759" i="11"/>
  <c r="G760" i="11"/>
  <c r="H760" i="11"/>
  <c r="G761" i="11"/>
  <c r="H761" i="11"/>
  <c r="G762" i="11"/>
  <c r="H762" i="11"/>
  <c r="G763" i="11"/>
  <c r="H763" i="11"/>
  <c r="G764" i="11"/>
  <c r="H764" i="11"/>
  <c r="G765" i="11"/>
  <c r="H765" i="11"/>
  <c r="G766" i="11"/>
  <c r="H766" i="11"/>
  <c r="G767" i="11"/>
  <c r="H767" i="11"/>
  <c r="G768" i="11"/>
  <c r="H768" i="11"/>
  <c r="G769" i="11"/>
  <c r="H769" i="11"/>
  <c r="G770" i="11"/>
  <c r="H770" i="11"/>
  <c r="G771" i="11"/>
  <c r="H771" i="11"/>
  <c r="G772" i="11"/>
  <c r="H772" i="11"/>
  <c r="G773" i="11"/>
  <c r="H773" i="11"/>
  <c r="G774" i="11"/>
  <c r="H774" i="11"/>
  <c r="G775" i="11"/>
  <c r="H775" i="11"/>
  <c r="G776" i="11"/>
  <c r="H776" i="11"/>
  <c r="G777" i="11"/>
  <c r="H777" i="11"/>
  <c r="G778" i="11"/>
  <c r="H778" i="11"/>
  <c r="G779" i="11"/>
  <c r="H779" i="11"/>
  <c r="G780" i="11"/>
  <c r="H780" i="11"/>
  <c r="G781" i="11"/>
  <c r="H781" i="11"/>
  <c r="G782" i="11"/>
  <c r="H782" i="11"/>
  <c r="G783" i="11"/>
  <c r="H783" i="11"/>
  <c r="G784" i="11"/>
  <c r="H784" i="11"/>
  <c r="G785" i="11"/>
  <c r="H785" i="11"/>
  <c r="G786" i="11"/>
  <c r="H786" i="11"/>
  <c r="G787" i="11"/>
  <c r="H787" i="11"/>
  <c r="G788" i="11"/>
  <c r="H788" i="11"/>
  <c r="G789" i="11"/>
  <c r="H789" i="11"/>
  <c r="G790" i="11"/>
  <c r="H790" i="11"/>
  <c r="G791" i="11"/>
  <c r="H791" i="11"/>
  <c r="G792" i="11"/>
  <c r="H792" i="11"/>
  <c r="G793" i="11"/>
  <c r="H793" i="11"/>
  <c r="G794" i="11"/>
  <c r="H794" i="11"/>
  <c r="G795" i="11"/>
  <c r="H795" i="11"/>
  <c r="G796" i="11"/>
  <c r="H796" i="11"/>
  <c r="G797" i="11"/>
  <c r="H797" i="11"/>
  <c r="G798" i="11"/>
  <c r="H798" i="11"/>
  <c r="G799" i="11"/>
  <c r="H799" i="11"/>
  <c r="G800" i="11"/>
  <c r="H800" i="11"/>
  <c r="G801" i="11"/>
  <c r="H801" i="11"/>
  <c r="G802" i="11"/>
  <c r="H802" i="11"/>
  <c r="G803" i="11"/>
  <c r="H803" i="11"/>
  <c r="G804" i="11"/>
  <c r="H804" i="11"/>
  <c r="G805" i="11"/>
  <c r="H805" i="11"/>
  <c r="G806" i="11"/>
  <c r="H806" i="11"/>
  <c r="G807" i="11"/>
  <c r="H807" i="11"/>
  <c r="G808" i="11"/>
  <c r="H808" i="11"/>
  <c r="G809" i="11"/>
  <c r="H809" i="11"/>
  <c r="G810" i="11"/>
  <c r="H810" i="11"/>
  <c r="G811" i="11"/>
  <c r="H811" i="11"/>
  <c r="G812" i="11"/>
  <c r="H812" i="11"/>
  <c r="G813" i="11"/>
  <c r="H813" i="11"/>
  <c r="G814" i="11"/>
  <c r="H814" i="11"/>
  <c r="G815" i="11"/>
  <c r="H815" i="11"/>
  <c r="G816" i="11"/>
  <c r="H816" i="11"/>
  <c r="G817" i="11"/>
  <c r="H817" i="11"/>
  <c r="G818" i="11"/>
  <c r="H818" i="11"/>
  <c r="G819" i="11"/>
  <c r="H819" i="11"/>
  <c r="G820" i="11"/>
  <c r="H820" i="11"/>
  <c r="G821" i="11"/>
  <c r="H821" i="11"/>
  <c r="G822" i="11"/>
  <c r="H822" i="11"/>
  <c r="G823" i="11"/>
  <c r="H823" i="11"/>
  <c r="G824" i="11"/>
  <c r="H824" i="11"/>
  <c r="G825" i="11"/>
  <c r="H825" i="11"/>
  <c r="G826" i="11"/>
  <c r="H826" i="11"/>
  <c r="G827" i="11"/>
  <c r="H827" i="11"/>
  <c r="G828" i="11"/>
  <c r="H828" i="11"/>
  <c r="G829" i="11"/>
  <c r="H829" i="11"/>
  <c r="G830" i="11"/>
  <c r="H830" i="11"/>
  <c r="G831" i="11"/>
  <c r="H831" i="11"/>
  <c r="G832" i="11"/>
  <c r="H832" i="11"/>
  <c r="G833" i="11"/>
  <c r="H833" i="11"/>
  <c r="G834" i="11"/>
  <c r="H834" i="11"/>
  <c r="G835" i="11"/>
  <c r="H835" i="11"/>
  <c r="G836" i="11"/>
  <c r="H836" i="11"/>
  <c r="G837" i="11"/>
  <c r="H837" i="11"/>
  <c r="G838" i="11"/>
  <c r="H838" i="11"/>
  <c r="G839" i="11"/>
  <c r="H839" i="11"/>
  <c r="G840" i="11"/>
  <c r="H840" i="11"/>
  <c r="G841" i="11"/>
  <c r="H841" i="11"/>
  <c r="G842" i="11"/>
  <c r="H842" i="11"/>
  <c r="G843" i="11"/>
  <c r="H843" i="11"/>
  <c r="G844" i="11"/>
  <c r="H844" i="11"/>
  <c r="G845" i="11"/>
  <c r="H845" i="11"/>
  <c r="G846" i="11"/>
  <c r="H846" i="11"/>
  <c r="G847" i="11"/>
  <c r="H847" i="11"/>
  <c r="G848" i="11"/>
  <c r="H848" i="11"/>
  <c r="G849" i="11"/>
  <c r="H849" i="11"/>
  <c r="G850" i="11"/>
  <c r="H850" i="11"/>
  <c r="G851" i="11"/>
  <c r="H851" i="11"/>
  <c r="G852" i="11"/>
  <c r="H852" i="11"/>
  <c r="G853" i="11"/>
  <c r="H853" i="11"/>
  <c r="G854" i="11"/>
  <c r="H854" i="11"/>
  <c r="G855" i="11"/>
  <c r="H855" i="11"/>
  <c r="G856" i="11"/>
  <c r="H856" i="11"/>
  <c r="G857" i="11"/>
  <c r="H857" i="11"/>
  <c r="G858" i="11"/>
  <c r="H858" i="11"/>
  <c r="G859" i="11"/>
  <c r="H859" i="11"/>
  <c r="G860" i="11"/>
  <c r="H860" i="11"/>
  <c r="G861" i="11"/>
  <c r="H861" i="11"/>
  <c r="G862" i="11"/>
  <c r="H862" i="11"/>
  <c r="G863" i="11"/>
  <c r="H863" i="11"/>
  <c r="G864" i="11"/>
  <c r="H864" i="11"/>
  <c r="G865" i="11"/>
  <c r="H865" i="11"/>
  <c r="G866" i="11"/>
  <c r="H866" i="11"/>
  <c r="G867" i="11"/>
  <c r="H867" i="11"/>
  <c r="G868" i="11"/>
  <c r="H868" i="11"/>
  <c r="G869" i="11"/>
  <c r="H869" i="11"/>
  <c r="G870" i="11"/>
  <c r="H870" i="11"/>
  <c r="G871" i="11"/>
  <c r="H871" i="11"/>
  <c r="G872" i="11"/>
  <c r="H872" i="11"/>
  <c r="G873" i="11"/>
  <c r="H873" i="11"/>
  <c r="G874" i="11"/>
  <c r="H874" i="11"/>
  <c r="G875" i="11"/>
  <c r="H875" i="11"/>
  <c r="G876" i="11"/>
  <c r="H876" i="11"/>
  <c r="G877" i="11"/>
  <c r="H877" i="11"/>
  <c r="G878" i="11"/>
  <c r="H878" i="11"/>
  <c r="G879" i="11"/>
  <c r="H879" i="11"/>
  <c r="G880" i="11"/>
  <c r="H880" i="11"/>
  <c r="G881" i="11"/>
  <c r="H881" i="11"/>
  <c r="G882" i="11"/>
  <c r="H882" i="11"/>
  <c r="G883" i="11"/>
  <c r="H883" i="11"/>
  <c r="G884" i="11"/>
  <c r="H884" i="11"/>
  <c r="G885" i="11"/>
  <c r="H885" i="11"/>
  <c r="G886" i="11"/>
  <c r="H886" i="11"/>
  <c r="G887" i="11"/>
  <c r="H887" i="11"/>
  <c r="G888" i="11"/>
  <c r="H888" i="11"/>
  <c r="G889" i="11"/>
  <c r="H889" i="11"/>
  <c r="G890" i="11"/>
  <c r="H890" i="11"/>
  <c r="G891" i="11"/>
  <c r="H891" i="11"/>
  <c r="G892" i="11"/>
  <c r="H892" i="11"/>
  <c r="G893" i="11"/>
  <c r="H893" i="11"/>
  <c r="G894" i="11"/>
  <c r="H894" i="11"/>
  <c r="G895" i="11"/>
  <c r="H895" i="11"/>
  <c r="G896" i="11"/>
  <c r="H896" i="11"/>
  <c r="G897" i="11"/>
  <c r="H897" i="11"/>
  <c r="G898" i="11"/>
  <c r="H898" i="11"/>
  <c r="G899" i="11"/>
  <c r="H899" i="11"/>
  <c r="G900" i="11"/>
  <c r="H900" i="11"/>
  <c r="G901" i="11"/>
  <c r="H901" i="11"/>
  <c r="G902" i="11"/>
  <c r="H902" i="11"/>
  <c r="G903" i="11"/>
  <c r="H903" i="11"/>
  <c r="G904" i="11"/>
  <c r="H904" i="11"/>
  <c r="G905" i="11"/>
  <c r="H905" i="11"/>
  <c r="G906" i="11"/>
  <c r="H906" i="11"/>
  <c r="G907" i="11"/>
  <c r="H907" i="11"/>
  <c r="G908" i="11"/>
  <c r="H908" i="11"/>
  <c r="G909" i="11"/>
  <c r="H909" i="11"/>
  <c r="G910" i="11"/>
  <c r="H910" i="11"/>
  <c r="G911" i="11"/>
  <c r="H911" i="11"/>
  <c r="G912" i="11"/>
  <c r="H912" i="11"/>
  <c r="G913" i="11"/>
  <c r="H913" i="11"/>
  <c r="G914" i="11"/>
  <c r="H914" i="11"/>
  <c r="G915" i="11"/>
  <c r="H915" i="11"/>
  <c r="G916" i="11"/>
  <c r="H916" i="11"/>
  <c r="G917" i="11"/>
  <c r="H917" i="11"/>
  <c r="G918" i="11"/>
  <c r="H918" i="11"/>
  <c r="G919" i="11"/>
  <c r="H919" i="11"/>
  <c r="G920" i="11"/>
  <c r="H920" i="11"/>
  <c r="G921" i="11"/>
  <c r="H921" i="11"/>
  <c r="G922" i="11"/>
  <c r="H922" i="11"/>
  <c r="G923" i="11"/>
  <c r="H923" i="11"/>
  <c r="G924" i="11"/>
  <c r="H924" i="11"/>
  <c r="G925" i="11"/>
  <c r="H925" i="11"/>
  <c r="G926" i="11"/>
  <c r="H926" i="11"/>
  <c r="G927" i="11"/>
  <c r="H927" i="11"/>
  <c r="G928" i="11"/>
  <c r="H928" i="11"/>
  <c r="G929" i="11"/>
  <c r="H929" i="11"/>
  <c r="G930" i="11"/>
  <c r="H930" i="11"/>
  <c r="G931" i="11"/>
  <c r="H931" i="11"/>
  <c r="G932" i="11"/>
  <c r="H932" i="11"/>
  <c r="G933" i="11"/>
  <c r="H933" i="11"/>
  <c r="G934" i="11"/>
  <c r="H934" i="11"/>
  <c r="G935" i="11"/>
  <c r="H935" i="11"/>
  <c r="G936" i="11"/>
  <c r="H936" i="11"/>
  <c r="G937" i="11"/>
  <c r="H937" i="11"/>
  <c r="G938" i="11"/>
  <c r="H938" i="11"/>
  <c r="G939" i="11"/>
  <c r="H939" i="11"/>
  <c r="G940" i="11"/>
  <c r="H940" i="11"/>
  <c r="G941" i="11"/>
  <c r="H941" i="11"/>
  <c r="G942" i="11"/>
  <c r="H942" i="11"/>
  <c r="G943" i="11"/>
  <c r="H943" i="11"/>
  <c r="G944" i="11"/>
  <c r="H944" i="11"/>
  <c r="G945" i="11"/>
  <c r="H945" i="11"/>
  <c r="G946" i="11"/>
  <c r="H946" i="11"/>
  <c r="G947" i="11"/>
  <c r="H947" i="11"/>
  <c r="G948" i="11"/>
  <c r="H948" i="11"/>
  <c r="G949" i="11"/>
  <c r="H949" i="11"/>
  <c r="G950" i="11"/>
  <c r="H950" i="11"/>
  <c r="G951" i="11"/>
  <c r="H951" i="11"/>
  <c r="G952" i="11"/>
  <c r="H952" i="11"/>
  <c r="G953" i="11"/>
  <c r="H953" i="11"/>
  <c r="G954" i="11"/>
  <c r="H954" i="11"/>
  <c r="G955" i="11"/>
  <c r="H955" i="11"/>
  <c r="G956" i="11"/>
  <c r="H956" i="11"/>
  <c r="G957" i="11"/>
  <c r="H957" i="11"/>
  <c r="G958" i="11"/>
  <c r="H958" i="11"/>
  <c r="G959" i="11"/>
  <c r="H959" i="11"/>
  <c r="G960" i="11"/>
  <c r="H960" i="11"/>
  <c r="G961" i="11"/>
  <c r="H961" i="11"/>
  <c r="G962" i="11"/>
  <c r="H962" i="11"/>
  <c r="G963" i="11"/>
  <c r="H963" i="11"/>
  <c r="G964" i="11"/>
  <c r="H964" i="11"/>
  <c r="G965" i="11"/>
  <c r="H965" i="11"/>
  <c r="G966" i="11"/>
  <c r="H966" i="11"/>
  <c r="G967" i="11"/>
  <c r="H967" i="11"/>
  <c r="G968" i="11"/>
  <c r="H968" i="11"/>
  <c r="G969" i="11"/>
  <c r="H969" i="11"/>
  <c r="G970" i="11"/>
  <c r="H970" i="11"/>
  <c r="G971" i="11"/>
  <c r="H971" i="11"/>
  <c r="G972" i="11"/>
  <c r="H972" i="11"/>
  <c r="G973" i="11"/>
  <c r="H973" i="11"/>
  <c r="G974" i="11"/>
  <c r="H974" i="11"/>
  <c r="G975" i="11"/>
  <c r="H975" i="11"/>
  <c r="G4" i="11"/>
  <c r="F4" i="11"/>
  <c r="H4" i="11"/>
  <c r="B4" i="11"/>
  <c r="A4" i="11"/>
  <c r="B5" i="11" l="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36" i="11"/>
  <c r="B237" i="11"/>
  <c r="B238" i="11"/>
  <c r="B239" i="11"/>
  <c r="B240" i="11"/>
  <c r="B241" i="11"/>
  <c r="B242" i="11"/>
  <c r="B243" i="11"/>
  <c r="B244" i="11"/>
  <c r="B245" i="11"/>
  <c r="B246" i="11"/>
  <c r="B247" i="11"/>
  <c r="B248" i="11"/>
  <c r="B249" i="11"/>
  <c r="B250" i="11"/>
  <c r="B251" i="11"/>
  <c r="B252" i="11"/>
  <c r="B253" i="11"/>
  <c r="B254" i="11"/>
  <c r="B255" i="11"/>
  <c r="B256" i="11"/>
  <c r="B257" i="11"/>
  <c r="B258" i="11"/>
  <c r="B259" i="11"/>
  <c r="B260" i="11"/>
  <c r="B261" i="11"/>
  <c r="B262" i="11"/>
  <c r="B263" i="11"/>
  <c r="B264" i="11"/>
  <c r="B265" i="11"/>
  <c r="B266" i="11"/>
  <c r="B267" i="11"/>
  <c r="B268" i="11"/>
  <c r="B269" i="11"/>
  <c r="B270" i="11"/>
  <c r="B271" i="11"/>
  <c r="B272" i="11"/>
  <c r="B273" i="11"/>
  <c r="B274" i="11"/>
  <c r="B275" i="11"/>
  <c r="B276" i="11"/>
  <c r="B277" i="11"/>
  <c r="B278" i="11"/>
  <c r="B279" i="11"/>
  <c r="B280" i="11"/>
  <c r="B281" i="11"/>
  <c r="B282" i="11"/>
  <c r="B283" i="11"/>
  <c r="B284" i="11"/>
  <c r="B285" i="11"/>
  <c r="B286" i="11"/>
  <c r="B287" i="11"/>
  <c r="B288" i="11"/>
  <c r="B289" i="11"/>
  <c r="B290" i="11"/>
  <c r="B291" i="11"/>
  <c r="B292" i="11"/>
  <c r="B293" i="11"/>
  <c r="B294" i="11"/>
  <c r="B295" i="11"/>
  <c r="B296" i="11"/>
  <c r="B297" i="11"/>
  <c r="B298" i="11"/>
  <c r="B299" i="11"/>
  <c r="B300" i="11"/>
  <c r="B301" i="11"/>
  <c r="B302" i="11"/>
  <c r="B303" i="11"/>
  <c r="B304" i="11"/>
  <c r="B305" i="11"/>
  <c r="B306" i="11"/>
  <c r="B307" i="11"/>
  <c r="B308" i="11"/>
  <c r="B309" i="11"/>
  <c r="B310" i="11"/>
  <c r="B311" i="11"/>
  <c r="B312" i="11"/>
  <c r="B313" i="11"/>
  <c r="B314" i="11"/>
  <c r="B315" i="11"/>
  <c r="B316" i="11"/>
  <c r="B317" i="11"/>
  <c r="B318" i="11"/>
  <c r="B319" i="11"/>
  <c r="B320" i="11"/>
  <c r="B321" i="11"/>
  <c r="B322" i="11"/>
  <c r="B323" i="11"/>
  <c r="B324" i="11"/>
  <c r="B325" i="11"/>
  <c r="B326" i="11"/>
  <c r="B327" i="11"/>
  <c r="B328" i="11"/>
  <c r="B329" i="11"/>
  <c r="B330" i="11"/>
  <c r="B331" i="11"/>
  <c r="B332" i="11"/>
  <c r="B333" i="11"/>
  <c r="B334" i="11"/>
  <c r="B335" i="11"/>
  <c r="B336" i="11"/>
  <c r="B337" i="11"/>
  <c r="B338" i="11"/>
  <c r="B339" i="11"/>
  <c r="B340" i="11"/>
  <c r="B341" i="11"/>
  <c r="B342" i="11"/>
  <c r="B343" i="11"/>
  <c r="B344" i="11"/>
  <c r="B345" i="11"/>
  <c r="B346" i="11"/>
  <c r="B347" i="11"/>
  <c r="B348" i="11"/>
  <c r="B349" i="11"/>
  <c r="B350" i="11"/>
  <c r="B351" i="11"/>
  <c r="B352" i="11"/>
  <c r="B353" i="11"/>
  <c r="B354" i="11"/>
  <c r="B355" i="11"/>
  <c r="B356" i="11"/>
  <c r="B357" i="11"/>
  <c r="B358" i="11"/>
  <c r="B359" i="11"/>
  <c r="B360" i="11"/>
  <c r="B361" i="11"/>
  <c r="B362" i="11"/>
  <c r="B363" i="11"/>
  <c r="B364" i="11"/>
  <c r="B365" i="11"/>
  <c r="B366" i="11"/>
  <c r="B367" i="11"/>
  <c r="B368" i="11"/>
  <c r="B369" i="11"/>
  <c r="B370" i="11"/>
  <c r="B371" i="11"/>
  <c r="B372" i="11"/>
  <c r="B373" i="11"/>
  <c r="B374" i="11"/>
  <c r="B375" i="11"/>
  <c r="B376" i="11"/>
  <c r="B377" i="11"/>
  <c r="B378" i="11"/>
  <c r="B379" i="11"/>
  <c r="B380" i="11"/>
  <c r="B381" i="11"/>
  <c r="B382" i="11"/>
  <c r="B383" i="11"/>
  <c r="B384" i="11"/>
  <c r="B385" i="11"/>
  <c r="B386" i="11"/>
  <c r="B387" i="11"/>
  <c r="B388" i="11"/>
  <c r="B389" i="11"/>
  <c r="B390" i="11"/>
  <c r="B391" i="11"/>
  <c r="B392" i="11"/>
  <c r="B393" i="11"/>
  <c r="B394" i="11"/>
  <c r="B395" i="11"/>
  <c r="B396" i="11"/>
  <c r="B397" i="11"/>
  <c r="B398" i="11"/>
  <c r="B399" i="11"/>
  <c r="B400" i="11"/>
  <c r="B401" i="11"/>
  <c r="B402" i="11"/>
  <c r="B403" i="11"/>
  <c r="B404" i="11"/>
  <c r="B405" i="11"/>
  <c r="B406" i="11"/>
  <c r="B407" i="11"/>
  <c r="B408" i="11"/>
  <c r="B409" i="11"/>
  <c r="B410" i="11"/>
  <c r="B411" i="11"/>
  <c r="B412" i="11"/>
  <c r="B413" i="11"/>
  <c r="B414" i="11"/>
  <c r="B415" i="11"/>
  <c r="B416" i="11"/>
  <c r="B417" i="11"/>
  <c r="B418" i="11"/>
  <c r="B419" i="11"/>
  <c r="B420" i="11"/>
  <c r="B421" i="11"/>
  <c r="B422" i="11"/>
  <c r="B423" i="11"/>
  <c r="B424" i="11"/>
  <c r="B425" i="11"/>
  <c r="B426" i="11"/>
  <c r="B427" i="11"/>
  <c r="B428" i="11"/>
  <c r="B429" i="11"/>
  <c r="B430" i="11"/>
  <c r="B431" i="11"/>
  <c r="B432" i="11"/>
  <c r="B433" i="11"/>
  <c r="B434" i="11"/>
  <c r="B435" i="11"/>
  <c r="B436" i="11"/>
  <c r="B437" i="11"/>
  <c r="B438" i="11"/>
  <c r="B439" i="11"/>
  <c r="B440" i="11"/>
  <c r="B441" i="11"/>
  <c r="B442" i="11"/>
  <c r="B443" i="11"/>
  <c r="B444" i="11"/>
  <c r="B445" i="11"/>
  <c r="B446" i="11"/>
  <c r="B447" i="11"/>
  <c r="B448" i="11"/>
  <c r="B449" i="11"/>
  <c r="B450" i="11"/>
  <c r="B451" i="11"/>
  <c r="B452" i="11"/>
  <c r="B453" i="11"/>
  <c r="B454" i="11"/>
  <c r="B455" i="11"/>
  <c r="B456" i="11"/>
  <c r="B457" i="11"/>
  <c r="B458" i="11"/>
  <c r="B459" i="11"/>
  <c r="B460" i="11"/>
  <c r="B461" i="11"/>
  <c r="B462" i="11"/>
  <c r="B463" i="11"/>
  <c r="B464" i="11"/>
  <c r="B465" i="11"/>
  <c r="B466" i="11"/>
  <c r="B467" i="11"/>
  <c r="B468" i="11"/>
  <c r="B469" i="11"/>
  <c r="B470" i="11"/>
  <c r="B471" i="11"/>
  <c r="B472" i="11"/>
  <c r="B473" i="11"/>
  <c r="B474" i="11"/>
  <c r="B475" i="11"/>
  <c r="B476" i="11"/>
  <c r="B477" i="11"/>
  <c r="B478" i="11"/>
  <c r="B479" i="11"/>
  <c r="B480" i="11"/>
  <c r="B481" i="11"/>
  <c r="B482" i="11"/>
  <c r="B483" i="11"/>
  <c r="B484" i="11"/>
  <c r="B485" i="11"/>
  <c r="B486" i="11"/>
  <c r="B487" i="11"/>
  <c r="B488" i="11"/>
  <c r="B489" i="11"/>
  <c r="B490" i="11"/>
  <c r="B491" i="11"/>
  <c r="B492" i="11"/>
  <c r="B493" i="11"/>
  <c r="B494" i="11"/>
  <c r="B495" i="11"/>
  <c r="B496" i="11"/>
  <c r="B497" i="11"/>
  <c r="B498" i="11"/>
  <c r="B499" i="11"/>
  <c r="B500" i="11"/>
  <c r="B501" i="11"/>
  <c r="B502" i="11"/>
  <c r="B503" i="11"/>
  <c r="B504" i="11"/>
  <c r="B505" i="11"/>
  <c r="B506" i="11"/>
  <c r="B507" i="11"/>
  <c r="B508" i="11"/>
  <c r="B509" i="11"/>
  <c r="B510" i="11"/>
  <c r="B511" i="11"/>
  <c r="B512" i="11"/>
  <c r="B513" i="11"/>
  <c r="B514" i="11"/>
  <c r="B515" i="11"/>
  <c r="B516" i="11"/>
  <c r="B517" i="11"/>
  <c r="B518" i="11"/>
  <c r="B519" i="11"/>
  <c r="B520" i="11"/>
  <c r="B521" i="11"/>
  <c r="B522" i="11"/>
  <c r="B523" i="11"/>
  <c r="B524" i="11"/>
  <c r="B525" i="11"/>
  <c r="B526" i="11"/>
  <c r="B527" i="11"/>
  <c r="B528" i="11"/>
  <c r="B529" i="11"/>
  <c r="B530" i="11"/>
  <c r="B531" i="11"/>
  <c r="B532" i="11"/>
  <c r="B533" i="11"/>
  <c r="B534" i="11"/>
  <c r="B535" i="11"/>
  <c r="B536" i="11"/>
  <c r="B537" i="11"/>
  <c r="B538" i="11"/>
  <c r="B539" i="11"/>
  <c r="B540" i="11"/>
  <c r="B541" i="11"/>
  <c r="B542" i="11"/>
  <c r="B543" i="11"/>
  <c r="B544" i="11"/>
  <c r="B545" i="11"/>
  <c r="B546" i="11"/>
  <c r="B547" i="11"/>
  <c r="B548" i="11"/>
  <c r="B549" i="11"/>
  <c r="B550" i="11"/>
  <c r="B551" i="11"/>
  <c r="B552" i="11"/>
  <c r="B553" i="11"/>
  <c r="B554" i="11"/>
  <c r="B555" i="11"/>
  <c r="B556" i="11"/>
  <c r="B557" i="11"/>
  <c r="B558" i="11"/>
  <c r="B559" i="11"/>
  <c r="B560" i="11"/>
  <c r="B561" i="11"/>
  <c r="B562" i="11"/>
  <c r="B563" i="11"/>
  <c r="B564" i="11"/>
  <c r="B565" i="11"/>
  <c r="B566" i="11"/>
  <c r="B567" i="11"/>
  <c r="B568" i="11"/>
  <c r="B569" i="11"/>
  <c r="B570" i="11"/>
  <c r="B571" i="11"/>
  <c r="B572" i="11"/>
  <c r="B573" i="11"/>
  <c r="B574" i="11"/>
  <c r="B575" i="11"/>
  <c r="B576" i="11"/>
  <c r="B577" i="11"/>
  <c r="B578" i="11"/>
  <c r="B579" i="11"/>
  <c r="B580" i="11"/>
  <c r="B581" i="11"/>
  <c r="B582" i="11"/>
  <c r="B583" i="11"/>
  <c r="B584" i="11"/>
  <c r="B585" i="11"/>
  <c r="B586" i="11"/>
  <c r="B587" i="11"/>
  <c r="B588" i="11"/>
  <c r="B589" i="11"/>
  <c r="B590" i="11"/>
  <c r="B591" i="11"/>
  <c r="B592" i="11"/>
  <c r="B593" i="11"/>
  <c r="B594" i="11"/>
  <c r="B595" i="11"/>
  <c r="B596" i="11"/>
  <c r="B597" i="11"/>
  <c r="B598" i="11"/>
  <c r="B599" i="11"/>
  <c r="B600" i="11"/>
  <c r="B601" i="11"/>
  <c r="B602" i="11"/>
  <c r="B603" i="11"/>
  <c r="B604" i="11"/>
  <c r="B605" i="11"/>
  <c r="B606" i="11"/>
  <c r="B607" i="11"/>
  <c r="B608" i="11"/>
  <c r="B609" i="11"/>
  <c r="B610" i="11"/>
  <c r="B611" i="11"/>
  <c r="B612" i="11"/>
  <c r="B613" i="11"/>
  <c r="B614" i="11"/>
  <c r="B615" i="11"/>
  <c r="B616" i="11"/>
  <c r="B617" i="11"/>
  <c r="B618" i="11"/>
  <c r="B619" i="11"/>
  <c r="B620" i="11"/>
  <c r="B621" i="11"/>
  <c r="B622" i="11"/>
  <c r="B623" i="11"/>
  <c r="B624" i="11"/>
  <c r="B625" i="11"/>
  <c r="B626" i="11"/>
  <c r="B627" i="11"/>
  <c r="B628" i="11"/>
  <c r="B629" i="11"/>
  <c r="B630" i="11"/>
  <c r="B631" i="11"/>
  <c r="B632" i="11"/>
  <c r="B633" i="11"/>
  <c r="B634" i="11"/>
  <c r="B635" i="11"/>
  <c r="B636" i="11"/>
  <c r="B637" i="11"/>
  <c r="B638" i="11"/>
  <c r="B639" i="11"/>
  <c r="B640" i="11"/>
  <c r="B641" i="11"/>
  <c r="B642" i="11"/>
  <c r="B643" i="11"/>
  <c r="B644" i="11"/>
  <c r="B645" i="11"/>
  <c r="B646" i="11"/>
  <c r="B647" i="11"/>
  <c r="B648" i="11"/>
  <c r="B649" i="11"/>
  <c r="B650" i="11"/>
  <c r="B651" i="11"/>
  <c r="B652" i="11"/>
  <c r="B653" i="11"/>
  <c r="B654" i="11"/>
  <c r="B655" i="11"/>
  <c r="B656" i="11"/>
  <c r="B657" i="11"/>
  <c r="B658" i="11"/>
  <c r="B659" i="11"/>
  <c r="B660" i="11"/>
  <c r="B661" i="11"/>
  <c r="B662" i="11"/>
  <c r="B663" i="11"/>
  <c r="B664" i="11"/>
  <c r="B665" i="11"/>
  <c r="B666" i="11"/>
  <c r="B667" i="11"/>
  <c r="B668" i="11"/>
  <c r="B669" i="11"/>
  <c r="B670" i="11"/>
  <c r="B671" i="11"/>
  <c r="B672" i="11"/>
  <c r="B673" i="11"/>
  <c r="B674" i="11"/>
  <c r="B675" i="11"/>
  <c r="B676" i="11"/>
  <c r="B677" i="11"/>
  <c r="B678" i="11"/>
  <c r="B679" i="11"/>
  <c r="B680" i="11"/>
  <c r="B681" i="11"/>
  <c r="B682" i="11"/>
  <c r="B683" i="11"/>
  <c r="B684" i="11"/>
  <c r="B685" i="11"/>
  <c r="B686" i="11"/>
  <c r="B687" i="11"/>
  <c r="B688" i="11"/>
  <c r="B689" i="11"/>
  <c r="B690" i="11"/>
  <c r="B691" i="11"/>
  <c r="B692" i="11"/>
  <c r="B693" i="11"/>
  <c r="B694" i="11"/>
  <c r="B695" i="11"/>
  <c r="B696" i="11"/>
  <c r="B697" i="11"/>
  <c r="B698" i="11"/>
  <c r="B699" i="11"/>
  <c r="B700" i="11"/>
  <c r="B701" i="11"/>
  <c r="B702" i="11"/>
  <c r="B703" i="11"/>
  <c r="B704" i="11"/>
  <c r="B705" i="11"/>
  <c r="B706" i="11"/>
  <c r="B707" i="11"/>
  <c r="B708" i="11"/>
  <c r="B709" i="11"/>
  <c r="B710" i="11"/>
  <c r="B711" i="11"/>
  <c r="B712" i="11"/>
  <c r="B713" i="11"/>
  <c r="B714" i="11"/>
  <c r="B715" i="11"/>
  <c r="B716" i="11"/>
  <c r="B717" i="11"/>
  <c r="B718" i="11"/>
  <c r="B719" i="11"/>
  <c r="B720" i="11"/>
  <c r="B721" i="11"/>
  <c r="B722" i="11"/>
  <c r="B723" i="11"/>
  <c r="B724" i="11"/>
  <c r="B725" i="11"/>
  <c r="B726" i="11"/>
  <c r="B727" i="11"/>
  <c r="B728" i="11"/>
  <c r="B729" i="11"/>
  <c r="B730" i="11"/>
  <c r="B731" i="11"/>
  <c r="B732" i="11"/>
  <c r="B733" i="11"/>
  <c r="B734" i="11"/>
  <c r="B735" i="11"/>
  <c r="B736" i="11"/>
  <c r="B737" i="11"/>
  <c r="B738" i="11"/>
  <c r="B739" i="11"/>
  <c r="B740" i="11"/>
  <c r="B741" i="11"/>
  <c r="B742" i="11"/>
  <c r="B743" i="11"/>
  <c r="B744" i="11"/>
  <c r="B745" i="11"/>
  <c r="B746" i="11"/>
  <c r="B747" i="11"/>
  <c r="B748" i="11"/>
  <c r="B749" i="11"/>
  <c r="B750" i="11"/>
  <c r="B751" i="11"/>
  <c r="B752" i="11"/>
  <c r="B753" i="11"/>
  <c r="B754" i="11"/>
  <c r="B755" i="11"/>
  <c r="B756" i="11"/>
  <c r="B757" i="11"/>
  <c r="B758" i="11"/>
  <c r="B759" i="11"/>
  <c r="B760" i="11"/>
  <c r="B761" i="11"/>
  <c r="B762" i="11"/>
  <c r="B763" i="11"/>
  <c r="B764" i="11"/>
  <c r="B765" i="11"/>
  <c r="B766" i="11"/>
  <c r="B767" i="11"/>
  <c r="B768" i="11"/>
  <c r="B769" i="11"/>
  <c r="B770" i="11"/>
  <c r="B771" i="11"/>
  <c r="B772" i="11"/>
  <c r="B773" i="11"/>
  <c r="B774" i="11"/>
  <c r="B775" i="11"/>
  <c r="B776" i="11"/>
  <c r="B777" i="11"/>
  <c r="B778" i="11"/>
  <c r="B779" i="11"/>
  <c r="B780" i="11"/>
  <c r="B781" i="11"/>
  <c r="B782" i="11"/>
  <c r="B783" i="11"/>
  <c r="B784" i="11"/>
  <c r="B785" i="11"/>
  <c r="B786" i="11"/>
  <c r="B787" i="11"/>
  <c r="B788" i="11"/>
  <c r="B789" i="11"/>
  <c r="B790" i="11"/>
  <c r="B791" i="11"/>
  <c r="B792" i="11"/>
  <c r="B793" i="11"/>
  <c r="B794" i="11"/>
  <c r="B795" i="11"/>
  <c r="B796" i="11"/>
  <c r="B797" i="11"/>
  <c r="B798" i="11"/>
  <c r="B799" i="11"/>
  <c r="B800" i="11"/>
  <c r="B801" i="11"/>
  <c r="B802" i="11"/>
  <c r="B803" i="11"/>
  <c r="B804" i="11"/>
  <c r="B805" i="11"/>
  <c r="B806" i="11"/>
  <c r="B807" i="11"/>
  <c r="B808" i="11"/>
  <c r="B809" i="11"/>
  <c r="B810" i="11"/>
  <c r="B811" i="11"/>
  <c r="B812" i="11"/>
  <c r="B813" i="11"/>
  <c r="B814" i="11"/>
  <c r="B815" i="11"/>
  <c r="B816" i="11"/>
  <c r="B817" i="11"/>
  <c r="B818" i="11"/>
  <c r="B819" i="11"/>
  <c r="B820" i="11"/>
  <c r="B821" i="11"/>
  <c r="B822" i="11"/>
  <c r="B823" i="11"/>
  <c r="B824" i="11"/>
  <c r="B825" i="11"/>
  <c r="B826" i="11"/>
  <c r="B827" i="11"/>
  <c r="B828" i="11"/>
  <c r="B829" i="11"/>
  <c r="B830" i="11"/>
  <c r="B831" i="11"/>
  <c r="B832" i="11"/>
  <c r="B833" i="11"/>
  <c r="B834" i="11"/>
  <c r="B835" i="11"/>
  <c r="B836" i="11"/>
  <c r="B837" i="11"/>
  <c r="B838" i="11"/>
  <c r="B839" i="11"/>
  <c r="B840" i="11"/>
  <c r="B841" i="11"/>
  <c r="B842" i="11"/>
  <c r="B843" i="11"/>
  <c r="B844" i="11"/>
  <c r="B845" i="11"/>
  <c r="B846" i="11"/>
  <c r="B847" i="11"/>
  <c r="B848" i="11"/>
  <c r="B849" i="11"/>
  <c r="B850" i="11"/>
  <c r="B851" i="11"/>
  <c r="B852" i="11"/>
  <c r="B853" i="11"/>
  <c r="B854" i="11"/>
  <c r="B855" i="11"/>
  <c r="B856" i="11"/>
  <c r="B857" i="11"/>
  <c r="B858" i="11"/>
  <c r="B859" i="11"/>
  <c r="B860" i="11"/>
  <c r="B861" i="11"/>
  <c r="B862" i="11"/>
  <c r="B863" i="11"/>
  <c r="B864" i="11"/>
  <c r="B865" i="11"/>
  <c r="B866" i="11"/>
  <c r="B867" i="11"/>
  <c r="B868" i="11"/>
  <c r="B869" i="11"/>
  <c r="B870" i="11"/>
  <c r="B871" i="11"/>
  <c r="B872" i="11"/>
  <c r="B873" i="11"/>
  <c r="B874" i="11"/>
  <c r="B875" i="11"/>
  <c r="B876" i="11"/>
  <c r="B877" i="11"/>
  <c r="B878" i="11"/>
  <c r="B879" i="11"/>
  <c r="B880" i="11"/>
  <c r="B881" i="11"/>
  <c r="B882" i="11"/>
  <c r="B883" i="11"/>
  <c r="B884" i="11"/>
  <c r="B885" i="11"/>
  <c r="B886" i="11"/>
  <c r="B887" i="11"/>
  <c r="B888" i="11"/>
  <c r="B889" i="11"/>
  <c r="B890" i="11"/>
  <c r="B891" i="11"/>
  <c r="B892" i="11"/>
  <c r="B893" i="11"/>
  <c r="B894" i="11"/>
  <c r="B895" i="11"/>
  <c r="B896" i="11"/>
  <c r="B897" i="11"/>
  <c r="B898" i="11"/>
  <c r="B899" i="11"/>
  <c r="B900" i="11"/>
  <c r="B901" i="11"/>
  <c r="B902" i="11"/>
  <c r="B903" i="11"/>
  <c r="B904" i="11"/>
  <c r="B905" i="11"/>
  <c r="B906" i="11"/>
  <c r="B907" i="11"/>
  <c r="B908" i="11"/>
  <c r="B909" i="11"/>
  <c r="B910" i="11"/>
  <c r="B911" i="11"/>
  <c r="B912" i="11"/>
  <c r="B913" i="11"/>
  <c r="B914" i="11"/>
  <c r="B915" i="11"/>
  <c r="B916" i="11"/>
  <c r="B917" i="11"/>
  <c r="B918" i="11"/>
  <c r="B919" i="11"/>
  <c r="B920" i="11"/>
  <c r="B921" i="11"/>
  <c r="B922" i="11"/>
  <c r="B923" i="11"/>
  <c r="B924" i="11"/>
  <c r="B925" i="11"/>
  <c r="B926" i="11"/>
  <c r="B927" i="11"/>
  <c r="B928" i="11"/>
  <c r="B929" i="11"/>
  <c r="B930" i="11"/>
  <c r="B931" i="11"/>
  <c r="B932" i="11"/>
  <c r="B933" i="11"/>
  <c r="B934" i="11"/>
  <c r="B935" i="11"/>
  <c r="B936" i="11"/>
  <c r="B937" i="11"/>
  <c r="B938" i="11"/>
  <c r="B939" i="11"/>
  <c r="B940" i="11"/>
  <c r="B941" i="11"/>
  <c r="B942" i="11"/>
  <c r="B943" i="11"/>
  <c r="B944" i="11"/>
  <c r="B945" i="11"/>
  <c r="B946" i="11"/>
  <c r="B947" i="11"/>
  <c r="B948" i="11"/>
  <c r="B949" i="11"/>
  <c r="B950" i="11"/>
  <c r="B951" i="11"/>
  <c r="B952" i="11"/>
  <c r="B953" i="11"/>
  <c r="B954" i="11"/>
  <c r="B955" i="11"/>
  <c r="B956" i="11"/>
  <c r="B957" i="11"/>
  <c r="B958" i="11"/>
  <c r="B959" i="11"/>
  <c r="B960" i="11"/>
  <c r="B961" i="11"/>
  <c r="B962" i="11"/>
  <c r="B963" i="11"/>
  <c r="B964" i="11"/>
  <c r="B965" i="11"/>
  <c r="B966" i="11"/>
  <c r="B967" i="11"/>
  <c r="B968" i="11"/>
  <c r="B969" i="11"/>
  <c r="B970" i="11"/>
  <c r="B971" i="11"/>
  <c r="B972" i="11"/>
  <c r="B973" i="11"/>
  <c r="B974" i="11"/>
  <c r="B975"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149" i="11"/>
  <c r="A150" i="11"/>
  <c r="A151" i="11"/>
  <c r="A152" i="11"/>
  <c r="A153" i="11"/>
  <c r="A154" i="11"/>
  <c r="A155" i="11"/>
  <c r="A156" i="11"/>
  <c r="A157" i="11"/>
  <c r="A158" i="11"/>
  <c r="A159" i="11"/>
  <c r="A160" i="11"/>
  <c r="A161" i="11"/>
  <c r="A162" i="11"/>
  <c r="A163" i="11"/>
  <c r="A164" i="11"/>
  <c r="A165" i="11"/>
  <c r="A166" i="11"/>
  <c r="A167" i="11"/>
  <c r="A168" i="11"/>
  <c r="A169" i="11"/>
  <c r="A170" i="11"/>
  <c r="A171" i="11"/>
  <c r="A172" i="11"/>
  <c r="A173" i="11"/>
  <c r="A174" i="11"/>
  <c r="A175" i="11"/>
  <c r="A176" i="11"/>
  <c r="A177" i="11"/>
  <c r="A178" i="11"/>
  <c r="A179" i="11"/>
  <c r="A180" i="11"/>
  <c r="A181" i="11"/>
  <c r="A182" i="11"/>
  <c r="A183" i="11"/>
  <c r="A184" i="11"/>
  <c r="A185" i="11"/>
  <c r="A186" i="11"/>
  <c r="A187" i="11"/>
  <c r="A188" i="11"/>
  <c r="A189" i="11"/>
  <c r="A190" i="11"/>
  <c r="A191" i="11"/>
  <c r="A192" i="11"/>
  <c r="A193" i="11"/>
  <c r="A194" i="11"/>
  <c r="A195" i="11"/>
  <c r="A196" i="11"/>
  <c r="A197" i="11"/>
  <c r="A198" i="11"/>
  <c r="A199" i="11"/>
  <c r="A200" i="11"/>
  <c r="A201" i="11"/>
  <c r="A202" i="11"/>
  <c r="A203" i="11"/>
  <c r="A204" i="11"/>
  <c r="A205" i="11"/>
  <c r="A206" i="11"/>
  <c r="A207" i="11"/>
  <c r="A208" i="11"/>
  <c r="A209" i="11"/>
  <c r="A210" i="11"/>
  <c r="A211" i="11"/>
  <c r="A212" i="11"/>
  <c r="A213" i="11"/>
  <c r="A214" i="11"/>
  <c r="A215" i="11"/>
  <c r="A216" i="11"/>
  <c r="A217" i="11"/>
  <c r="A218" i="11"/>
  <c r="A219" i="11"/>
  <c r="A220" i="11"/>
  <c r="A221" i="11"/>
  <c r="A222" i="11"/>
  <c r="A223" i="11"/>
  <c r="A224" i="11"/>
  <c r="A225" i="11"/>
  <c r="A226" i="11"/>
  <c r="A227" i="11"/>
  <c r="A228" i="11"/>
  <c r="A229" i="11"/>
  <c r="A230" i="11"/>
  <c r="A231" i="11"/>
  <c r="A232" i="11"/>
  <c r="A233" i="11"/>
  <c r="A234" i="11"/>
  <c r="A235" i="11"/>
  <c r="A236" i="11"/>
  <c r="A237" i="11"/>
  <c r="A238" i="11"/>
  <c r="A239" i="11"/>
  <c r="A240" i="11"/>
  <c r="A241" i="11"/>
  <c r="A242" i="11"/>
  <c r="A243" i="11"/>
  <c r="A244" i="11"/>
  <c r="A245" i="11"/>
  <c r="A246" i="11"/>
  <c r="A247" i="11"/>
  <c r="A248" i="11"/>
  <c r="A249" i="11"/>
  <c r="A250" i="11"/>
  <c r="A251" i="11"/>
  <c r="A252" i="11"/>
  <c r="A253" i="11"/>
  <c r="A254" i="11"/>
  <c r="A255" i="11"/>
  <c r="A256" i="11"/>
  <c r="A257" i="11"/>
  <c r="A258" i="11"/>
  <c r="A259" i="11"/>
  <c r="A260" i="11"/>
  <c r="A261" i="11"/>
  <c r="A262" i="11"/>
  <c r="A263" i="11"/>
  <c r="A264" i="11"/>
  <c r="A265" i="11"/>
  <c r="A266" i="11"/>
  <c r="A267" i="11"/>
  <c r="A268" i="11"/>
  <c r="A269" i="11"/>
  <c r="A270" i="11"/>
  <c r="A271" i="11"/>
  <c r="A272" i="11"/>
  <c r="A273" i="11"/>
  <c r="A274" i="11"/>
  <c r="A275" i="11"/>
  <c r="A276" i="11"/>
  <c r="A277" i="11"/>
  <c r="A278" i="11"/>
  <c r="A279" i="11"/>
  <c r="A280" i="11"/>
  <c r="A281" i="11"/>
  <c r="A282" i="11"/>
  <c r="A283" i="11"/>
  <c r="A284" i="11"/>
  <c r="A285" i="11"/>
  <c r="A286" i="11"/>
  <c r="A287" i="11"/>
  <c r="A288" i="11"/>
  <c r="A289" i="11"/>
  <c r="A290" i="11"/>
  <c r="A291" i="11"/>
  <c r="A292" i="11"/>
  <c r="A293" i="11"/>
  <c r="A294" i="11"/>
  <c r="A295" i="11"/>
  <c r="A296" i="11"/>
  <c r="A297" i="11"/>
  <c r="A298" i="11"/>
  <c r="A299" i="11"/>
  <c r="A300" i="11"/>
  <c r="A301" i="11"/>
  <c r="A302" i="11"/>
  <c r="A303" i="11"/>
  <c r="A304" i="11"/>
  <c r="A305" i="11"/>
  <c r="A306" i="11"/>
  <c r="A307" i="11"/>
  <c r="A308" i="11"/>
  <c r="A309" i="11"/>
  <c r="A310" i="11"/>
  <c r="A311" i="11"/>
  <c r="A312" i="11"/>
  <c r="A313" i="11"/>
  <c r="A314" i="11"/>
  <c r="A315" i="11"/>
  <c r="A316" i="11"/>
  <c r="A317" i="11"/>
  <c r="A318" i="11"/>
  <c r="A319" i="11"/>
  <c r="A320" i="11"/>
  <c r="A321" i="11"/>
  <c r="A322" i="11"/>
  <c r="A323" i="11"/>
  <c r="A324" i="11"/>
  <c r="A325" i="11"/>
  <c r="A326" i="11"/>
  <c r="A327" i="11"/>
  <c r="A328" i="11"/>
  <c r="A329" i="11"/>
  <c r="A330" i="11"/>
  <c r="A331" i="11"/>
  <c r="A332" i="11"/>
  <c r="A333" i="11"/>
  <c r="A334" i="11"/>
  <c r="A335" i="11"/>
  <c r="A336" i="11"/>
  <c r="A337" i="11"/>
  <c r="A338" i="11"/>
  <c r="A339" i="11"/>
  <c r="A340" i="11"/>
  <c r="A341" i="11"/>
  <c r="A342" i="11"/>
  <c r="A343" i="11"/>
  <c r="A344" i="11"/>
  <c r="A345" i="11"/>
  <c r="A346" i="11"/>
  <c r="A347" i="11"/>
  <c r="A348" i="11"/>
  <c r="A349" i="11"/>
  <c r="A350" i="11"/>
  <c r="A351" i="11"/>
  <c r="A352" i="11"/>
  <c r="A353" i="11"/>
  <c r="A354" i="11"/>
  <c r="A355" i="11"/>
  <c r="A356" i="11"/>
  <c r="A357" i="11"/>
  <c r="A358" i="11"/>
  <c r="A359" i="11"/>
  <c r="A360" i="11"/>
  <c r="A361" i="11"/>
  <c r="A362" i="11"/>
  <c r="A363" i="11"/>
  <c r="A364" i="11"/>
  <c r="A365" i="11"/>
  <c r="A366" i="11"/>
  <c r="A367" i="11"/>
  <c r="A368" i="11"/>
  <c r="A369" i="11"/>
  <c r="A370" i="11"/>
  <c r="A371" i="11"/>
  <c r="A372" i="11"/>
  <c r="A373" i="11"/>
  <c r="A374" i="11"/>
  <c r="A375" i="11"/>
  <c r="A376" i="11"/>
  <c r="A377" i="11"/>
  <c r="A378" i="11"/>
  <c r="A379" i="11"/>
  <c r="A380" i="11"/>
  <c r="A381" i="11"/>
  <c r="A382" i="11"/>
  <c r="A383" i="11"/>
  <c r="A384" i="11"/>
  <c r="A385" i="11"/>
  <c r="A386" i="11"/>
  <c r="A387" i="11"/>
  <c r="A388" i="11"/>
  <c r="A389" i="11"/>
  <c r="A390" i="11"/>
  <c r="A391" i="11"/>
  <c r="A392" i="11"/>
  <c r="A393" i="11"/>
  <c r="A394" i="11"/>
  <c r="A395" i="11"/>
  <c r="A396" i="11"/>
  <c r="A397" i="11"/>
  <c r="A398" i="11"/>
  <c r="A399" i="11"/>
  <c r="A400" i="11"/>
  <c r="A401" i="11"/>
  <c r="A402" i="11"/>
  <c r="A403" i="11"/>
  <c r="A404" i="11"/>
  <c r="A405" i="11"/>
  <c r="A406" i="11"/>
  <c r="A407" i="11"/>
  <c r="A408" i="11"/>
  <c r="A409" i="11"/>
  <c r="A410" i="11"/>
  <c r="A411" i="11"/>
  <c r="A412" i="11"/>
  <c r="A413" i="11"/>
  <c r="A414" i="11"/>
  <c r="A415" i="11"/>
  <c r="A416" i="11"/>
  <c r="A417" i="11"/>
  <c r="A418" i="11"/>
  <c r="A419" i="11"/>
  <c r="A420" i="11"/>
  <c r="A421" i="11"/>
  <c r="A422" i="11"/>
  <c r="A423" i="11"/>
  <c r="A424" i="11"/>
  <c r="A425" i="11"/>
  <c r="A426" i="11"/>
  <c r="A427" i="11"/>
  <c r="A428" i="11"/>
  <c r="A429" i="11"/>
  <c r="A430" i="11"/>
  <c r="A431" i="11"/>
  <c r="A432" i="11"/>
  <c r="A433" i="11"/>
  <c r="A434" i="11"/>
  <c r="A435" i="11"/>
  <c r="A436" i="11"/>
  <c r="A437" i="11"/>
  <c r="A438" i="11"/>
  <c r="A439" i="11"/>
  <c r="A440" i="11"/>
  <c r="A441" i="11"/>
  <c r="A442" i="11"/>
  <c r="A443" i="11"/>
  <c r="A444" i="11"/>
  <c r="A445" i="11"/>
  <c r="A446" i="11"/>
  <c r="A447" i="11"/>
  <c r="A448" i="11"/>
  <c r="A449" i="11"/>
  <c r="A450" i="11"/>
  <c r="A451" i="11"/>
  <c r="A452" i="11"/>
  <c r="A453" i="11"/>
  <c r="A454" i="11"/>
  <c r="A455" i="11"/>
  <c r="A456" i="11"/>
  <c r="A457" i="11"/>
  <c r="A458" i="11"/>
  <c r="A459" i="11"/>
  <c r="A460" i="11"/>
  <c r="A461" i="11"/>
  <c r="A462" i="11"/>
  <c r="A463" i="11"/>
  <c r="A464" i="11"/>
  <c r="A465" i="11"/>
  <c r="A466" i="11"/>
  <c r="A467" i="11"/>
  <c r="A468" i="11"/>
  <c r="A469" i="11"/>
  <c r="A470" i="11"/>
  <c r="A471" i="11"/>
  <c r="A472" i="11"/>
  <c r="A473" i="11"/>
  <c r="A474" i="11"/>
  <c r="A475" i="11"/>
  <c r="A476" i="11"/>
  <c r="A477" i="11"/>
  <c r="A478" i="11"/>
  <c r="A479" i="11"/>
  <c r="A480" i="11"/>
  <c r="A481" i="11"/>
  <c r="A482" i="11"/>
  <c r="A483" i="11"/>
  <c r="A484" i="11"/>
  <c r="A485" i="11"/>
  <c r="A486" i="11"/>
  <c r="A487" i="11"/>
  <c r="A488" i="11"/>
  <c r="A489" i="11"/>
  <c r="A490" i="11"/>
  <c r="A491" i="11"/>
  <c r="A492" i="11"/>
  <c r="A493" i="11"/>
  <c r="A494" i="11"/>
  <c r="A495" i="11"/>
  <c r="A496" i="11"/>
  <c r="A497" i="11"/>
  <c r="A498" i="11"/>
  <c r="A499" i="11"/>
  <c r="A500" i="11"/>
  <c r="A501" i="11"/>
  <c r="A502" i="11"/>
  <c r="A503" i="11"/>
  <c r="A504" i="11"/>
  <c r="A505" i="11"/>
  <c r="A506" i="11"/>
  <c r="A507" i="11"/>
  <c r="A508" i="11"/>
  <c r="A509" i="11"/>
  <c r="A510" i="11"/>
  <c r="A511" i="11"/>
  <c r="A512" i="11"/>
  <c r="A513" i="11"/>
  <c r="A514" i="11"/>
  <c r="A515" i="11"/>
  <c r="A516" i="11"/>
  <c r="A517" i="11"/>
  <c r="A518" i="11"/>
  <c r="A519" i="11"/>
  <c r="A520" i="11"/>
  <c r="A521" i="11"/>
  <c r="A522" i="11"/>
  <c r="A523" i="11"/>
  <c r="A524" i="11"/>
  <c r="A525" i="11"/>
  <c r="A526" i="11"/>
  <c r="A527" i="11"/>
  <c r="A528" i="11"/>
  <c r="A529" i="11"/>
  <c r="A530" i="11"/>
  <c r="A531" i="11"/>
  <c r="A532" i="11"/>
  <c r="A533" i="11"/>
  <c r="A534" i="11"/>
  <c r="A535" i="11"/>
  <c r="A536" i="11"/>
  <c r="A537" i="11"/>
  <c r="A538" i="11"/>
  <c r="A539" i="11"/>
  <c r="A540" i="11"/>
  <c r="A541" i="11"/>
  <c r="A542" i="11"/>
  <c r="A543" i="11"/>
  <c r="A544" i="11"/>
  <c r="A545" i="11"/>
  <c r="A546" i="11"/>
  <c r="A547" i="11"/>
  <c r="A548" i="11"/>
  <c r="A549" i="11"/>
  <c r="A550" i="11"/>
  <c r="A551" i="11"/>
  <c r="A552" i="11"/>
  <c r="A553" i="11"/>
  <c r="A554" i="11"/>
  <c r="A555" i="11"/>
  <c r="A556" i="11"/>
  <c r="A557" i="11"/>
  <c r="A558" i="11"/>
  <c r="A559" i="11"/>
  <c r="A560" i="11"/>
  <c r="A561" i="11"/>
  <c r="A562" i="11"/>
  <c r="A563" i="11"/>
  <c r="A564" i="11"/>
  <c r="A565" i="11"/>
  <c r="A566" i="11"/>
  <c r="A567" i="11"/>
  <c r="A568" i="11"/>
  <c r="A569" i="11"/>
  <c r="A570" i="11"/>
  <c r="A571" i="11"/>
  <c r="A572" i="11"/>
  <c r="A573" i="11"/>
  <c r="A574" i="11"/>
  <c r="A575" i="11"/>
  <c r="A576" i="11"/>
  <c r="A577" i="11"/>
  <c r="A578" i="11"/>
  <c r="A579" i="11"/>
  <c r="A580" i="11"/>
  <c r="A581" i="11"/>
  <c r="A582" i="11"/>
  <c r="A583" i="11"/>
  <c r="A584" i="11"/>
  <c r="A585" i="11"/>
  <c r="A586" i="11"/>
  <c r="A587" i="11"/>
  <c r="A588" i="11"/>
  <c r="A589" i="11"/>
  <c r="A590" i="11"/>
  <c r="A591" i="11"/>
  <c r="A592" i="11"/>
  <c r="A593" i="11"/>
  <c r="A594" i="11"/>
  <c r="A595" i="11"/>
  <c r="A596" i="11"/>
  <c r="A597" i="11"/>
  <c r="A598" i="11"/>
  <c r="A599" i="11"/>
  <c r="A600" i="11"/>
  <c r="A601" i="11"/>
  <c r="A602" i="11"/>
  <c r="A603" i="11"/>
  <c r="A604" i="11"/>
  <c r="A605" i="11"/>
  <c r="A606" i="11"/>
  <c r="A607" i="11"/>
  <c r="A608" i="11"/>
  <c r="A609" i="11"/>
  <c r="A610" i="11"/>
  <c r="A611" i="11"/>
  <c r="A612" i="11"/>
  <c r="A613" i="11"/>
  <c r="A614" i="11"/>
  <c r="A615" i="11"/>
  <c r="A616" i="11"/>
  <c r="A617" i="11"/>
  <c r="A618" i="11"/>
  <c r="A619" i="11"/>
  <c r="A620" i="11"/>
  <c r="A621" i="11"/>
  <c r="A622" i="11"/>
  <c r="A623" i="11"/>
  <c r="A624" i="11"/>
  <c r="A625" i="11"/>
  <c r="A626" i="11"/>
  <c r="A627" i="11"/>
  <c r="A628" i="11"/>
  <c r="A629" i="11"/>
  <c r="A630" i="11"/>
  <c r="A631" i="11"/>
  <c r="A632" i="11"/>
  <c r="A633" i="11"/>
  <c r="A634" i="11"/>
  <c r="A635" i="11"/>
  <c r="A636" i="11"/>
  <c r="A637" i="11"/>
  <c r="A638" i="11"/>
  <c r="A639" i="11"/>
  <c r="A640" i="11"/>
  <c r="A641" i="11"/>
  <c r="A642" i="11"/>
  <c r="A643" i="11"/>
  <c r="A644" i="11"/>
  <c r="A645" i="11"/>
  <c r="A646" i="11"/>
  <c r="A647" i="11"/>
  <c r="A648" i="11"/>
  <c r="A649" i="11"/>
  <c r="A650" i="11"/>
  <c r="A651" i="11"/>
  <c r="A652" i="11"/>
  <c r="A653" i="11"/>
  <c r="A654" i="11"/>
  <c r="A655" i="11"/>
  <c r="A656" i="11"/>
  <c r="A657" i="11"/>
  <c r="A658" i="11"/>
  <c r="A659" i="11"/>
  <c r="A660" i="11"/>
  <c r="A661" i="11"/>
  <c r="A662" i="11"/>
  <c r="A663" i="11"/>
  <c r="A664" i="11"/>
  <c r="A665" i="11"/>
  <c r="A666" i="11"/>
  <c r="A667" i="11"/>
  <c r="A668" i="11"/>
  <c r="A669" i="11"/>
  <c r="A670" i="11"/>
  <c r="A671" i="11"/>
  <c r="A672" i="11"/>
  <c r="A673" i="11"/>
  <c r="A674" i="11"/>
  <c r="A675" i="11"/>
  <c r="A676" i="11"/>
  <c r="A677" i="11"/>
  <c r="A678" i="11"/>
  <c r="A679" i="11"/>
  <c r="A680" i="11"/>
  <c r="A681" i="11"/>
  <c r="A682" i="11"/>
  <c r="A683" i="11"/>
  <c r="A684" i="11"/>
  <c r="A685" i="11"/>
  <c r="A686" i="11"/>
  <c r="A687" i="11"/>
  <c r="A688" i="11"/>
  <c r="A689" i="11"/>
  <c r="A690" i="11"/>
  <c r="A691" i="11"/>
  <c r="A692" i="11"/>
  <c r="A693" i="11"/>
  <c r="A694" i="11"/>
  <c r="A695" i="11"/>
  <c r="A696" i="11"/>
  <c r="A697" i="11"/>
  <c r="A698" i="11"/>
  <c r="A699" i="11"/>
  <c r="A700" i="11"/>
  <c r="A701" i="11"/>
  <c r="A702" i="11"/>
  <c r="A703" i="11"/>
  <c r="A704" i="11"/>
  <c r="A705" i="11"/>
  <c r="A706" i="11"/>
  <c r="A707" i="11"/>
  <c r="A708" i="11"/>
  <c r="A709" i="11"/>
  <c r="A710" i="11"/>
  <c r="A711" i="11"/>
  <c r="A712" i="11"/>
  <c r="A713" i="11"/>
  <c r="A714" i="11"/>
  <c r="A715" i="11"/>
  <c r="A716" i="11"/>
  <c r="A717" i="11"/>
  <c r="A718" i="11"/>
  <c r="A719" i="11"/>
  <c r="A720" i="11"/>
  <c r="A721" i="11"/>
  <c r="A722" i="11"/>
  <c r="A723" i="11"/>
  <c r="A724" i="11"/>
  <c r="A725" i="11"/>
  <c r="A726" i="11"/>
  <c r="A727" i="11"/>
  <c r="A728" i="11"/>
  <c r="A729" i="11"/>
  <c r="A730" i="11"/>
  <c r="A731" i="11"/>
  <c r="A732" i="11"/>
  <c r="A733" i="11"/>
  <c r="A734" i="11"/>
  <c r="A735" i="11"/>
  <c r="A736" i="11"/>
  <c r="A737" i="11"/>
  <c r="A738" i="11"/>
  <c r="A739" i="11"/>
  <c r="A740" i="11"/>
  <c r="A741" i="11"/>
  <c r="A742" i="11"/>
  <c r="A743" i="11"/>
  <c r="A744" i="11"/>
  <c r="A745" i="11"/>
  <c r="A746" i="11"/>
  <c r="A747" i="11"/>
  <c r="A748" i="11"/>
  <c r="A749" i="11"/>
  <c r="A750" i="11"/>
  <c r="A751" i="11"/>
  <c r="A752" i="11"/>
  <c r="A753" i="11"/>
  <c r="A754" i="11"/>
  <c r="A755" i="11"/>
  <c r="A756" i="11"/>
  <c r="A757" i="11"/>
  <c r="A758" i="11"/>
  <c r="A759" i="11"/>
  <c r="A760" i="11"/>
  <c r="A761" i="11"/>
  <c r="A762" i="11"/>
  <c r="A763" i="11"/>
  <c r="A764" i="11"/>
  <c r="A765" i="11"/>
  <c r="A766" i="11"/>
  <c r="A767" i="11"/>
  <c r="A768" i="11"/>
  <c r="A769" i="11"/>
  <c r="A770" i="11"/>
  <c r="A771" i="11"/>
  <c r="A772" i="11"/>
  <c r="A773" i="11"/>
  <c r="A774" i="11"/>
  <c r="A775" i="11"/>
  <c r="A776" i="11"/>
  <c r="A777" i="11"/>
  <c r="A778" i="11"/>
  <c r="A779" i="11"/>
  <c r="A780" i="11"/>
  <c r="A781" i="11"/>
  <c r="A782" i="11"/>
  <c r="A783" i="11"/>
  <c r="A784" i="11"/>
  <c r="A785" i="11"/>
  <c r="A786" i="11"/>
  <c r="A787" i="11"/>
  <c r="A788" i="11"/>
  <c r="A789" i="11"/>
  <c r="A790" i="11"/>
  <c r="A791" i="11"/>
  <c r="A792" i="11"/>
  <c r="A793" i="11"/>
  <c r="A794" i="11"/>
  <c r="A795" i="11"/>
  <c r="A796" i="11"/>
  <c r="A797" i="11"/>
  <c r="A798" i="11"/>
  <c r="A799" i="11"/>
  <c r="A800" i="11"/>
  <c r="A801" i="11"/>
  <c r="A802" i="11"/>
  <c r="A803" i="11"/>
  <c r="A804" i="11"/>
  <c r="A805" i="11"/>
  <c r="A806" i="11"/>
  <c r="A807" i="11"/>
  <c r="A808" i="11"/>
  <c r="A809" i="11"/>
  <c r="A810" i="11"/>
  <c r="A811" i="11"/>
  <c r="A812" i="11"/>
  <c r="A813" i="11"/>
  <c r="A814" i="11"/>
  <c r="A815" i="11"/>
  <c r="A816" i="11"/>
  <c r="A817" i="11"/>
  <c r="A818" i="11"/>
  <c r="A819" i="11"/>
  <c r="A820" i="11"/>
  <c r="A821" i="11"/>
  <c r="A822" i="11"/>
  <c r="A823" i="11"/>
  <c r="A824" i="11"/>
  <c r="A825" i="11"/>
  <c r="A826" i="11"/>
  <c r="A827" i="11"/>
  <c r="A828" i="11"/>
  <c r="A829" i="11"/>
  <c r="A830" i="11"/>
  <c r="A831" i="11"/>
  <c r="A832" i="11"/>
  <c r="A833" i="11"/>
  <c r="A834" i="11"/>
  <c r="A835" i="11"/>
  <c r="A836" i="11"/>
  <c r="A837" i="11"/>
  <c r="A838" i="11"/>
  <c r="A839" i="11"/>
  <c r="A840" i="11"/>
  <c r="A841" i="11"/>
  <c r="A842" i="11"/>
  <c r="A843" i="11"/>
  <c r="A844" i="11"/>
  <c r="A845" i="11"/>
  <c r="A846" i="11"/>
  <c r="A847" i="11"/>
  <c r="A848" i="11"/>
  <c r="A849" i="11"/>
  <c r="A850" i="11"/>
  <c r="A851" i="11"/>
  <c r="A852" i="11"/>
  <c r="A853" i="11"/>
  <c r="A854" i="11"/>
  <c r="A855" i="11"/>
  <c r="A856" i="11"/>
  <c r="A857" i="11"/>
  <c r="A858" i="11"/>
  <c r="A859" i="11"/>
  <c r="A860" i="11"/>
  <c r="A861" i="11"/>
  <c r="A862" i="11"/>
  <c r="A863" i="11"/>
  <c r="A864" i="11"/>
  <c r="A865" i="11"/>
  <c r="A866" i="11"/>
  <c r="A867" i="11"/>
  <c r="A868" i="11"/>
  <c r="A869" i="11"/>
  <c r="A870" i="11"/>
  <c r="A871" i="11"/>
  <c r="A872" i="11"/>
  <c r="A873" i="11"/>
  <c r="A874" i="11"/>
  <c r="A875" i="11"/>
  <c r="A876" i="11"/>
  <c r="A877" i="11"/>
  <c r="A878" i="11"/>
  <c r="A879" i="11"/>
  <c r="A880" i="11"/>
  <c r="A881" i="11"/>
  <c r="A882" i="11"/>
  <c r="A883" i="11"/>
  <c r="A884" i="11"/>
  <c r="A885" i="11"/>
  <c r="A886" i="11"/>
  <c r="A887" i="11"/>
  <c r="A888" i="11"/>
  <c r="A889" i="11"/>
  <c r="A890" i="11"/>
  <c r="A891" i="11"/>
  <c r="A892" i="11"/>
  <c r="A893" i="11"/>
  <c r="A894" i="11"/>
  <c r="A895" i="11"/>
  <c r="A896" i="11"/>
  <c r="A897" i="11"/>
  <c r="A898" i="11"/>
  <c r="A899" i="11"/>
  <c r="A900" i="11"/>
  <c r="A901" i="11"/>
  <c r="A902" i="11"/>
  <c r="A903" i="11"/>
  <c r="A904" i="11"/>
  <c r="A905" i="11"/>
  <c r="A906" i="11"/>
  <c r="A907" i="11"/>
  <c r="A908" i="11"/>
  <c r="A909" i="11"/>
  <c r="A910" i="11"/>
  <c r="A911" i="11"/>
  <c r="A912" i="11"/>
  <c r="A913" i="11"/>
  <c r="A914" i="11"/>
  <c r="A915" i="11"/>
  <c r="A916" i="11"/>
  <c r="A917" i="11"/>
  <c r="A918" i="11"/>
  <c r="A919" i="11"/>
  <c r="A920" i="11"/>
  <c r="A921" i="11"/>
  <c r="A922" i="11"/>
  <c r="A923" i="11"/>
  <c r="A924" i="11"/>
  <c r="A925" i="11"/>
  <c r="A926" i="11"/>
  <c r="A927" i="11"/>
  <c r="A928" i="11"/>
  <c r="A929" i="11"/>
  <c r="A930" i="11"/>
  <c r="A931" i="11"/>
  <c r="A932" i="11"/>
  <c r="A933" i="11"/>
  <c r="A934" i="11"/>
  <c r="A935" i="11"/>
  <c r="A936" i="11"/>
  <c r="A937" i="11"/>
  <c r="A938" i="11"/>
  <c r="A939" i="11"/>
  <c r="A940" i="11"/>
  <c r="A941" i="11"/>
  <c r="A942" i="11"/>
  <c r="A943" i="11"/>
  <c r="A944" i="11"/>
  <c r="A945" i="11"/>
  <c r="A946" i="11"/>
  <c r="A947" i="11"/>
  <c r="A948" i="11"/>
  <c r="A949" i="11"/>
  <c r="A950" i="11"/>
  <c r="A951" i="11"/>
  <c r="A952" i="11"/>
  <c r="A953" i="11"/>
  <c r="A954" i="11"/>
  <c r="A955" i="11"/>
  <c r="A956" i="11"/>
  <c r="A957" i="11"/>
  <c r="A958" i="11"/>
  <c r="A959" i="11"/>
  <c r="A960" i="11"/>
  <c r="A961" i="11"/>
  <c r="A962" i="11"/>
  <c r="A963" i="11"/>
  <c r="A964" i="11"/>
  <c r="A965" i="11"/>
  <c r="A966" i="11"/>
  <c r="A967" i="11"/>
  <c r="A968" i="11"/>
  <c r="A969" i="11"/>
  <c r="A970" i="11"/>
  <c r="A971" i="11"/>
  <c r="A972" i="11"/>
  <c r="A973" i="11"/>
  <c r="A974" i="11"/>
  <c r="A975" i="11"/>
  <c r="I190" i="9" l="1"/>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W190" i="9" l="1"/>
  <c r="W191" i="9"/>
  <c r="W192" i="9"/>
  <c r="W193" i="9"/>
  <c r="W194" i="9"/>
  <c r="W195" i="9"/>
  <c r="W196" i="9"/>
  <c r="W197" i="9"/>
  <c r="W198" i="9"/>
  <c r="W199" i="9"/>
  <c r="W200" i="9"/>
  <c r="W201" i="9"/>
  <c r="W202" i="9"/>
  <c r="W203" i="9"/>
  <c r="W204" i="9"/>
  <c r="W205" i="9"/>
  <c r="W206" i="9"/>
  <c r="W207" i="9"/>
  <c r="W208" i="9"/>
  <c r="W209" i="9"/>
  <c r="W210" i="9"/>
  <c r="W211" i="9"/>
  <c r="W212" i="9"/>
  <c r="W213" i="9"/>
  <c r="W214" i="9"/>
  <c r="W215" i="9"/>
  <c r="W216" i="9"/>
  <c r="W217" i="9"/>
  <c r="W218" i="9"/>
  <c r="W219" i="9"/>
  <c r="W220" i="9"/>
  <c r="W221" i="9"/>
  <c r="W222" i="9"/>
  <c r="W223" i="9"/>
  <c r="W224" i="9"/>
  <c r="W225" i="9"/>
  <c r="W226" i="9"/>
  <c r="W227" i="9"/>
  <c r="W228" i="9"/>
  <c r="W229" i="9"/>
  <c r="W230" i="9"/>
  <c r="W231" i="9"/>
  <c r="W232" i="9"/>
  <c r="W233" i="9"/>
  <c r="W234" i="9"/>
  <c r="W235" i="9"/>
  <c r="W236" i="9"/>
  <c r="W237" i="9"/>
  <c r="W238" i="9"/>
  <c r="W239" i="9"/>
  <c r="W240" i="9"/>
  <c r="W241" i="9"/>
  <c r="W242" i="9"/>
  <c r="W243" i="9"/>
  <c r="W244" i="9"/>
  <c r="W245" i="9"/>
  <c r="W246" i="9"/>
  <c r="W247" i="9"/>
  <c r="W248" i="9"/>
  <c r="W249" i="9"/>
  <c r="W250" i="9"/>
  <c r="W251" i="9"/>
  <c r="W252" i="9"/>
  <c r="W253" i="9"/>
  <c r="W254" i="9"/>
  <c r="W255" i="9"/>
  <c r="W256" i="9"/>
  <c r="W257" i="9"/>
  <c r="W258" i="9"/>
  <c r="W259" i="9"/>
  <c r="W260" i="9"/>
  <c r="W261" i="9"/>
  <c r="W262" i="9"/>
  <c r="W263" i="9"/>
  <c r="W264" i="9"/>
  <c r="W265" i="9"/>
  <c r="W266" i="9"/>
  <c r="W267" i="9"/>
  <c r="W268" i="9"/>
  <c r="W269" i="9"/>
  <c r="W270" i="9"/>
  <c r="W271" i="9"/>
  <c r="W272" i="9"/>
  <c r="W273" i="9"/>
  <c r="W274" i="9"/>
  <c r="W275" i="9"/>
  <c r="W276" i="9"/>
  <c r="W277" i="9"/>
  <c r="W278" i="9"/>
  <c r="W279" i="9"/>
  <c r="W280" i="9"/>
  <c r="W281" i="9"/>
  <c r="W282" i="9"/>
  <c r="W283" i="9"/>
  <c r="W284" i="9"/>
  <c r="W285" i="9"/>
  <c r="W286" i="9"/>
  <c r="W287" i="9"/>
  <c r="W288" i="9"/>
  <c r="W289" i="9"/>
  <c r="W290" i="9"/>
  <c r="W291" i="9"/>
  <c r="W292" i="9"/>
  <c r="W293" i="9"/>
  <c r="W294" i="9"/>
  <c r="W295" i="9"/>
  <c r="W296" i="9"/>
  <c r="W297" i="9"/>
  <c r="W298" i="9"/>
  <c r="W299" i="9"/>
  <c r="W300" i="9"/>
  <c r="W301" i="9"/>
  <c r="W302" i="9"/>
  <c r="W303" i="9"/>
  <c r="W304" i="9"/>
  <c r="W305" i="9"/>
  <c r="W306" i="9"/>
  <c r="W307" i="9"/>
  <c r="W308" i="9"/>
  <c r="W309" i="9"/>
  <c r="W310" i="9"/>
  <c r="W311" i="9"/>
  <c r="W312" i="9"/>
  <c r="W313" i="9"/>
  <c r="W314" i="9"/>
  <c r="W315" i="9"/>
  <c r="W316" i="9"/>
  <c r="W317" i="9"/>
  <c r="W318" i="9"/>
  <c r="W319" i="9"/>
  <c r="W320" i="9"/>
  <c r="W321" i="9"/>
  <c r="W322" i="9"/>
  <c r="W323" i="9"/>
  <c r="W324" i="9"/>
  <c r="W325" i="9"/>
  <c r="W326" i="9"/>
  <c r="W327" i="9"/>
  <c r="W328" i="9"/>
  <c r="W329" i="9"/>
  <c r="W330" i="9"/>
  <c r="W331" i="9"/>
  <c r="W332" i="9"/>
  <c r="W333" i="9"/>
  <c r="W334" i="9"/>
  <c r="W335" i="9"/>
  <c r="W336" i="9"/>
  <c r="W337" i="9"/>
  <c r="W338" i="9"/>
  <c r="W339" i="9"/>
  <c r="W340" i="9"/>
  <c r="W341" i="9"/>
  <c r="W342" i="9"/>
  <c r="W343" i="9"/>
  <c r="W344" i="9"/>
  <c r="W345" i="9"/>
  <c r="W346" i="9"/>
  <c r="W347" i="9"/>
  <c r="W348" i="9"/>
  <c r="W349" i="9"/>
  <c r="W350" i="9"/>
  <c r="W351" i="9"/>
  <c r="W352" i="9"/>
  <c r="W353" i="9"/>
  <c r="W354" i="9"/>
  <c r="W355" i="9"/>
  <c r="W356" i="9"/>
  <c r="W357" i="9"/>
  <c r="W358" i="9"/>
  <c r="W359" i="9"/>
  <c r="W360" i="9"/>
  <c r="W361" i="9"/>
  <c r="W362" i="9"/>
  <c r="W363" i="9"/>
  <c r="W364" i="9"/>
  <c r="W365" i="9"/>
  <c r="W366" i="9"/>
  <c r="W367" i="9"/>
  <c r="W368" i="9"/>
  <c r="W369" i="9"/>
  <c r="W370" i="9"/>
  <c r="W371" i="9"/>
  <c r="W372" i="9"/>
  <c r="W373" i="9"/>
  <c r="W374" i="9"/>
  <c r="W375" i="9"/>
  <c r="W376" i="9"/>
  <c r="W377" i="9"/>
  <c r="W378" i="9"/>
  <c r="W379" i="9"/>
  <c r="W380" i="9"/>
  <c r="W381" i="9"/>
  <c r="W382" i="9"/>
  <c r="W383" i="9"/>
  <c r="W384" i="9"/>
  <c r="W385" i="9"/>
  <c r="W386" i="9"/>
  <c r="W387" i="9"/>
  <c r="W388" i="9"/>
  <c r="W389" i="9"/>
  <c r="W390" i="9"/>
  <c r="W391" i="9"/>
  <c r="W392" i="9"/>
  <c r="W393" i="9"/>
  <c r="W394" i="9"/>
  <c r="W395" i="9"/>
  <c r="W396" i="9"/>
  <c r="W397" i="9"/>
  <c r="W398" i="9"/>
  <c r="W399" i="9"/>
  <c r="W400" i="9"/>
  <c r="W401" i="9"/>
  <c r="W402" i="9"/>
  <c r="W403" i="9"/>
  <c r="W404" i="9"/>
  <c r="W405" i="9"/>
  <c r="W406" i="9"/>
  <c r="W407" i="9"/>
  <c r="W408" i="9"/>
  <c r="W409" i="9"/>
  <c r="W410" i="9"/>
  <c r="W411" i="9"/>
  <c r="W412" i="9"/>
  <c r="W413" i="9"/>
  <c r="W414" i="9"/>
  <c r="W415" i="9"/>
  <c r="W416" i="9"/>
  <c r="W417" i="9"/>
  <c r="W418" i="9"/>
  <c r="W419" i="9"/>
  <c r="W420" i="9"/>
  <c r="W421" i="9"/>
  <c r="W422" i="9"/>
  <c r="W423" i="9"/>
  <c r="W424" i="9"/>
  <c r="W425" i="9"/>
  <c r="W426" i="9"/>
  <c r="W427" i="9"/>
  <c r="W428" i="9"/>
  <c r="W429" i="9"/>
  <c r="W430" i="9"/>
  <c r="W431" i="9"/>
  <c r="W432" i="9"/>
  <c r="W433" i="9"/>
  <c r="W434" i="9"/>
  <c r="W435" i="9"/>
  <c r="W436" i="9"/>
  <c r="W437" i="9"/>
  <c r="W438" i="9"/>
  <c r="W439" i="9"/>
  <c r="W440" i="9"/>
  <c r="W441" i="9"/>
  <c r="W442" i="9"/>
  <c r="W443" i="9"/>
  <c r="W444" i="9"/>
  <c r="W445" i="9"/>
  <c r="W446" i="9"/>
  <c r="W447" i="9"/>
  <c r="W448" i="9"/>
  <c r="W449" i="9"/>
  <c r="W450" i="9"/>
  <c r="W451" i="9"/>
  <c r="W452" i="9"/>
  <c r="W453" i="9"/>
  <c r="W454" i="9"/>
  <c r="W455" i="9"/>
  <c r="W456" i="9"/>
  <c r="W457" i="9"/>
  <c r="W458" i="9"/>
  <c r="W459" i="9"/>
  <c r="W460" i="9"/>
  <c r="W461" i="9"/>
  <c r="W462" i="9"/>
  <c r="W463" i="9"/>
  <c r="W464" i="9"/>
  <c r="W465" i="9"/>
  <c r="W466" i="9"/>
  <c r="W467" i="9"/>
  <c r="W468" i="9"/>
  <c r="W469" i="9"/>
  <c r="W470" i="9"/>
  <c r="W471" i="9"/>
  <c r="W472" i="9"/>
  <c r="W473" i="9"/>
  <c r="W474" i="9"/>
  <c r="W475" i="9"/>
  <c r="W476" i="9"/>
  <c r="W477" i="9"/>
  <c r="W478" i="9"/>
  <c r="W479" i="9"/>
  <c r="W480" i="9"/>
  <c r="W481" i="9"/>
  <c r="W482" i="9"/>
  <c r="W483" i="9"/>
  <c r="W484" i="9"/>
  <c r="W485" i="9"/>
  <c r="W486" i="9"/>
  <c r="W487" i="9"/>
  <c r="W488" i="9"/>
  <c r="W489" i="9"/>
  <c r="W490" i="9"/>
  <c r="W491" i="9"/>
  <c r="W492" i="9"/>
  <c r="W493" i="9"/>
  <c r="W494" i="9"/>
  <c r="W495" i="9"/>
  <c r="W496" i="9"/>
  <c r="W497" i="9"/>
  <c r="W498" i="9"/>
  <c r="W499" i="9"/>
  <c r="W500" i="9"/>
  <c r="W501" i="9"/>
  <c r="W502" i="9"/>
  <c r="W503" i="9"/>
  <c r="W504" i="9"/>
  <c r="W505" i="9"/>
  <c r="W506" i="9"/>
  <c r="W507" i="9"/>
  <c r="W508" i="9"/>
  <c r="W509" i="9"/>
  <c r="W510" i="9"/>
  <c r="W511" i="9"/>
  <c r="W512" i="9"/>
  <c r="W513" i="9"/>
  <c r="W514" i="9"/>
  <c r="W515" i="9"/>
  <c r="W516" i="9"/>
  <c r="W517" i="9"/>
  <c r="W518" i="9"/>
  <c r="W519" i="9"/>
  <c r="W520" i="9"/>
  <c r="W521" i="9"/>
  <c r="W522" i="9"/>
  <c r="W523" i="9"/>
  <c r="W524" i="9"/>
  <c r="W525" i="9"/>
  <c r="W526" i="9"/>
  <c r="W527" i="9"/>
  <c r="W528" i="9"/>
  <c r="W529" i="9"/>
  <c r="W530" i="9"/>
  <c r="W531" i="9"/>
  <c r="W532" i="9"/>
  <c r="W533" i="9"/>
  <c r="W534" i="9"/>
  <c r="W535" i="9"/>
  <c r="W536" i="9"/>
  <c r="W537" i="9"/>
  <c r="W538" i="9"/>
  <c r="W539" i="9"/>
  <c r="W540" i="9"/>
  <c r="W541" i="9"/>
  <c r="W542" i="9"/>
  <c r="W543" i="9"/>
  <c r="W544" i="9"/>
  <c r="W545" i="9"/>
  <c r="W546" i="9"/>
  <c r="W547" i="9"/>
  <c r="W548" i="9"/>
  <c r="W549" i="9"/>
  <c r="W550" i="9"/>
  <c r="W551" i="9"/>
  <c r="W552" i="9"/>
  <c r="W553" i="9"/>
  <c r="W554" i="9"/>
  <c r="W555" i="9"/>
  <c r="W556" i="9"/>
  <c r="W557" i="9"/>
  <c r="W558" i="9"/>
  <c r="W559" i="9"/>
  <c r="W560" i="9"/>
  <c r="W561" i="9"/>
  <c r="W562" i="9"/>
  <c r="W563" i="9"/>
  <c r="W564" i="9"/>
  <c r="W565" i="9"/>
  <c r="W566" i="9"/>
  <c r="W567" i="9"/>
  <c r="W568" i="9"/>
  <c r="W569" i="9"/>
  <c r="W570" i="9"/>
  <c r="W571" i="9"/>
  <c r="W572" i="9"/>
  <c r="W573" i="9"/>
  <c r="W574" i="9"/>
  <c r="W575" i="9"/>
  <c r="W576" i="9"/>
  <c r="W577" i="9"/>
  <c r="W578" i="9"/>
  <c r="W579" i="9"/>
  <c r="W580" i="9"/>
  <c r="W581" i="9"/>
  <c r="W582" i="9"/>
  <c r="W583" i="9"/>
  <c r="W584" i="9"/>
  <c r="W585" i="9"/>
  <c r="W586" i="9"/>
  <c r="W587" i="9"/>
  <c r="W588" i="9"/>
  <c r="W589" i="9"/>
  <c r="W590" i="9"/>
  <c r="W591" i="9"/>
  <c r="W592" i="9"/>
  <c r="W593" i="9"/>
  <c r="W594" i="9"/>
  <c r="W595" i="9"/>
  <c r="W596" i="9"/>
  <c r="W597" i="9"/>
  <c r="W598" i="9"/>
  <c r="W599" i="9"/>
  <c r="W600" i="9"/>
  <c r="W601" i="9"/>
  <c r="W602" i="9"/>
  <c r="W603" i="9"/>
  <c r="W604" i="9"/>
  <c r="W605" i="9"/>
  <c r="W606" i="9"/>
  <c r="W607" i="9"/>
  <c r="W608" i="9"/>
  <c r="W609" i="9"/>
  <c r="W610" i="9"/>
  <c r="W611" i="9"/>
  <c r="W612" i="9"/>
  <c r="W613" i="9"/>
  <c r="W614" i="9"/>
  <c r="W615" i="9"/>
  <c r="W616" i="9"/>
  <c r="W617" i="9"/>
  <c r="W618" i="9"/>
  <c r="W619" i="9"/>
  <c r="W620" i="9"/>
  <c r="W621" i="9"/>
  <c r="W622" i="9"/>
  <c r="W623" i="9"/>
  <c r="W624" i="9"/>
  <c r="W625" i="9"/>
  <c r="W626" i="9"/>
  <c r="W627" i="9"/>
  <c r="W628" i="9"/>
  <c r="W629" i="9"/>
  <c r="W630" i="9"/>
  <c r="W631" i="9"/>
  <c r="W632" i="9"/>
  <c r="W633" i="9"/>
  <c r="W634" i="9"/>
  <c r="W635" i="9"/>
  <c r="W636" i="9"/>
  <c r="W637" i="9"/>
  <c r="W638" i="9"/>
  <c r="W639" i="9"/>
  <c r="W640" i="9"/>
  <c r="W641" i="9"/>
  <c r="W642" i="9"/>
  <c r="W643" i="9"/>
  <c r="W644" i="9"/>
  <c r="W645" i="9"/>
  <c r="W646" i="9"/>
  <c r="W647" i="9"/>
  <c r="W648" i="9"/>
  <c r="W649" i="9"/>
  <c r="W650" i="9"/>
  <c r="W651" i="9"/>
  <c r="W652" i="9"/>
  <c r="W653" i="9"/>
  <c r="W654" i="9"/>
  <c r="W655" i="9"/>
  <c r="W656" i="9"/>
  <c r="W657" i="9"/>
  <c r="W658" i="9"/>
  <c r="W659" i="9"/>
  <c r="W660" i="9"/>
  <c r="W661" i="9"/>
  <c r="W662" i="9"/>
  <c r="W663" i="9"/>
  <c r="W664" i="9"/>
  <c r="W665" i="9"/>
  <c r="W666" i="9"/>
  <c r="W667" i="9"/>
  <c r="W668" i="9"/>
  <c r="W669" i="9"/>
  <c r="W670" i="9"/>
  <c r="W671" i="9"/>
  <c r="W672" i="9"/>
  <c r="W673" i="9"/>
  <c r="W674" i="9"/>
  <c r="W675" i="9"/>
  <c r="W676" i="9"/>
  <c r="W677" i="9"/>
  <c r="W678" i="9"/>
  <c r="W679" i="9"/>
  <c r="W680" i="9"/>
  <c r="W681" i="9"/>
  <c r="W682" i="9"/>
  <c r="W683" i="9"/>
  <c r="W684" i="9"/>
  <c r="W685" i="9"/>
  <c r="W686" i="9"/>
  <c r="W687" i="9"/>
  <c r="W688" i="9"/>
  <c r="W689" i="9"/>
  <c r="W690" i="9"/>
  <c r="W691" i="9"/>
  <c r="W692" i="9"/>
  <c r="W693" i="9"/>
  <c r="W694" i="9"/>
  <c r="W695" i="9"/>
  <c r="W696" i="9"/>
  <c r="W697" i="9"/>
  <c r="W698" i="9"/>
  <c r="W699" i="9"/>
  <c r="W700" i="9"/>
  <c r="W701" i="9"/>
  <c r="W702" i="9"/>
  <c r="W703" i="9"/>
  <c r="W704" i="9"/>
  <c r="W705" i="9"/>
  <c r="W706" i="9"/>
  <c r="W707" i="9"/>
  <c r="W708" i="9"/>
  <c r="W709" i="9"/>
  <c r="W710" i="9"/>
  <c r="W711" i="9"/>
  <c r="W712" i="9"/>
  <c r="W713" i="9"/>
  <c r="W714" i="9"/>
  <c r="W715" i="9"/>
  <c r="W716" i="9"/>
  <c r="W717" i="9"/>
  <c r="W718" i="9"/>
  <c r="W719" i="9"/>
  <c r="W720" i="9"/>
  <c r="W721" i="9"/>
  <c r="W722" i="9"/>
  <c r="W723" i="9"/>
  <c r="W724" i="9"/>
  <c r="W725" i="9"/>
  <c r="W726" i="9"/>
  <c r="W727" i="9"/>
  <c r="W728" i="9"/>
  <c r="W729" i="9"/>
  <c r="W730" i="9"/>
  <c r="W731" i="9"/>
  <c r="W732" i="9"/>
  <c r="W733" i="9"/>
  <c r="W734" i="9"/>
  <c r="W735" i="9"/>
  <c r="W736" i="9"/>
  <c r="W737" i="9"/>
  <c r="W738" i="9"/>
  <c r="W739" i="9"/>
  <c r="W740" i="9"/>
  <c r="W741" i="9"/>
  <c r="W742" i="9"/>
  <c r="W743" i="9"/>
  <c r="W744" i="9"/>
  <c r="W745" i="9"/>
  <c r="W746" i="9"/>
  <c r="W747" i="9"/>
  <c r="W748" i="9"/>
  <c r="W749" i="9"/>
  <c r="W750" i="9"/>
  <c r="W751" i="9"/>
  <c r="W752" i="9"/>
  <c r="W753" i="9"/>
  <c r="W754" i="9"/>
  <c r="W755" i="9"/>
  <c r="W756" i="9"/>
  <c r="W757" i="9"/>
  <c r="W758" i="9"/>
  <c r="W759" i="9"/>
  <c r="W760" i="9"/>
  <c r="W761" i="9"/>
  <c r="W762" i="9"/>
  <c r="W763" i="9"/>
  <c r="W764" i="9"/>
  <c r="W765" i="9"/>
  <c r="W766" i="9"/>
  <c r="W767" i="9"/>
  <c r="W768" i="9"/>
  <c r="W769" i="9"/>
  <c r="W770" i="9"/>
  <c r="W771" i="9"/>
  <c r="W772" i="9"/>
  <c r="W773" i="9"/>
  <c r="W774" i="9"/>
  <c r="W775" i="9"/>
  <c r="W776" i="9"/>
  <c r="W777" i="9"/>
  <c r="W778" i="9"/>
  <c r="W779" i="9"/>
  <c r="W780" i="9"/>
  <c r="W781" i="9"/>
  <c r="W782" i="9"/>
  <c r="W783" i="9"/>
  <c r="W784" i="9"/>
  <c r="W785" i="9"/>
  <c r="W786" i="9"/>
  <c r="W787" i="9"/>
  <c r="W788" i="9"/>
  <c r="W789" i="9"/>
  <c r="W790" i="9"/>
  <c r="W791" i="9"/>
  <c r="W792" i="9"/>
  <c r="W793" i="9"/>
  <c r="W794" i="9"/>
  <c r="W795" i="9"/>
  <c r="W796" i="9"/>
  <c r="W797" i="9"/>
  <c r="W798" i="9"/>
  <c r="W799" i="9"/>
  <c r="W800" i="9"/>
  <c r="W801" i="9"/>
  <c r="W802" i="9"/>
  <c r="W803" i="9"/>
  <c r="W804" i="9"/>
  <c r="W805" i="9"/>
  <c r="W806" i="9"/>
  <c r="W807" i="9"/>
  <c r="W808" i="9"/>
  <c r="W809" i="9"/>
  <c r="W810" i="9"/>
  <c r="W811" i="9"/>
  <c r="W812" i="9"/>
  <c r="W813" i="9"/>
  <c r="W814" i="9"/>
  <c r="W815" i="9"/>
  <c r="W816" i="9"/>
  <c r="W817" i="9"/>
  <c r="W818" i="9"/>
  <c r="W819" i="9"/>
  <c r="W820" i="9"/>
  <c r="W821" i="9"/>
  <c r="W822" i="9"/>
  <c r="W823" i="9"/>
  <c r="W824" i="9"/>
  <c r="W825" i="9"/>
  <c r="W826" i="9"/>
  <c r="W827" i="9"/>
  <c r="W828" i="9"/>
  <c r="W829" i="9"/>
  <c r="W830" i="9"/>
  <c r="W831" i="9"/>
  <c r="W832" i="9"/>
  <c r="W833" i="9"/>
  <c r="W834" i="9"/>
  <c r="W835" i="9"/>
  <c r="W836" i="9"/>
  <c r="W837" i="9"/>
  <c r="W838" i="9"/>
  <c r="W839" i="9"/>
  <c r="W840" i="9"/>
  <c r="W841" i="9"/>
  <c r="W842" i="9"/>
  <c r="W843" i="9"/>
  <c r="W844" i="9"/>
  <c r="W845" i="9"/>
  <c r="W846" i="9"/>
  <c r="W847" i="9"/>
  <c r="W848" i="9"/>
  <c r="W849" i="9"/>
  <c r="W850" i="9"/>
  <c r="W851" i="9"/>
  <c r="W852" i="9"/>
  <c r="W853" i="9"/>
  <c r="W854" i="9"/>
  <c r="W855" i="9"/>
  <c r="W856" i="9"/>
  <c r="W857" i="9"/>
  <c r="W858" i="9"/>
  <c r="W859" i="9"/>
  <c r="W860" i="9"/>
  <c r="W861" i="9"/>
  <c r="W862" i="9"/>
  <c r="W863" i="9"/>
  <c r="W864" i="9"/>
  <c r="W865" i="9"/>
  <c r="W866" i="9"/>
  <c r="W867" i="9"/>
  <c r="W868" i="9"/>
  <c r="W869" i="9"/>
  <c r="W870" i="9"/>
  <c r="W871" i="9"/>
  <c r="W872" i="9"/>
  <c r="W873" i="9"/>
  <c r="W874" i="9"/>
  <c r="W875" i="9"/>
  <c r="W876" i="9"/>
  <c r="W877" i="9"/>
  <c r="W878" i="9"/>
  <c r="W879" i="9"/>
  <c r="W880" i="9"/>
  <c r="W881" i="9"/>
  <c r="W882" i="9"/>
  <c r="W883" i="9"/>
  <c r="W884" i="9"/>
  <c r="W885" i="9"/>
  <c r="W886" i="9"/>
  <c r="W887" i="9"/>
  <c r="W888" i="9"/>
  <c r="W889" i="9"/>
  <c r="W890" i="9"/>
  <c r="W891" i="9"/>
  <c r="W892" i="9"/>
  <c r="W893" i="9"/>
  <c r="W894" i="9"/>
  <c r="W895" i="9"/>
  <c r="W896" i="9"/>
  <c r="W897" i="9"/>
  <c r="W898" i="9"/>
  <c r="W899" i="9"/>
  <c r="W900" i="9"/>
  <c r="W901" i="9"/>
  <c r="W902" i="9"/>
  <c r="W903" i="9"/>
  <c r="W904" i="9"/>
  <c r="W905" i="9"/>
  <c r="W906" i="9"/>
  <c r="W907" i="9"/>
  <c r="W908" i="9"/>
  <c r="W909" i="9"/>
  <c r="W910" i="9"/>
  <c r="W911" i="9"/>
  <c r="W912" i="9"/>
  <c r="W913" i="9"/>
  <c r="W914" i="9"/>
  <c r="W915" i="9"/>
  <c r="W916" i="9"/>
  <c r="W917" i="9"/>
  <c r="W918" i="9"/>
  <c r="W919" i="9"/>
  <c r="W920" i="9"/>
  <c r="W921" i="9"/>
  <c r="W922" i="9"/>
  <c r="W923" i="9"/>
  <c r="W924" i="9"/>
  <c r="W925" i="9"/>
  <c r="W926" i="9"/>
  <c r="W927" i="9"/>
  <c r="W928" i="9"/>
  <c r="W929" i="9"/>
  <c r="W930" i="9"/>
  <c r="W931" i="9"/>
  <c r="W932" i="9"/>
  <c r="W933" i="9"/>
  <c r="W934" i="9"/>
  <c r="W935" i="9"/>
  <c r="W936" i="9"/>
  <c r="W937" i="9"/>
  <c r="W938" i="9"/>
  <c r="W939" i="9"/>
  <c r="W940" i="9"/>
  <c r="W941" i="9"/>
  <c r="W942" i="9"/>
  <c r="W943" i="9"/>
  <c r="W944" i="9"/>
  <c r="W945" i="9"/>
  <c r="W946" i="9"/>
  <c r="W947" i="9"/>
  <c r="W948" i="9"/>
  <c r="W949" i="9"/>
  <c r="W950" i="9"/>
  <c r="W951" i="9"/>
  <c r="W952" i="9"/>
  <c r="W953" i="9"/>
  <c r="W954" i="9"/>
  <c r="W955" i="9"/>
  <c r="W956" i="9"/>
  <c r="W957" i="9"/>
  <c r="W958" i="9"/>
  <c r="W959" i="9"/>
  <c r="W960" i="9"/>
  <c r="W961" i="9"/>
  <c r="W962" i="9"/>
  <c r="W963" i="9"/>
  <c r="W964" i="9"/>
  <c r="W965" i="9"/>
  <c r="W966" i="9"/>
  <c r="W967" i="9"/>
  <c r="W968" i="9"/>
  <c r="W969" i="9"/>
  <c r="W970" i="9"/>
  <c r="W971" i="9"/>
  <c r="W972" i="9"/>
  <c r="W973" i="9"/>
  <c r="W974" i="9"/>
  <c r="W975" i="9"/>
  <c r="W976" i="9"/>
  <c r="W977" i="9"/>
  <c r="AM190" i="9" l="1"/>
  <c r="AN190" i="9"/>
  <c r="AO190" i="9"/>
  <c r="AP190" i="9"/>
  <c r="AQ190" i="9"/>
  <c r="AR190" i="9"/>
  <c r="AS190" i="9"/>
  <c r="AT190" i="9"/>
  <c r="AW190" i="9"/>
  <c r="AX190" i="9"/>
  <c r="AY190" i="9"/>
  <c r="AZ190" i="9"/>
  <c r="BA190" i="9"/>
  <c r="BB190" i="9"/>
  <c r="BC190" i="9"/>
  <c r="AM191" i="9"/>
  <c r="AN191" i="9"/>
  <c r="AO191" i="9"/>
  <c r="AP191" i="9"/>
  <c r="AQ191" i="9"/>
  <c r="AR191" i="9"/>
  <c r="AS191" i="9"/>
  <c r="AT191" i="9"/>
  <c r="AW191" i="9"/>
  <c r="AX191" i="9"/>
  <c r="AY191" i="9"/>
  <c r="AZ191" i="9"/>
  <c r="BA191" i="9"/>
  <c r="BB191" i="9"/>
  <c r="BC191" i="9"/>
  <c r="AM192" i="9"/>
  <c r="AN192" i="9"/>
  <c r="AO192" i="9"/>
  <c r="AP192" i="9"/>
  <c r="AQ192" i="9"/>
  <c r="AR192" i="9"/>
  <c r="AS192" i="9"/>
  <c r="AT192" i="9"/>
  <c r="AW192" i="9"/>
  <c r="AX192" i="9"/>
  <c r="AY192" i="9"/>
  <c r="AZ192" i="9"/>
  <c r="BA192" i="9"/>
  <c r="BB192" i="9"/>
  <c r="BC192" i="9"/>
  <c r="AM193" i="9"/>
  <c r="AN193" i="9"/>
  <c r="AO193" i="9"/>
  <c r="AP193" i="9"/>
  <c r="AQ193" i="9"/>
  <c r="AR193" i="9"/>
  <c r="AS193" i="9"/>
  <c r="AT193" i="9"/>
  <c r="AW193" i="9"/>
  <c r="AX193" i="9"/>
  <c r="AY193" i="9"/>
  <c r="AZ193" i="9"/>
  <c r="BA193" i="9"/>
  <c r="BB193" i="9"/>
  <c r="BC193" i="9"/>
  <c r="AM194" i="9"/>
  <c r="AN194" i="9"/>
  <c r="AO194" i="9"/>
  <c r="AP194" i="9"/>
  <c r="AQ194" i="9"/>
  <c r="AR194" i="9"/>
  <c r="AS194" i="9"/>
  <c r="AT194" i="9"/>
  <c r="AW194" i="9"/>
  <c r="AX194" i="9"/>
  <c r="AY194" i="9"/>
  <c r="AZ194" i="9"/>
  <c r="BA194" i="9"/>
  <c r="BB194" i="9"/>
  <c r="BC194" i="9"/>
  <c r="AM195" i="9"/>
  <c r="AN195" i="9"/>
  <c r="AO195" i="9"/>
  <c r="AP195" i="9"/>
  <c r="AQ195" i="9"/>
  <c r="AR195" i="9"/>
  <c r="AS195" i="9"/>
  <c r="AT195" i="9"/>
  <c r="AW195" i="9"/>
  <c r="AX195" i="9"/>
  <c r="AY195" i="9"/>
  <c r="AZ195" i="9"/>
  <c r="BA195" i="9"/>
  <c r="BB195" i="9"/>
  <c r="BC195" i="9"/>
  <c r="AM196" i="9"/>
  <c r="AN196" i="9"/>
  <c r="AO196" i="9"/>
  <c r="AP196" i="9"/>
  <c r="AQ196" i="9"/>
  <c r="AR196" i="9"/>
  <c r="AS196" i="9"/>
  <c r="AT196" i="9"/>
  <c r="AW196" i="9"/>
  <c r="AX196" i="9"/>
  <c r="AY196" i="9"/>
  <c r="AZ196" i="9"/>
  <c r="BA196" i="9"/>
  <c r="BB196" i="9"/>
  <c r="BC196" i="9"/>
  <c r="AM197" i="9"/>
  <c r="AN197" i="9"/>
  <c r="AO197" i="9"/>
  <c r="AP197" i="9"/>
  <c r="AQ197" i="9"/>
  <c r="AR197" i="9"/>
  <c r="AS197" i="9"/>
  <c r="AT197" i="9"/>
  <c r="AW197" i="9"/>
  <c r="AX197" i="9"/>
  <c r="AY197" i="9"/>
  <c r="AZ197" i="9"/>
  <c r="BA197" i="9"/>
  <c r="BB197" i="9"/>
  <c r="BC197" i="9"/>
  <c r="AM198" i="9"/>
  <c r="AN198" i="9"/>
  <c r="AO198" i="9"/>
  <c r="AP198" i="9"/>
  <c r="AQ198" i="9"/>
  <c r="AR198" i="9"/>
  <c r="AS198" i="9"/>
  <c r="AT198" i="9"/>
  <c r="AW198" i="9"/>
  <c r="AX198" i="9"/>
  <c r="AY198" i="9"/>
  <c r="AZ198" i="9"/>
  <c r="BA198" i="9"/>
  <c r="BB198" i="9"/>
  <c r="BC198" i="9"/>
  <c r="AM199" i="9"/>
  <c r="AN199" i="9"/>
  <c r="AO199" i="9"/>
  <c r="AP199" i="9"/>
  <c r="AQ199" i="9"/>
  <c r="AR199" i="9"/>
  <c r="AS199" i="9"/>
  <c r="AT199" i="9"/>
  <c r="AW199" i="9"/>
  <c r="AX199" i="9"/>
  <c r="AY199" i="9"/>
  <c r="AZ199" i="9"/>
  <c r="BA199" i="9"/>
  <c r="BB199" i="9"/>
  <c r="BC199" i="9"/>
  <c r="AM200" i="9"/>
  <c r="AN200" i="9"/>
  <c r="AO200" i="9"/>
  <c r="AP200" i="9"/>
  <c r="AQ200" i="9"/>
  <c r="AR200" i="9"/>
  <c r="AS200" i="9"/>
  <c r="AT200" i="9"/>
  <c r="AW200" i="9"/>
  <c r="AX200" i="9"/>
  <c r="AY200" i="9"/>
  <c r="AZ200" i="9"/>
  <c r="BA200" i="9"/>
  <c r="BB200" i="9"/>
  <c r="BC200" i="9"/>
  <c r="AM201" i="9"/>
  <c r="AN201" i="9"/>
  <c r="AO201" i="9"/>
  <c r="AP201" i="9"/>
  <c r="AQ201" i="9"/>
  <c r="AR201" i="9"/>
  <c r="AS201" i="9"/>
  <c r="AT201" i="9"/>
  <c r="AW201" i="9"/>
  <c r="AX201" i="9"/>
  <c r="AY201" i="9"/>
  <c r="AZ201" i="9"/>
  <c r="BA201" i="9"/>
  <c r="BB201" i="9"/>
  <c r="BC201" i="9"/>
  <c r="AM202" i="9"/>
  <c r="AN202" i="9"/>
  <c r="AO202" i="9"/>
  <c r="AP202" i="9"/>
  <c r="AQ202" i="9"/>
  <c r="AR202" i="9"/>
  <c r="AS202" i="9"/>
  <c r="AT202" i="9"/>
  <c r="AW202" i="9"/>
  <c r="AX202" i="9"/>
  <c r="AY202" i="9"/>
  <c r="AZ202" i="9"/>
  <c r="BA202" i="9"/>
  <c r="BB202" i="9"/>
  <c r="BC202" i="9"/>
  <c r="AM203" i="9"/>
  <c r="AN203" i="9"/>
  <c r="AO203" i="9"/>
  <c r="AP203" i="9"/>
  <c r="AQ203" i="9"/>
  <c r="AR203" i="9"/>
  <c r="AS203" i="9"/>
  <c r="AT203" i="9"/>
  <c r="AW203" i="9"/>
  <c r="AX203" i="9"/>
  <c r="AY203" i="9"/>
  <c r="AZ203" i="9"/>
  <c r="BA203" i="9"/>
  <c r="BB203" i="9"/>
  <c r="BC203" i="9"/>
  <c r="AM204" i="9"/>
  <c r="AN204" i="9"/>
  <c r="AO204" i="9"/>
  <c r="AP204" i="9"/>
  <c r="AQ204" i="9"/>
  <c r="AR204" i="9"/>
  <c r="AS204" i="9"/>
  <c r="AT204" i="9"/>
  <c r="AW204" i="9"/>
  <c r="AX204" i="9"/>
  <c r="AY204" i="9"/>
  <c r="AZ204" i="9"/>
  <c r="BA204" i="9"/>
  <c r="BB204" i="9"/>
  <c r="BC204" i="9"/>
  <c r="AM205" i="9"/>
  <c r="AN205" i="9"/>
  <c r="AO205" i="9"/>
  <c r="AP205" i="9"/>
  <c r="AQ205" i="9"/>
  <c r="AR205" i="9"/>
  <c r="AS205" i="9"/>
  <c r="AT205" i="9"/>
  <c r="AW205" i="9"/>
  <c r="AX205" i="9"/>
  <c r="AY205" i="9"/>
  <c r="AZ205" i="9"/>
  <c r="BA205" i="9"/>
  <c r="BB205" i="9"/>
  <c r="BC205" i="9"/>
  <c r="AM206" i="9"/>
  <c r="AN206" i="9"/>
  <c r="AO206" i="9"/>
  <c r="AP206" i="9"/>
  <c r="AQ206" i="9"/>
  <c r="AR206" i="9"/>
  <c r="AS206" i="9"/>
  <c r="AT206" i="9"/>
  <c r="AW206" i="9"/>
  <c r="AX206" i="9"/>
  <c r="AY206" i="9"/>
  <c r="AZ206" i="9"/>
  <c r="BA206" i="9"/>
  <c r="BB206" i="9"/>
  <c r="BC206" i="9"/>
  <c r="AM207" i="9"/>
  <c r="AN207" i="9"/>
  <c r="AO207" i="9"/>
  <c r="AP207" i="9"/>
  <c r="AQ207" i="9"/>
  <c r="AR207" i="9"/>
  <c r="AS207" i="9"/>
  <c r="AT207" i="9"/>
  <c r="AW207" i="9"/>
  <c r="AX207" i="9"/>
  <c r="AY207" i="9"/>
  <c r="AZ207" i="9"/>
  <c r="BA207" i="9"/>
  <c r="BB207" i="9"/>
  <c r="BC207" i="9"/>
  <c r="AM208" i="9"/>
  <c r="AN208" i="9"/>
  <c r="AO208" i="9"/>
  <c r="AP208" i="9"/>
  <c r="AQ208" i="9"/>
  <c r="AR208" i="9"/>
  <c r="AS208" i="9"/>
  <c r="AT208" i="9"/>
  <c r="AW208" i="9"/>
  <c r="AX208" i="9"/>
  <c r="AY208" i="9"/>
  <c r="AZ208" i="9"/>
  <c r="BA208" i="9"/>
  <c r="BB208" i="9"/>
  <c r="BC208" i="9"/>
  <c r="AM209" i="9"/>
  <c r="AN209" i="9"/>
  <c r="AO209" i="9"/>
  <c r="AP209" i="9"/>
  <c r="AQ209" i="9"/>
  <c r="AR209" i="9"/>
  <c r="AS209" i="9"/>
  <c r="AT209" i="9"/>
  <c r="AW209" i="9"/>
  <c r="AX209" i="9"/>
  <c r="AY209" i="9"/>
  <c r="AZ209" i="9"/>
  <c r="BA209" i="9"/>
  <c r="BB209" i="9"/>
  <c r="BC209" i="9"/>
  <c r="AM210" i="9"/>
  <c r="AN210" i="9"/>
  <c r="AO210" i="9"/>
  <c r="AP210" i="9"/>
  <c r="AQ210" i="9"/>
  <c r="AR210" i="9"/>
  <c r="AS210" i="9"/>
  <c r="AT210" i="9"/>
  <c r="AW210" i="9"/>
  <c r="AX210" i="9"/>
  <c r="AY210" i="9"/>
  <c r="AZ210" i="9"/>
  <c r="BA210" i="9"/>
  <c r="BB210" i="9"/>
  <c r="BC210" i="9"/>
  <c r="AM211" i="9"/>
  <c r="AN211" i="9"/>
  <c r="AO211" i="9"/>
  <c r="AP211" i="9"/>
  <c r="AQ211" i="9"/>
  <c r="AR211" i="9"/>
  <c r="AS211" i="9"/>
  <c r="AT211" i="9"/>
  <c r="AW211" i="9"/>
  <c r="AX211" i="9"/>
  <c r="AY211" i="9"/>
  <c r="AZ211" i="9"/>
  <c r="BA211" i="9"/>
  <c r="BB211" i="9"/>
  <c r="BC211" i="9"/>
  <c r="AM212" i="9"/>
  <c r="AN212" i="9"/>
  <c r="AO212" i="9"/>
  <c r="AP212" i="9"/>
  <c r="AQ212" i="9"/>
  <c r="AR212" i="9"/>
  <c r="AS212" i="9"/>
  <c r="AT212" i="9"/>
  <c r="AW212" i="9"/>
  <c r="AX212" i="9"/>
  <c r="AY212" i="9"/>
  <c r="AZ212" i="9"/>
  <c r="BA212" i="9"/>
  <c r="BB212" i="9"/>
  <c r="BC212" i="9"/>
  <c r="AM213" i="9"/>
  <c r="AN213" i="9"/>
  <c r="AO213" i="9"/>
  <c r="AP213" i="9"/>
  <c r="AQ213" i="9"/>
  <c r="AR213" i="9"/>
  <c r="AS213" i="9"/>
  <c r="AT213" i="9"/>
  <c r="AW213" i="9"/>
  <c r="AX213" i="9"/>
  <c r="AY213" i="9"/>
  <c r="AZ213" i="9"/>
  <c r="BA213" i="9"/>
  <c r="BB213" i="9"/>
  <c r="BC213" i="9"/>
  <c r="AM214" i="9"/>
  <c r="AN214" i="9"/>
  <c r="AO214" i="9"/>
  <c r="AP214" i="9"/>
  <c r="AQ214" i="9"/>
  <c r="AR214" i="9"/>
  <c r="AS214" i="9"/>
  <c r="AT214" i="9"/>
  <c r="AW214" i="9"/>
  <c r="AX214" i="9"/>
  <c r="AY214" i="9"/>
  <c r="AZ214" i="9"/>
  <c r="BA214" i="9"/>
  <c r="BB214" i="9"/>
  <c r="BC214" i="9"/>
  <c r="AM215" i="9"/>
  <c r="AN215" i="9"/>
  <c r="AO215" i="9"/>
  <c r="AP215" i="9"/>
  <c r="AQ215" i="9"/>
  <c r="AR215" i="9"/>
  <c r="AS215" i="9"/>
  <c r="AT215" i="9"/>
  <c r="AW215" i="9"/>
  <c r="AX215" i="9"/>
  <c r="AY215" i="9"/>
  <c r="AZ215" i="9"/>
  <c r="BA215" i="9"/>
  <c r="BB215" i="9"/>
  <c r="BC215" i="9"/>
  <c r="AM216" i="9"/>
  <c r="AN216" i="9"/>
  <c r="AO216" i="9"/>
  <c r="AP216" i="9"/>
  <c r="AQ216" i="9"/>
  <c r="AR216" i="9"/>
  <c r="AS216" i="9"/>
  <c r="AT216" i="9"/>
  <c r="AW216" i="9"/>
  <c r="AX216" i="9"/>
  <c r="AY216" i="9"/>
  <c r="AZ216" i="9"/>
  <c r="BA216" i="9"/>
  <c r="BB216" i="9"/>
  <c r="BC216" i="9"/>
  <c r="AM217" i="9"/>
  <c r="AN217" i="9"/>
  <c r="AO217" i="9"/>
  <c r="AP217" i="9"/>
  <c r="AQ217" i="9"/>
  <c r="AR217" i="9"/>
  <c r="AS217" i="9"/>
  <c r="AT217" i="9"/>
  <c r="AW217" i="9"/>
  <c r="AX217" i="9"/>
  <c r="AY217" i="9"/>
  <c r="AZ217" i="9"/>
  <c r="BA217" i="9"/>
  <c r="BB217" i="9"/>
  <c r="BC217" i="9"/>
  <c r="AM218" i="9"/>
  <c r="AN218" i="9"/>
  <c r="AO218" i="9"/>
  <c r="AP218" i="9"/>
  <c r="AQ218" i="9"/>
  <c r="AR218" i="9"/>
  <c r="AS218" i="9"/>
  <c r="AT218" i="9"/>
  <c r="AW218" i="9"/>
  <c r="AX218" i="9"/>
  <c r="AY218" i="9"/>
  <c r="AZ218" i="9"/>
  <c r="BA218" i="9"/>
  <c r="BB218" i="9"/>
  <c r="BC218" i="9"/>
  <c r="AM219" i="9"/>
  <c r="AN219" i="9"/>
  <c r="AO219" i="9"/>
  <c r="AP219" i="9"/>
  <c r="AQ219" i="9"/>
  <c r="AR219" i="9"/>
  <c r="AS219" i="9"/>
  <c r="AT219" i="9"/>
  <c r="AW219" i="9"/>
  <c r="AX219" i="9"/>
  <c r="AY219" i="9"/>
  <c r="AZ219" i="9"/>
  <c r="BA219" i="9"/>
  <c r="BB219" i="9"/>
  <c r="BC219" i="9"/>
  <c r="AM220" i="9"/>
  <c r="AN220" i="9"/>
  <c r="AO220" i="9"/>
  <c r="AP220" i="9"/>
  <c r="AQ220" i="9"/>
  <c r="AR220" i="9"/>
  <c r="AS220" i="9"/>
  <c r="AT220" i="9"/>
  <c r="AW220" i="9"/>
  <c r="AX220" i="9"/>
  <c r="AY220" i="9"/>
  <c r="AZ220" i="9"/>
  <c r="BA220" i="9"/>
  <c r="BB220" i="9"/>
  <c r="BC220" i="9"/>
  <c r="AM221" i="9"/>
  <c r="AN221" i="9"/>
  <c r="AO221" i="9"/>
  <c r="AP221" i="9"/>
  <c r="AQ221" i="9"/>
  <c r="AR221" i="9"/>
  <c r="AS221" i="9"/>
  <c r="AT221" i="9"/>
  <c r="AW221" i="9"/>
  <c r="AX221" i="9"/>
  <c r="AY221" i="9"/>
  <c r="AZ221" i="9"/>
  <c r="BA221" i="9"/>
  <c r="BB221" i="9"/>
  <c r="BC221" i="9"/>
  <c r="AM222" i="9"/>
  <c r="AN222" i="9"/>
  <c r="AO222" i="9"/>
  <c r="AP222" i="9"/>
  <c r="AQ222" i="9"/>
  <c r="AR222" i="9"/>
  <c r="AS222" i="9"/>
  <c r="AT222" i="9"/>
  <c r="AW222" i="9"/>
  <c r="AX222" i="9"/>
  <c r="AY222" i="9"/>
  <c r="AZ222" i="9"/>
  <c r="BA222" i="9"/>
  <c r="BB222" i="9"/>
  <c r="BC222" i="9"/>
  <c r="AM223" i="9"/>
  <c r="AN223" i="9"/>
  <c r="AO223" i="9"/>
  <c r="AP223" i="9"/>
  <c r="AQ223" i="9"/>
  <c r="AR223" i="9"/>
  <c r="AS223" i="9"/>
  <c r="AT223" i="9"/>
  <c r="AW223" i="9"/>
  <c r="AX223" i="9"/>
  <c r="AY223" i="9"/>
  <c r="AZ223" i="9"/>
  <c r="BA223" i="9"/>
  <c r="BB223" i="9"/>
  <c r="BC223" i="9"/>
  <c r="AM224" i="9"/>
  <c r="AN224" i="9"/>
  <c r="AO224" i="9"/>
  <c r="AP224" i="9"/>
  <c r="AQ224" i="9"/>
  <c r="AR224" i="9"/>
  <c r="AS224" i="9"/>
  <c r="AT224" i="9"/>
  <c r="AW224" i="9"/>
  <c r="AX224" i="9"/>
  <c r="AY224" i="9"/>
  <c r="AZ224" i="9"/>
  <c r="BA224" i="9"/>
  <c r="BB224" i="9"/>
  <c r="BC224" i="9"/>
  <c r="AM225" i="9"/>
  <c r="AN225" i="9"/>
  <c r="AO225" i="9"/>
  <c r="AP225" i="9"/>
  <c r="AQ225" i="9"/>
  <c r="AR225" i="9"/>
  <c r="AS225" i="9"/>
  <c r="AT225" i="9"/>
  <c r="AW225" i="9"/>
  <c r="AX225" i="9"/>
  <c r="AY225" i="9"/>
  <c r="AZ225" i="9"/>
  <c r="BA225" i="9"/>
  <c r="BB225" i="9"/>
  <c r="BC225" i="9"/>
  <c r="AM226" i="9"/>
  <c r="AN226" i="9"/>
  <c r="AO226" i="9"/>
  <c r="AP226" i="9"/>
  <c r="AQ226" i="9"/>
  <c r="AR226" i="9"/>
  <c r="AS226" i="9"/>
  <c r="AT226" i="9"/>
  <c r="AW226" i="9"/>
  <c r="AX226" i="9"/>
  <c r="AY226" i="9"/>
  <c r="AZ226" i="9"/>
  <c r="BA226" i="9"/>
  <c r="BB226" i="9"/>
  <c r="BC226" i="9"/>
  <c r="AM227" i="9"/>
  <c r="AN227" i="9"/>
  <c r="AO227" i="9"/>
  <c r="AP227" i="9"/>
  <c r="AQ227" i="9"/>
  <c r="AR227" i="9"/>
  <c r="AS227" i="9"/>
  <c r="AT227" i="9"/>
  <c r="AW227" i="9"/>
  <c r="AX227" i="9"/>
  <c r="AY227" i="9"/>
  <c r="AZ227" i="9"/>
  <c r="BA227" i="9"/>
  <c r="BB227" i="9"/>
  <c r="BC227" i="9"/>
  <c r="AM228" i="9"/>
  <c r="AN228" i="9"/>
  <c r="AO228" i="9"/>
  <c r="AP228" i="9"/>
  <c r="AQ228" i="9"/>
  <c r="AR228" i="9"/>
  <c r="AS228" i="9"/>
  <c r="AT228" i="9"/>
  <c r="AW228" i="9"/>
  <c r="AX228" i="9"/>
  <c r="AY228" i="9"/>
  <c r="AZ228" i="9"/>
  <c r="BA228" i="9"/>
  <c r="BB228" i="9"/>
  <c r="BC228" i="9"/>
  <c r="AM229" i="9"/>
  <c r="AN229" i="9"/>
  <c r="AO229" i="9"/>
  <c r="AP229" i="9"/>
  <c r="AQ229" i="9"/>
  <c r="AR229" i="9"/>
  <c r="AS229" i="9"/>
  <c r="AT229" i="9"/>
  <c r="AW229" i="9"/>
  <c r="AX229" i="9"/>
  <c r="AY229" i="9"/>
  <c r="AZ229" i="9"/>
  <c r="BA229" i="9"/>
  <c r="BB229" i="9"/>
  <c r="BC229" i="9"/>
  <c r="AM230" i="9"/>
  <c r="AN230" i="9"/>
  <c r="AO230" i="9"/>
  <c r="AP230" i="9"/>
  <c r="AQ230" i="9"/>
  <c r="AR230" i="9"/>
  <c r="AS230" i="9"/>
  <c r="AT230" i="9"/>
  <c r="AW230" i="9"/>
  <c r="AX230" i="9"/>
  <c r="AY230" i="9"/>
  <c r="AZ230" i="9"/>
  <c r="BA230" i="9"/>
  <c r="BB230" i="9"/>
  <c r="BC230" i="9"/>
  <c r="AM231" i="9"/>
  <c r="AN231" i="9"/>
  <c r="AO231" i="9"/>
  <c r="AP231" i="9"/>
  <c r="AQ231" i="9"/>
  <c r="AR231" i="9"/>
  <c r="AS231" i="9"/>
  <c r="AT231" i="9"/>
  <c r="AW231" i="9"/>
  <c r="AX231" i="9"/>
  <c r="AY231" i="9"/>
  <c r="AZ231" i="9"/>
  <c r="BA231" i="9"/>
  <c r="BB231" i="9"/>
  <c r="BC231" i="9"/>
  <c r="AM232" i="9"/>
  <c r="AN232" i="9"/>
  <c r="AO232" i="9"/>
  <c r="AP232" i="9"/>
  <c r="AQ232" i="9"/>
  <c r="AR232" i="9"/>
  <c r="AS232" i="9"/>
  <c r="AT232" i="9"/>
  <c r="AW232" i="9"/>
  <c r="AX232" i="9"/>
  <c r="AY232" i="9"/>
  <c r="AZ232" i="9"/>
  <c r="BA232" i="9"/>
  <c r="BB232" i="9"/>
  <c r="BC232" i="9"/>
  <c r="AM233" i="9"/>
  <c r="AN233" i="9"/>
  <c r="AO233" i="9"/>
  <c r="AP233" i="9"/>
  <c r="AQ233" i="9"/>
  <c r="AR233" i="9"/>
  <c r="AS233" i="9"/>
  <c r="AT233" i="9"/>
  <c r="AW233" i="9"/>
  <c r="AX233" i="9"/>
  <c r="AY233" i="9"/>
  <c r="AZ233" i="9"/>
  <c r="BA233" i="9"/>
  <c r="BB233" i="9"/>
  <c r="BC233" i="9"/>
  <c r="AM234" i="9"/>
  <c r="AN234" i="9"/>
  <c r="AO234" i="9"/>
  <c r="AP234" i="9"/>
  <c r="AQ234" i="9"/>
  <c r="AR234" i="9"/>
  <c r="AS234" i="9"/>
  <c r="AT234" i="9"/>
  <c r="AW234" i="9"/>
  <c r="AX234" i="9"/>
  <c r="AY234" i="9"/>
  <c r="AZ234" i="9"/>
  <c r="BA234" i="9"/>
  <c r="BB234" i="9"/>
  <c r="BC234" i="9"/>
  <c r="AM235" i="9"/>
  <c r="AN235" i="9"/>
  <c r="AO235" i="9"/>
  <c r="AP235" i="9"/>
  <c r="AQ235" i="9"/>
  <c r="AR235" i="9"/>
  <c r="AS235" i="9"/>
  <c r="AT235" i="9"/>
  <c r="AW235" i="9"/>
  <c r="AX235" i="9"/>
  <c r="AY235" i="9"/>
  <c r="AZ235" i="9"/>
  <c r="BA235" i="9"/>
  <c r="BB235" i="9"/>
  <c r="BC235" i="9"/>
  <c r="AM236" i="9"/>
  <c r="AN236" i="9"/>
  <c r="AO236" i="9"/>
  <c r="AP236" i="9"/>
  <c r="AQ236" i="9"/>
  <c r="AR236" i="9"/>
  <c r="AS236" i="9"/>
  <c r="AT236" i="9"/>
  <c r="AW236" i="9"/>
  <c r="AX236" i="9"/>
  <c r="AY236" i="9"/>
  <c r="AZ236" i="9"/>
  <c r="BA236" i="9"/>
  <c r="BB236" i="9"/>
  <c r="BC236" i="9"/>
  <c r="AM237" i="9"/>
  <c r="AN237" i="9"/>
  <c r="AO237" i="9"/>
  <c r="AP237" i="9"/>
  <c r="AQ237" i="9"/>
  <c r="AR237" i="9"/>
  <c r="AS237" i="9"/>
  <c r="AT237" i="9"/>
  <c r="AW237" i="9"/>
  <c r="AX237" i="9"/>
  <c r="AY237" i="9"/>
  <c r="AZ237" i="9"/>
  <c r="BA237" i="9"/>
  <c r="BB237" i="9"/>
  <c r="BC237" i="9"/>
  <c r="AM238" i="9"/>
  <c r="AN238" i="9"/>
  <c r="AO238" i="9"/>
  <c r="AP238" i="9"/>
  <c r="AQ238" i="9"/>
  <c r="AR238" i="9"/>
  <c r="AS238" i="9"/>
  <c r="AT238" i="9"/>
  <c r="AW238" i="9"/>
  <c r="AX238" i="9"/>
  <c r="AY238" i="9"/>
  <c r="AZ238" i="9"/>
  <c r="BA238" i="9"/>
  <c r="BB238" i="9"/>
  <c r="BC238" i="9"/>
  <c r="AM239" i="9"/>
  <c r="AN239" i="9"/>
  <c r="AO239" i="9"/>
  <c r="AP239" i="9"/>
  <c r="AQ239" i="9"/>
  <c r="AR239" i="9"/>
  <c r="AS239" i="9"/>
  <c r="AT239" i="9"/>
  <c r="AW239" i="9"/>
  <c r="AX239" i="9"/>
  <c r="AY239" i="9"/>
  <c r="AZ239" i="9"/>
  <c r="BA239" i="9"/>
  <c r="BB239" i="9"/>
  <c r="BC239" i="9"/>
  <c r="AM240" i="9"/>
  <c r="AN240" i="9"/>
  <c r="AO240" i="9"/>
  <c r="AP240" i="9"/>
  <c r="AQ240" i="9"/>
  <c r="AR240" i="9"/>
  <c r="AS240" i="9"/>
  <c r="AT240" i="9"/>
  <c r="AW240" i="9"/>
  <c r="AX240" i="9"/>
  <c r="AY240" i="9"/>
  <c r="AZ240" i="9"/>
  <c r="BA240" i="9"/>
  <c r="BB240" i="9"/>
  <c r="BC240" i="9"/>
  <c r="AM241" i="9"/>
  <c r="AN241" i="9"/>
  <c r="AO241" i="9"/>
  <c r="AP241" i="9"/>
  <c r="AQ241" i="9"/>
  <c r="AR241" i="9"/>
  <c r="AS241" i="9"/>
  <c r="AT241" i="9"/>
  <c r="AW241" i="9"/>
  <c r="AX241" i="9"/>
  <c r="AY241" i="9"/>
  <c r="AZ241" i="9"/>
  <c r="BA241" i="9"/>
  <c r="BB241" i="9"/>
  <c r="BC241" i="9"/>
  <c r="AM242" i="9"/>
  <c r="AN242" i="9"/>
  <c r="AO242" i="9"/>
  <c r="AP242" i="9"/>
  <c r="AQ242" i="9"/>
  <c r="AR242" i="9"/>
  <c r="AS242" i="9"/>
  <c r="AT242" i="9"/>
  <c r="AW242" i="9"/>
  <c r="AX242" i="9"/>
  <c r="AY242" i="9"/>
  <c r="AZ242" i="9"/>
  <c r="BA242" i="9"/>
  <c r="BB242" i="9"/>
  <c r="BC242" i="9"/>
  <c r="AM243" i="9"/>
  <c r="AN243" i="9"/>
  <c r="AO243" i="9"/>
  <c r="AP243" i="9"/>
  <c r="AQ243" i="9"/>
  <c r="AR243" i="9"/>
  <c r="AS243" i="9"/>
  <c r="AT243" i="9"/>
  <c r="AW243" i="9"/>
  <c r="AX243" i="9"/>
  <c r="AY243" i="9"/>
  <c r="AZ243" i="9"/>
  <c r="BA243" i="9"/>
  <c r="BB243" i="9"/>
  <c r="BC243" i="9"/>
  <c r="AM244" i="9"/>
  <c r="AN244" i="9"/>
  <c r="AO244" i="9"/>
  <c r="AP244" i="9"/>
  <c r="AQ244" i="9"/>
  <c r="AR244" i="9"/>
  <c r="AS244" i="9"/>
  <c r="AT244" i="9"/>
  <c r="AW244" i="9"/>
  <c r="AX244" i="9"/>
  <c r="AY244" i="9"/>
  <c r="AZ244" i="9"/>
  <c r="BA244" i="9"/>
  <c r="BB244" i="9"/>
  <c r="BC244" i="9"/>
  <c r="AM245" i="9"/>
  <c r="AN245" i="9"/>
  <c r="AO245" i="9"/>
  <c r="AP245" i="9"/>
  <c r="AQ245" i="9"/>
  <c r="AR245" i="9"/>
  <c r="AS245" i="9"/>
  <c r="AT245" i="9"/>
  <c r="AW245" i="9"/>
  <c r="AX245" i="9"/>
  <c r="AY245" i="9"/>
  <c r="AZ245" i="9"/>
  <c r="BA245" i="9"/>
  <c r="BB245" i="9"/>
  <c r="BC245" i="9"/>
  <c r="AM246" i="9"/>
  <c r="AN246" i="9"/>
  <c r="AO246" i="9"/>
  <c r="AP246" i="9"/>
  <c r="AQ246" i="9"/>
  <c r="AR246" i="9"/>
  <c r="AS246" i="9"/>
  <c r="AT246" i="9"/>
  <c r="AW246" i="9"/>
  <c r="AX246" i="9"/>
  <c r="AY246" i="9"/>
  <c r="AZ246" i="9"/>
  <c r="BA246" i="9"/>
  <c r="BB246" i="9"/>
  <c r="BC246" i="9"/>
  <c r="AM247" i="9"/>
  <c r="AN247" i="9"/>
  <c r="AO247" i="9"/>
  <c r="AP247" i="9"/>
  <c r="AQ247" i="9"/>
  <c r="AR247" i="9"/>
  <c r="AS247" i="9"/>
  <c r="AT247" i="9"/>
  <c r="AW247" i="9"/>
  <c r="AX247" i="9"/>
  <c r="AY247" i="9"/>
  <c r="AZ247" i="9"/>
  <c r="BA247" i="9"/>
  <c r="BB247" i="9"/>
  <c r="BC247" i="9"/>
  <c r="AM248" i="9"/>
  <c r="AN248" i="9"/>
  <c r="AO248" i="9"/>
  <c r="AP248" i="9"/>
  <c r="AQ248" i="9"/>
  <c r="AR248" i="9"/>
  <c r="AS248" i="9"/>
  <c r="AT248" i="9"/>
  <c r="AW248" i="9"/>
  <c r="AX248" i="9"/>
  <c r="AY248" i="9"/>
  <c r="AZ248" i="9"/>
  <c r="BA248" i="9"/>
  <c r="BB248" i="9"/>
  <c r="BC248" i="9"/>
  <c r="AM249" i="9"/>
  <c r="AN249" i="9"/>
  <c r="AO249" i="9"/>
  <c r="AP249" i="9"/>
  <c r="AQ249" i="9"/>
  <c r="AR249" i="9"/>
  <c r="AS249" i="9"/>
  <c r="AT249" i="9"/>
  <c r="AW249" i="9"/>
  <c r="AX249" i="9"/>
  <c r="AY249" i="9"/>
  <c r="AZ249" i="9"/>
  <c r="BA249" i="9"/>
  <c r="BB249" i="9"/>
  <c r="BC249" i="9"/>
  <c r="AM250" i="9"/>
  <c r="AN250" i="9"/>
  <c r="AO250" i="9"/>
  <c r="AP250" i="9"/>
  <c r="AQ250" i="9"/>
  <c r="AR250" i="9"/>
  <c r="AS250" i="9"/>
  <c r="AT250" i="9"/>
  <c r="AW250" i="9"/>
  <c r="AX250" i="9"/>
  <c r="AY250" i="9"/>
  <c r="AZ250" i="9"/>
  <c r="BA250" i="9"/>
  <c r="BB250" i="9"/>
  <c r="BC250" i="9"/>
  <c r="AM251" i="9"/>
  <c r="AN251" i="9"/>
  <c r="AO251" i="9"/>
  <c r="AP251" i="9"/>
  <c r="AQ251" i="9"/>
  <c r="AR251" i="9"/>
  <c r="AS251" i="9"/>
  <c r="AT251" i="9"/>
  <c r="AW251" i="9"/>
  <c r="AX251" i="9"/>
  <c r="AY251" i="9"/>
  <c r="AZ251" i="9"/>
  <c r="BA251" i="9"/>
  <c r="BB251" i="9"/>
  <c r="BC251" i="9"/>
  <c r="AM252" i="9"/>
  <c r="AN252" i="9"/>
  <c r="AO252" i="9"/>
  <c r="AP252" i="9"/>
  <c r="AQ252" i="9"/>
  <c r="AR252" i="9"/>
  <c r="AS252" i="9"/>
  <c r="AT252" i="9"/>
  <c r="AW252" i="9"/>
  <c r="AX252" i="9"/>
  <c r="AY252" i="9"/>
  <c r="AZ252" i="9"/>
  <c r="BA252" i="9"/>
  <c r="BB252" i="9"/>
  <c r="BC252" i="9"/>
  <c r="AM253" i="9"/>
  <c r="AN253" i="9"/>
  <c r="AO253" i="9"/>
  <c r="AP253" i="9"/>
  <c r="AQ253" i="9"/>
  <c r="AR253" i="9"/>
  <c r="AS253" i="9"/>
  <c r="AT253" i="9"/>
  <c r="AW253" i="9"/>
  <c r="AX253" i="9"/>
  <c r="AY253" i="9"/>
  <c r="AZ253" i="9"/>
  <c r="BA253" i="9"/>
  <c r="BB253" i="9"/>
  <c r="BC253" i="9"/>
  <c r="AM254" i="9"/>
  <c r="AN254" i="9"/>
  <c r="AO254" i="9"/>
  <c r="AP254" i="9"/>
  <c r="AQ254" i="9"/>
  <c r="AR254" i="9"/>
  <c r="AS254" i="9"/>
  <c r="AT254" i="9"/>
  <c r="AW254" i="9"/>
  <c r="AX254" i="9"/>
  <c r="AY254" i="9"/>
  <c r="AZ254" i="9"/>
  <c r="BA254" i="9"/>
  <c r="BB254" i="9"/>
  <c r="BC254" i="9"/>
  <c r="AM255" i="9"/>
  <c r="AN255" i="9"/>
  <c r="AO255" i="9"/>
  <c r="AP255" i="9"/>
  <c r="AQ255" i="9"/>
  <c r="AR255" i="9"/>
  <c r="AS255" i="9"/>
  <c r="AT255" i="9"/>
  <c r="AW255" i="9"/>
  <c r="AX255" i="9"/>
  <c r="AY255" i="9"/>
  <c r="AZ255" i="9"/>
  <c r="BA255" i="9"/>
  <c r="BB255" i="9"/>
  <c r="BC255" i="9"/>
  <c r="AM256" i="9"/>
  <c r="AN256" i="9"/>
  <c r="AO256" i="9"/>
  <c r="AP256" i="9"/>
  <c r="AQ256" i="9"/>
  <c r="AR256" i="9"/>
  <c r="AS256" i="9"/>
  <c r="AT256" i="9"/>
  <c r="AW256" i="9"/>
  <c r="AX256" i="9"/>
  <c r="AY256" i="9"/>
  <c r="AZ256" i="9"/>
  <c r="BA256" i="9"/>
  <c r="BB256" i="9"/>
  <c r="BC256" i="9"/>
  <c r="AM257" i="9"/>
  <c r="AN257" i="9"/>
  <c r="AO257" i="9"/>
  <c r="AP257" i="9"/>
  <c r="AQ257" i="9"/>
  <c r="AR257" i="9"/>
  <c r="AS257" i="9"/>
  <c r="AT257" i="9"/>
  <c r="AW257" i="9"/>
  <c r="AX257" i="9"/>
  <c r="AY257" i="9"/>
  <c r="AZ257" i="9"/>
  <c r="BA257" i="9"/>
  <c r="BB257" i="9"/>
  <c r="BC257" i="9"/>
  <c r="AM258" i="9"/>
  <c r="AN258" i="9"/>
  <c r="AO258" i="9"/>
  <c r="AP258" i="9"/>
  <c r="AQ258" i="9"/>
  <c r="AR258" i="9"/>
  <c r="AS258" i="9"/>
  <c r="AT258" i="9"/>
  <c r="AW258" i="9"/>
  <c r="AX258" i="9"/>
  <c r="AY258" i="9"/>
  <c r="AZ258" i="9"/>
  <c r="BA258" i="9"/>
  <c r="BB258" i="9"/>
  <c r="BC258" i="9"/>
  <c r="AM259" i="9"/>
  <c r="AN259" i="9"/>
  <c r="AO259" i="9"/>
  <c r="AP259" i="9"/>
  <c r="AQ259" i="9"/>
  <c r="AR259" i="9"/>
  <c r="AS259" i="9"/>
  <c r="AT259" i="9"/>
  <c r="AW259" i="9"/>
  <c r="AX259" i="9"/>
  <c r="AY259" i="9"/>
  <c r="AZ259" i="9"/>
  <c r="BA259" i="9"/>
  <c r="BB259" i="9"/>
  <c r="BC259" i="9"/>
  <c r="AM260" i="9"/>
  <c r="AN260" i="9"/>
  <c r="AO260" i="9"/>
  <c r="AP260" i="9"/>
  <c r="AQ260" i="9"/>
  <c r="AR260" i="9"/>
  <c r="AS260" i="9"/>
  <c r="AT260" i="9"/>
  <c r="AW260" i="9"/>
  <c r="AX260" i="9"/>
  <c r="AY260" i="9"/>
  <c r="AZ260" i="9"/>
  <c r="BA260" i="9"/>
  <c r="BB260" i="9"/>
  <c r="BC260" i="9"/>
  <c r="AM261" i="9"/>
  <c r="AN261" i="9"/>
  <c r="AO261" i="9"/>
  <c r="AP261" i="9"/>
  <c r="AQ261" i="9"/>
  <c r="AR261" i="9"/>
  <c r="AS261" i="9"/>
  <c r="AT261" i="9"/>
  <c r="AW261" i="9"/>
  <c r="AX261" i="9"/>
  <c r="AY261" i="9"/>
  <c r="AZ261" i="9"/>
  <c r="BA261" i="9"/>
  <c r="BB261" i="9"/>
  <c r="BC261" i="9"/>
  <c r="AM262" i="9"/>
  <c r="AN262" i="9"/>
  <c r="AO262" i="9"/>
  <c r="AP262" i="9"/>
  <c r="AQ262" i="9"/>
  <c r="AR262" i="9"/>
  <c r="AS262" i="9"/>
  <c r="AT262" i="9"/>
  <c r="AW262" i="9"/>
  <c r="AX262" i="9"/>
  <c r="AY262" i="9"/>
  <c r="AZ262" i="9"/>
  <c r="BA262" i="9"/>
  <c r="BB262" i="9"/>
  <c r="BC262" i="9"/>
  <c r="AM263" i="9"/>
  <c r="AN263" i="9"/>
  <c r="AO263" i="9"/>
  <c r="AP263" i="9"/>
  <c r="AQ263" i="9"/>
  <c r="AR263" i="9"/>
  <c r="AS263" i="9"/>
  <c r="AT263" i="9"/>
  <c r="AW263" i="9"/>
  <c r="AX263" i="9"/>
  <c r="AY263" i="9"/>
  <c r="AZ263" i="9"/>
  <c r="BA263" i="9"/>
  <c r="BB263" i="9"/>
  <c r="BC263" i="9"/>
  <c r="AM264" i="9"/>
  <c r="AN264" i="9"/>
  <c r="AO264" i="9"/>
  <c r="AP264" i="9"/>
  <c r="AQ264" i="9"/>
  <c r="AR264" i="9"/>
  <c r="AS264" i="9"/>
  <c r="AT264" i="9"/>
  <c r="AW264" i="9"/>
  <c r="AX264" i="9"/>
  <c r="AY264" i="9"/>
  <c r="AZ264" i="9"/>
  <c r="BA264" i="9"/>
  <c r="BB264" i="9"/>
  <c r="BC264" i="9"/>
  <c r="AM265" i="9"/>
  <c r="AN265" i="9"/>
  <c r="AO265" i="9"/>
  <c r="AP265" i="9"/>
  <c r="AQ265" i="9"/>
  <c r="AR265" i="9"/>
  <c r="AS265" i="9"/>
  <c r="AT265" i="9"/>
  <c r="AW265" i="9"/>
  <c r="AX265" i="9"/>
  <c r="AY265" i="9"/>
  <c r="AZ265" i="9"/>
  <c r="BA265" i="9"/>
  <c r="BB265" i="9"/>
  <c r="BC265" i="9"/>
  <c r="AM266" i="9"/>
  <c r="AN266" i="9"/>
  <c r="AO266" i="9"/>
  <c r="AP266" i="9"/>
  <c r="AQ266" i="9"/>
  <c r="AR266" i="9"/>
  <c r="AS266" i="9"/>
  <c r="AT266" i="9"/>
  <c r="AW266" i="9"/>
  <c r="AX266" i="9"/>
  <c r="AY266" i="9"/>
  <c r="AZ266" i="9"/>
  <c r="BA266" i="9"/>
  <c r="BB266" i="9"/>
  <c r="BC266" i="9"/>
  <c r="AM267" i="9"/>
  <c r="AN267" i="9"/>
  <c r="AO267" i="9"/>
  <c r="AP267" i="9"/>
  <c r="AQ267" i="9"/>
  <c r="AR267" i="9"/>
  <c r="AS267" i="9"/>
  <c r="AT267" i="9"/>
  <c r="AW267" i="9"/>
  <c r="AX267" i="9"/>
  <c r="AY267" i="9"/>
  <c r="AZ267" i="9"/>
  <c r="BA267" i="9"/>
  <c r="BB267" i="9"/>
  <c r="BC267" i="9"/>
  <c r="AM268" i="9"/>
  <c r="AN268" i="9"/>
  <c r="AO268" i="9"/>
  <c r="AP268" i="9"/>
  <c r="AQ268" i="9"/>
  <c r="AR268" i="9"/>
  <c r="AS268" i="9"/>
  <c r="AT268" i="9"/>
  <c r="AW268" i="9"/>
  <c r="AX268" i="9"/>
  <c r="AY268" i="9"/>
  <c r="AZ268" i="9"/>
  <c r="BA268" i="9"/>
  <c r="BB268" i="9"/>
  <c r="BC268" i="9"/>
  <c r="AM269" i="9"/>
  <c r="AN269" i="9"/>
  <c r="AO269" i="9"/>
  <c r="AP269" i="9"/>
  <c r="AQ269" i="9"/>
  <c r="AR269" i="9"/>
  <c r="AS269" i="9"/>
  <c r="AT269" i="9"/>
  <c r="AW269" i="9"/>
  <c r="AX269" i="9"/>
  <c r="AY269" i="9"/>
  <c r="AZ269" i="9"/>
  <c r="BA269" i="9"/>
  <c r="BB269" i="9"/>
  <c r="BC269" i="9"/>
  <c r="AM270" i="9"/>
  <c r="AN270" i="9"/>
  <c r="AO270" i="9"/>
  <c r="AP270" i="9"/>
  <c r="AQ270" i="9"/>
  <c r="AR270" i="9"/>
  <c r="AS270" i="9"/>
  <c r="AT270" i="9"/>
  <c r="AW270" i="9"/>
  <c r="AX270" i="9"/>
  <c r="AY270" i="9"/>
  <c r="AZ270" i="9"/>
  <c r="BA270" i="9"/>
  <c r="BB270" i="9"/>
  <c r="BC270" i="9"/>
  <c r="AM271" i="9"/>
  <c r="AN271" i="9"/>
  <c r="AO271" i="9"/>
  <c r="AP271" i="9"/>
  <c r="AQ271" i="9"/>
  <c r="AR271" i="9"/>
  <c r="AS271" i="9"/>
  <c r="AT271" i="9"/>
  <c r="AW271" i="9"/>
  <c r="AX271" i="9"/>
  <c r="AY271" i="9"/>
  <c r="AZ271" i="9"/>
  <c r="BA271" i="9"/>
  <c r="BB271" i="9"/>
  <c r="BC271" i="9"/>
  <c r="AM272" i="9"/>
  <c r="AN272" i="9"/>
  <c r="AO272" i="9"/>
  <c r="AP272" i="9"/>
  <c r="AQ272" i="9"/>
  <c r="AR272" i="9"/>
  <c r="AS272" i="9"/>
  <c r="AT272" i="9"/>
  <c r="AW272" i="9"/>
  <c r="AX272" i="9"/>
  <c r="AY272" i="9"/>
  <c r="AZ272" i="9"/>
  <c r="BA272" i="9"/>
  <c r="BB272" i="9"/>
  <c r="BC272" i="9"/>
  <c r="AM273" i="9"/>
  <c r="AN273" i="9"/>
  <c r="AO273" i="9"/>
  <c r="AP273" i="9"/>
  <c r="AQ273" i="9"/>
  <c r="AR273" i="9"/>
  <c r="AS273" i="9"/>
  <c r="AT273" i="9"/>
  <c r="AW273" i="9"/>
  <c r="AX273" i="9"/>
  <c r="AY273" i="9"/>
  <c r="AZ273" i="9"/>
  <c r="BA273" i="9"/>
  <c r="BB273" i="9"/>
  <c r="BC273" i="9"/>
  <c r="AM274" i="9"/>
  <c r="AN274" i="9"/>
  <c r="AO274" i="9"/>
  <c r="AP274" i="9"/>
  <c r="AQ274" i="9"/>
  <c r="AR274" i="9"/>
  <c r="AS274" i="9"/>
  <c r="AT274" i="9"/>
  <c r="AW274" i="9"/>
  <c r="AX274" i="9"/>
  <c r="AY274" i="9"/>
  <c r="AZ274" i="9"/>
  <c r="BA274" i="9"/>
  <c r="BB274" i="9"/>
  <c r="BC274" i="9"/>
  <c r="AM275" i="9"/>
  <c r="AN275" i="9"/>
  <c r="AO275" i="9"/>
  <c r="AP275" i="9"/>
  <c r="AQ275" i="9"/>
  <c r="AR275" i="9"/>
  <c r="AS275" i="9"/>
  <c r="AT275" i="9"/>
  <c r="AW275" i="9"/>
  <c r="AX275" i="9"/>
  <c r="AY275" i="9"/>
  <c r="AZ275" i="9"/>
  <c r="BA275" i="9"/>
  <c r="BB275" i="9"/>
  <c r="BC275" i="9"/>
  <c r="AM276" i="9"/>
  <c r="AN276" i="9"/>
  <c r="AO276" i="9"/>
  <c r="AP276" i="9"/>
  <c r="AQ276" i="9"/>
  <c r="AR276" i="9"/>
  <c r="AS276" i="9"/>
  <c r="AT276" i="9"/>
  <c r="AW276" i="9"/>
  <c r="AX276" i="9"/>
  <c r="AY276" i="9"/>
  <c r="AZ276" i="9"/>
  <c r="BA276" i="9"/>
  <c r="BB276" i="9"/>
  <c r="BC276" i="9"/>
  <c r="AM277" i="9"/>
  <c r="AN277" i="9"/>
  <c r="AO277" i="9"/>
  <c r="AP277" i="9"/>
  <c r="AQ277" i="9"/>
  <c r="AR277" i="9"/>
  <c r="AS277" i="9"/>
  <c r="AT277" i="9"/>
  <c r="AW277" i="9"/>
  <c r="AX277" i="9"/>
  <c r="AY277" i="9"/>
  <c r="AZ277" i="9"/>
  <c r="BA277" i="9"/>
  <c r="BB277" i="9"/>
  <c r="BC277" i="9"/>
  <c r="AM278" i="9"/>
  <c r="AN278" i="9"/>
  <c r="AO278" i="9"/>
  <c r="AP278" i="9"/>
  <c r="AQ278" i="9"/>
  <c r="AR278" i="9"/>
  <c r="AS278" i="9"/>
  <c r="AT278" i="9"/>
  <c r="AW278" i="9"/>
  <c r="AX278" i="9"/>
  <c r="AY278" i="9"/>
  <c r="AZ278" i="9"/>
  <c r="BA278" i="9"/>
  <c r="BB278" i="9"/>
  <c r="BC278" i="9"/>
  <c r="AM279" i="9"/>
  <c r="AN279" i="9"/>
  <c r="AO279" i="9"/>
  <c r="AP279" i="9"/>
  <c r="AQ279" i="9"/>
  <c r="AR279" i="9"/>
  <c r="AS279" i="9"/>
  <c r="AT279" i="9"/>
  <c r="AW279" i="9"/>
  <c r="AX279" i="9"/>
  <c r="AY279" i="9"/>
  <c r="AZ279" i="9"/>
  <c r="BA279" i="9"/>
  <c r="BB279" i="9"/>
  <c r="BC279" i="9"/>
  <c r="AM280" i="9"/>
  <c r="AN280" i="9"/>
  <c r="AO280" i="9"/>
  <c r="AP280" i="9"/>
  <c r="AQ280" i="9"/>
  <c r="AR280" i="9"/>
  <c r="AS280" i="9"/>
  <c r="AT280" i="9"/>
  <c r="AW280" i="9"/>
  <c r="AX280" i="9"/>
  <c r="AY280" i="9"/>
  <c r="AZ280" i="9"/>
  <c r="BA280" i="9"/>
  <c r="BB280" i="9"/>
  <c r="BC280" i="9"/>
  <c r="AM281" i="9"/>
  <c r="AN281" i="9"/>
  <c r="AO281" i="9"/>
  <c r="AP281" i="9"/>
  <c r="AQ281" i="9"/>
  <c r="AR281" i="9"/>
  <c r="AS281" i="9"/>
  <c r="AT281" i="9"/>
  <c r="AW281" i="9"/>
  <c r="AX281" i="9"/>
  <c r="AY281" i="9"/>
  <c r="AZ281" i="9"/>
  <c r="BA281" i="9"/>
  <c r="BB281" i="9"/>
  <c r="BC281" i="9"/>
  <c r="AM282" i="9"/>
  <c r="AN282" i="9"/>
  <c r="AO282" i="9"/>
  <c r="AP282" i="9"/>
  <c r="AQ282" i="9"/>
  <c r="AR282" i="9"/>
  <c r="AS282" i="9"/>
  <c r="AT282" i="9"/>
  <c r="AW282" i="9"/>
  <c r="AX282" i="9"/>
  <c r="AY282" i="9"/>
  <c r="AZ282" i="9"/>
  <c r="BA282" i="9"/>
  <c r="BB282" i="9"/>
  <c r="BC282" i="9"/>
  <c r="AM283" i="9"/>
  <c r="AN283" i="9"/>
  <c r="AO283" i="9"/>
  <c r="AP283" i="9"/>
  <c r="AQ283" i="9"/>
  <c r="AR283" i="9"/>
  <c r="AS283" i="9"/>
  <c r="AT283" i="9"/>
  <c r="AW283" i="9"/>
  <c r="AX283" i="9"/>
  <c r="AY283" i="9"/>
  <c r="AZ283" i="9"/>
  <c r="BA283" i="9"/>
  <c r="BB283" i="9"/>
  <c r="BC283" i="9"/>
  <c r="AM284" i="9"/>
  <c r="AN284" i="9"/>
  <c r="AO284" i="9"/>
  <c r="AP284" i="9"/>
  <c r="AQ284" i="9"/>
  <c r="AR284" i="9"/>
  <c r="AS284" i="9"/>
  <c r="AT284" i="9"/>
  <c r="AW284" i="9"/>
  <c r="AX284" i="9"/>
  <c r="AY284" i="9"/>
  <c r="AZ284" i="9"/>
  <c r="BA284" i="9"/>
  <c r="BB284" i="9"/>
  <c r="BC284" i="9"/>
  <c r="AM285" i="9"/>
  <c r="AN285" i="9"/>
  <c r="AO285" i="9"/>
  <c r="AP285" i="9"/>
  <c r="AQ285" i="9"/>
  <c r="AR285" i="9"/>
  <c r="AS285" i="9"/>
  <c r="AT285" i="9"/>
  <c r="AW285" i="9"/>
  <c r="AX285" i="9"/>
  <c r="AY285" i="9"/>
  <c r="AZ285" i="9"/>
  <c r="BA285" i="9"/>
  <c r="BB285" i="9"/>
  <c r="BC285" i="9"/>
  <c r="AM286" i="9"/>
  <c r="AN286" i="9"/>
  <c r="AO286" i="9"/>
  <c r="AP286" i="9"/>
  <c r="AQ286" i="9"/>
  <c r="AR286" i="9"/>
  <c r="AS286" i="9"/>
  <c r="AT286" i="9"/>
  <c r="AW286" i="9"/>
  <c r="AX286" i="9"/>
  <c r="AY286" i="9"/>
  <c r="AZ286" i="9"/>
  <c r="BA286" i="9"/>
  <c r="BB286" i="9"/>
  <c r="BC286" i="9"/>
  <c r="AM287" i="9"/>
  <c r="AN287" i="9"/>
  <c r="AO287" i="9"/>
  <c r="AP287" i="9"/>
  <c r="AQ287" i="9"/>
  <c r="AR287" i="9"/>
  <c r="AS287" i="9"/>
  <c r="AT287" i="9"/>
  <c r="AW287" i="9"/>
  <c r="AX287" i="9"/>
  <c r="AY287" i="9"/>
  <c r="AZ287" i="9"/>
  <c r="BA287" i="9"/>
  <c r="BB287" i="9"/>
  <c r="BC287" i="9"/>
  <c r="AM288" i="9"/>
  <c r="AN288" i="9"/>
  <c r="AO288" i="9"/>
  <c r="AP288" i="9"/>
  <c r="AQ288" i="9"/>
  <c r="AR288" i="9"/>
  <c r="AS288" i="9"/>
  <c r="AT288" i="9"/>
  <c r="AW288" i="9"/>
  <c r="AX288" i="9"/>
  <c r="AY288" i="9"/>
  <c r="AZ288" i="9"/>
  <c r="BA288" i="9"/>
  <c r="BB288" i="9"/>
  <c r="BC288" i="9"/>
  <c r="AM289" i="9"/>
  <c r="AN289" i="9"/>
  <c r="AO289" i="9"/>
  <c r="AP289" i="9"/>
  <c r="AQ289" i="9"/>
  <c r="AR289" i="9"/>
  <c r="AS289" i="9"/>
  <c r="AT289" i="9"/>
  <c r="AW289" i="9"/>
  <c r="AX289" i="9"/>
  <c r="AY289" i="9"/>
  <c r="AZ289" i="9"/>
  <c r="BA289" i="9"/>
  <c r="BB289" i="9"/>
  <c r="BC289" i="9"/>
  <c r="AM290" i="9"/>
  <c r="AN290" i="9"/>
  <c r="AO290" i="9"/>
  <c r="AP290" i="9"/>
  <c r="AQ290" i="9"/>
  <c r="AR290" i="9"/>
  <c r="AS290" i="9"/>
  <c r="AT290" i="9"/>
  <c r="AW290" i="9"/>
  <c r="AX290" i="9"/>
  <c r="AY290" i="9"/>
  <c r="AZ290" i="9"/>
  <c r="BA290" i="9"/>
  <c r="BB290" i="9"/>
  <c r="BC290" i="9"/>
  <c r="AM291" i="9"/>
  <c r="AN291" i="9"/>
  <c r="AO291" i="9"/>
  <c r="AP291" i="9"/>
  <c r="AQ291" i="9"/>
  <c r="AR291" i="9"/>
  <c r="AS291" i="9"/>
  <c r="AT291" i="9"/>
  <c r="AW291" i="9"/>
  <c r="AX291" i="9"/>
  <c r="AY291" i="9"/>
  <c r="AZ291" i="9"/>
  <c r="BA291" i="9"/>
  <c r="BB291" i="9"/>
  <c r="BC291" i="9"/>
  <c r="AM292" i="9"/>
  <c r="AN292" i="9"/>
  <c r="AO292" i="9"/>
  <c r="AP292" i="9"/>
  <c r="AQ292" i="9"/>
  <c r="AR292" i="9"/>
  <c r="AS292" i="9"/>
  <c r="AT292" i="9"/>
  <c r="AW292" i="9"/>
  <c r="AX292" i="9"/>
  <c r="AY292" i="9"/>
  <c r="AZ292" i="9"/>
  <c r="BA292" i="9"/>
  <c r="BB292" i="9"/>
  <c r="BC292" i="9"/>
  <c r="AM293" i="9"/>
  <c r="AN293" i="9"/>
  <c r="AO293" i="9"/>
  <c r="AP293" i="9"/>
  <c r="AQ293" i="9"/>
  <c r="AR293" i="9"/>
  <c r="AS293" i="9"/>
  <c r="AT293" i="9"/>
  <c r="AW293" i="9"/>
  <c r="AX293" i="9"/>
  <c r="AY293" i="9"/>
  <c r="AZ293" i="9"/>
  <c r="BA293" i="9"/>
  <c r="BB293" i="9"/>
  <c r="BC293" i="9"/>
  <c r="AM294" i="9"/>
  <c r="AN294" i="9"/>
  <c r="AO294" i="9"/>
  <c r="AP294" i="9"/>
  <c r="AQ294" i="9"/>
  <c r="AR294" i="9"/>
  <c r="AS294" i="9"/>
  <c r="AT294" i="9"/>
  <c r="AW294" i="9"/>
  <c r="AX294" i="9"/>
  <c r="AY294" i="9"/>
  <c r="AZ294" i="9"/>
  <c r="BA294" i="9"/>
  <c r="BB294" i="9"/>
  <c r="BC294" i="9"/>
  <c r="AM295" i="9"/>
  <c r="AN295" i="9"/>
  <c r="AO295" i="9"/>
  <c r="AP295" i="9"/>
  <c r="AQ295" i="9"/>
  <c r="AR295" i="9"/>
  <c r="AS295" i="9"/>
  <c r="AT295" i="9"/>
  <c r="AW295" i="9"/>
  <c r="AX295" i="9"/>
  <c r="AY295" i="9"/>
  <c r="AZ295" i="9"/>
  <c r="BA295" i="9"/>
  <c r="BB295" i="9"/>
  <c r="BC295" i="9"/>
  <c r="AM296" i="9"/>
  <c r="AN296" i="9"/>
  <c r="AO296" i="9"/>
  <c r="AP296" i="9"/>
  <c r="AQ296" i="9"/>
  <c r="AR296" i="9"/>
  <c r="AS296" i="9"/>
  <c r="AT296" i="9"/>
  <c r="AW296" i="9"/>
  <c r="AX296" i="9"/>
  <c r="AY296" i="9"/>
  <c r="AZ296" i="9"/>
  <c r="BA296" i="9"/>
  <c r="BB296" i="9"/>
  <c r="BC296" i="9"/>
  <c r="AM297" i="9"/>
  <c r="AN297" i="9"/>
  <c r="AO297" i="9"/>
  <c r="AP297" i="9"/>
  <c r="AQ297" i="9"/>
  <c r="AR297" i="9"/>
  <c r="AS297" i="9"/>
  <c r="AT297" i="9"/>
  <c r="AW297" i="9"/>
  <c r="AX297" i="9"/>
  <c r="AY297" i="9"/>
  <c r="AZ297" i="9"/>
  <c r="BA297" i="9"/>
  <c r="BB297" i="9"/>
  <c r="BC297" i="9"/>
  <c r="AM298" i="9"/>
  <c r="AN298" i="9"/>
  <c r="AO298" i="9"/>
  <c r="AP298" i="9"/>
  <c r="AQ298" i="9"/>
  <c r="AR298" i="9"/>
  <c r="AS298" i="9"/>
  <c r="AT298" i="9"/>
  <c r="AW298" i="9"/>
  <c r="AX298" i="9"/>
  <c r="AY298" i="9"/>
  <c r="AZ298" i="9"/>
  <c r="BA298" i="9"/>
  <c r="BB298" i="9"/>
  <c r="BC298" i="9"/>
  <c r="AM299" i="9"/>
  <c r="AN299" i="9"/>
  <c r="AO299" i="9"/>
  <c r="AP299" i="9"/>
  <c r="AQ299" i="9"/>
  <c r="AR299" i="9"/>
  <c r="AS299" i="9"/>
  <c r="AT299" i="9"/>
  <c r="AW299" i="9"/>
  <c r="AX299" i="9"/>
  <c r="AY299" i="9"/>
  <c r="AZ299" i="9"/>
  <c r="BA299" i="9"/>
  <c r="BB299" i="9"/>
  <c r="BC299" i="9"/>
  <c r="AM300" i="9"/>
  <c r="AN300" i="9"/>
  <c r="AO300" i="9"/>
  <c r="AP300" i="9"/>
  <c r="AQ300" i="9"/>
  <c r="AR300" i="9"/>
  <c r="AS300" i="9"/>
  <c r="AT300" i="9"/>
  <c r="AW300" i="9"/>
  <c r="AX300" i="9"/>
  <c r="AY300" i="9"/>
  <c r="AZ300" i="9"/>
  <c r="BA300" i="9"/>
  <c r="BB300" i="9"/>
  <c r="BC300" i="9"/>
  <c r="AM301" i="9"/>
  <c r="AN301" i="9"/>
  <c r="AO301" i="9"/>
  <c r="AP301" i="9"/>
  <c r="AQ301" i="9"/>
  <c r="AR301" i="9"/>
  <c r="AS301" i="9"/>
  <c r="AT301" i="9"/>
  <c r="AW301" i="9"/>
  <c r="AX301" i="9"/>
  <c r="AY301" i="9"/>
  <c r="AZ301" i="9"/>
  <c r="BA301" i="9"/>
  <c r="BB301" i="9"/>
  <c r="BC301" i="9"/>
  <c r="AM302" i="9"/>
  <c r="AN302" i="9"/>
  <c r="AO302" i="9"/>
  <c r="AP302" i="9"/>
  <c r="AQ302" i="9"/>
  <c r="AR302" i="9"/>
  <c r="AS302" i="9"/>
  <c r="AT302" i="9"/>
  <c r="AW302" i="9"/>
  <c r="AX302" i="9"/>
  <c r="AY302" i="9"/>
  <c r="AZ302" i="9"/>
  <c r="BA302" i="9"/>
  <c r="BB302" i="9"/>
  <c r="BC302" i="9"/>
  <c r="AM303" i="9"/>
  <c r="AN303" i="9"/>
  <c r="AO303" i="9"/>
  <c r="AP303" i="9"/>
  <c r="AQ303" i="9"/>
  <c r="AR303" i="9"/>
  <c r="AS303" i="9"/>
  <c r="AT303" i="9"/>
  <c r="AW303" i="9"/>
  <c r="AX303" i="9"/>
  <c r="AY303" i="9"/>
  <c r="AZ303" i="9"/>
  <c r="BA303" i="9"/>
  <c r="BB303" i="9"/>
  <c r="BC303" i="9"/>
  <c r="AM304" i="9"/>
  <c r="AN304" i="9"/>
  <c r="AO304" i="9"/>
  <c r="AP304" i="9"/>
  <c r="AQ304" i="9"/>
  <c r="AR304" i="9"/>
  <c r="AS304" i="9"/>
  <c r="AT304" i="9"/>
  <c r="AW304" i="9"/>
  <c r="AX304" i="9"/>
  <c r="AY304" i="9"/>
  <c r="AZ304" i="9"/>
  <c r="BA304" i="9"/>
  <c r="BB304" i="9"/>
  <c r="BC304" i="9"/>
  <c r="AM305" i="9"/>
  <c r="AN305" i="9"/>
  <c r="AO305" i="9"/>
  <c r="AP305" i="9"/>
  <c r="AQ305" i="9"/>
  <c r="AR305" i="9"/>
  <c r="AS305" i="9"/>
  <c r="AT305" i="9"/>
  <c r="AW305" i="9"/>
  <c r="AX305" i="9"/>
  <c r="AY305" i="9"/>
  <c r="AZ305" i="9"/>
  <c r="BA305" i="9"/>
  <c r="BB305" i="9"/>
  <c r="BC305" i="9"/>
  <c r="AM306" i="9"/>
  <c r="AN306" i="9"/>
  <c r="AO306" i="9"/>
  <c r="AP306" i="9"/>
  <c r="AQ306" i="9"/>
  <c r="AR306" i="9"/>
  <c r="AS306" i="9"/>
  <c r="AT306" i="9"/>
  <c r="AW306" i="9"/>
  <c r="AX306" i="9"/>
  <c r="AY306" i="9"/>
  <c r="AZ306" i="9"/>
  <c r="BA306" i="9"/>
  <c r="BB306" i="9"/>
  <c r="BC306" i="9"/>
  <c r="AM307" i="9"/>
  <c r="AN307" i="9"/>
  <c r="AO307" i="9"/>
  <c r="AP307" i="9"/>
  <c r="AQ307" i="9"/>
  <c r="AR307" i="9"/>
  <c r="AS307" i="9"/>
  <c r="AT307" i="9"/>
  <c r="AW307" i="9"/>
  <c r="AX307" i="9"/>
  <c r="AY307" i="9"/>
  <c r="AZ307" i="9"/>
  <c r="BA307" i="9"/>
  <c r="BB307" i="9"/>
  <c r="BC307" i="9"/>
  <c r="AM308" i="9"/>
  <c r="AN308" i="9"/>
  <c r="AO308" i="9"/>
  <c r="AP308" i="9"/>
  <c r="AQ308" i="9"/>
  <c r="AR308" i="9"/>
  <c r="AS308" i="9"/>
  <c r="AT308" i="9"/>
  <c r="AW308" i="9"/>
  <c r="AX308" i="9"/>
  <c r="AY308" i="9"/>
  <c r="AZ308" i="9"/>
  <c r="BA308" i="9"/>
  <c r="BB308" i="9"/>
  <c r="BC308" i="9"/>
  <c r="AM309" i="9"/>
  <c r="AN309" i="9"/>
  <c r="AO309" i="9"/>
  <c r="AP309" i="9"/>
  <c r="AQ309" i="9"/>
  <c r="AR309" i="9"/>
  <c r="AS309" i="9"/>
  <c r="AT309" i="9"/>
  <c r="AW309" i="9"/>
  <c r="AX309" i="9"/>
  <c r="AY309" i="9"/>
  <c r="AZ309" i="9"/>
  <c r="BA309" i="9"/>
  <c r="BB309" i="9"/>
  <c r="BC309" i="9"/>
  <c r="AM310" i="9"/>
  <c r="AN310" i="9"/>
  <c r="AO310" i="9"/>
  <c r="AP310" i="9"/>
  <c r="AQ310" i="9"/>
  <c r="AR310" i="9"/>
  <c r="AS310" i="9"/>
  <c r="AT310" i="9"/>
  <c r="AW310" i="9"/>
  <c r="AX310" i="9"/>
  <c r="AY310" i="9"/>
  <c r="AZ310" i="9"/>
  <c r="BA310" i="9"/>
  <c r="BB310" i="9"/>
  <c r="BC310" i="9"/>
  <c r="AM311" i="9"/>
  <c r="AN311" i="9"/>
  <c r="AO311" i="9"/>
  <c r="AP311" i="9"/>
  <c r="AQ311" i="9"/>
  <c r="AR311" i="9"/>
  <c r="AS311" i="9"/>
  <c r="AT311" i="9"/>
  <c r="AW311" i="9"/>
  <c r="AX311" i="9"/>
  <c r="AY311" i="9"/>
  <c r="AZ311" i="9"/>
  <c r="BA311" i="9"/>
  <c r="BB311" i="9"/>
  <c r="BC311" i="9"/>
  <c r="AM312" i="9"/>
  <c r="AN312" i="9"/>
  <c r="AO312" i="9"/>
  <c r="AP312" i="9"/>
  <c r="AQ312" i="9"/>
  <c r="AR312" i="9"/>
  <c r="AS312" i="9"/>
  <c r="AT312" i="9"/>
  <c r="AW312" i="9"/>
  <c r="AX312" i="9"/>
  <c r="AY312" i="9"/>
  <c r="AZ312" i="9"/>
  <c r="BA312" i="9"/>
  <c r="BB312" i="9"/>
  <c r="BC312" i="9"/>
  <c r="AM313" i="9"/>
  <c r="AN313" i="9"/>
  <c r="AO313" i="9"/>
  <c r="AP313" i="9"/>
  <c r="AQ313" i="9"/>
  <c r="AR313" i="9"/>
  <c r="AS313" i="9"/>
  <c r="AT313" i="9"/>
  <c r="AW313" i="9"/>
  <c r="AX313" i="9"/>
  <c r="AY313" i="9"/>
  <c r="AZ313" i="9"/>
  <c r="BA313" i="9"/>
  <c r="BB313" i="9"/>
  <c r="BC313" i="9"/>
  <c r="AM314" i="9"/>
  <c r="AN314" i="9"/>
  <c r="AO314" i="9"/>
  <c r="AP314" i="9"/>
  <c r="AQ314" i="9"/>
  <c r="AR314" i="9"/>
  <c r="AS314" i="9"/>
  <c r="AT314" i="9"/>
  <c r="AW314" i="9"/>
  <c r="AX314" i="9"/>
  <c r="AY314" i="9"/>
  <c r="AZ314" i="9"/>
  <c r="BA314" i="9"/>
  <c r="BB314" i="9"/>
  <c r="BC314" i="9"/>
  <c r="AM315" i="9"/>
  <c r="AN315" i="9"/>
  <c r="AO315" i="9"/>
  <c r="AP315" i="9"/>
  <c r="AQ315" i="9"/>
  <c r="AR315" i="9"/>
  <c r="AS315" i="9"/>
  <c r="AT315" i="9"/>
  <c r="AW315" i="9"/>
  <c r="AX315" i="9"/>
  <c r="AY315" i="9"/>
  <c r="AZ315" i="9"/>
  <c r="BA315" i="9"/>
  <c r="BB315" i="9"/>
  <c r="BC315" i="9"/>
  <c r="AM316" i="9"/>
  <c r="AN316" i="9"/>
  <c r="AO316" i="9"/>
  <c r="AP316" i="9"/>
  <c r="AQ316" i="9"/>
  <c r="AR316" i="9"/>
  <c r="AS316" i="9"/>
  <c r="AT316" i="9"/>
  <c r="AW316" i="9"/>
  <c r="AX316" i="9"/>
  <c r="AY316" i="9"/>
  <c r="AZ316" i="9"/>
  <c r="BA316" i="9"/>
  <c r="BB316" i="9"/>
  <c r="BC316" i="9"/>
  <c r="AM317" i="9"/>
  <c r="AN317" i="9"/>
  <c r="AO317" i="9"/>
  <c r="AP317" i="9"/>
  <c r="AQ317" i="9"/>
  <c r="AR317" i="9"/>
  <c r="AS317" i="9"/>
  <c r="AT317" i="9"/>
  <c r="AW317" i="9"/>
  <c r="AX317" i="9"/>
  <c r="AY317" i="9"/>
  <c r="AZ317" i="9"/>
  <c r="BA317" i="9"/>
  <c r="BB317" i="9"/>
  <c r="BC317" i="9"/>
  <c r="AM318" i="9"/>
  <c r="AN318" i="9"/>
  <c r="AO318" i="9"/>
  <c r="AP318" i="9"/>
  <c r="AQ318" i="9"/>
  <c r="AR318" i="9"/>
  <c r="AS318" i="9"/>
  <c r="AT318" i="9"/>
  <c r="AW318" i="9"/>
  <c r="AX318" i="9"/>
  <c r="AY318" i="9"/>
  <c r="AZ318" i="9"/>
  <c r="BA318" i="9"/>
  <c r="BB318" i="9"/>
  <c r="BC318" i="9"/>
  <c r="AM319" i="9"/>
  <c r="AN319" i="9"/>
  <c r="AO319" i="9"/>
  <c r="AP319" i="9"/>
  <c r="AQ319" i="9"/>
  <c r="AR319" i="9"/>
  <c r="AS319" i="9"/>
  <c r="AT319" i="9"/>
  <c r="AW319" i="9"/>
  <c r="AX319" i="9"/>
  <c r="AY319" i="9"/>
  <c r="AZ319" i="9"/>
  <c r="BA319" i="9"/>
  <c r="BB319" i="9"/>
  <c r="BC319" i="9"/>
  <c r="AM320" i="9"/>
  <c r="AN320" i="9"/>
  <c r="AO320" i="9"/>
  <c r="AP320" i="9"/>
  <c r="AQ320" i="9"/>
  <c r="AR320" i="9"/>
  <c r="AS320" i="9"/>
  <c r="AT320" i="9"/>
  <c r="AW320" i="9"/>
  <c r="AX320" i="9"/>
  <c r="AY320" i="9"/>
  <c r="AZ320" i="9"/>
  <c r="BA320" i="9"/>
  <c r="BB320" i="9"/>
  <c r="BC320" i="9"/>
  <c r="AM321" i="9"/>
  <c r="AN321" i="9"/>
  <c r="AO321" i="9"/>
  <c r="AP321" i="9"/>
  <c r="AQ321" i="9"/>
  <c r="AR321" i="9"/>
  <c r="AS321" i="9"/>
  <c r="AT321" i="9"/>
  <c r="AW321" i="9"/>
  <c r="AX321" i="9"/>
  <c r="AY321" i="9"/>
  <c r="AZ321" i="9"/>
  <c r="BA321" i="9"/>
  <c r="BB321" i="9"/>
  <c r="BC321" i="9"/>
  <c r="AM322" i="9"/>
  <c r="AN322" i="9"/>
  <c r="AO322" i="9"/>
  <c r="AP322" i="9"/>
  <c r="AQ322" i="9"/>
  <c r="AR322" i="9"/>
  <c r="AS322" i="9"/>
  <c r="AT322" i="9"/>
  <c r="AW322" i="9"/>
  <c r="AX322" i="9"/>
  <c r="AY322" i="9"/>
  <c r="AZ322" i="9"/>
  <c r="BA322" i="9"/>
  <c r="BB322" i="9"/>
  <c r="BC322" i="9"/>
  <c r="AM323" i="9"/>
  <c r="AN323" i="9"/>
  <c r="AO323" i="9"/>
  <c r="AP323" i="9"/>
  <c r="AQ323" i="9"/>
  <c r="AR323" i="9"/>
  <c r="AS323" i="9"/>
  <c r="AT323" i="9"/>
  <c r="AW323" i="9"/>
  <c r="AX323" i="9"/>
  <c r="AY323" i="9"/>
  <c r="AZ323" i="9"/>
  <c r="BA323" i="9"/>
  <c r="BB323" i="9"/>
  <c r="BC323" i="9"/>
  <c r="AM324" i="9"/>
  <c r="AN324" i="9"/>
  <c r="AO324" i="9"/>
  <c r="AP324" i="9"/>
  <c r="AQ324" i="9"/>
  <c r="AR324" i="9"/>
  <c r="AS324" i="9"/>
  <c r="AT324" i="9"/>
  <c r="AW324" i="9"/>
  <c r="AX324" i="9"/>
  <c r="AY324" i="9"/>
  <c r="AZ324" i="9"/>
  <c r="BA324" i="9"/>
  <c r="BB324" i="9"/>
  <c r="BC324" i="9"/>
  <c r="AM325" i="9"/>
  <c r="AN325" i="9"/>
  <c r="AO325" i="9"/>
  <c r="AP325" i="9"/>
  <c r="AQ325" i="9"/>
  <c r="AR325" i="9"/>
  <c r="AS325" i="9"/>
  <c r="AT325" i="9"/>
  <c r="AW325" i="9"/>
  <c r="AX325" i="9"/>
  <c r="AY325" i="9"/>
  <c r="AZ325" i="9"/>
  <c r="BA325" i="9"/>
  <c r="BB325" i="9"/>
  <c r="BC325" i="9"/>
  <c r="AM326" i="9"/>
  <c r="AN326" i="9"/>
  <c r="AO326" i="9"/>
  <c r="AP326" i="9"/>
  <c r="AQ326" i="9"/>
  <c r="AR326" i="9"/>
  <c r="AS326" i="9"/>
  <c r="AT326" i="9"/>
  <c r="AW326" i="9"/>
  <c r="AX326" i="9"/>
  <c r="AY326" i="9"/>
  <c r="AZ326" i="9"/>
  <c r="BA326" i="9"/>
  <c r="BB326" i="9"/>
  <c r="BC326" i="9"/>
  <c r="AM327" i="9"/>
  <c r="AN327" i="9"/>
  <c r="AO327" i="9"/>
  <c r="AP327" i="9"/>
  <c r="AQ327" i="9"/>
  <c r="AR327" i="9"/>
  <c r="AS327" i="9"/>
  <c r="AT327" i="9"/>
  <c r="AW327" i="9"/>
  <c r="AX327" i="9"/>
  <c r="AY327" i="9"/>
  <c r="AZ327" i="9"/>
  <c r="BA327" i="9"/>
  <c r="BB327" i="9"/>
  <c r="BC327" i="9"/>
  <c r="AM328" i="9"/>
  <c r="AN328" i="9"/>
  <c r="AO328" i="9"/>
  <c r="AP328" i="9"/>
  <c r="AQ328" i="9"/>
  <c r="AR328" i="9"/>
  <c r="AS328" i="9"/>
  <c r="AT328" i="9"/>
  <c r="AW328" i="9"/>
  <c r="AX328" i="9"/>
  <c r="AY328" i="9"/>
  <c r="AZ328" i="9"/>
  <c r="BA328" i="9"/>
  <c r="BB328" i="9"/>
  <c r="BC328" i="9"/>
  <c r="AM329" i="9"/>
  <c r="AN329" i="9"/>
  <c r="AO329" i="9"/>
  <c r="AP329" i="9"/>
  <c r="AQ329" i="9"/>
  <c r="AR329" i="9"/>
  <c r="AS329" i="9"/>
  <c r="AT329" i="9"/>
  <c r="AW329" i="9"/>
  <c r="AX329" i="9"/>
  <c r="AY329" i="9"/>
  <c r="AZ329" i="9"/>
  <c r="BA329" i="9"/>
  <c r="BB329" i="9"/>
  <c r="BC329" i="9"/>
  <c r="AM330" i="9"/>
  <c r="AN330" i="9"/>
  <c r="AO330" i="9"/>
  <c r="AP330" i="9"/>
  <c r="AQ330" i="9"/>
  <c r="AR330" i="9"/>
  <c r="AS330" i="9"/>
  <c r="AT330" i="9"/>
  <c r="AW330" i="9"/>
  <c r="AX330" i="9"/>
  <c r="AY330" i="9"/>
  <c r="AZ330" i="9"/>
  <c r="BA330" i="9"/>
  <c r="BB330" i="9"/>
  <c r="BC330" i="9"/>
  <c r="AM331" i="9"/>
  <c r="AN331" i="9"/>
  <c r="AO331" i="9"/>
  <c r="AP331" i="9"/>
  <c r="AQ331" i="9"/>
  <c r="AR331" i="9"/>
  <c r="AS331" i="9"/>
  <c r="AT331" i="9"/>
  <c r="AW331" i="9"/>
  <c r="AX331" i="9"/>
  <c r="AY331" i="9"/>
  <c r="AZ331" i="9"/>
  <c r="BA331" i="9"/>
  <c r="BB331" i="9"/>
  <c r="BC331" i="9"/>
  <c r="AM332" i="9"/>
  <c r="AN332" i="9"/>
  <c r="AO332" i="9"/>
  <c r="AP332" i="9"/>
  <c r="AQ332" i="9"/>
  <c r="AR332" i="9"/>
  <c r="AS332" i="9"/>
  <c r="AT332" i="9"/>
  <c r="AW332" i="9"/>
  <c r="AX332" i="9"/>
  <c r="AY332" i="9"/>
  <c r="AZ332" i="9"/>
  <c r="BA332" i="9"/>
  <c r="BB332" i="9"/>
  <c r="BC332" i="9"/>
  <c r="AM333" i="9"/>
  <c r="AN333" i="9"/>
  <c r="AO333" i="9"/>
  <c r="AP333" i="9"/>
  <c r="AQ333" i="9"/>
  <c r="AR333" i="9"/>
  <c r="AS333" i="9"/>
  <c r="AT333" i="9"/>
  <c r="AW333" i="9"/>
  <c r="AX333" i="9"/>
  <c r="AY333" i="9"/>
  <c r="AZ333" i="9"/>
  <c r="BA333" i="9"/>
  <c r="BB333" i="9"/>
  <c r="BC333" i="9"/>
  <c r="AM334" i="9"/>
  <c r="AN334" i="9"/>
  <c r="AO334" i="9"/>
  <c r="AP334" i="9"/>
  <c r="AQ334" i="9"/>
  <c r="AR334" i="9"/>
  <c r="AS334" i="9"/>
  <c r="AT334" i="9"/>
  <c r="AW334" i="9"/>
  <c r="AX334" i="9"/>
  <c r="AY334" i="9"/>
  <c r="AZ334" i="9"/>
  <c r="BA334" i="9"/>
  <c r="BB334" i="9"/>
  <c r="BC334" i="9"/>
  <c r="AM335" i="9"/>
  <c r="AN335" i="9"/>
  <c r="AO335" i="9"/>
  <c r="AP335" i="9"/>
  <c r="AQ335" i="9"/>
  <c r="AR335" i="9"/>
  <c r="AS335" i="9"/>
  <c r="AT335" i="9"/>
  <c r="AW335" i="9"/>
  <c r="AX335" i="9"/>
  <c r="AY335" i="9"/>
  <c r="AZ335" i="9"/>
  <c r="BA335" i="9"/>
  <c r="BB335" i="9"/>
  <c r="BC335" i="9"/>
  <c r="AM336" i="9"/>
  <c r="AN336" i="9"/>
  <c r="AO336" i="9"/>
  <c r="AP336" i="9"/>
  <c r="AQ336" i="9"/>
  <c r="AR336" i="9"/>
  <c r="AS336" i="9"/>
  <c r="AT336" i="9"/>
  <c r="AW336" i="9"/>
  <c r="AX336" i="9"/>
  <c r="AY336" i="9"/>
  <c r="AZ336" i="9"/>
  <c r="BA336" i="9"/>
  <c r="BB336" i="9"/>
  <c r="BC336" i="9"/>
  <c r="AM337" i="9"/>
  <c r="AN337" i="9"/>
  <c r="AO337" i="9"/>
  <c r="AP337" i="9"/>
  <c r="AQ337" i="9"/>
  <c r="AR337" i="9"/>
  <c r="AS337" i="9"/>
  <c r="AT337" i="9"/>
  <c r="AW337" i="9"/>
  <c r="AX337" i="9"/>
  <c r="AY337" i="9"/>
  <c r="AZ337" i="9"/>
  <c r="BA337" i="9"/>
  <c r="BB337" i="9"/>
  <c r="BC337" i="9"/>
  <c r="AM338" i="9"/>
  <c r="AN338" i="9"/>
  <c r="AO338" i="9"/>
  <c r="AP338" i="9"/>
  <c r="AQ338" i="9"/>
  <c r="AR338" i="9"/>
  <c r="AS338" i="9"/>
  <c r="AT338" i="9"/>
  <c r="AW338" i="9"/>
  <c r="AX338" i="9"/>
  <c r="AY338" i="9"/>
  <c r="AZ338" i="9"/>
  <c r="BA338" i="9"/>
  <c r="BB338" i="9"/>
  <c r="BC338" i="9"/>
  <c r="AM339" i="9"/>
  <c r="AN339" i="9"/>
  <c r="AO339" i="9"/>
  <c r="AP339" i="9"/>
  <c r="AQ339" i="9"/>
  <c r="AR339" i="9"/>
  <c r="AS339" i="9"/>
  <c r="AT339" i="9"/>
  <c r="AW339" i="9"/>
  <c r="AX339" i="9"/>
  <c r="AY339" i="9"/>
  <c r="AZ339" i="9"/>
  <c r="BA339" i="9"/>
  <c r="BB339" i="9"/>
  <c r="BC339" i="9"/>
  <c r="AM340" i="9"/>
  <c r="AN340" i="9"/>
  <c r="AO340" i="9"/>
  <c r="AP340" i="9"/>
  <c r="AQ340" i="9"/>
  <c r="AR340" i="9"/>
  <c r="AS340" i="9"/>
  <c r="AT340" i="9"/>
  <c r="AW340" i="9"/>
  <c r="AX340" i="9"/>
  <c r="AY340" i="9"/>
  <c r="AZ340" i="9"/>
  <c r="BA340" i="9"/>
  <c r="BB340" i="9"/>
  <c r="BC340" i="9"/>
  <c r="AM341" i="9"/>
  <c r="AN341" i="9"/>
  <c r="AO341" i="9"/>
  <c r="AP341" i="9"/>
  <c r="AQ341" i="9"/>
  <c r="AR341" i="9"/>
  <c r="AS341" i="9"/>
  <c r="AT341" i="9"/>
  <c r="AW341" i="9"/>
  <c r="AX341" i="9"/>
  <c r="AY341" i="9"/>
  <c r="AZ341" i="9"/>
  <c r="BA341" i="9"/>
  <c r="BB341" i="9"/>
  <c r="BC341" i="9"/>
  <c r="AM342" i="9"/>
  <c r="AN342" i="9"/>
  <c r="AO342" i="9"/>
  <c r="AP342" i="9"/>
  <c r="AQ342" i="9"/>
  <c r="AR342" i="9"/>
  <c r="AS342" i="9"/>
  <c r="AT342" i="9"/>
  <c r="AW342" i="9"/>
  <c r="AX342" i="9"/>
  <c r="AY342" i="9"/>
  <c r="AZ342" i="9"/>
  <c r="BA342" i="9"/>
  <c r="BB342" i="9"/>
  <c r="BC342" i="9"/>
  <c r="AM343" i="9"/>
  <c r="AN343" i="9"/>
  <c r="AO343" i="9"/>
  <c r="AP343" i="9"/>
  <c r="AQ343" i="9"/>
  <c r="AR343" i="9"/>
  <c r="AS343" i="9"/>
  <c r="AT343" i="9"/>
  <c r="AW343" i="9"/>
  <c r="AX343" i="9"/>
  <c r="AY343" i="9"/>
  <c r="AZ343" i="9"/>
  <c r="BA343" i="9"/>
  <c r="BB343" i="9"/>
  <c r="BC343" i="9"/>
  <c r="AM344" i="9"/>
  <c r="AN344" i="9"/>
  <c r="AO344" i="9"/>
  <c r="AP344" i="9"/>
  <c r="AQ344" i="9"/>
  <c r="AR344" i="9"/>
  <c r="AS344" i="9"/>
  <c r="AT344" i="9"/>
  <c r="AW344" i="9"/>
  <c r="AX344" i="9"/>
  <c r="AY344" i="9"/>
  <c r="AZ344" i="9"/>
  <c r="BA344" i="9"/>
  <c r="BB344" i="9"/>
  <c r="BC344" i="9"/>
  <c r="AM345" i="9"/>
  <c r="AN345" i="9"/>
  <c r="AO345" i="9"/>
  <c r="AP345" i="9"/>
  <c r="AQ345" i="9"/>
  <c r="AR345" i="9"/>
  <c r="AS345" i="9"/>
  <c r="AT345" i="9"/>
  <c r="AW345" i="9"/>
  <c r="AX345" i="9"/>
  <c r="AY345" i="9"/>
  <c r="AZ345" i="9"/>
  <c r="BA345" i="9"/>
  <c r="BB345" i="9"/>
  <c r="BC345" i="9"/>
  <c r="AM346" i="9"/>
  <c r="AN346" i="9"/>
  <c r="AO346" i="9"/>
  <c r="AP346" i="9"/>
  <c r="AQ346" i="9"/>
  <c r="AR346" i="9"/>
  <c r="AS346" i="9"/>
  <c r="AT346" i="9"/>
  <c r="AW346" i="9"/>
  <c r="AX346" i="9"/>
  <c r="AY346" i="9"/>
  <c r="AZ346" i="9"/>
  <c r="BA346" i="9"/>
  <c r="BB346" i="9"/>
  <c r="BC346" i="9"/>
  <c r="AM347" i="9"/>
  <c r="AN347" i="9"/>
  <c r="AO347" i="9"/>
  <c r="AP347" i="9"/>
  <c r="AQ347" i="9"/>
  <c r="AR347" i="9"/>
  <c r="AS347" i="9"/>
  <c r="AT347" i="9"/>
  <c r="AW347" i="9"/>
  <c r="AX347" i="9"/>
  <c r="AY347" i="9"/>
  <c r="AZ347" i="9"/>
  <c r="BA347" i="9"/>
  <c r="BB347" i="9"/>
  <c r="BC347" i="9"/>
  <c r="AM348" i="9"/>
  <c r="AN348" i="9"/>
  <c r="AO348" i="9"/>
  <c r="AP348" i="9"/>
  <c r="AQ348" i="9"/>
  <c r="AR348" i="9"/>
  <c r="AS348" i="9"/>
  <c r="AT348" i="9"/>
  <c r="AW348" i="9"/>
  <c r="AX348" i="9"/>
  <c r="AY348" i="9"/>
  <c r="AZ348" i="9"/>
  <c r="BA348" i="9"/>
  <c r="BB348" i="9"/>
  <c r="BC348" i="9"/>
  <c r="AM349" i="9"/>
  <c r="AN349" i="9"/>
  <c r="AO349" i="9"/>
  <c r="AP349" i="9"/>
  <c r="AQ349" i="9"/>
  <c r="AR349" i="9"/>
  <c r="AS349" i="9"/>
  <c r="AT349" i="9"/>
  <c r="AW349" i="9"/>
  <c r="AX349" i="9"/>
  <c r="AY349" i="9"/>
  <c r="AZ349" i="9"/>
  <c r="BA349" i="9"/>
  <c r="BB349" i="9"/>
  <c r="BC349" i="9"/>
  <c r="AM350" i="9"/>
  <c r="AN350" i="9"/>
  <c r="AO350" i="9"/>
  <c r="AP350" i="9"/>
  <c r="AQ350" i="9"/>
  <c r="AR350" i="9"/>
  <c r="AS350" i="9"/>
  <c r="AT350" i="9"/>
  <c r="AW350" i="9"/>
  <c r="AX350" i="9"/>
  <c r="AY350" i="9"/>
  <c r="AZ350" i="9"/>
  <c r="BA350" i="9"/>
  <c r="BB350" i="9"/>
  <c r="BC350" i="9"/>
  <c r="AM351" i="9"/>
  <c r="AN351" i="9"/>
  <c r="AO351" i="9"/>
  <c r="AP351" i="9"/>
  <c r="AQ351" i="9"/>
  <c r="AR351" i="9"/>
  <c r="AS351" i="9"/>
  <c r="AT351" i="9"/>
  <c r="AW351" i="9"/>
  <c r="AX351" i="9"/>
  <c r="AY351" i="9"/>
  <c r="AZ351" i="9"/>
  <c r="BA351" i="9"/>
  <c r="BB351" i="9"/>
  <c r="BC351" i="9"/>
  <c r="AM352" i="9"/>
  <c r="AN352" i="9"/>
  <c r="AO352" i="9"/>
  <c r="AP352" i="9"/>
  <c r="AQ352" i="9"/>
  <c r="AR352" i="9"/>
  <c r="AS352" i="9"/>
  <c r="AT352" i="9"/>
  <c r="AW352" i="9"/>
  <c r="AX352" i="9"/>
  <c r="AY352" i="9"/>
  <c r="AZ352" i="9"/>
  <c r="BA352" i="9"/>
  <c r="BB352" i="9"/>
  <c r="BC352" i="9"/>
  <c r="AM353" i="9"/>
  <c r="AN353" i="9"/>
  <c r="AO353" i="9"/>
  <c r="AP353" i="9"/>
  <c r="AQ353" i="9"/>
  <c r="AR353" i="9"/>
  <c r="AS353" i="9"/>
  <c r="AT353" i="9"/>
  <c r="AW353" i="9"/>
  <c r="AX353" i="9"/>
  <c r="AY353" i="9"/>
  <c r="AZ353" i="9"/>
  <c r="BA353" i="9"/>
  <c r="BB353" i="9"/>
  <c r="BC353" i="9"/>
  <c r="AM354" i="9"/>
  <c r="AN354" i="9"/>
  <c r="AO354" i="9"/>
  <c r="AP354" i="9"/>
  <c r="AQ354" i="9"/>
  <c r="AR354" i="9"/>
  <c r="AS354" i="9"/>
  <c r="AT354" i="9"/>
  <c r="AW354" i="9"/>
  <c r="AX354" i="9"/>
  <c r="AY354" i="9"/>
  <c r="AZ354" i="9"/>
  <c r="BA354" i="9"/>
  <c r="BB354" i="9"/>
  <c r="BC354" i="9"/>
  <c r="AM355" i="9"/>
  <c r="AN355" i="9"/>
  <c r="AO355" i="9"/>
  <c r="AP355" i="9"/>
  <c r="AQ355" i="9"/>
  <c r="AR355" i="9"/>
  <c r="AS355" i="9"/>
  <c r="AT355" i="9"/>
  <c r="AW355" i="9"/>
  <c r="AX355" i="9"/>
  <c r="AY355" i="9"/>
  <c r="AZ355" i="9"/>
  <c r="BA355" i="9"/>
  <c r="BB355" i="9"/>
  <c r="BC355" i="9"/>
  <c r="AM356" i="9"/>
  <c r="AN356" i="9"/>
  <c r="AO356" i="9"/>
  <c r="AP356" i="9"/>
  <c r="AQ356" i="9"/>
  <c r="AR356" i="9"/>
  <c r="AS356" i="9"/>
  <c r="AT356" i="9"/>
  <c r="AW356" i="9"/>
  <c r="AX356" i="9"/>
  <c r="AY356" i="9"/>
  <c r="AZ356" i="9"/>
  <c r="BA356" i="9"/>
  <c r="BB356" i="9"/>
  <c r="BC356" i="9"/>
  <c r="AM357" i="9"/>
  <c r="AN357" i="9"/>
  <c r="AO357" i="9"/>
  <c r="AP357" i="9"/>
  <c r="AQ357" i="9"/>
  <c r="AR357" i="9"/>
  <c r="AS357" i="9"/>
  <c r="AT357" i="9"/>
  <c r="AW357" i="9"/>
  <c r="AX357" i="9"/>
  <c r="AY357" i="9"/>
  <c r="AZ357" i="9"/>
  <c r="BA357" i="9"/>
  <c r="BB357" i="9"/>
  <c r="BC357" i="9"/>
  <c r="AM358" i="9"/>
  <c r="AN358" i="9"/>
  <c r="AO358" i="9"/>
  <c r="AP358" i="9"/>
  <c r="AQ358" i="9"/>
  <c r="AR358" i="9"/>
  <c r="AS358" i="9"/>
  <c r="AT358" i="9"/>
  <c r="AW358" i="9"/>
  <c r="AX358" i="9"/>
  <c r="AY358" i="9"/>
  <c r="AZ358" i="9"/>
  <c r="BA358" i="9"/>
  <c r="BB358" i="9"/>
  <c r="BC358" i="9"/>
  <c r="AM359" i="9"/>
  <c r="AN359" i="9"/>
  <c r="AO359" i="9"/>
  <c r="AP359" i="9"/>
  <c r="AQ359" i="9"/>
  <c r="AR359" i="9"/>
  <c r="AS359" i="9"/>
  <c r="AT359" i="9"/>
  <c r="AW359" i="9"/>
  <c r="AX359" i="9"/>
  <c r="AY359" i="9"/>
  <c r="AZ359" i="9"/>
  <c r="BA359" i="9"/>
  <c r="BB359" i="9"/>
  <c r="BC359" i="9"/>
  <c r="AM360" i="9"/>
  <c r="AN360" i="9"/>
  <c r="AO360" i="9"/>
  <c r="AP360" i="9"/>
  <c r="AQ360" i="9"/>
  <c r="AR360" i="9"/>
  <c r="AS360" i="9"/>
  <c r="AT360" i="9"/>
  <c r="AW360" i="9"/>
  <c r="AX360" i="9"/>
  <c r="AY360" i="9"/>
  <c r="AZ360" i="9"/>
  <c r="BA360" i="9"/>
  <c r="BB360" i="9"/>
  <c r="BC360" i="9"/>
  <c r="AM361" i="9"/>
  <c r="AN361" i="9"/>
  <c r="AO361" i="9"/>
  <c r="AP361" i="9"/>
  <c r="AQ361" i="9"/>
  <c r="AR361" i="9"/>
  <c r="AS361" i="9"/>
  <c r="AT361" i="9"/>
  <c r="AW361" i="9"/>
  <c r="AX361" i="9"/>
  <c r="AY361" i="9"/>
  <c r="AZ361" i="9"/>
  <c r="BA361" i="9"/>
  <c r="BB361" i="9"/>
  <c r="BC361" i="9"/>
  <c r="AM362" i="9"/>
  <c r="AN362" i="9"/>
  <c r="AO362" i="9"/>
  <c r="AP362" i="9"/>
  <c r="AQ362" i="9"/>
  <c r="AR362" i="9"/>
  <c r="AS362" i="9"/>
  <c r="AT362" i="9"/>
  <c r="AW362" i="9"/>
  <c r="AX362" i="9"/>
  <c r="AY362" i="9"/>
  <c r="AZ362" i="9"/>
  <c r="BA362" i="9"/>
  <c r="BB362" i="9"/>
  <c r="BC362" i="9"/>
  <c r="AM363" i="9"/>
  <c r="AN363" i="9"/>
  <c r="AO363" i="9"/>
  <c r="AP363" i="9"/>
  <c r="AQ363" i="9"/>
  <c r="AR363" i="9"/>
  <c r="AS363" i="9"/>
  <c r="AT363" i="9"/>
  <c r="AW363" i="9"/>
  <c r="AX363" i="9"/>
  <c r="AY363" i="9"/>
  <c r="AZ363" i="9"/>
  <c r="BA363" i="9"/>
  <c r="BB363" i="9"/>
  <c r="BC363" i="9"/>
  <c r="AM364" i="9"/>
  <c r="AN364" i="9"/>
  <c r="AO364" i="9"/>
  <c r="AP364" i="9"/>
  <c r="AQ364" i="9"/>
  <c r="AR364" i="9"/>
  <c r="AS364" i="9"/>
  <c r="AT364" i="9"/>
  <c r="AW364" i="9"/>
  <c r="AX364" i="9"/>
  <c r="AY364" i="9"/>
  <c r="AZ364" i="9"/>
  <c r="BA364" i="9"/>
  <c r="BB364" i="9"/>
  <c r="BC364" i="9"/>
  <c r="AM365" i="9"/>
  <c r="AN365" i="9"/>
  <c r="AO365" i="9"/>
  <c r="AP365" i="9"/>
  <c r="AQ365" i="9"/>
  <c r="AR365" i="9"/>
  <c r="AS365" i="9"/>
  <c r="AT365" i="9"/>
  <c r="AW365" i="9"/>
  <c r="AX365" i="9"/>
  <c r="AY365" i="9"/>
  <c r="AZ365" i="9"/>
  <c r="BA365" i="9"/>
  <c r="BB365" i="9"/>
  <c r="BC365" i="9"/>
  <c r="AM366" i="9"/>
  <c r="AN366" i="9"/>
  <c r="AO366" i="9"/>
  <c r="AP366" i="9"/>
  <c r="AQ366" i="9"/>
  <c r="AR366" i="9"/>
  <c r="AS366" i="9"/>
  <c r="AT366" i="9"/>
  <c r="AW366" i="9"/>
  <c r="AX366" i="9"/>
  <c r="AY366" i="9"/>
  <c r="AZ366" i="9"/>
  <c r="BA366" i="9"/>
  <c r="BB366" i="9"/>
  <c r="BC366" i="9"/>
  <c r="AM367" i="9"/>
  <c r="AN367" i="9"/>
  <c r="AO367" i="9"/>
  <c r="AP367" i="9"/>
  <c r="AQ367" i="9"/>
  <c r="AR367" i="9"/>
  <c r="AS367" i="9"/>
  <c r="AT367" i="9"/>
  <c r="AW367" i="9"/>
  <c r="AX367" i="9"/>
  <c r="AY367" i="9"/>
  <c r="AZ367" i="9"/>
  <c r="BA367" i="9"/>
  <c r="BB367" i="9"/>
  <c r="BC367" i="9"/>
  <c r="AM368" i="9"/>
  <c r="AN368" i="9"/>
  <c r="AO368" i="9"/>
  <c r="AP368" i="9"/>
  <c r="AQ368" i="9"/>
  <c r="AR368" i="9"/>
  <c r="AS368" i="9"/>
  <c r="AT368" i="9"/>
  <c r="AW368" i="9"/>
  <c r="AX368" i="9"/>
  <c r="AY368" i="9"/>
  <c r="AZ368" i="9"/>
  <c r="BA368" i="9"/>
  <c r="BB368" i="9"/>
  <c r="BC368" i="9"/>
  <c r="AM369" i="9"/>
  <c r="AN369" i="9"/>
  <c r="AO369" i="9"/>
  <c r="AP369" i="9"/>
  <c r="AQ369" i="9"/>
  <c r="AR369" i="9"/>
  <c r="AS369" i="9"/>
  <c r="AT369" i="9"/>
  <c r="AW369" i="9"/>
  <c r="AX369" i="9"/>
  <c r="AY369" i="9"/>
  <c r="AZ369" i="9"/>
  <c r="BA369" i="9"/>
  <c r="BB369" i="9"/>
  <c r="BC369" i="9"/>
  <c r="AM370" i="9"/>
  <c r="AN370" i="9"/>
  <c r="AO370" i="9"/>
  <c r="AP370" i="9"/>
  <c r="AQ370" i="9"/>
  <c r="AR370" i="9"/>
  <c r="AS370" i="9"/>
  <c r="AT370" i="9"/>
  <c r="AW370" i="9"/>
  <c r="AX370" i="9"/>
  <c r="AY370" i="9"/>
  <c r="AZ370" i="9"/>
  <c r="BA370" i="9"/>
  <c r="BB370" i="9"/>
  <c r="BC370" i="9"/>
  <c r="AM371" i="9"/>
  <c r="AN371" i="9"/>
  <c r="AO371" i="9"/>
  <c r="AP371" i="9"/>
  <c r="AQ371" i="9"/>
  <c r="AR371" i="9"/>
  <c r="AS371" i="9"/>
  <c r="AT371" i="9"/>
  <c r="AW371" i="9"/>
  <c r="AX371" i="9"/>
  <c r="AY371" i="9"/>
  <c r="AZ371" i="9"/>
  <c r="BA371" i="9"/>
  <c r="BB371" i="9"/>
  <c r="BC371" i="9"/>
  <c r="AM372" i="9"/>
  <c r="AN372" i="9"/>
  <c r="AO372" i="9"/>
  <c r="AP372" i="9"/>
  <c r="AQ372" i="9"/>
  <c r="AR372" i="9"/>
  <c r="AS372" i="9"/>
  <c r="AT372" i="9"/>
  <c r="AW372" i="9"/>
  <c r="AX372" i="9"/>
  <c r="AY372" i="9"/>
  <c r="AZ372" i="9"/>
  <c r="BA372" i="9"/>
  <c r="BB372" i="9"/>
  <c r="BC372" i="9"/>
  <c r="AM373" i="9"/>
  <c r="AN373" i="9"/>
  <c r="AO373" i="9"/>
  <c r="AP373" i="9"/>
  <c r="AQ373" i="9"/>
  <c r="AR373" i="9"/>
  <c r="AS373" i="9"/>
  <c r="AT373" i="9"/>
  <c r="AW373" i="9"/>
  <c r="AX373" i="9"/>
  <c r="AY373" i="9"/>
  <c r="AZ373" i="9"/>
  <c r="BA373" i="9"/>
  <c r="BB373" i="9"/>
  <c r="BC373" i="9"/>
  <c r="AM374" i="9"/>
  <c r="AN374" i="9"/>
  <c r="AO374" i="9"/>
  <c r="AP374" i="9"/>
  <c r="AQ374" i="9"/>
  <c r="AR374" i="9"/>
  <c r="AS374" i="9"/>
  <c r="AT374" i="9"/>
  <c r="AW374" i="9"/>
  <c r="AX374" i="9"/>
  <c r="AY374" i="9"/>
  <c r="AZ374" i="9"/>
  <c r="BA374" i="9"/>
  <c r="BB374" i="9"/>
  <c r="BC374" i="9"/>
  <c r="AM375" i="9"/>
  <c r="AN375" i="9"/>
  <c r="AO375" i="9"/>
  <c r="AP375" i="9"/>
  <c r="AQ375" i="9"/>
  <c r="AR375" i="9"/>
  <c r="AS375" i="9"/>
  <c r="AT375" i="9"/>
  <c r="AW375" i="9"/>
  <c r="AX375" i="9"/>
  <c r="AY375" i="9"/>
  <c r="AZ375" i="9"/>
  <c r="BA375" i="9"/>
  <c r="BB375" i="9"/>
  <c r="BC375" i="9"/>
  <c r="AM376" i="9"/>
  <c r="AN376" i="9"/>
  <c r="AO376" i="9"/>
  <c r="AP376" i="9"/>
  <c r="AQ376" i="9"/>
  <c r="AR376" i="9"/>
  <c r="AS376" i="9"/>
  <c r="AT376" i="9"/>
  <c r="AW376" i="9"/>
  <c r="AX376" i="9"/>
  <c r="AY376" i="9"/>
  <c r="AZ376" i="9"/>
  <c r="BA376" i="9"/>
  <c r="BB376" i="9"/>
  <c r="BC376" i="9"/>
  <c r="AM377" i="9"/>
  <c r="AN377" i="9"/>
  <c r="AO377" i="9"/>
  <c r="AP377" i="9"/>
  <c r="AQ377" i="9"/>
  <c r="AR377" i="9"/>
  <c r="AS377" i="9"/>
  <c r="AT377" i="9"/>
  <c r="AW377" i="9"/>
  <c r="AX377" i="9"/>
  <c r="AY377" i="9"/>
  <c r="AZ377" i="9"/>
  <c r="BA377" i="9"/>
  <c r="BB377" i="9"/>
  <c r="BC377" i="9"/>
  <c r="AM378" i="9"/>
  <c r="AN378" i="9"/>
  <c r="AO378" i="9"/>
  <c r="AP378" i="9"/>
  <c r="AQ378" i="9"/>
  <c r="AR378" i="9"/>
  <c r="AS378" i="9"/>
  <c r="AT378" i="9"/>
  <c r="AW378" i="9"/>
  <c r="AX378" i="9"/>
  <c r="AY378" i="9"/>
  <c r="AZ378" i="9"/>
  <c r="BA378" i="9"/>
  <c r="BB378" i="9"/>
  <c r="BC378" i="9"/>
  <c r="AM379" i="9"/>
  <c r="AN379" i="9"/>
  <c r="AO379" i="9"/>
  <c r="AP379" i="9"/>
  <c r="AQ379" i="9"/>
  <c r="AR379" i="9"/>
  <c r="AS379" i="9"/>
  <c r="AT379" i="9"/>
  <c r="AW379" i="9"/>
  <c r="AX379" i="9"/>
  <c r="AY379" i="9"/>
  <c r="AZ379" i="9"/>
  <c r="BA379" i="9"/>
  <c r="BB379" i="9"/>
  <c r="BC379" i="9"/>
  <c r="AM380" i="9"/>
  <c r="AN380" i="9"/>
  <c r="AO380" i="9"/>
  <c r="AP380" i="9"/>
  <c r="AQ380" i="9"/>
  <c r="AR380" i="9"/>
  <c r="AS380" i="9"/>
  <c r="AT380" i="9"/>
  <c r="AW380" i="9"/>
  <c r="AX380" i="9"/>
  <c r="AY380" i="9"/>
  <c r="AZ380" i="9"/>
  <c r="BA380" i="9"/>
  <c r="BB380" i="9"/>
  <c r="BC380" i="9"/>
  <c r="AM381" i="9"/>
  <c r="AN381" i="9"/>
  <c r="AO381" i="9"/>
  <c r="AP381" i="9"/>
  <c r="AQ381" i="9"/>
  <c r="AR381" i="9"/>
  <c r="AS381" i="9"/>
  <c r="AT381" i="9"/>
  <c r="AW381" i="9"/>
  <c r="AX381" i="9"/>
  <c r="AY381" i="9"/>
  <c r="AZ381" i="9"/>
  <c r="BA381" i="9"/>
  <c r="BB381" i="9"/>
  <c r="BC381" i="9"/>
  <c r="AM382" i="9"/>
  <c r="AN382" i="9"/>
  <c r="AO382" i="9"/>
  <c r="AP382" i="9"/>
  <c r="AQ382" i="9"/>
  <c r="AR382" i="9"/>
  <c r="AS382" i="9"/>
  <c r="AT382" i="9"/>
  <c r="AW382" i="9"/>
  <c r="AX382" i="9"/>
  <c r="AY382" i="9"/>
  <c r="AZ382" i="9"/>
  <c r="BA382" i="9"/>
  <c r="BB382" i="9"/>
  <c r="BC382" i="9"/>
  <c r="AM383" i="9"/>
  <c r="AN383" i="9"/>
  <c r="AO383" i="9"/>
  <c r="AP383" i="9"/>
  <c r="AQ383" i="9"/>
  <c r="AR383" i="9"/>
  <c r="AS383" i="9"/>
  <c r="AT383" i="9"/>
  <c r="AW383" i="9"/>
  <c r="AX383" i="9"/>
  <c r="AY383" i="9"/>
  <c r="AZ383" i="9"/>
  <c r="BA383" i="9"/>
  <c r="BB383" i="9"/>
  <c r="BC383" i="9"/>
  <c r="AM384" i="9"/>
  <c r="AN384" i="9"/>
  <c r="AO384" i="9"/>
  <c r="AP384" i="9"/>
  <c r="AQ384" i="9"/>
  <c r="AR384" i="9"/>
  <c r="AS384" i="9"/>
  <c r="AT384" i="9"/>
  <c r="AW384" i="9"/>
  <c r="AX384" i="9"/>
  <c r="AY384" i="9"/>
  <c r="AZ384" i="9"/>
  <c r="BA384" i="9"/>
  <c r="BB384" i="9"/>
  <c r="BC384" i="9"/>
  <c r="AM385" i="9"/>
  <c r="AN385" i="9"/>
  <c r="AO385" i="9"/>
  <c r="AP385" i="9"/>
  <c r="AQ385" i="9"/>
  <c r="AR385" i="9"/>
  <c r="AS385" i="9"/>
  <c r="AT385" i="9"/>
  <c r="AW385" i="9"/>
  <c r="AX385" i="9"/>
  <c r="AY385" i="9"/>
  <c r="AZ385" i="9"/>
  <c r="BA385" i="9"/>
  <c r="BB385" i="9"/>
  <c r="BC385" i="9"/>
  <c r="AM386" i="9"/>
  <c r="AN386" i="9"/>
  <c r="AO386" i="9"/>
  <c r="AP386" i="9"/>
  <c r="AQ386" i="9"/>
  <c r="AR386" i="9"/>
  <c r="AS386" i="9"/>
  <c r="AT386" i="9"/>
  <c r="AW386" i="9"/>
  <c r="AX386" i="9"/>
  <c r="AY386" i="9"/>
  <c r="AZ386" i="9"/>
  <c r="BA386" i="9"/>
  <c r="BB386" i="9"/>
  <c r="BC386" i="9"/>
  <c r="AM387" i="9"/>
  <c r="AN387" i="9"/>
  <c r="AO387" i="9"/>
  <c r="AP387" i="9"/>
  <c r="AQ387" i="9"/>
  <c r="AR387" i="9"/>
  <c r="AS387" i="9"/>
  <c r="AT387" i="9"/>
  <c r="AW387" i="9"/>
  <c r="AX387" i="9"/>
  <c r="AY387" i="9"/>
  <c r="AZ387" i="9"/>
  <c r="BA387" i="9"/>
  <c r="BB387" i="9"/>
  <c r="BC387" i="9"/>
  <c r="AM388" i="9"/>
  <c r="AN388" i="9"/>
  <c r="AO388" i="9"/>
  <c r="AP388" i="9"/>
  <c r="AQ388" i="9"/>
  <c r="AR388" i="9"/>
  <c r="AS388" i="9"/>
  <c r="AT388" i="9"/>
  <c r="AW388" i="9"/>
  <c r="AX388" i="9"/>
  <c r="AY388" i="9"/>
  <c r="AZ388" i="9"/>
  <c r="BA388" i="9"/>
  <c r="BB388" i="9"/>
  <c r="BC388" i="9"/>
  <c r="AM389" i="9"/>
  <c r="AN389" i="9"/>
  <c r="AO389" i="9"/>
  <c r="AP389" i="9"/>
  <c r="AQ389" i="9"/>
  <c r="AR389" i="9"/>
  <c r="AS389" i="9"/>
  <c r="AT389" i="9"/>
  <c r="AW389" i="9"/>
  <c r="AX389" i="9"/>
  <c r="AY389" i="9"/>
  <c r="AZ389" i="9"/>
  <c r="BA389" i="9"/>
  <c r="BB389" i="9"/>
  <c r="BC389" i="9"/>
  <c r="AM390" i="9"/>
  <c r="AN390" i="9"/>
  <c r="AO390" i="9"/>
  <c r="AP390" i="9"/>
  <c r="AQ390" i="9"/>
  <c r="AR390" i="9"/>
  <c r="AS390" i="9"/>
  <c r="AT390" i="9"/>
  <c r="AW390" i="9"/>
  <c r="AX390" i="9"/>
  <c r="AY390" i="9"/>
  <c r="AZ390" i="9"/>
  <c r="BA390" i="9"/>
  <c r="BB390" i="9"/>
  <c r="BC390" i="9"/>
  <c r="AM391" i="9"/>
  <c r="AN391" i="9"/>
  <c r="AO391" i="9"/>
  <c r="AP391" i="9"/>
  <c r="AQ391" i="9"/>
  <c r="AR391" i="9"/>
  <c r="AS391" i="9"/>
  <c r="AT391" i="9"/>
  <c r="AW391" i="9"/>
  <c r="AX391" i="9"/>
  <c r="AY391" i="9"/>
  <c r="AZ391" i="9"/>
  <c r="BA391" i="9"/>
  <c r="BB391" i="9"/>
  <c r="BC391" i="9"/>
  <c r="AM392" i="9"/>
  <c r="AN392" i="9"/>
  <c r="AO392" i="9"/>
  <c r="AP392" i="9"/>
  <c r="AQ392" i="9"/>
  <c r="AR392" i="9"/>
  <c r="AS392" i="9"/>
  <c r="AT392" i="9"/>
  <c r="AW392" i="9"/>
  <c r="AX392" i="9"/>
  <c r="AY392" i="9"/>
  <c r="AZ392" i="9"/>
  <c r="BA392" i="9"/>
  <c r="BB392" i="9"/>
  <c r="BC392" i="9"/>
  <c r="AM393" i="9"/>
  <c r="AN393" i="9"/>
  <c r="AO393" i="9"/>
  <c r="AP393" i="9"/>
  <c r="AQ393" i="9"/>
  <c r="AR393" i="9"/>
  <c r="AS393" i="9"/>
  <c r="AT393" i="9"/>
  <c r="AW393" i="9"/>
  <c r="AX393" i="9"/>
  <c r="AY393" i="9"/>
  <c r="AZ393" i="9"/>
  <c r="BA393" i="9"/>
  <c r="BB393" i="9"/>
  <c r="BC393" i="9"/>
  <c r="AM394" i="9"/>
  <c r="AN394" i="9"/>
  <c r="AO394" i="9"/>
  <c r="AP394" i="9"/>
  <c r="AQ394" i="9"/>
  <c r="AR394" i="9"/>
  <c r="AS394" i="9"/>
  <c r="AT394" i="9"/>
  <c r="AW394" i="9"/>
  <c r="AX394" i="9"/>
  <c r="AY394" i="9"/>
  <c r="AZ394" i="9"/>
  <c r="BA394" i="9"/>
  <c r="BB394" i="9"/>
  <c r="BC394" i="9"/>
  <c r="AM395" i="9"/>
  <c r="AN395" i="9"/>
  <c r="AO395" i="9"/>
  <c r="AP395" i="9"/>
  <c r="AQ395" i="9"/>
  <c r="AR395" i="9"/>
  <c r="AS395" i="9"/>
  <c r="AT395" i="9"/>
  <c r="AW395" i="9"/>
  <c r="AX395" i="9"/>
  <c r="AY395" i="9"/>
  <c r="AZ395" i="9"/>
  <c r="BA395" i="9"/>
  <c r="BB395" i="9"/>
  <c r="BC395" i="9"/>
  <c r="AM396" i="9"/>
  <c r="AN396" i="9"/>
  <c r="AO396" i="9"/>
  <c r="AP396" i="9"/>
  <c r="AQ396" i="9"/>
  <c r="AR396" i="9"/>
  <c r="AS396" i="9"/>
  <c r="AT396" i="9"/>
  <c r="AW396" i="9"/>
  <c r="AX396" i="9"/>
  <c r="AY396" i="9"/>
  <c r="AZ396" i="9"/>
  <c r="BA396" i="9"/>
  <c r="BB396" i="9"/>
  <c r="BC396" i="9"/>
  <c r="AM397" i="9"/>
  <c r="AN397" i="9"/>
  <c r="AO397" i="9"/>
  <c r="AP397" i="9"/>
  <c r="AQ397" i="9"/>
  <c r="AR397" i="9"/>
  <c r="AS397" i="9"/>
  <c r="AT397" i="9"/>
  <c r="AW397" i="9"/>
  <c r="AX397" i="9"/>
  <c r="AY397" i="9"/>
  <c r="AZ397" i="9"/>
  <c r="BA397" i="9"/>
  <c r="BB397" i="9"/>
  <c r="BC397" i="9"/>
  <c r="AM398" i="9"/>
  <c r="AN398" i="9"/>
  <c r="AO398" i="9"/>
  <c r="AP398" i="9"/>
  <c r="AQ398" i="9"/>
  <c r="AR398" i="9"/>
  <c r="AS398" i="9"/>
  <c r="AT398" i="9"/>
  <c r="AW398" i="9"/>
  <c r="AX398" i="9"/>
  <c r="AY398" i="9"/>
  <c r="AZ398" i="9"/>
  <c r="BA398" i="9"/>
  <c r="BB398" i="9"/>
  <c r="BC398" i="9"/>
  <c r="AM399" i="9"/>
  <c r="AN399" i="9"/>
  <c r="AO399" i="9"/>
  <c r="AP399" i="9"/>
  <c r="AQ399" i="9"/>
  <c r="AR399" i="9"/>
  <c r="AS399" i="9"/>
  <c r="AT399" i="9"/>
  <c r="AW399" i="9"/>
  <c r="AX399" i="9"/>
  <c r="AY399" i="9"/>
  <c r="AZ399" i="9"/>
  <c r="BA399" i="9"/>
  <c r="BB399" i="9"/>
  <c r="BC399" i="9"/>
  <c r="AM400" i="9"/>
  <c r="AN400" i="9"/>
  <c r="AO400" i="9"/>
  <c r="AP400" i="9"/>
  <c r="AQ400" i="9"/>
  <c r="AR400" i="9"/>
  <c r="AS400" i="9"/>
  <c r="AT400" i="9"/>
  <c r="AW400" i="9"/>
  <c r="AX400" i="9"/>
  <c r="AY400" i="9"/>
  <c r="AZ400" i="9"/>
  <c r="BA400" i="9"/>
  <c r="BB400" i="9"/>
  <c r="BC400" i="9"/>
  <c r="AM401" i="9"/>
  <c r="AN401" i="9"/>
  <c r="AO401" i="9"/>
  <c r="AP401" i="9"/>
  <c r="AQ401" i="9"/>
  <c r="AR401" i="9"/>
  <c r="AS401" i="9"/>
  <c r="AT401" i="9"/>
  <c r="AW401" i="9"/>
  <c r="AX401" i="9"/>
  <c r="AY401" i="9"/>
  <c r="AZ401" i="9"/>
  <c r="BA401" i="9"/>
  <c r="BB401" i="9"/>
  <c r="BC401" i="9"/>
  <c r="AM402" i="9"/>
  <c r="AN402" i="9"/>
  <c r="AO402" i="9"/>
  <c r="AP402" i="9"/>
  <c r="AQ402" i="9"/>
  <c r="AR402" i="9"/>
  <c r="AS402" i="9"/>
  <c r="AT402" i="9"/>
  <c r="AW402" i="9"/>
  <c r="AX402" i="9"/>
  <c r="AY402" i="9"/>
  <c r="AZ402" i="9"/>
  <c r="BA402" i="9"/>
  <c r="BB402" i="9"/>
  <c r="BC402" i="9"/>
  <c r="AM403" i="9"/>
  <c r="AN403" i="9"/>
  <c r="AO403" i="9"/>
  <c r="AP403" i="9"/>
  <c r="AQ403" i="9"/>
  <c r="AR403" i="9"/>
  <c r="AS403" i="9"/>
  <c r="AT403" i="9"/>
  <c r="AW403" i="9"/>
  <c r="AX403" i="9"/>
  <c r="AY403" i="9"/>
  <c r="AZ403" i="9"/>
  <c r="BA403" i="9"/>
  <c r="BB403" i="9"/>
  <c r="BC403" i="9"/>
  <c r="AM404" i="9"/>
  <c r="AN404" i="9"/>
  <c r="AO404" i="9"/>
  <c r="AP404" i="9"/>
  <c r="AQ404" i="9"/>
  <c r="AR404" i="9"/>
  <c r="AS404" i="9"/>
  <c r="AT404" i="9"/>
  <c r="AW404" i="9"/>
  <c r="AX404" i="9"/>
  <c r="AY404" i="9"/>
  <c r="AZ404" i="9"/>
  <c r="BA404" i="9"/>
  <c r="BB404" i="9"/>
  <c r="BC404" i="9"/>
  <c r="AM405" i="9"/>
  <c r="AN405" i="9"/>
  <c r="AO405" i="9"/>
  <c r="AP405" i="9"/>
  <c r="AQ405" i="9"/>
  <c r="AR405" i="9"/>
  <c r="AS405" i="9"/>
  <c r="AT405" i="9"/>
  <c r="AW405" i="9"/>
  <c r="AX405" i="9"/>
  <c r="AY405" i="9"/>
  <c r="AZ405" i="9"/>
  <c r="BA405" i="9"/>
  <c r="BB405" i="9"/>
  <c r="BC405" i="9"/>
  <c r="AM406" i="9"/>
  <c r="AN406" i="9"/>
  <c r="AO406" i="9"/>
  <c r="AP406" i="9"/>
  <c r="AQ406" i="9"/>
  <c r="AR406" i="9"/>
  <c r="AS406" i="9"/>
  <c r="AT406" i="9"/>
  <c r="AW406" i="9"/>
  <c r="AX406" i="9"/>
  <c r="AY406" i="9"/>
  <c r="AZ406" i="9"/>
  <c r="BA406" i="9"/>
  <c r="BB406" i="9"/>
  <c r="BC406" i="9"/>
  <c r="AM407" i="9"/>
  <c r="AN407" i="9"/>
  <c r="AO407" i="9"/>
  <c r="AP407" i="9"/>
  <c r="AQ407" i="9"/>
  <c r="AR407" i="9"/>
  <c r="AS407" i="9"/>
  <c r="AT407" i="9"/>
  <c r="AW407" i="9"/>
  <c r="AX407" i="9"/>
  <c r="AY407" i="9"/>
  <c r="AZ407" i="9"/>
  <c r="BA407" i="9"/>
  <c r="BB407" i="9"/>
  <c r="BC407" i="9"/>
  <c r="AM408" i="9"/>
  <c r="AN408" i="9"/>
  <c r="AO408" i="9"/>
  <c r="AP408" i="9"/>
  <c r="AQ408" i="9"/>
  <c r="AR408" i="9"/>
  <c r="AS408" i="9"/>
  <c r="AT408" i="9"/>
  <c r="AW408" i="9"/>
  <c r="AX408" i="9"/>
  <c r="AY408" i="9"/>
  <c r="AZ408" i="9"/>
  <c r="BA408" i="9"/>
  <c r="BB408" i="9"/>
  <c r="BC408" i="9"/>
  <c r="AM409" i="9"/>
  <c r="AN409" i="9"/>
  <c r="AO409" i="9"/>
  <c r="AP409" i="9"/>
  <c r="AQ409" i="9"/>
  <c r="AR409" i="9"/>
  <c r="AS409" i="9"/>
  <c r="AT409" i="9"/>
  <c r="AW409" i="9"/>
  <c r="AX409" i="9"/>
  <c r="AY409" i="9"/>
  <c r="AZ409" i="9"/>
  <c r="BA409" i="9"/>
  <c r="BB409" i="9"/>
  <c r="BC409" i="9"/>
  <c r="AM410" i="9"/>
  <c r="AN410" i="9"/>
  <c r="AO410" i="9"/>
  <c r="AP410" i="9"/>
  <c r="AQ410" i="9"/>
  <c r="AR410" i="9"/>
  <c r="AS410" i="9"/>
  <c r="AT410" i="9"/>
  <c r="AW410" i="9"/>
  <c r="AX410" i="9"/>
  <c r="AY410" i="9"/>
  <c r="AZ410" i="9"/>
  <c r="BA410" i="9"/>
  <c r="BB410" i="9"/>
  <c r="BC410" i="9"/>
  <c r="AM411" i="9"/>
  <c r="AN411" i="9"/>
  <c r="AO411" i="9"/>
  <c r="AP411" i="9"/>
  <c r="AQ411" i="9"/>
  <c r="AR411" i="9"/>
  <c r="AS411" i="9"/>
  <c r="AT411" i="9"/>
  <c r="AW411" i="9"/>
  <c r="AX411" i="9"/>
  <c r="AY411" i="9"/>
  <c r="AZ411" i="9"/>
  <c r="BA411" i="9"/>
  <c r="BB411" i="9"/>
  <c r="BC411" i="9"/>
  <c r="AM412" i="9"/>
  <c r="AN412" i="9"/>
  <c r="AO412" i="9"/>
  <c r="AP412" i="9"/>
  <c r="AQ412" i="9"/>
  <c r="AR412" i="9"/>
  <c r="AS412" i="9"/>
  <c r="AT412" i="9"/>
  <c r="AW412" i="9"/>
  <c r="AX412" i="9"/>
  <c r="AY412" i="9"/>
  <c r="AZ412" i="9"/>
  <c r="BA412" i="9"/>
  <c r="BB412" i="9"/>
  <c r="BC412" i="9"/>
  <c r="AM413" i="9"/>
  <c r="AN413" i="9"/>
  <c r="AO413" i="9"/>
  <c r="AP413" i="9"/>
  <c r="AQ413" i="9"/>
  <c r="AR413" i="9"/>
  <c r="AS413" i="9"/>
  <c r="AT413" i="9"/>
  <c r="AW413" i="9"/>
  <c r="AX413" i="9"/>
  <c r="AY413" i="9"/>
  <c r="AZ413" i="9"/>
  <c r="BA413" i="9"/>
  <c r="BB413" i="9"/>
  <c r="BC413" i="9"/>
  <c r="AM414" i="9"/>
  <c r="AN414" i="9"/>
  <c r="AO414" i="9"/>
  <c r="AP414" i="9"/>
  <c r="AQ414" i="9"/>
  <c r="AR414" i="9"/>
  <c r="AS414" i="9"/>
  <c r="AT414" i="9"/>
  <c r="AW414" i="9"/>
  <c r="AX414" i="9"/>
  <c r="AY414" i="9"/>
  <c r="AZ414" i="9"/>
  <c r="BA414" i="9"/>
  <c r="BB414" i="9"/>
  <c r="BC414" i="9"/>
  <c r="AM415" i="9"/>
  <c r="AN415" i="9"/>
  <c r="AO415" i="9"/>
  <c r="AP415" i="9"/>
  <c r="AQ415" i="9"/>
  <c r="AR415" i="9"/>
  <c r="AS415" i="9"/>
  <c r="AT415" i="9"/>
  <c r="AW415" i="9"/>
  <c r="AX415" i="9"/>
  <c r="AY415" i="9"/>
  <c r="AZ415" i="9"/>
  <c r="BA415" i="9"/>
  <c r="BB415" i="9"/>
  <c r="BC415" i="9"/>
  <c r="AM416" i="9"/>
  <c r="AN416" i="9"/>
  <c r="AO416" i="9"/>
  <c r="AP416" i="9"/>
  <c r="AQ416" i="9"/>
  <c r="AR416" i="9"/>
  <c r="AS416" i="9"/>
  <c r="AT416" i="9"/>
  <c r="AW416" i="9"/>
  <c r="AX416" i="9"/>
  <c r="AY416" i="9"/>
  <c r="AZ416" i="9"/>
  <c r="BA416" i="9"/>
  <c r="BB416" i="9"/>
  <c r="BC416" i="9"/>
  <c r="AM417" i="9"/>
  <c r="AN417" i="9"/>
  <c r="AO417" i="9"/>
  <c r="AP417" i="9"/>
  <c r="AQ417" i="9"/>
  <c r="AR417" i="9"/>
  <c r="AS417" i="9"/>
  <c r="AT417" i="9"/>
  <c r="AW417" i="9"/>
  <c r="AX417" i="9"/>
  <c r="AY417" i="9"/>
  <c r="AZ417" i="9"/>
  <c r="BA417" i="9"/>
  <c r="BB417" i="9"/>
  <c r="BC417" i="9"/>
  <c r="AM418" i="9"/>
  <c r="AN418" i="9"/>
  <c r="AO418" i="9"/>
  <c r="AP418" i="9"/>
  <c r="AQ418" i="9"/>
  <c r="AR418" i="9"/>
  <c r="AS418" i="9"/>
  <c r="AT418" i="9"/>
  <c r="AW418" i="9"/>
  <c r="AX418" i="9"/>
  <c r="AY418" i="9"/>
  <c r="AZ418" i="9"/>
  <c r="BA418" i="9"/>
  <c r="BB418" i="9"/>
  <c r="BC418" i="9"/>
  <c r="AM419" i="9"/>
  <c r="AN419" i="9"/>
  <c r="AO419" i="9"/>
  <c r="AP419" i="9"/>
  <c r="AQ419" i="9"/>
  <c r="AR419" i="9"/>
  <c r="AS419" i="9"/>
  <c r="AT419" i="9"/>
  <c r="AW419" i="9"/>
  <c r="AX419" i="9"/>
  <c r="AY419" i="9"/>
  <c r="AZ419" i="9"/>
  <c r="BA419" i="9"/>
  <c r="BB419" i="9"/>
  <c r="BC419" i="9"/>
  <c r="AM420" i="9"/>
  <c r="AN420" i="9"/>
  <c r="AO420" i="9"/>
  <c r="AP420" i="9"/>
  <c r="AQ420" i="9"/>
  <c r="AR420" i="9"/>
  <c r="AS420" i="9"/>
  <c r="AT420" i="9"/>
  <c r="AW420" i="9"/>
  <c r="AX420" i="9"/>
  <c r="AY420" i="9"/>
  <c r="AZ420" i="9"/>
  <c r="BA420" i="9"/>
  <c r="BB420" i="9"/>
  <c r="BC420" i="9"/>
  <c r="AM421" i="9"/>
  <c r="AN421" i="9"/>
  <c r="AO421" i="9"/>
  <c r="AP421" i="9"/>
  <c r="AQ421" i="9"/>
  <c r="AR421" i="9"/>
  <c r="AS421" i="9"/>
  <c r="AT421" i="9"/>
  <c r="AW421" i="9"/>
  <c r="AX421" i="9"/>
  <c r="AY421" i="9"/>
  <c r="AZ421" i="9"/>
  <c r="BA421" i="9"/>
  <c r="BB421" i="9"/>
  <c r="BC421" i="9"/>
  <c r="AM422" i="9"/>
  <c r="AN422" i="9"/>
  <c r="AO422" i="9"/>
  <c r="AP422" i="9"/>
  <c r="AQ422" i="9"/>
  <c r="AR422" i="9"/>
  <c r="AS422" i="9"/>
  <c r="AT422" i="9"/>
  <c r="AW422" i="9"/>
  <c r="AX422" i="9"/>
  <c r="AY422" i="9"/>
  <c r="AZ422" i="9"/>
  <c r="BA422" i="9"/>
  <c r="BB422" i="9"/>
  <c r="BC422" i="9"/>
  <c r="AM423" i="9"/>
  <c r="AN423" i="9"/>
  <c r="AO423" i="9"/>
  <c r="AP423" i="9"/>
  <c r="AQ423" i="9"/>
  <c r="AR423" i="9"/>
  <c r="AS423" i="9"/>
  <c r="AT423" i="9"/>
  <c r="AW423" i="9"/>
  <c r="AX423" i="9"/>
  <c r="AY423" i="9"/>
  <c r="AZ423" i="9"/>
  <c r="BA423" i="9"/>
  <c r="BB423" i="9"/>
  <c r="BC423" i="9"/>
  <c r="AM424" i="9"/>
  <c r="AN424" i="9"/>
  <c r="AO424" i="9"/>
  <c r="AP424" i="9"/>
  <c r="AQ424" i="9"/>
  <c r="AR424" i="9"/>
  <c r="AS424" i="9"/>
  <c r="AT424" i="9"/>
  <c r="AW424" i="9"/>
  <c r="AX424" i="9"/>
  <c r="AY424" i="9"/>
  <c r="AZ424" i="9"/>
  <c r="BA424" i="9"/>
  <c r="BB424" i="9"/>
  <c r="BC424" i="9"/>
  <c r="AM425" i="9"/>
  <c r="AN425" i="9"/>
  <c r="AO425" i="9"/>
  <c r="AP425" i="9"/>
  <c r="AQ425" i="9"/>
  <c r="AR425" i="9"/>
  <c r="AS425" i="9"/>
  <c r="AT425" i="9"/>
  <c r="AW425" i="9"/>
  <c r="AX425" i="9"/>
  <c r="AY425" i="9"/>
  <c r="AZ425" i="9"/>
  <c r="BA425" i="9"/>
  <c r="BB425" i="9"/>
  <c r="BC425" i="9"/>
  <c r="AM426" i="9"/>
  <c r="AN426" i="9"/>
  <c r="AO426" i="9"/>
  <c r="AP426" i="9"/>
  <c r="AQ426" i="9"/>
  <c r="AR426" i="9"/>
  <c r="AS426" i="9"/>
  <c r="AT426" i="9"/>
  <c r="AW426" i="9"/>
  <c r="AX426" i="9"/>
  <c r="AY426" i="9"/>
  <c r="AZ426" i="9"/>
  <c r="BA426" i="9"/>
  <c r="BB426" i="9"/>
  <c r="BC426" i="9"/>
  <c r="AM427" i="9"/>
  <c r="AN427" i="9"/>
  <c r="AO427" i="9"/>
  <c r="AP427" i="9"/>
  <c r="AQ427" i="9"/>
  <c r="AR427" i="9"/>
  <c r="AS427" i="9"/>
  <c r="AT427" i="9"/>
  <c r="AW427" i="9"/>
  <c r="AX427" i="9"/>
  <c r="AY427" i="9"/>
  <c r="AZ427" i="9"/>
  <c r="BA427" i="9"/>
  <c r="BB427" i="9"/>
  <c r="BC427" i="9"/>
  <c r="AM428" i="9"/>
  <c r="AN428" i="9"/>
  <c r="AO428" i="9"/>
  <c r="AP428" i="9"/>
  <c r="AQ428" i="9"/>
  <c r="AR428" i="9"/>
  <c r="AS428" i="9"/>
  <c r="AT428" i="9"/>
  <c r="AW428" i="9"/>
  <c r="AX428" i="9"/>
  <c r="AY428" i="9"/>
  <c r="AZ428" i="9"/>
  <c r="BA428" i="9"/>
  <c r="BB428" i="9"/>
  <c r="BC428" i="9"/>
  <c r="AM429" i="9"/>
  <c r="AN429" i="9"/>
  <c r="AO429" i="9"/>
  <c r="AP429" i="9"/>
  <c r="AQ429" i="9"/>
  <c r="AR429" i="9"/>
  <c r="AS429" i="9"/>
  <c r="AT429" i="9"/>
  <c r="AW429" i="9"/>
  <c r="AX429" i="9"/>
  <c r="AY429" i="9"/>
  <c r="AZ429" i="9"/>
  <c r="BA429" i="9"/>
  <c r="BB429" i="9"/>
  <c r="BC429" i="9"/>
  <c r="AM430" i="9"/>
  <c r="AN430" i="9"/>
  <c r="AO430" i="9"/>
  <c r="AP430" i="9"/>
  <c r="AQ430" i="9"/>
  <c r="AR430" i="9"/>
  <c r="AS430" i="9"/>
  <c r="AT430" i="9"/>
  <c r="AW430" i="9"/>
  <c r="AX430" i="9"/>
  <c r="AY430" i="9"/>
  <c r="AZ430" i="9"/>
  <c r="BA430" i="9"/>
  <c r="BB430" i="9"/>
  <c r="BC430" i="9"/>
  <c r="AM431" i="9"/>
  <c r="AN431" i="9"/>
  <c r="AO431" i="9"/>
  <c r="AP431" i="9"/>
  <c r="AQ431" i="9"/>
  <c r="AR431" i="9"/>
  <c r="AS431" i="9"/>
  <c r="AT431" i="9"/>
  <c r="AW431" i="9"/>
  <c r="AX431" i="9"/>
  <c r="AY431" i="9"/>
  <c r="AZ431" i="9"/>
  <c r="BA431" i="9"/>
  <c r="BB431" i="9"/>
  <c r="BC431" i="9"/>
  <c r="AM432" i="9"/>
  <c r="AN432" i="9"/>
  <c r="AO432" i="9"/>
  <c r="AP432" i="9"/>
  <c r="AQ432" i="9"/>
  <c r="AR432" i="9"/>
  <c r="AS432" i="9"/>
  <c r="AT432" i="9"/>
  <c r="AW432" i="9"/>
  <c r="AX432" i="9"/>
  <c r="AY432" i="9"/>
  <c r="AZ432" i="9"/>
  <c r="BA432" i="9"/>
  <c r="BB432" i="9"/>
  <c r="BC432" i="9"/>
  <c r="AM433" i="9"/>
  <c r="AN433" i="9"/>
  <c r="AO433" i="9"/>
  <c r="AP433" i="9"/>
  <c r="AQ433" i="9"/>
  <c r="AR433" i="9"/>
  <c r="AS433" i="9"/>
  <c r="AT433" i="9"/>
  <c r="AW433" i="9"/>
  <c r="AX433" i="9"/>
  <c r="AY433" i="9"/>
  <c r="AZ433" i="9"/>
  <c r="BA433" i="9"/>
  <c r="BB433" i="9"/>
  <c r="BC433" i="9"/>
  <c r="AM434" i="9"/>
  <c r="AN434" i="9"/>
  <c r="AO434" i="9"/>
  <c r="AP434" i="9"/>
  <c r="AQ434" i="9"/>
  <c r="AR434" i="9"/>
  <c r="AS434" i="9"/>
  <c r="AT434" i="9"/>
  <c r="AW434" i="9"/>
  <c r="AX434" i="9"/>
  <c r="AY434" i="9"/>
  <c r="AZ434" i="9"/>
  <c r="BA434" i="9"/>
  <c r="BB434" i="9"/>
  <c r="BC434" i="9"/>
  <c r="AM435" i="9"/>
  <c r="AN435" i="9"/>
  <c r="AO435" i="9"/>
  <c r="AP435" i="9"/>
  <c r="AQ435" i="9"/>
  <c r="AR435" i="9"/>
  <c r="AS435" i="9"/>
  <c r="AT435" i="9"/>
  <c r="AW435" i="9"/>
  <c r="AX435" i="9"/>
  <c r="AY435" i="9"/>
  <c r="AZ435" i="9"/>
  <c r="BA435" i="9"/>
  <c r="BB435" i="9"/>
  <c r="BC435" i="9"/>
  <c r="AM436" i="9"/>
  <c r="AN436" i="9"/>
  <c r="AO436" i="9"/>
  <c r="AP436" i="9"/>
  <c r="AQ436" i="9"/>
  <c r="AR436" i="9"/>
  <c r="AS436" i="9"/>
  <c r="AT436" i="9"/>
  <c r="AW436" i="9"/>
  <c r="AX436" i="9"/>
  <c r="AY436" i="9"/>
  <c r="AZ436" i="9"/>
  <c r="BA436" i="9"/>
  <c r="BB436" i="9"/>
  <c r="BC436" i="9"/>
  <c r="AM437" i="9"/>
  <c r="AN437" i="9"/>
  <c r="AO437" i="9"/>
  <c r="AP437" i="9"/>
  <c r="AQ437" i="9"/>
  <c r="AR437" i="9"/>
  <c r="AS437" i="9"/>
  <c r="AT437" i="9"/>
  <c r="AW437" i="9"/>
  <c r="AX437" i="9"/>
  <c r="AY437" i="9"/>
  <c r="AZ437" i="9"/>
  <c r="BA437" i="9"/>
  <c r="BB437" i="9"/>
  <c r="BC437" i="9"/>
  <c r="AM438" i="9"/>
  <c r="AN438" i="9"/>
  <c r="AO438" i="9"/>
  <c r="AP438" i="9"/>
  <c r="AQ438" i="9"/>
  <c r="AR438" i="9"/>
  <c r="AS438" i="9"/>
  <c r="AT438" i="9"/>
  <c r="AW438" i="9"/>
  <c r="AX438" i="9"/>
  <c r="AY438" i="9"/>
  <c r="AZ438" i="9"/>
  <c r="BA438" i="9"/>
  <c r="BB438" i="9"/>
  <c r="BC438" i="9"/>
  <c r="AM439" i="9"/>
  <c r="AN439" i="9"/>
  <c r="AO439" i="9"/>
  <c r="AP439" i="9"/>
  <c r="AQ439" i="9"/>
  <c r="AR439" i="9"/>
  <c r="AS439" i="9"/>
  <c r="AT439" i="9"/>
  <c r="AW439" i="9"/>
  <c r="AX439" i="9"/>
  <c r="AY439" i="9"/>
  <c r="AZ439" i="9"/>
  <c r="BA439" i="9"/>
  <c r="BB439" i="9"/>
  <c r="BC439" i="9"/>
  <c r="AM440" i="9"/>
  <c r="AN440" i="9"/>
  <c r="AO440" i="9"/>
  <c r="AP440" i="9"/>
  <c r="AQ440" i="9"/>
  <c r="AR440" i="9"/>
  <c r="AS440" i="9"/>
  <c r="AT440" i="9"/>
  <c r="AW440" i="9"/>
  <c r="AX440" i="9"/>
  <c r="AY440" i="9"/>
  <c r="AZ440" i="9"/>
  <c r="BA440" i="9"/>
  <c r="BB440" i="9"/>
  <c r="BC440" i="9"/>
  <c r="AM441" i="9"/>
  <c r="AN441" i="9"/>
  <c r="AO441" i="9"/>
  <c r="AP441" i="9"/>
  <c r="AQ441" i="9"/>
  <c r="AR441" i="9"/>
  <c r="AS441" i="9"/>
  <c r="AT441" i="9"/>
  <c r="AW441" i="9"/>
  <c r="AX441" i="9"/>
  <c r="AY441" i="9"/>
  <c r="AZ441" i="9"/>
  <c r="BA441" i="9"/>
  <c r="BB441" i="9"/>
  <c r="BC441" i="9"/>
  <c r="AM442" i="9"/>
  <c r="AN442" i="9"/>
  <c r="AO442" i="9"/>
  <c r="AP442" i="9"/>
  <c r="AQ442" i="9"/>
  <c r="AR442" i="9"/>
  <c r="AS442" i="9"/>
  <c r="AT442" i="9"/>
  <c r="AW442" i="9"/>
  <c r="AX442" i="9"/>
  <c r="AY442" i="9"/>
  <c r="AZ442" i="9"/>
  <c r="BA442" i="9"/>
  <c r="BB442" i="9"/>
  <c r="BC442" i="9"/>
  <c r="AM443" i="9"/>
  <c r="AN443" i="9"/>
  <c r="AO443" i="9"/>
  <c r="AP443" i="9"/>
  <c r="AQ443" i="9"/>
  <c r="AR443" i="9"/>
  <c r="AS443" i="9"/>
  <c r="AT443" i="9"/>
  <c r="AW443" i="9"/>
  <c r="AX443" i="9"/>
  <c r="AY443" i="9"/>
  <c r="AZ443" i="9"/>
  <c r="BA443" i="9"/>
  <c r="BB443" i="9"/>
  <c r="BC443" i="9"/>
  <c r="AM444" i="9"/>
  <c r="AN444" i="9"/>
  <c r="AO444" i="9"/>
  <c r="AP444" i="9"/>
  <c r="AQ444" i="9"/>
  <c r="AR444" i="9"/>
  <c r="AS444" i="9"/>
  <c r="AT444" i="9"/>
  <c r="AW444" i="9"/>
  <c r="AX444" i="9"/>
  <c r="AY444" i="9"/>
  <c r="AZ444" i="9"/>
  <c r="BA444" i="9"/>
  <c r="BB444" i="9"/>
  <c r="BC444" i="9"/>
  <c r="AM445" i="9"/>
  <c r="AN445" i="9"/>
  <c r="AO445" i="9"/>
  <c r="AP445" i="9"/>
  <c r="AQ445" i="9"/>
  <c r="AR445" i="9"/>
  <c r="AS445" i="9"/>
  <c r="AT445" i="9"/>
  <c r="AW445" i="9"/>
  <c r="AX445" i="9"/>
  <c r="AY445" i="9"/>
  <c r="AZ445" i="9"/>
  <c r="BA445" i="9"/>
  <c r="BB445" i="9"/>
  <c r="BC445" i="9"/>
  <c r="AM446" i="9"/>
  <c r="AN446" i="9"/>
  <c r="AO446" i="9"/>
  <c r="AP446" i="9"/>
  <c r="AQ446" i="9"/>
  <c r="AR446" i="9"/>
  <c r="AS446" i="9"/>
  <c r="AT446" i="9"/>
  <c r="AW446" i="9"/>
  <c r="AX446" i="9"/>
  <c r="AY446" i="9"/>
  <c r="AZ446" i="9"/>
  <c r="BA446" i="9"/>
  <c r="BB446" i="9"/>
  <c r="BC446" i="9"/>
  <c r="AM447" i="9"/>
  <c r="AN447" i="9"/>
  <c r="AO447" i="9"/>
  <c r="AP447" i="9"/>
  <c r="AQ447" i="9"/>
  <c r="AR447" i="9"/>
  <c r="AS447" i="9"/>
  <c r="AT447" i="9"/>
  <c r="AW447" i="9"/>
  <c r="AX447" i="9"/>
  <c r="AY447" i="9"/>
  <c r="AZ447" i="9"/>
  <c r="BA447" i="9"/>
  <c r="BB447" i="9"/>
  <c r="BC447" i="9"/>
  <c r="AM448" i="9"/>
  <c r="AN448" i="9"/>
  <c r="AO448" i="9"/>
  <c r="AP448" i="9"/>
  <c r="AQ448" i="9"/>
  <c r="AR448" i="9"/>
  <c r="AS448" i="9"/>
  <c r="AT448" i="9"/>
  <c r="AW448" i="9"/>
  <c r="AX448" i="9"/>
  <c r="AY448" i="9"/>
  <c r="AZ448" i="9"/>
  <c r="BA448" i="9"/>
  <c r="BB448" i="9"/>
  <c r="BC448" i="9"/>
  <c r="AM449" i="9"/>
  <c r="AN449" i="9"/>
  <c r="AO449" i="9"/>
  <c r="AP449" i="9"/>
  <c r="AQ449" i="9"/>
  <c r="AR449" i="9"/>
  <c r="AS449" i="9"/>
  <c r="AT449" i="9"/>
  <c r="AW449" i="9"/>
  <c r="AX449" i="9"/>
  <c r="AY449" i="9"/>
  <c r="AZ449" i="9"/>
  <c r="BA449" i="9"/>
  <c r="BB449" i="9"/>
  <c r="BC449" i="9"/>
  <c r="AM450" i="9"/>
  <c r="AN450" i="9"/>
  <c r="AO450" i="9"/>
  <c r="AP450" i="9"/>
  <c r="AQ450" i="9"/>
  <c r="AR450" i="9"/>
  <c r="AS450" i="9"/>
  <c r="AT450" i="9"/>
  <c r="AW450" i="9"/>
  <c r="AX450" i="9"/>
  <c r="AY450" i="9"/>
  <c r="AZ450" i="9"/>
  <c r="BA450" i="9"/>
  <c r="BB450" i="9"/>
  <c r="BC450" i="9"/>
  <c r="AM451" i="9"/>
  <c r="AN451" i="9"/>
  <c r="AO451" i="9"/>
  <c r="AP451" i="9"/>
  <c r="AQ451" i="9"/>
  <c r="AR451" i="9"/>
  <c r="AS451" i="9"/>
  <c r="AT451" i="9"/>
  <c r="AW451" i="9"/>
  <c r="AX451" i="9"/>
  <c r="AY451" i="9"/>
  <c r="AZ451" i="9"/>
  <c r="BA451" i="9"/>
  <c r="BB451" i="9"/>
  <c r="BC451" i="9"/>
  <c r="AM452" i="9"/>
  <c r="AN452" i="9"/>
  <c r="AO452" i="9"/>
  <c r="AP452" i="9"/>
  <c r="AQ452" i="9"/>
  <c r="AR452" i="9"/>
  <c r="AS452" i="9"/>
  <c r="AT452" i="9"/>
  <c r="AW452" i="9"/>
  <c r="AX452" i="9"/>
  <c r="AY452" i="9"/>
  <c r="AZ452" i="9"/>
  <c r="BA452" i="9"/>
  <c r="BB452" i="9"/>
  <c r="BC452" i="9"/>
  <c r="AM453" i="9"/>
  <c r="AN453" i="9"/>
  <c r="AO453" i="9"/>
  <c r="AP453" i="9"/>
  <c r="AQ453" i="9"/>
  <c r="AR453" i="9"/>
  <c r="AS453" i="9"/>
  <c r="AT453" i="9"/>
  <c r="AW453" i="9"/>
  <c r="AX453" i="9"/>
  <c r="AY453" i="9"/>
  <c r="AZ453" i="9"/>
  <c r="BA453" i="9"/>
  <c r="BB453" i="9"/>
  <c r="BC453" i="9"/>
  <c r="AM454" i="9"/>
  <c r="AN454" i="9"/>
  <c r="AO454" i="9"/>
  <c r="AP454" i="9"/>
  <c r="AQ454" i="9"/>
  <c r="AR454" i="9"/>
  <c r="AS454" i="9"/>
  <c r="AT454" i="9"/>
  <c r="AW454" i="9"/>
  <c r="AX454" i="9"/>
  <c r="AY454" i="9"/>
  <c r="AZ454" i="9"/>
  <c r="BA454" i="9"/>
  <c r="BB454" i="9"/>
  <c r="BC454" i="9"/>
  <c r="AM455" i="9"/>
  <c r="AN455" i="9"/>
  <c r="AO455" i="9"/>
  <c r="AP455" i="9"/>
  <c r="AQ455" i="9"/>
  <c r="AR455" i="9"/>
  <c r="AS455" i="9"/>
  <c r="AT455" i="9"/>
  <c r="AW455" i="9"/>
  <c r="AX455" i="9"/>
  <c r="AY455" i="9"/>
  <c r="AZ455" i="9"/>
  <c r="BA455" i="9"/>
  <c r="BB455" i="9"/>
  <c r="BC455" i="9"/>
  <c r="AM456" i="9"/>
  <c r="AN456" i="9"/>
  <c r="AO456" i="9"/>
  <c r="AP456" i="9"/>
  <c r="AQ456" i="9"/>
  <c r="AR456" i="9"/>
  <c r="AS456" i="9"/>
  <c r="AT456" i="9"/>
  <c r="AW456" i="9"/>
  <c r="AX456" i="9"/>
  <c r="AY456" i="9"/>
  <c r="AZ456" i="9"/>
  <c r="BA456" i="9"/>
  <c r="BB456" i="9"/>
  <c r="BC456" i="9"/>
  <c r="AM457" i="9"/>
  <c r="AN457" i="9"/>
  <c r="AO457" i="9"/>
  <c r="AP457" i="9"/>
  <c r="AQ457" i="9"/>
  <c r="AR457" i="9"/>
  <c r="AS457" i="9"/>
  <c r="AT457" i="9"/>
  <c r="AW457" i="9"/>
  <c r="AX457" i="9"/>
  <c r="AY457" i="9"/>
  <c r="AZ457" i="9"/>
  <c r="BA457" i="9"/>
  <c r="BB457" i="9"/>
  <c r="BC457" i="9"/>
  <c r="AM458" i="9"/>
  <c r="AN458" i="9"/>
  <c r="AO458" i="9"/>
  <c r="AP458" i="9"/>
  <c r="AQ458" i="9"/>
  <c r="AR458" i="9"/>
  <c r="AS458" i="9"/>
  <c r="AT458" i="9"/>
  <c r="AW458" i="9"/>
  <c r="AX458" i="9"/>
  <c r="AY458" i="9"/>
  <c r="AZ458" i="9"/>
  <c r="BA458" i="9"/>
  <c r="BB458" i="9"/>
  <c r="BC458" i="9"/>
  <c r="AM459" i="9"/>
  <c r="AN459" i="9"/>
  <c r="AO459" i="9"/>
  <c r="AP459" i="9"/>
  <c r="AQ459" i="9"/>
  <c r="AR459" i="9"/>
  <c r="AS459" i="9"/>
  <c r="AT459" i="9"/>
  <c r="AW459" i="9"/>
  <c r="AX459" i="9"/>
  <c r="AY459" i="9"/>
  <c r="AZ459" i="9"/>
  <c r="BA459" i="9"/>
  <c r="BB459" i="9"/>
  <c r="BC459" i="9"/>
  <c r="AM460" i="9"/>
  <c r="AN460" i="9"/>
  <c r="AO460" i="9"/>
  <c r="AP460" i="9"/>
  <c r="AQ460" i="9"/>
  <c r="AR460" i="9"/>
  <c r="AS460" i="9"/>
  <c r="AT460" i="9"/>
  <c r="AW460" i="9"/>
  <c r="AX460" i="9"/>
  <c r="AY460" i="9"/>
  <c r="AZ460" i="9"/>
  <c r="BA460" i="9"/>
  <c r="BB460" i="9"/>
  <c r="BC460" i="9"/>
  <c r="AM461" i="9"/>
  <c r="AN461" i="9"/>
  <c r="AO461" i="9"/>
  <c r="AP461" i="9"/>
  <c r="AQ461" i="9"/>
  <c r="AR461" i="9"/>
  <c r="AS461" i="9"/>
  <c r="AT461" i="9"/>
  <c r="AW461" i="9"/>
  <c r="AX461" i="9"/>
  <c r="AY461" i="9"/>
  <c r="AZ461" i="9"/>
  <c r="BA461" i="9"/>
  <c r="BB461" i="9"/>
  <c r="BC461" i="9"/>
  <c r="AM462" i="9"/>
  <c r="AN462" i="9"/>
  <c r="AO462" i="9"/>
  <c r="AP462" i="9"/>
  <c r="AQ462" i="9"/>
  <c r="AR462" i="9"/>
  <c r="AS462" i="9"/>
  <c r="AT462" i="9"/>
  <c r="AW462" i="9"/>
  <c r="AX462" i="9"/>
  <c r="AY462" i="9"/>
  <c r="AZ462" i="9"/>
  <c r="BA462" i="9"/>
  <c r="BB462" i="9"/>
  <c r="BC462" i="9"/>
  <c r="AM463" i="9"/>
  <c r="AN463" i="9"/>
  <c r="AO463" i="9"/>
  <c r="AP463" i="9"/>
  <c r="AQ463" i="9"/>
  <c r="AR463" i="9"/>
  <c r="AS463" i="9"/>
  <c r="AT463" i="9"/>
  <c r="AW463" i="9"/>
  <c r="AX463" i="9"/>
  <c r="AY463" i="9"/>
  <c r="AZ463" i="9"/>
  <c r="BA463" i="9"/>
  <c r="BB463" i="9"/>
  <c r="BC463" i="9"/>
  <c r="AM464" i="9"/>
  <c r="AN464" i="9"/>
  <c r="AO464" i="9"/>
  <c r="AP464" i="9"/>
  <c r="AQ464" i="9"/>
  <c r="AR464" i="9"/>
  <c r="AS464" i="9"/>
  <c r="AT464" i="9"/>
  <c r="AW464" i="9"/>
  <c r="AX464" i="9"/>
  <c r="AY464" i="9"/>
  <c r="AZ464" i="9"/>
  <c r="BA464" i="9"/>
  <c r="BB464" i="9"/>
  <c r="BC464" i="9"/>
  <c r="AM465" i="9"/>
  <c r="AN465" i="9"/>
  <c r="AO465" i="9"/>
  <c r="AP465" i="9"/>
  <c r="AQ465" i="9"/>
  <c r="AR465" i="9"/>
  <c r="AS465" i="9"/>
  <c r="AT465" i="9"/>
  <c r="AW465" i="9"/>
  <c r="AX465" i="9"/>
  <c r="AY465" i="9"/>
  <c r="AZ465" i="9"/>
  <c r="BA465" i="9"/>
  <c r="BB465" i="9"/>
  <c r="BC465" i="9"/>
  <c r="AM466" i="9"/>
  <c r="AN466" i="9"/>
  <c r="AO466" i="9"/>
  <c r="AP466" i="9"/>
  <c r="AQ466" i="9"/>
  <c r="AR466" i="9"/>
  <c r="AS466" i="9"/>
  <c r="AT466" i="9"/>
  <c r="AW466" i="9"/>
  <c r="AX466" i="9"/>
  <c r="AY466" i="9"/>
  <c r="AZ466" i="9"/>
  <c r="BA466" i="9"/>
  <c r="BB466" i="9"/>
  <c r="BC466" i="9"/>
  <c r="AM467" i="9"/>
  <c r="AN467" i="9"/>
  <c r="AO467" i="9"/>
  <c r="AP467" i="9"/>
  <c r="AQ467" i="9"/>
  <c r="AR467" i="9"/>
  <c r="AS467" i="9"/>
  <c r="AT467" i="9"/>
  <c r="AW467" i="9"/>
  <c r="AX467" i="9"/>
  <c r="AY467" i="9"/>
  <c r="AZ467" i="9"/>
  <c r="BA467" i="9"/>
  <c r="BB467" i="9"/>
  <c r="BC467" i="9"/>
  <c r="AM468" i="9"/>
  <c r="AN468" i="9"/>
  <c r="AO468" i="9"/>
  <c r="AP468" i="9"/>
  <c r="AQ468" i="9"/>
  <c r="AR468" i="9"/>
  <c r="AS468" i="9"/>
  <c r="AT468" i="9"/>
  <c r="AW468" i="9"/>
  <c r="AX468" i="9"/>
  <c r="AY468" i="9"/>
  <c r="AZ468" i="9"/>
  <c r="BA468" i="9"/>
  <c r="BB468" i="9"/>
  <c r="BC468" i="9"/>
  <c r="AM469" i="9"/>
  <c r="AN469" i="9"/>
  <c r="AO469" i="9"/>
  <c r="AP469" i="9"/>
  <c r="AQ469" i="9"/>
  <c r="AR469" i="9"/>
  <c r="AS469" i="9"/>
  <c r="AT469" i="9"/>
  <c r="AW469" i="9"/>
  <c r="AX469" i="9"/>
  <c r="AY469" i="9"/>
  <c r="AZ469" i="9"/>
  <c r="BA469" i="9"/>
  <c r="BB469" i="9"/>
  <c r="BC469" i="9"/>
  <c r="AM470" i="9"/>
  <c r="AN470" i="9"/>
  <c r="AO470" i="9"/>
  <c r="AP470" i="9"/>
  <c r="AQ470" i="9"/>
  <c r="AR470" i="9"/>
  <c r="AS470" i="9"/>
  <c r="AT470" i="9"/>
  <c r="AW470" i="9"/>
  <c r="AX470" i="9"/>
  <c r="AY470" i="9"/>
  <c r="AZ470" i="9"/>
  <c r="BA470" i="9"/>
  <c r="BB470" i="9"/>
  <c r="BC470" i="9"/>
  <c r="AM471" i="9"/>
  <c r="AN471" i="9"/>
  <c r="AO471" i="9"/>
  <c r="AP471" i="9"/>
  <c r="AQ471" i="9"/>
  <c r="AR471" i="9"/>
  <c r="AS471" i="9"/>
  <c r="AT471" i="9"/>
  <c r="AW471" i="9"/>
  <c r="AX471" i="9"/>
  <c r="AY471" i="9"/>
  <c r="AZ471" i="9"/>
  <c r="BA471" i="9"/>
  <c r="BB471" i="9"/>
  <c r="BC471" i="9"/>
  <c r="AM472" i="9"/>
  <c r="AN472" i="9"/>
  <c r="AO472" i="9"/>
  <c r="AP472" i="9"/>
  <c r="AQ472" i="9"/>
  <c r="AR472" i="9"/>
  <c r="AS472" i="9"/>
  <c r="AT472" i="9"/>
  <c r="AW472" i="9"/>
  <c r="AX472" i="9"/>
  <c r="AY472" i="9"/>
  <c r="AZ472" i="9"/>
  <c r="BA472" i="9"/>
  <c r="BB472" i="9"/>
  <c r="BC472" i="9"/>
  <c r="AM473" i="9"/>
  <c r="AN473" i="9"/>
  <c r="AO473" i="9"/>
  <c r="AP473" i="9"/>
  <c r="AQ473" i="9"/>
  <c r="AR473" i="9"/>
  <c r="AS473" i="9"/>
  <c r="AT473" i="9"/>
  <c r="AW473" i="9"/>
  <c r="AX473" i="9"/>
  <c r="AY473" i="9"/>
  <c r="AZ473" i="9"/>
  <c r="BA473" i="9"/>
  <c r="BB473" i="9"/>
  <c r="BC473" i="9"/>
  <c r="AM474" i="9"/>
  <c r="AN474" i="9"/>
  <c r="AO474" i="9"/>
  <c r="AP474" i="9"/>
  <c r="AQ474" i="9"/>
  <c r="AR474" i="9"/>
  <c r="AS474" i="9"/>
  <c r="AT474" i="9"/>
  <c r="AW474" i="9"/>
  <c r="AX474" i="9"/>
  <c r="AY474" i="9"/>
  <c r="AZ474" i="9"/>
  <c r="BA474" i="9"/>
  <c r="BB474" i="9"/>
  <c r="BC474" i="9"/>
  <c r="AM475" i="9"/>
  <c r="AN475" i="9"/>
  <c r="AO475" i="9"/>
  <c r="AP475" i="9"/>
  <c r="AQ475" i="9"/>
  <c r="AR475" i="9"/>
  <c r="AS475" i="9"/>
  <c r="AT475" i="9"/>
  <c r="AW475" i="9"/>
  <c r="AX475" i="9"/>
  <c r="AY475" i="9"/>
  <c r="AZ475" i="9"/>
  <c r="BA475" i="9"/>
  <c r="BB475" i="9"/>
  <c r="BC475" i="9"/>
  <c r="AM476" i="9"/>
  <c r="AN476" i="9"/>
  <c r="AO476" i="9"/>
  <c r="AP476" i="9"/>
  <c r="AQ476" i="9"/>
  <c r="AR476" i="9"/>
  <c r="AS476" i="9"/>
  <c r="AT476" i="9"/>
  <c r="AW476" i="9"/>
  <c r="AX476" i="9"/>
  <c r="AY476" i="9"/>
  <c r="AZ476" i="9"/>
  <c r="BA476" i="9"/>
  <c r="BB476" i="9"/>
  <c r="BC476" i="9"/>
  <c r="AM477" i="9"/>
  <c r="AN477" i="9"/>
  <c r="AO477" i="9"/>
  <c r="AP477" i="9"/>
  <c r="AQ477" i="9"/>
  <c r="AR477" i="9"/>
  <c r="AS477" i="9"/>
  <c r="AT477" i="9"/>
  <c r="AW477" i="9"/>
  <c r="AX477" i="9"/>
  <c r="AY477" i="9"/>
  <c r="AZ477" i="9"/>
  <c r="BA477" i="9"/>
  <c r="BB477" i="9"/>
  <c r="BC477" i="9"/>
  <c r="AM478" i="9"/>
  <c r="AN478" i="9"/>
  <c r="AO478" i="9"/>
  <c r="AP478" i="9"/>
  <c r="AQ478" i="9"/>
  <c r="AR478" i="9"/>
  <c r="AS478" i="9"/>
  <c r="AT478" i="9"/>
  <c r="AW478" i="9"/>
  <c r="AX478" i="9"/>
  <c r="AY478" i="9"/>
  <c r="AZ478" i="9"/>
  <c r="BA478" i="9"/>
  <c r="BB478" i="9"/>
  <c r="BC478" i="9"/>
  <c r="AM479" i="9"/>
  <c r="AN479" i="9"/>
  <c r="AO479" i="9"/>
  <c r="AP479" i="9"/>
  <c r="AQ479" i="9"/>
  <c r="AR479" i="9"/>
  <c r="AS479" i="9"/>
  <c r="AT479" i="9"/>
  <c r="AW479" i="9"/>
  <c r="AX479" i="9"/>
  <c r="AY479" i="9"/>
  <c r="AZ479" i="9"/>
  <c r="BA479" i="9"/>
  <c r="BB479" i="9"/>
  <c r="BC479" i="9"/>
  <c r="AM480" i="9"/>
  <c r="AN480" i="9"/>
  <c r="AO480" i="9"/>
  <c r="AP480" i="9"/>
  <c r="AQ480" i="9"/>
  <c r="AR480" i="9"/>
  <c r="AS480" i="9"/>
  <c r="AT480" i="9"/>
  <c r="AW480" i="9"/>
  <c r="AX480" i="9"/>
  <c r="AY480" i="9"/>
  <c r="AZ480" i="9"/>
  <c r="BA480" i="9"/>
  <c r="BB480" i="9"/>
  <c r="BC480" i="9"/>
  <c r="AM481" i="9"/>
  <c r="AN481" i="9"/>
  <c r="AO481" i="9"/>
  <c r="AP481" i="9"/>
  <c r="AQ481" i="9"/>
  <c r="AR481" i="9"/>
  <c r="AS481" i="9"/>
  <c r="AT481" i="9"/>
  <c r="AW481" i="9"/>
  <c r="AX481" i="9"/>
  <c r="AY481" i="9"/>
  <c r="AZ481" i="9"/>
  <c r="BA481" i="9"/>
  <c r="BB481" i="9"/>
  <c r="BC481" i="9"/>
  <c r="AM482" i="9"/>
  <c r="AN482" i="9"/>
  <c r="AO482" i="9"/>
  <c r="AP482" i="9"/>
  <c r="AQ482" i="9"/>
  <c r="AR482" i="9"/>
  <c r="AS482" i="9"/>
  <c r="AT482" i="9"/>
  <c r="AW482" i="9"/>
  <c r="AX482" i="9"/>
  <c r="AY482" i="9"/>
  <c r="AZ482" i="9"/>
  <c r="BA482" i="9"/>
  <c r="BB482" i="9"/>
  <c r="BC482" i="9"/>
  <c r="AM483" i="9"/>
  <c r="AN483" i="9"/>
  <c r="AO483" i="9"/>
  <c r="AP483" i="9"/>
  <c r="AQ483" i="9"/>
  <c r="AR483" i="9"/>
  <c r="AS483" i="9"/>
  <c r="AT483" i="9"/>
  <c r="AW483" i="9"/>
  <c r="AX483" i="9"/>
  <c r="AY483" i="9"/>
  <c r="AZ483" i="9"/>
  <c r="BA483" i="9"/>
  <c r="BB483" i="9"/>
  <c r="BC483" i="9"/>
  <c r="AM484" i="9"/>
  <c r="AN484" i="9"/>
  <c r="AO484" i="9"/>
  <c r="AP484" i="9"/>
  <c r="AQ484" i="9"/>
  <c r="AR484" i="9"/>
  <c r="AS484" i="9"/>
  <c r="AT484" i="9"/>
  <c r="AW484" i="9"/>
  <c r="AX484" i="9"/>
  <c r="AY484" i="9"/>
  <c r="AZ484" i="9"/>
  <c r="BA484" i="9"/>
  <c r="BB484" i="9"/>
  <c r="BC484" i="9"/>
  <c r="AM485" i="9"/>
  <c r="AN485" i="9"/>
  <c r="AO485" i="9"/>
  <c r="AP485" i="9"/>
  <c r="AQ485" i="9"/>
  <c r="AR485" i="9"/>
  <c r="AS485" i="9"/>
  <c r="AT485" i="9"/>
  <c r="AW485" i="9"/>
  <c r="AX485" i="9"/>
  <c r="AY485" i="9"/>
  <c r="AZ485" i="9"/>
  <c r="BA485" i="9"/>
  <c r="BB485" i="9"/>
  <c r="BC485" i="9"/>
  <c r="AM486" i="9"/>
  <c r="AN486" i="9"/>
  <c r="AO486" i="9"/>
  <c r="AP486" i="9"/>
  <c r="AQ486" i="9"/>
  <c r="AR486" i="9"/>
  <c r="AS486" i="9"/>
  <c r="AT486" i="9"/>
  <c r="AW486" i="9"/>
  <c r="AX486" i="9"/>
  <c r="AY486" i="9"/>
  <c r="AZ486" i="9"/>
  <c r="BA486" i="9"/>
  <c r="BB486" i="9"/>
  <c r="BC486" i="9"/>
  <c r="AM487" i="9"/>
  <c r="AN487" i="9"/>
  <c r="AO487" i="9"/>
  <c r="AP487" i="9"/>
  <c r="AQ487" i="9"/>
  <c r="AR487" i="9"/>
  <c r="AS487" i="9"/>
  <c r="AT487" i="9"/>
  <c r="AW487" i="9"/>
  <c r="AX487" i="9"/>
  <c r="AY487" i="9"/>
  <c r="AZ487" i="9"/>
  <c r="BA487" i="9"/>
  <c r="BB487" i="9"/>
  <c r="BC487" i="9"/>
  <c r="AM488" i="9"/>
  <c r="AN488" i="9"/>
  <c r="AO488" i="9"/>
  <c r="AP488" i="9"/>
  <c r="AQ488" i="9"/>
  <c r="AR488" i="9"/>
  <c r="AS488" i="9"/>
  <c r="AT488" i="9"/>
  <c r="AW488" i="9"/>
  <c r="AX488" i="9"/>
  <c r="AY488" i="9"/>
  <c r="AZ488" i="9"/>
  <c r="BA488" i="9"/>
  <c r="BB488" i="9"/>
  <c r="BC488" i="9"/>
  <c r="AM489" i="9"/>
  <c r="AN489" i="9"/>
  <c r="AO489" i="9"/>
  <c r="AP489" i="9"/>
  <c r="AQ489" i="9"/>
  <c r="AR489" i="9"/>
  <c r="AS489" i="9"/>
  <c r="AT489" i="9"/>
  <c r="AW489" i="9"/>
  <c r="AX489" i="9"/>
  <c r="AY489" i="9"/>
  <c r="AZ489" i="9"/>
  <c r="BA489" i="9"/>
  <c r="BB489" i="9"/>
  <c r="BC489" i="9"/>
  <c r="AM490" i="9"/>
  <c r="AN490" i="9"/>
  <c r="AO490" i="9"/>
  <c r="AP490" i="9"/>
  <c r="AQ490" i="9"/>
  <c r="AR490" i="9"/>
  <c r="AS490" i="9"/>
  <c r="AT490" i="9"/>
  <c r="AW490" i="9"/>
  <c r="AX490" i="9"/>
  <c r="AY490" i="9"/>
  <c r="AZ490" i="9"/>
  <c r="BA490" i="9"/>
  <c r="BB490" i="9"/>
  <c r="BC490" i="9"/>
  <c r="AM491" i="9"/>
  <c r="AN491" i="9"/>
  <c r="AO491" i="9"/>
  <c r="AP491" i="9"/>
  <c r="AQ491" i="9"/>
  <c r="AR491" i="9"/>
  <c r="AS491" i="9"/>
  <c r="AT491" i="9"/>
  <c r="AW491" i="9"/>
  <c r="AX491" i="9"/>
  <c r="AY491" i="9"/>
  <c r="AZ491" i="9"/>
  <c r="BA491" i="9"/>
  <c r="BB491" i="9"/>
  <c r="BC491" i="9"/>
  <c r="AM492" i="9"/>
  <c r="AN492" i="9"/>
  <c r="AO492" i="9"/>
  <c r="AP492" i="9"/>
  <c r="AQ492" i="9"/>
  <c r="AR492" i="9"/>
  <c r="AS492" i="9"/>
  <c r="AT492" i="9"/>
  <c r="AW492" i="9"/>
  <c r="AX492" i="9"/>
  <c r="AY492" i="9"/>
  <c r="AZ492" i="9"/>
  <c r="BA492" i="9"/>
  <c r="BB492" i="9"/>
  <c r="BC492" i="9"/>
  <c r="AM493" i="9"/>
  <c r="AN493" i="9"/>
  <c r="AO493" i="9"/>
  <c r="AP493" i="9"/>
  <c r="AQ493" i="9"/>
  <c r="AR493" i="9"/>
  <c r="AS493" i="9"/>
  <c r="AT493" i="9"/>
  <c r="AW493" i="9"/>
  <c r="AX493" i="9"/>
  <c r="AY493" i="9"/>
  <c r="AZ493" i="9"/>
  <c r="BA493" i="9"/>
  <c r="BB493" i="9"/>
  <c r="BC493" i="9"/>
  <c r="AM494" i="9"/>
  <c r="AN494" i="9"/>
  <c r="AO494" i="9"/>
  <c r="AP494" i="9"/>
  <c r="AQ494" i="9"/>
  <c r="AR494" i="9"/>
  <c r="AS494" i="9"/>
  <c r="AT494" i="9"/>
  <c r="AW494" i="9"/>
  <c r="AX494" i="9"/>
  <c r="AY494" i="9"/>
  <c r="AZ494" i="9"/>
  <c r="BA494" i="9"/>
  <c r="BB494" i="9"/>
  <c r="BC494" i="9"/>
  <c r="AM495" i="9"/>
  <c r="AN495" i="9"/>
  <c r="AO495" i="9"/>
  <c r="AP495" i="9"/>
  <c r="AQ495" i="9"/>
  <c r="AR495" i="9"/>
  <c r="AS495" i="9"/>
  <c r="AT495" i="9"/>
  <c r="AW495" i="9"/>
  <c r="AX495" i="9"/>
  <c r="AY495" i="9"/>
  <c r="AZ495" i="9"/>
  <c r="BA495" i="9"/>
  <c r="BB495" i="9"/>
  <c r="BC495" i="9"/>
  <c r="AM496" i="9"/>
  <c r="AN496" i="9"/>
  <c r="AO496" i="9"/>
  <c r="AP496" i="9"/>
  <c r="AQ496" i="9"/>
  <c r="AR496" i="9"/>
  <c r="AS496" i="9"/>
  <c r="AT496" i="9"/>
  <c r="AW496" i="9"/>
  <c r="AX496" i="9"/>
  <c r="AY496" i="9"/>
  <c r="AZ496" i="9"/>
  <c r="BA496" i="9"/>
  <c r="BB496" i="9"/>
  <c r="BC496" i="9"/>
  <c r="AM497" i="9"/>
  <c r="AN497" i="9"/>
  <c r="AO497" i="9"/>
  <c r="AP497" i="9"/>
  <c r="AQ497" i="9"/>
  <c r="AR497" i="9"/>
  <c r="AS497" i="9"/>
  <c r="AT497" i="9"/>
  <c r="AW497" i="9"/>
  <c r="AX497" i="9"/>
  <c r="AY497" i="9"/>
  <c r="AZ497" i="9"/>
  <c r="BA497" i="9"/>
  <c r="BB497" i="9"/>
  <c r="BC497" i="9"/>
  <c r="AM498" i="9"/>
  <c r="AN498" i="9"/>
  <c r="AO498" i="9"/>
  <c r="AP498" i="9"/>
  <c r="AQ498" i="9"/>
  <c r="AR498" i="9"/>
  <c r="AS498" i="9"/>
  <c r="AT498" i="9"/>
  <c r="AW498" i="9"/>
  <c r="AX498" i="9"/>
  <c r="AY498" i="9"/>
  <c r="AZ498" i="9"/>
  <c r="BA498" i="9"/>
  <c r="BB498" i="9"/>
  <c r="BC498" i="9"/>
  <c r="AM499" i="9"/>
  <c r="AN499" i="9"/>
  <c r="AO499" i="9"/>
  <c r="AP499" i="9"/>
  <c r="AQ499" i="9"/>
  <c r="AR499" i="9"/>
  <c r="AS499" i="9"/>
  <c r="AT499" i="9"/>
  <c r="AW499" i="9"/>
  <c r="AX499" i="9"/>
  <c r="AY499" i="9"/>
  <c r="AZ499" i="9"/>
  <c r="BA499" i="9"/>
  <c r="BB499" i="9"/>
  <c r="BC499" i="9"/>
  <c r="AM500" i="9"/>
  <c r="AN500" i="9"/>
  <c r="AO500" i="9"/>
  <c r="AP500" i="9"/>
  <c r="AQ500" i="9"/>
  <c r="AR500" i="9"/>
  <c r="AS500" i="9"/>
  <c r="AT500" i="9"/>
  <c r="AW500" i="9"/>
  <c r="AX500" i="9"/>
  <c r="AY500" i="9"/>
  <c r="AZ500" i="9"/>
  <c r="BA500" i="9"/>
  <c r="BB500" i="9"/>
  <c r="BC500" i="9"/>
  <c r="AM501" i="9"/>
  <c r="AN501" i="9"/>
  <c r="AO501" i="9"/>
  <c r="AP501" i="9"/>
  <c r="AQ501" i="9"/>
  <c r="AR501" i="9"/>
  <c r="AS501" i="9"/>
  <c r="AT501" i="9"/>
  <c r="AW501" i="9"/>
  <c r="AX501" i="9"/>
  <c r="AY501" i="9"/>
  <c r="AZ501" i="9"/>
  <c r="BA501" i="9"/>
  <c r="BB501" i="9"/>
  <c r="BC501" i="9"/>
  <c r="AM502" i="9"/>
  <c r="AN502" i="9"/>
  <c r="AO502" i="9"/>
  <c r="AP502" i="9"/>
  <c r="AQ502" i="9"/>
  <c r="AR502" i="9"/>
  <c r="AS502" i="9"/>
  <c r="AT502" i="9"/>
  <c r="AW502" i="9"/>
  <c r="AX502" i="9"/>
  <c r="AY502" i="9"/>
  <c r="AZ502" i="9"/>
  <c r="BA502" i="9"/>
  <c r="BB502" i="9"/>
  <c r="BC502" i="9"/>
  <c r="AM503" i="9"/>
  <c r="AN503" i="9"/>
  <c r="AO503" i="9"/>
  <c r="AP503" i="9"/>
  <c r="AQ503" i="9"/>
  <c r="AR503" i="9"/>
  <c r="AS503" i="9"/>
  <c r="AT503" i="9"/>
  <c r="AW503" i="9"/>
  <c r="AX503" i="9"/>
  <c r="AY503" i="9"/>
  <c r="AZ503" i="9"/>
  <c r="BA503" i="9"/>
  <c r="BB503" i="9"/>
  <c r="BC503" i="9"/>
  <c r="AM504" i="9"/>
  <c r="AN504" i="9"/>
  <c r="AO504" i="9"/>
  <c r="AP504" i="9"/>
  <c r="AQ504" i="9"/>
  <c r="AR504" i="9"/>
  <c r="AS504" i="9"/>
  <c r="AT504" i="9"/>
  <c r="AW504" i="9"/>
  <c r="AX504" i="9"/>
  <c r="AY504" i="9"/>
  <c r="AZ504" i="9"/>
  <c r="BA504" i="9"/>
  <c r="BB504" i="9"/>
  <c r="BC504" i="9"/>
  <c r="AM505" i="9"/>
  <c r="AN505" i="9"/>
  <c r="AO505" i="9"/>
  <c r="AP505" i="9"/>
  <c r="AQ505" i="9"/>
  <c r="AR505" i="9"/>
  <c r="AS505" i="9"/>
  <c r="AT505" i="9"/>
  <c r="AW505" i="9"/>
  <c r="AX505" i="9"/>
  <c r="AY505" i="9"/>
  <c r="AZ505" i="9"/>
  <c r="BA505" i="9"/>
  <c r="BB505" i="9"/>
  <c r="BC505" i="9"/>
  <c r="AM506" i="9"/>
  <c r="AN506" i="9"/>
  <c r="AO506" i="9"/>
  <c r="AP506" i="9"/>
  <c r="AQ506" i="9"/>
  <c r="AR506" i="9"/>
  <c r="AS506" i="9"/>
  <c r="AT506" i="9"/>
  <c r="AW506" i="9"/>
  <c r="AX506" i="9"/>
  <c r="AY506" i="9"/>
  <c r="AZ506" i="9"/>
  <c r="BA506" i="9"/>
  <c r="BB506" i="9"/>
  <c r="BC506" i="9"/>
  <c r="AM507" i="9"/>
  <c r="AN507" i="9"/>
  <c r="AO507" i="9"/>
  <c r="AP507" i="9"/>
  <c r="AQ507" i="9"/>
  <c r="AR507" i="9"/>
  <c r="AS507" i="9"/>
  <c r="AT507" i="9"/>
  <c r="AW507" i="9"/>
  <c r="AX507" i="9"/>
  <c r="AY507" i="9"/>
  <c r="AZ507" i="9"/>
  <c r="BA507" i="9"/>
  <c r="BB507" i="9"/>
  <c r="BC507" i="9"/>
  <c r="AM508" i="9"/>
  <c r="AN508" i="9"/>
  <c r="AO508" i="9"/>
  <c r="AP508" i="9"/>
  <c r="AQ508" i="9"/>
  <c r="AR508" i="9"/>
  <c r="AS508" i="9"/>
  <c r="AT508" i="9"/>
  <c r="AW508" i="9"/>
  <c r="AX508" i="9"/>
  <c r="AY508" i="9"/>
  <c r="AZ508" i="9"/>
  <c r="BA508" i="9"/>
  <c r="BB508" i="9"/>
  <c r="BC508" i="9"/>
  <c r="AM509" i="9"/>
  <c r="AN509" i="9"/>
  <c r="AO509" i="9"/>
  <c r="AP509" i="9"/>
  <c r="AQ509" i="9"/>
  <c r="AR509" i="9"/>
  <c r="AS509" i="9"/>
  <c r="AT509" i="9"/>
  <c r="AW509" i="9"/>
  <c r="AX509" i="9"/>
  <c r="AY509" i="9"/>
  <c r="AZ509" i="9"/>
  <c r="BA509" i="9"/>
  <c r="BB509" i="9"/>
  <c r="BC509" i="9"/>
  <c r="AM510" i="9"/>
  <c r="AN510" i="9"/>
  <c r="AO510" i="9"/>
  <c r="AP510" i="9"/>
  <c r="AQ510" i="9"/>
  <c r="AR510" i="9"/>
  <c r="AS510" i="9"/>
  <c r="AT510" i="9"/>
  <c r="AW510" i="9"/>
  <c r="AX510" i="9"/>
  <c r="AY510" i="9"/>
  <c r="AZ510" i="9"/>
  <c r="BA510" i="9"/>
  <c r="BB510" i="9"/>
  <c r="BC510" i="9"/>
  <c r="AM511" i="9"/>
  <c r="AN511" i="9"/>
  <c r="AO511" i="9"/>
  <c r="AP511" i="9"/>
  <c r="AQ511" i="9"/>
  <c r="AR511" i="9"/>
  <c r="AS511" i="9"/>
  <c r="AT511" i="9"/>
  <c r="AW511" i="9"/>
  <c r="AX511" i="9"/>
  <c r="AY511" i="9"/>
  <c r="AZ511" i="9"/>
  <c r="BA511" i="9"/>
  <c r="BB511" i="9"/>
  <c r="BC511" i="9"/>
  <c r="AM512" i="9"/>
  <c r="AN512" i="9"/>
  <c r="AO512" i="9"/>
  <c r="AP512" i="9"/>
  <c r="AQ512" i="9"/>
  <c r="AR512" i="9"/>
  <c r="AS512" i="9"/>
  <c r="AT512" i="9"/>
  <c r="AW512" i="9"/>
  <c r="AX512" i="9"/>
  <c r="AY512" i="9"/>
  <c r="AZ512" i="9"/>
  <c r="BA512" i="9"/>
  <c r="BB512" i="9"/>
  <c r="BC512" i="9"/>
  <c r="AM513" i="9"/>
  <c r="AN513" i="9"/>
  <c r="AO513" i="9"/>
  <c r="AP513" i="9"/>
  <c r="AQ513" i="9"/>
  <c r="AR513" i="9"/>
  <c r="AS513" i="9"/>
  <c r="AT513" i="9"/>
  <c r="AW513" i="9"/>
  <c r="AX513" i="9"/>
  <c r="AY513" i="9"/>
  <c r="AZ513" i="9"/>
  <c r="BA513" i="9"/>
  <c r="BB513" i="9"/>
  <c r="BC513" i="9"/>
  <c r="AM514" i="9"/>
  <c r="AN514" i="9"/>
  <c r="AO514" i="9"/>
  <c r="AP514" i="9"/>
  <c r="AQ514" i="9"/>
  <c r="AR514" i="9"/>
  <c r="AS514" i="9"/>
  <c r="AT514" i="9"/>
  <c r="AW514" i="9"/>
  <c r="AX514" i="9"/>
  <c r="AY514" i="9"/>
  <c r="AZ514" i="9"/>
  <c r="BA514" i="9"/>
  <c r="BB514" i="9"/>
  <c r="BC514" i="9"/>
  <c r="AM515" i="9"/>
  <c r="AN515" i="9"/>
  <c r="AO515" i="9"/>
  <c r="AP515" i="9"/>
  <c r="AQ515" i="9"/>
  <c r="AR515" i="9"/>
  <c r="AS515" i="9"/>
  <c r="AT515" i="9"/>
  <c r="AW515" i="9"/>
  <c r="AX515" i="9"/>
  <c r="AY515" i="9"/>
  <c r="AZ515" i="9"/>
  <c r="BA515" i="9"/>
  <c r="BB515" i="9"/>
  <c r="BC515" i="9"/>
  <c r="AM516" i="9"/>
  <c r="AN516" i="9"/>
  <c r="AO516" i="9"/>
  <c r="AP516" i="9"/>
  <c r="AQ516" i="9"/>
  <c r="AR516" i="9"/>
  <c r="AS516" i="9"/>
  <c r="AT516" i="9"/>
  <c r="AW516" i="9"/>
  <c r="AX516" i="9"/>
  <c r="AY516" i="9"/>
  <c r="AZ516" i="9"/>
  <c r="BA516" i="9"/>
  <c r="BB516" i="9"/>
  <c r="BC516" i="9"/>
  <c r="AM517" i="9"/>
  <c r="AN517" i="9"/>
  <c r="AO517" i="9"/>
  <c r="AP517" i="9"/>
  <c r="AQ517" i="9"/>
  <c r="AR517" i="9"/>
  <c r="AS517" i="9"/>
  <c r="AT517" i="9"/>
  <c r="AW517" i="9"/>
  <c r="AX517" i="9"/>
  <c r="AY517" i="9"/>
  <c r="AZ517" i="9"/>
  <c r="BA517" i="9"/>
  <c r="BB517" i="9"/>
  <c r="BC517" i="9"/>
  <c r="AM518" i="9"/>
  <c r="AN518" i="9"/>
  <c r="AO518" i="9"/>
  <c r="AP518" i="9"/>
  <c r="AQ518" i="9"/>
  <c r="AR518" i="9"/>
  <c r="AS518" i="9"/>
  <c r="AT518" i="9"/>
  <c r="AW518" i="9"/>
  <c r="AX518" i="9"/>
  <c r="AY518" i="9"/>
  <c r="AZ518" i="9"/>
  <c r="BA518" i="9"/>
  <c r="BB518" i="9"/>
  <c r="BC518" i="9"/>
  <c r="AM519" i="9"/>
  <c r="AN519" i="9"/>
  <c r="AO519" i="9"/>
  <c r="AP519" i="9"/>
  <c r="AQ519" i="9"/>
  <c r="AR519" i="9"/>
  <c r="AS519" i="9"/>
  <c r="AT519" i="9"/>
  <c r="AW519" i="9"/>
  <c r="AX519" i="9"/>
  <c r="AY519" i="9"/>
  <c r="AZ519" i="9"/>
  <c r="BA519" i="9"/>
  <c r="BB519" i="9"/>
  <c r="BC519" i="9"/>
  <c r="AM520" i="9"/>
  <c r="AN520" i="9"/>
  <c r="AO520" i="9"/>
  <c r="AP520" i="9"/>
  <c r="AQ520" i="9"/>
  <c r="AR520" i="9"/>
  <c r="AS520" i="9"/>
  <c r="AT520" i="9"/>
  <c r="AW520" i="9"/>
  <c r="AX520" i="9"/>
  <c r="AY520" i="9"/>
  <c r="AZ520" i="9"/>
  <c r="BA520" i="9"/>
  <c r="BB520" i="9"/>
  <c r="BC520" i="9"/>
  <c r="AM521" i="9"/>
  <c r="AN521" i="9"/>
  <c r="AO521" i="9"/>
  <c r="AP521" i="9"/>
  <c r="AQ521" i="9"/>
  <c r="AR521" i="9"/>
  <c r="AS521" i="9"/>
  <c r="AT521" i="9"/>
  <c r="AW521" i="9"/>
  <c r="AX521" i="9"/>
  <c r="AY521" i="9"/>
  <c r="AZ521" i="9"/>
  <c r="BA521" i="9"/>
  <c r="BB521" i="9"/>
  <c r="BC521" i="9"/>
  <c r="AM522" i="9"/>
  <c r="AN522" i="9"/>
  <c r="AO522" i="9"/>
  <c r="AP522" i="9"/>
  <c r="AQ522" i="9"/>
  <c r="AR522" i="9"/>
  <c r="AS522" i="9"/>
  <c r="AT522" i="9"/>
  <c r="AW522" i="9"/>
  <c r="AX522" i="9"/>
  <c r="AY522" i="9"/>
  <c r="AZ522" i="9"/>
  <c r="BA522" i="9"/>
  <c r="BB522" i="9"/>
  <c r="BC522" i="9"/>
  <c r="AM523" i="9"/>
  <c r="AN523" i="9"/>
  <c r="AO523" i="9"/>
  <c r="AP523" i="9"/>
  <c r="AQ523" i="9"/>
  <c r="AR523" i="9"/>
  <c r="AS523" i="9"/>
  <c r="AT523" i="9"/>
  <c r="AW523" i="9"/>
  <c r="AX523" i="9"/>
  <c r="AY523" i="9"/>
  <c r="AZ523" i="9"/>
  <c r="BA523" i="9"/>
  <c r="BB523" i="9"/>
  <c r="BC523" i="9"/>
  <c r="AM524" i="9"/>
  <c r="AN524" i="9"/>
  <c r="AO524" i="9"/>
  <c r="AP524" i="9"/>
  <c r="AQ524" i="9"/>
  <c r="AR524" i="9"/>
  <c r="AS524" i="9"/>
  <c r="AT524" i="9"/>
  <c r="AW524" i="9"/>
  <c r="AX524" i="9"/>
  <c r="AY524" i="9"/>
  <c r="AZ524" i="9"/>
  <c r="BA524" i="9"/>
  <c r="BB524" i="9"/>
  <c r="BC524" i="9"/>
  <c r="AM525" i="9"/>
  <c r="AN525" i="9"/>
  <c r="AO525" i="9"/>
  <c r="AP525" i="9"/>
  <c r="AQ525" i="9"/>
  <c r="AR525" i="9"/>
  <c r="AS525" i="9"/>
  <c r="AT525" i="9"/>
  <c r="AW525" i="9"/>
  <c r="AX525" i="9"/>
  <c r="AY525" i="9"/>
  <c r="AZ525" i="9"/>
  <c r="BA525" i="9"/>
  <c r="BB525" i="9"/>
  <c r="BC525" i="9"/>
  <c r="AM526" i="9"/>
  <c r="AN526" i="9"/>
  <c r="AO526" i="9"/>
  <c r="AP526" i="9"/>
  <c r="AQ526" i="9"/>
  <c r="AR526" i="9"/>
  <c r="AS526" i="9"/>
  <c r="AT526" i="9"/>
  <c r="AW526" i="9"/>
  <c r="AX526" i="9"/>
  <c r="AY526" i="9"/>
  <c r="AZ526" i="9"/>
  <c r="BA526" i="9"/>
  <c r="BB526" i="9"/>
  <c r="BC526" i="9"/>
  <c r="AM527" i="9"/>
  <c r="AN527" i="9"/>
  <c r="AO527" i="9"/>
  <c r="AP527" i="9"/>
  <c r="AQ527" i="9"/>
  <c r="AR527" i="9"/>
  <c r="AS527" i="9"/>
  <c r="AT527" i="9"/>
  <c r="AW527" i="9"/>
  <c r="AX527" i="9"/>
  <c r="AY527" i="9"/>
  <c r="AZ527" i="9"/>
  <c r="BA527" i="9"/>
  <c r="BB527" i="9"/>
  <c r="BC527" i="9"/>
  <c r="AM528" i="9"/>
  <c r="AN528" i="9"/>
  <c r="AO528" i="9"/>
  <c r="AP528" i="9"/>
  <c r="AQ528" i="9"/>
  <c r="AR528" i="9"/>
  <c r="AS528" i="9"/>
  <c r="AT528" i="9"/>
  <c r="AW528" i="9"/>
  <c r="AX528" i="9"/>
  <c r="AY528" i="9"/>
  <c r="AZ528" i="9"/>
  <c r="BA528" i="9"/>
  <c r="BB528" i="9"/>
  <c r="BC528" i="9"/>
  <c r="AM529" i="9"/>
  <c r="AN529" i="9"/>
  <c r="AO529" i="9"/>
  <c r="AP529" i="9"/>
  <c r="AQ529" i="9"/>
  <c r="AR529" i="9"/>
  <c r="AS529" i="9"/>
  <c r="AT529" i="9"/>
  <c r="AW529" i="9"/>
  <c r="AX529" i="9"/>
  <c r="AY529" i="9"/>
  <c r="AZ529" i="9"/>
  <c r="BA529" i="9"/>
  <c r="BB529" i="9"/>
  <c r="BC529" i="9"/>
  <c r="AM530" i="9"/>
  <c r="AN530" i="9"/>
  <c r="AO530" i="9"/>
  <c r="AP530" i="9"/>
  <c r="AQ530" i="9"/>
  <c r="AR530" i="9"/>
  <c r="AS530" i="9"/>
  <c r="AT530" i="9"/>
  <c r="AW530" i="9"/>
  <c r="AX530" i="9"/>
  <c r="AY530" i="9"/>
  <c r="AZ530" i="9"/>
  <c r="BA530" i="9"/>
  <c r="BB530" i="9"/>
  <c r="BC530" i="9"/>
  <c r="AM531" i="9"/>
  <c r="AN531" i="9"/>
  <c r="AO531" i="9"/>
  <c r="AP531" i="9"/>
  <c r="AQ531" i="9"/>
  <c r="AR531" i="9"/>
  <c r="AS531" i="9"/>
  <c r="AT531" i="9"/>
  <c r="AW531" i="9"/>
  <c r="AX531" i="9"/>
  <c r="AY531" i="9"/>
  <c r="AZ531" i="9"/>
  <c r="BA531" i="9"/>
  <c r="BB531" i="9"/>
  <c r="BC531" i="9"/>
  <c r="AM532" i="9"/>
  <c r="AN532" i="9"/>
  <c r="AO532" i="9"/>
  <c r="AP532" i="9"/>
  <c r="AQ532" i="9"/>
  <c r="AR532" i="9"/>
  <c r="AS532" i="9"/>
  <c r="AT532" i="9"/>
  <c r="AW532" i="9"/>
  <c r="AX532" i="9"/>
  <c r="AY532" i="9"/>
  <c r="AZ532" i="9"/>
  <c r="BA532" i="9"/>
  <c r="BB532" i="9"/>
  <c r="BC532" i="9"/>
  <c r="AM533" i="9"/>
  <c r="AN533" i="9"/>
  <c r="AO533" i="9"/>
  <c r="AP533" i="9"/>
  <c r="AQ533" i="9"/>
  <c r="AR533" i="9"/>
  <c r="AS533" i="9"/>
  <c r="AT533" i="9"/>
  <c r="AW533" i="9"/>
  <c r="AX533" i="9"/>
  <c r="AY533" i="9"/>
  <c r="AZ533" i="9"/>
  <c r="BA533" i="9"/>
  <c r="BB533" i="9"/>
  <c r="BC533" i="9"/>
  <c r="AM534" i="9"/>
  <c r="AN534" i="9"/>
  <c r="AO534" i="9"/>
  <c r="AP534" i="9"/>
  <c r="AQ534" i="9"/>
  <c r="AR534" i="9"/>
  <c r="AS534" i="9"/>
  <c r="AT534" i="9"/>
  <c r="AW534" i="9"/>
  <c r="AX534" i="9"/>
  <c r="AY534" i="9"/>
  <c r="AZ534" i="9"/>
  <c r="BA534" i="9"/>
  <c r="BB534" i="9"/>
  <c r="BC534" i="9"/>
  <c r="AM535" i="9"/>
  <c r="AN535" i="9"/>
  <c r="AO535" i="9"/>
  <c r="AP535" i="9"/>
  <c r="AQ535" i="9"/>
  <c r="AR535" i="9"/>
  <c r="AS535" i="9"/>
  <c r="AT535" i="9"/>
  <c r="AW535" i="9"/>
  <c r="AX535" i="9"/>
  <c r="AY535" i="9"/>
  <c r="AZ535" i="9"/>
  <c r="BA535" i="9"/>
  <c r="BB535" i="9"/>
  <c r="BC535" i="9"/>
  <c r="AM536" i="9"/>
  <c r="AN536" i="9"/>
  <c r="AO536" i="9"/>
  <c r="AP536" i="9"/>
  <c r="AQ536" i="9"/>
  <c r="AR536" i="9"/>
  <c r="AS536" i="9"/>
  <c r="AT536" i="9"/>
  <c r="AW536" i="9"/>
  <c r="AX536" i="9"/>
  <c r="AY536" i="9"/>
  <c r="AZ536" i="9"/>
  <c r="BA536" i="9"/>
  <c r="BB536" i="9"/>
  <c r="BC536" i="9"/>
  <c r="AM537" i="9"/>
  <c r="AN537" i="9"/>
  <c r="AO537" i="9"/>
  <c r="AP537" i="9"/>
  <c r="AQ537" i="9"/>
  <c r="AR537" i="9"/>
  <c r="AS537" i="9"/>
  <c r="AT537" i="9"/>
  <c r="AW537" i="9"/>
  <c r="AX537" i="9"/>
  <c r="AY537" i="9"/>
  <c r="AZ537" i="9"/>
  <c r="BA537" i="9"/>
  <c r="BB537" i="9"/>
  <c r="BC537" i="9"/>
  <c r="AM538" i="9"/>
  <c r="AN538" i="9"/>
  <c r="AO538" i="9"/>
  <c r="AP538" i="9"/>
  <c r="AQ538" i="9"/>
  <c r="AR538" i="9"/>
  <c r="AS538" i="9"/>
  <c r="AT538" i="9"/>
  <c r="AW538" i="9"/>
  <c r="AX538" i="9"/>
  <c r="AY538" i="9"/>
  <c r="AZ538" i="9"/>
  <c r="BA538" i="9"/>
  <c r="BB538" i="9"/>
  <c r="BC538" i="9"/>
  <c r="AM539" i="9"/>
  <c r="AN539" i="9"/>
  <c r="AO539" i="9"/>
  <c r="AP539" i="9"/>
  <c r="AQ539" i="9"/>
  <c r="AR539" i="9"/>
  <c r="AS539" i="9"/>
  <c r="AT539" i="9"/>
  <c r="AW539" i="9"/>
  <c r="AX539" i="9"/>
  <c r="AY539" i="9"/>
  <c r="AZ539" i="9"/>
  <c r="BA539" i="9"/>
  <c r="BB539" i="9"/>
  <c r="BC539" i="9"/>
  <c r="AM540" i="9"/>
  <c r="AN540" i="9"/>
  <c r="AO540" i="9"/>
  <c r="AP540" i="9"/>
  <c r="AQ540" i="9"/>
  <c r="AR540" i="9"/>
  <c r="AS540" i="9"/>
  <c r="AT540" i="9"/>
  <c r="AW540" i="9"/>
  <c r="AX540" i="9"/>
  <c r="AY540" i="9"/>
  <c r="AZ540" i="9"/>
  <c r="BA540" i="9"/>
  <c r="BB540" i="9"/>
  <c r="BC540" i="9"/>
  <c r="AM541" i="9"/>
  <c r="AN541" i="9"/>
  <c r="AO541" i="9"/>
  <c r="AP541" i="9"/>
  <c r="AQ541" i="9"/>
  <c r="AR541" i="9"/>
  <c r="AS541" i="9"/>
  <c r="AT541" i="9"/>
  <c r="AW541" i="9"/>
  <c r="AX541" i="9"/>
  <c r="AY541" i="9"/>
  <c r="AZ541" i="9"/>
  <c r="BA541" i="9"/>
  <c r="BB541" i="9"/>
  <c r="BC541" i="9"/>
  <c r="AM542" i="9"/>
  <c r="AN542" i="9"/>
  <c r="AO542" i="9"/>
  <c r="AP542" i="9"/>
  <c r="AQ542" i="9"/>
  <c r="AR542" i="9"/>
  <c r="AS542" i="9"/>
  <c r="AT542" i="9"/>
  <c r="AW542" i="9"/>
  <c r="AX542" i="9"/>
  <c r="AY542" i="9"/>
  <c r="AZ542" i="9"/>
  <c r="BA542" i="9"/>
  <c r="BB542" i="9"/>
  <c r="BC542" i="9"/>
  <c r="AM543" i="9"/>
  <c r="AN543" i="9"/>
  <c r="AO543" i="9"/>
  <c r="AP543" i="9"/>
  <c r="AQ543" i="9"/>
  <c r="AR543" i="9"/>
  <c r="AS543" i="9"/>
  <c r="AT543" i="9"/>
  <c r="AW543" i="9"/>
  <c r="AX543" i="9"/>
  <c r="AY543" i="9"/>
  <c r="AZ543" i="9"/>
  <c r="BA543" i="9"/>
  <c r="BB543" i="9"/>
  <c r="BC543" i="9"/>
  <c r="AM544" i="9"/>
  <c r="AN544" i="9"/>
  <c r="AO544" i="9"/>
  <c r="AP544" i="9"/>
  <c r="AQ544" i="9"/>
  <c r="AR544" i="9"/>
  <c r="AS544" i="9"/>
  <c r="AT544" i="9"/>
  <c r="AW544" i="9"/>
  <c r="AX544" i="9"/>
  <c r="AY544" i="9"/>
  <c r="AZ544" i="9"/>
  <c r="BA544" i="9"/>
  <c r="BB544" i="9"/>
  <c r="BC544" i="9"/>
  <c r="AM545" i="9"/>
  <c r="AN545" i="9"/>
  <c r="AO545" i="9"/>
  <c r="AP545" i="9"/>
  <c r="AQ545" i="9"/>
  <c r="AR545" i="9"/>
  <c r="AS545" i="9"/>
  <c r="AT545" i="9"/>
  <c r="AW545" i="9"/>
  <c r="AX545" i="9"/>
  <c r="AY545" i="9"/>
  <c r="AZ545" i="9"/>
  <c r="BA545" i="9"/>
  <c r="BB545" i="9"/>
  <c r="BC545" i="9"/>
  <c r="AM546" i="9"/>
  <c r="AN546" i="9"/>
  <c r="AO546" i="9"/>
  <c r="AP546" i="9"/>
  <c r="AQ546" i="9"/>
  <c r="AR546" i="9"/>
  <c r="AS546" i="9"/>
  <c r="AT546" i="9"/>
  <c r="AW546" i="9"/>
  <c r="AX546" i="9"/>
  <c r="AY546" i="9"/>
  <c r="AZ546" i="9"/>
  <c r="BA546" i="9"/>
  <c r="BB546" i="9"/>
  <c r="BC546" i="9"/>
  <c r="AM547" i="9"/>
  <c r="AN547" i="9"/>
  <c r="AO547" i="9"/>
  <c r="AP547" i="9"/>
  <c r="AQ547" i="9"/>
  <c r="AR547" i="9"/>
  <c r="AS547" i="9"/>
  <c r="AT547" i="9"/>
  <c r="AW547" i="9"/>
  <c r="AX547" i="9"/>
  <c r="AY547" i="9"/>
  <c r="AZ547" i="9"/>
  <c r="BA547" i="9"/>
  <c r="BB547" i="9"/>
  <c r="BC547" i="9"/>
  <c r="AM548" i="9"/>
  <c r="AN548" i="9"/>
  <c r="AO548" i="9"/>
  <c r="AP548" i="9"/>
  <c r="AQ548" i="9"/>
  <c r="AR548" i="9"/>
  <c r="AS548" i="9"/>
  <c r="AT548" i="9"/>
  <c r="AW548" i="9"/>
  <c r="AX548" i="9"/>
  <c r="AY548" i="9"/>
  <c r="AZ548" i="9"/>
  <c r="BA548" i="9"/>
  <c r="BB548" i="9"/>
  <c r="BC548" i="9"/>
  <c r="AM549" i="9"/>
  <c r="AN549" i="9"/>
  <c r="AO549" i="9"/>
  <c r="AP549" i="9"/>
  <c r="AQ549" i="9"/>
  <c r="AR549" i="9"/>
  <c r="AS549" i="9"/>
  <c r="AT549" i="9"/>
  <c r="AW549" i="9"/>
  <c r="AX549" i="9"/>
  <c r="AY549" i="9"/>
  <c r="AZ549" i="9"/>
  <c r="BA549" i="9"/>
  <c r="BB549" i="9"/>
  <c r="BC549" i="9"/>
  <c r="AM550" i="9"/>
  <c r="AN550" i="9"/>
  <c r="AO550" i="9"/>
  <c r="AP550" i="9"/>
  <c r="AQ550" i="9"/>
  <c r="AR550" i="9"/>
  <c r="AS550" i="9"/>
  <c r="AT550" i="9"/>
  <c r="AW550" i="9"/>
  <c r="AX550" i="9"/>
  <c r="AY550" i="9"/>
  <c r="AZ550" i="9"/>
  <c r="BA550" i="9"/>
  <c r="BB550" i="9"/>
  <c r="BC550" i="9"/>
  <c r="AM551" i="9"/>
  <c r="AN551" i="9"/>
  <c r="AO551" i="9"/>
  <c r="AP551" i="9"/>
  <c r="AQ551" i="9"/>
  <c r="AR551" i="9"/>
  <c r="AS551" i="9"/>
  <c r="AT551" i="9"/>
  <c r="AW551" i="9"/>
  <c r="AX551" i="9"/>
  <c r="AY551" i="9"/>
  <c r="AZ551" i="9"/>
  <c r="BA551" i="9"/>
  <c r="BB551" i="9"/>
  <c r="BC551" i="9"/>
  <c r="AM552" i="9"/>
  <c r="AN552" i="9"/>
  <c r="AO552" i="9"/>
  <c r="AP552" i="9"/>
  <c r="AQ552" i="9"/>
  <c r="AR552" i="9"/>
  <c r="AS552" i="9"/>
  <c r="AT552" i="9"/>
  <c r="AW552" i="9"/>
  <c r="AX552" i="9"/>
  <c r="AY552" i="9"/>
  <c r="AZ552" i="9"/>
  <c r="BA552" i="9"/>
  <c r="BB552" i="9"/>
  <c r="BC552" i="9"/>
  <c r="AM553" i="9"/>
  <c r="AN553" i="9"/>
  <c r="AO553" i="9"/>
  <c r="AP553" i="9"/>
  <c r="AQ553" i="9"/>
  <c r="AR553" i="9"/>
  <c r="AS553" i="9"/>
  <c r="AT553" i="9"/>
  <c r="AW553" i="9"/>
  <c r="AX553" i="9"/>
  <c r="AY553" i="9"/>
  <c r="AZ553" i="9"/>
  <c r="BA553" i="9"/>
  <c r="BB553" i="9"/>
  <c r="BC553" i="9"/>
  <c r="AM554" i="9"/>
  <c r="AN554" i="9"/>
  <c r="AO554" i="9"/>
  <c r="AP554" i="9"/>
  <c r="AQ554" i="9"/>
  <c r="AR554" i="9"/>
  <c r="AS554" i="9"/>
  <c r="AT554" i="9"/>
  <c r="AW554" i="9"/>
  <c r="AX554" i="9"/>
  <c r="AY554" i="9"/>
  <c r="AZ554" i="9"/>
  <c r="BA554" i="9"/>
  <c r="BB554" i="9"/>
  <c r="BC554" i="9"/>
  <c r="AM555" i="9"/>
  <c r="AN555" i="9"/>
  <c r="AO555" i="9"/>
  <c r="AP555" i="9"/>
  <c r="AQ555" i="9"/>
  <c r="AR555" i="9"/>
  <c r="AS555" i="9"/>
  <c r="AT555" i="9"/>
  <c r="AW555" i="9"/>
  <c r="AX555" i="9"/>
  <c r="AY555" i="9"/>
  <c r="AZ555" i="9"/>
  <c r="BA555" i="9"/>
  <c r="BB555" i="9"/>
  <c r="BC555" i="9"/>
  <c r="AM556" i="9"/>
  <c r="AN556" i="9"/>
  <c r="AO556" i="9"/>
  <c r="AP556" i="9"/>
  <c r="AQ556" i="9"/>
  <c r="AR556" i="9"/>
  <c r="AS556" i="9"/>
  <c r="AT556" i="9"/>
  <c r="AW556" i="9"/>
  <c r="AX556" i="9"/>
  <c r="AY556" i="9"/>
  <c r="AZ556" i="9"/>
  <c r="BA556" i="9"/>
  <c r="BB556" i="9"/>
  <c r="BC556" i="9"/>
  <c r="AM557" i="9"/>
  <c r="AN557" i="9"/>
  <c r="AO557" i="9"/>
  <c r="AP557" i="9"/>
  <c r="AQ557" i="9"/>
  <c r="AR557" i="9"/>
  <c r="AS557" i="9"/>
  <c r="AT557" i="9"/>
  <c r="AW557" i="9"/>
  <c r="AX557" i="9"/>
  <c r="AY557" i="9"/>
  <c r="AZ557" i="9"/>
  <c r="BA557" i="9"/>
  <c r="BB557" i="9"/>
  <c r="BC557" i="9"/>
  <c r="AM558" i="9"/>
  <c r="AN558" i="9"/>
  <c r="AO558" i="9"/>
  <c r="AP558" i="9"/>
  <c r="AQ558" i="9"/>
  <c r="AR558" i="9"/>
  <c r="AS558" i="9"/>
  <c r="AT558" i="9"/>
  <c r="AW558" i="9"/>
  <c r="AX558" i="9"/>
  <c r="AY558" i="9"/>
  <c r="AZ558" i="9"/>
  <c r="BA558" i="9"/>
  <c r="BB558" i="9"/>
  <c r="BC558" i="9"/>
  <c r="AM559" i="9"/>
  <c r="AN559" i="9"/>
  <c r="AO559" i="9"/>
  <c r="AP559" i="9"/>
  <c r="AQ559" i="9"/>
  <c r="AR559" i="9"/>
  <c r="AS559" i="9"/>
  <c r="AT559" i="9"/>
  <c r="AW559" i="9"/>
  <c r="AX559" i="9"/>
  <c r="AY559" i="9"/>
  <c r="AZ559" i="9"/>
  <c r="BA559" i="9"/>
  <c r="BB559" i="9"/>
  <c r="BC559" i="9"/>
  <c r="AM560" i="9"/>
  <c r="AN560" i="9"/>
  <c r="AO560" i="9"/>
  <c r="AP560" i="9"/>
  <c r="AQ560" i="9"/>
  <c r="AR560" i="9"/>
  <c r="AS560" i="9"/>
  <c r="AT560" i="9"/>
  <c r="AW560" i="9"/>
  <c r="AX560" i="9"/>
  <c r="AY560" i="9"/>
  <c r="AZ560" i="9"/>
  <c r="BA560" i="9"/>
  <c r="BB560" i="9"/>
  <c r="BC560" i="9"/>
  <c r="AM561" i="9"/>
  <c r="AN561" i="9"/>
  <c r="AO561" i="9"/>
  <c r="AP561" i="9"/>
  <c r="AQ561" i="9"/>
  <c r="AR561" i="9"/>
  <c r="AS561" i="9"/>
  <c r="AT561" i="9"/>
  <c r="AW561" i="9"/>
  <c r="AX561" i="9"/>
  <c r="AY561" i="9"/>
  <c r="AZ561" i="9"/>
  <c r="BA561" i="9"/>
  <c r="BB561" i="9"/>
  <c r="BC561" i="9"/>
  <c r="AM562" i="9"/>
  <c r="AN562" i="9"/>
  <c r="AO562" i="9"/>
  <c r="AP562" i="9"/>
  <c r="AQ562" i="9"/>
  <c r="AR562" i="9"/>
  <c r="AS562" i="9"/>
  <c r="AT562" i="9"/>
  <c r="AW562" i="9"/>
  <c r="AX562" i="9"/>
  <c r="AY562" i="9"/>
  <c r="AZ562" i="9"/>
  <c r="BA562" i="9"/>
  <c r="BB562" i="9"/>
  <c r="BC562" i="9"/>
  <c r="AM563" i="9"/>
  <c r="AN563" i="9"/>
  <c r="AO563" i="9"/>
  <c r="AP563" i="9"/>
  <c r="AQ563" i="9"/>
  <c r="AR563" i="9"/>
  <c r="AS563" i="9"/>
  <c r="AT563" i="9"/>
  <c r="AW563" i="9"/>
  <c r="AX563" i="9"/>
  <c r="AY563" i="9"/>
  <c r="AZ563" i="9"/>
  <c r="BA563" i="9"/>
  <c r="BB563" i="9"/>
  <c r="BC563" i="9"/>
  <c r="AM564" i="9"/>
  <c r="AN564" i="9"/>
  <c r="AO564" i="9"/>
  <c r="AP564" i="9"/>
  <c r="AQ564" i="9"/>
  <c r="AR564" i="9"/>
  <c r="AS564" i="9"/>
  <c r="AT564" i="9"/>
  <c r="AW564" i="9"/>
  <c r="AX564" i="9"/>
  <c r="AY564" i="9"/>
  <c r="AZ564" i="9"/>
  <c r="BA564" i="9"/>
  <c r="BB564" i="9"/>
  <c r="BC564" i="9"/>
  <c r="AM565" i="9"/>
  <c r="AN565" i="9"/>
  <c r="AO565" i="9"/>
  <c r="AP565" i="9"/>
  <c r="AQ565" i="9"/>
  <c r="AR565" i="9"/>
  <c r="AS565" i="9"/>
  <c r="AT565" i="9"/>
  <c r="AW565" i="9"/>
  <c r="AX565" i="9"/>
  <c r="AY565" i="9"/>
  <c r="AZ565" i="9"/>
  <c r="BA565" i="9"/>
  <c r="BB565" i="9"/>
  <c r="BC565" i="9"/>
  <c r="AM566" i="9"/>
  <c r="AN566" i="9"/>
  <c r="AO566" i="9"/>
  <c r="AP566" i="9"/>
  <c r="AQ566" i="9"/>
  <c r="AR566" i="9"/>
  <c r="AS566" i="9"/>
  <c r="AT566" i="9"/>
  <c r="AW566" i="9"/>
  <c r="AX566" i="9"/>
  <c r="AY566" i="9"/>
  <c r="AZ566" i="9"/>
  <c r="BA566" i="9"/>
  <c r="BB566" i="9"/>
  <c r="BC566" i="9"/>
  <c r="AM567" i="9"/>
  <c r="AN567" i="9"/>
  <c r="AO567" i="9"/>
  <c r="AP567" i="9"/>
  <c r="AQ567" i="9"/>
  <c r="AR567" i="9"/>
  <c r="AS567" i="9"/>
  <c r="AT567" i="9"/>
  <c r="AW567" i="9"/>
  <c r="AX567" i="9"/>
  <c r="AY567" i="9"/>
  <c r="AZ567" i="9"/>
  <c r="BA567" i="9"/>
  <c r="BB567" i="9"/>
  <c r="BC567" i="9"/>
  <c r="AM568" i="9"/>
  <c r="AN568" i="9"/>
  <c r="AO568" i="9"/>
  <c r="AP568" i="9"/>
  <c r="AQ568" i="9"/>
  <c r="AR568" i="9"/>
  <c r="AS568" i="9"/>
  <c r="AT568" i="9"/>
  <c r="AW568" i="9"/>
  <c r="AX568" i="9"/>
  <c r="AY568" i="9"/>
  <c r="AZ568" i="9"/>
  <c r="BA568" i="9"/>
  <c r="BB568" i="9"/>
  <c r="BC568" i="9"/>
  <c r="AM569" i="9"/>
  <c r="AN569" i="9"/>
  <c r="AO569" i="9"/>
  <c r="AP569" i="9"/>
  <c r="AQ569" i="9"/>
  <c r="AR569" i="9"/>
  <c r="AS569" i="9"/>
  <c r="AT569" i="9"/>
  <c r="AW569" i="9"/>
  <c r="AX569" i="9"/>
  <c r="AY569" i="9"/>
  <c r="AZ569" i="9"/>
  <c r="BA569" i="9"/>
  <c r="BB569" i="9"/>
  <c r="BC569" i="9"/>
  <c r="AM570" i="9"/>
  <c r="AN570" i="9"/>
  <c r="AO570" i="9"/>
  <c r="AP570" i="9"/>
  <c r="AQ570" i="9"/>
  <c r="AR570" i="9"/>
  <c r="AS570" i="9"/>
  <c r="AT570" i="9"/>
  <c r="AW570" i="9"/>
  <c r="AX570" i="9"/>
  <c r="AY570" i="9"/>
  <c r="AZ570" i="9"/>
  <c r="BA570" i="9"/>
  <c r="BB570" i="9"/>
  <c r="BC570" i="9"/>
  <c r="AM571" i="9"/>
  <c r="AN571" i="9"/>
  <c r="AO571" i="9"/>
  <c r="AP571" i="9"/>
  <c r="AQ571" i="9"/>
  <c r="AR571" i="9"/>
  <c r="AS571" i="9"/>
  <c r="AT571" i="9"/>
  <c r="AW571" i="9"/>
  <c r="AX571" i="9"/>
  <c r="AY571" i="9"/>
  <c r="AZ571" i="9"/>
  <c r="BA571" i="9"/>
  <c r="BB571" i="9"/>
  <c r="BC571" i="9"/>
  <c r="AM572" i="9"/>
  <c r="AN572" i="9"/>
  <c r="AO572" i="9"/>
  <c r="AP572" i="9"/>
  <c r="AQ572" i="9"/>
  <c r="AR572" i="9"/>
  <c r="AS572" i="9"/>
  <c r="AT572" i="9"/>
  <c r="AW572" i="9"/>
  <c r="AX572" i="9"/>
  <c r="AY572" i="9"/>
  <c r="AZ572" i="9"/>
  <c r="BA572" i="9"/>
  <c r="BB572" i="9"/>
  <c r="BC572" i="9"/>
  <c r="AM573" i="9"/>
  <c r="AN573" i="9"/>
  <c r="AO573" i="9"/>
  <c r="AP573" i="9"/>
  <c r="AQ573" i="9"/>
  <c r="AR573" i="9"/>
  <c r="AS573" i="9"/>
  <c r="AT573" i="9"/>
  <c r="AW573" i="9"/>
  <c r="AX573" i="9"/>
  <c r="AY573" i="9"/>
  <c r="AZ573" i="9"/>
  <c r="BA573" i="9"/>
  <c r="BB573" i="9"/>
  <c r="BC573" i="9"/>
  <c r="AM574" i="9"/>
  <c r="AN574" i="9"/>
  <c r="AO574" i="9"/>
  <c r="AP574" i="9"/>
  <c r="AQ574" i="9"/>
  <c r="AR574" i="9"/>
  <c r="AS574" i="9"/>
  <c r="AT574" i="9"/>
  <c r="AW574" i="9"/>
  <c r="AX574" i="9"/>
  <c r="AY574" i="9"/>
  <c r="AZ574" i="9"/>
  <c r="BA574" i="9"/>
  <c r="BB574" i="9"/>
  <c r="BC574" i="9"/>
  <c r="AM575" i="9"/>
  <c r="AN575" i="9"/>
  <c r="AO575" i="9"/>
  <c r="AP575" i="9"/>
  <c r="AQ575" i="9"/>
  <c r="AR575" i="9"/>
  <c r="AS575" i="9"/>
  <c r="AT575" i="9"/>
  <c r="AW575" i="9"/>
  <c r="AX575" i="9"/>
  <c r="AY575" i="9"/>
  <c r="AZ575" i="9"/>
  <c r="BA575" i="9"/>
  <c r="BB575" i="9"/>
  <c r="BC575" i="9"/>
  <c r="AM576" i="9"/>
  <c r="AN576" i="9"/>
  <c r="AO576" i="9"/>
  <c r="AP576" i="9"/>
  <c r="AQ576" i="9"/>
  <c r="AR576" i="9"/>
  <c r="AS576" i="9"/>
  <c r="AT576" i="9"/>
  <c r="AW576" i="9"/>
  <c r="AX576" i="9"/>
  <c r="AY576" i="9"/>
  <c r="AZ576" i="9"/>
  <c r="BA576" i="9"/>
  <c r="BB576" i="9"/>
  <c r="BC576" i="9"/>
  <c r="AM577" i="9"/>
  <c r="AN577" i="9"/>
  <c r="AO577" i="9"/>
  <c r="AP577" i="9"/>
  <c r="AQ577" i="9"/>
  <c r="AR577" i="9"/>
  <c r="AS577" i="9"/>
  <c r="AT577" i="9"/>
  <c r="AW577" i="9"/>
  <c r="AX577" i="9"/>
  <c r="AY577" i="9"/>
  <c r="AZ577" i="9"/>
  <c r="BA577" i="9"/>
  <c r="BB577" i="9"/>
  <c r="BC577" i="9"/>
  <c r="AM578" i="9"/>
  <c r="AN578" i="9"/>
  <c r="AO578" i="9"/>
  <c r="AP578" i="9"/>
  <c r="AQ578" i="9"/>
  <c r="AR578" i="9"/>
  <c r="AS578" i="9"/>
  <c r="AT578" i="9"/>
  <c r="AW578" i="9"/>
  <c r="AX578" i="9"/>
  <c r="AY578" i="9"/>
  <c r="AZ578" i="9"/>
  <c r="BA578" i="9"/>
  <c r="BB578" i="9"/>
  <c r="BC578" i="9"/>
  <c r="AM579" i="9"/>
  <c r="AN579" i="9"/>
  <c r="AO579" i="9"/>
  <c r="AP579" i="9"/>
  <c r="AQ579" i="9"/>
  <c r="AR579" i="9"/>
  <c r="AS579" i="9"/>
  <c r="AT579" i="9"/>
  <c r="AW579" i="9"/>
  <c r="AX579" i="9"/>
  <c r="AY579" i="9"/>
  <c r="AZ579" i="9"/>
  <c r="BA579" i="9"/>
  <c r="BB579" i="9"/>
  <c r="BC579" i="9"/>
  <c r="AM580" i="9"/>
  <c r="AN580" i="9"/>
  <c r="AO580" i="9"/>
  <c r="AP580" i="9"/>
  <c r="AQ580" i="9"/>
  <c r="AR580" i="9"/>
  <c r="AS580" i="9"/>
  <c r="AT580" i="9"/>
  <c r="AW580" i="9"/>
  <c r="AX580" i="9"/>
  <c r="AY580" i="9"/>
  <c r="AZ580" i="9"/>
  <c r="BA580" i="9"/>
  <c r="BB580" i="9"/>
  <c r="BC580" i="9"/>
  <c r="AM581" i="9"/>
  <c r="AN581" i="9"/>
  <c r="AO581" i="9"/>
  <c r="AP581" i="9"/>
  <c r="AQ581" i="9"/>
  <c r="AR581" i="9"/>
  <c r="AS581" i="9"/>
  <c r="AT581" i="9"/>
  <c r="AW581" i="9"/>
  <c r="AX581" i="9"/>
  <c r="AY581" i="9"/>
  <c r="AZ581" i="9"/>
  <c r="BA581" i="9"/>
  <c r="BB581" i="9"/>
  <c r="BC581" i="9"/>
  <c r="AM582" i="9"/>
  <c r="AN582" i="9"/>
  <c r="AO582" i="9"/>
  <c r="AP582" i="9"/>
  <c r="AQ582" i="9"/>
  <c r="AR582" i="9"/>
  <c r="AS582" i="9"/>
  <c r="AT582" i="9"/>
  <c r="AW582" i="9"/>
  <c r="AX582" i="9"/>
  <c r="AY582" i="9"/>
  <c r="AZ582" i="9"/>
  <c r="BA582" i="9"/>
  <c r="BB582" i="9"/>
  <c r="BC582" i="9"/>
  <c r="AM583" i="9"/>
  <c r="AN583" i="9"/>
  <c r="AO583" i="9"/>
  <c r="AP583" i="9"/>
  <c r="AQ583" i="9"/>
  <c r="AR583" i="9"/>
  <c r="AS583" i="9"/>
  <c r="AT583" i="9"/>
  <c r="AW583" i="9"/>
  <c r="AX583" i="9"/>
  <c r="AY583" i="9"/>
  <c r="AZ583" i="9"/>
  <c r="BA583" i="9"/>
  <c r="BB583" i="9"/>
  <c r="BC583" i="9"/>
  <c r="AM584" i="9"/>
  <c r="AN584" i="9"/>
  <c r="AO584" i="9"/>
  <c r="AP584" i="9"/>
  <c r="AQ584" i="9"/>
  <c r="AR584" i="9"/>
  <c r="AS584" i="9"/>
  <c r="AT584" i="9"/>
  <c r="AW584" i="9"/>
  <c r="AX584" i="9"/>
  <c r="AY584" i="9"/>
  <c r="AZ584" i="9"/>
  <c r="BA584" i="9"/>
  <c r="BB584" i="9"/>
  <c r="BC584" i="9"/>
  <c r="AM585" i="9"/>
  <c r="AN585" i="9"/>
  <c r="AO585" i="9"/>
  <c r="AP585" i="9"/>
  <c r="AQ585" i="9"/>
  <c r="AR585" i="9"/>
  <c r="AS585" i="9"/>
  <c r="AT585" i="9"/>
  <c r="AW585" i="9"/>
  <c r="AX585" i="9"/>
  <c r="AY585" i="9"/>
  <c r="AZ585" i="9"/>
  <c r="BA585" i="9"/>
  <c r="BB585" i="9"/>
  <c r="BC585" i="9"/>
  <c r="AM586" i="9"/>
  <c r="AN586" i="9"/>
  <c r="AO586" i="9"/>
  <c r="AP586" i="9"/>
  <c r="AQ586" i="9"/>
  <c r="AR586" i="9"/>
  <c r="AS586" i="9"/>
  <c r="AT586" i="9"/>
  <c r="AW586" i="9"/>
  <c r="AX586" i="9"/>
  <c r="AY586" i="9"/>
  <c r="AZ586" i="9"/>
  <c r="BA586" i="9"/>
  <c r="BB586" i="9"/>
  <c r="BC586" i="9"/>
  <c r="AM587" i="9"/>
  <c r="AN587" i="9"/>
  <c r="AO587" i="9"/>
  <c r="AP587" i="9"/>
  <c r="AQ587" i="9"/>
  <c r="AR587" i="9"/>
  <c r="AS587" i="9"/>
  <c r="AT587" i="9"/>
  <c r="AW587" i="9"/>
  <c r="AX587" i="9"/>
  <c r="AY587" i="9"/>
  <c r="AZ587" i="9"/>
  <c r="BA587" i="9"/>
  <c r="BB587" i="9"/>
  <c r="BC587" i="9"/>
  <c r="AM588" i="9"/>
  <c r="AN588" i="9"/>
  <c r="AO588" i="9"/>
  <c r="AP588" i="9"/>
  <c r="AQ588" i="9"/>
  <c r="AR588" i="9"/>
  <c r="AS588" i="9"/>
  <c r="AT588" i="9"/>
  <c r="AW588" i="9"/>
  <c r="AX588" i="9"/>
  <c r="AY588" i="9"/>
  <c r="AZ588" i="9"/>
  <c r="BA588" i="9"/>
  <c r="BB588" i="9"/>
  <c r="BC588" i="9"/>
  <c r="AM589" i="9"/>
  <c r="AN589" i="9"/>
  <c r="AO589" i="9"/>
  <c r="AP589" i="9"/>
  <c r="AQ589" i="9"/>
  <c r="AR589" i="9"/>
  <c r="AS589" i="9"/>
  <c r="AT589" i="9"/>
  <c r="AW589" i="9"/>
  <c r="AX589" i="9"/>
  <c r="AY589" i="9"/>
  <c r="AZ589" i="9"/>
  <c r="BA589" i="9"/>
  <c r="BB589" i="9"/>
  <c r="BC589" i="9"/>
  <c r="AM590" i="9"/>
  <c r="AN590" i="9"/>
  <c r="AO590" i="9"/>
  <c r="AP590" i="9"/>
  <c r="AQ590" i="9"/>
  <c r="AR590" i="9"/>
  <c r="AS590" i="9"/>
  <c r="AT590" i="9"/>
  <c r="AW590" i="9"/>
  <c r="AX590" i="9"/>
  <c r="AY590" i="9"/>
  <c r="AZ590" i="9"/>
  <c r="BA590" i="9"/>
  <c r="BB590" i="9"/>
  <c r="BC590" i="9"/>
  <c r="AM591" i="9"/>
  <c r="AN591" i="9"/>
  <c r="AO591" i="9"/>
  <c r="AP591" i="9"/>
  <c r="AQ591" i="9"/>
  <c r="AR591" i="9"/>
  <c r="AS591" i="9"/>
  <c r="AT591" i="9"/>
  <c r="AW591" i="9"/>
  <c r="AX591" i="9"/>
  <c r="AY591" i="9"/>
  <c r="AZ591" i="9"/>
  <c r="BA591" i="9"/>
  <c r="BB591" i="9"/>
  <c r="BC591" i="9"/>
  <c r="AM592" i="9"/>
  <c r="AN592" i="9"/>
  <c r="AO592" i="9"/>
  <c r="AP592" i="9"/>
  <c r="AQ592" i="9"/>
  <c r="AR592" i="9"/>
  <c r="AS592" i="9"/>
  <c r="AT592" i="9"/>
  <c r="AW592" i="9"/>
  <c r="AX592" i="9"/>
  <c r="AY592" i="9"/>
  <c r="AZ592" i="9"/>
  <c r="BA592" i="9"/>
  <c r="BB592" i="9"/>
  <c r="BC592" i="9"/>
  <c r="AM593" i="9"/>
  <c r="AN593" i="9"/>
  <c r="AO593" i="9"/>
  <c r="AP593" i="9"/>
  <c r="AQ593" i="9"/>
  <c r="AR593" i="9"/>
  <c r="AS593" i="9"/>
  <c r="AT593" i="9"/>
  <c r="AW593" i="9"/>
  <c r="AX593" i="9"/>
  <c r="AY593" i="9"/>
  <c r="AZ593" i="9"/>
  <c r="BA593" i="9"/>
  <c r="BB593" i="9"/>
  <c r="BC593" i="9"/>
  <c r="AM594" i="9"/>
  <c r="AN594" i="9"/>
  <c r="AO594" i="9"/>
  <c r="AP594" i="9"/>
  <c r="AQ594" i="9"/>
  <c r="AR594" i="9"/>
  <c r="AS594" i="9"/>
  <c r="AT594" i="9"/>
  <c r="AW594" i="9"/>
  <c r="AX594" i="9"/>
  <c r="AY594" i="9"/>
  <c r="AZ594" i="9"/>
  <c r="BA594" i="9"/>
  <c r="BB594" i="9"/>
  <c r="BC594" i="9"/>
  <c r="AM595" i="9"/>
  <c r="AN595" i="9"/>
  <c r="AO595" i="9"/>
  <c r="AP595" i="9"/>
  <c r="AQ595" i="9"/>
  <c r="AR595" i="9"/>
  <c r="AS595" i="9"/>
  <c r="AT595" i="9"/>
  <c r="AW595" i="9"/>
  <c r="AX595" i="9"/>
  <c r="AY595" i="9"/>
  <c r="AZ595" i="9"/>
  <c r="BA595" i="9"/>
  <c r="BB595" i="9"/>
  <c r="BC595" i="9"/>
  <c r="AM596" i="9"/>
  <c r="AN596" i="9"/>
  <c r="AO596" i="9"/>
  <c r="AP596" i="9"/>
  <c r="AQ596" i="9"/>
  <c r="AR596" i="9"/>
  <c r="AS596" i="9"/>
  <c r="AT596" i="9"/>
  <c r="AW596" i="9"/>
  <c r="AX596" i="9"/>
  <c r="AY596" i="9"/>
  <c r="AZ596" i="9"/>
  <c r="BA596" i="9"/>
  <c r="BB596" i="9"/>
  <c r="BC596" i="9"/>
  <c r="AM597" i="9"/>
  <c r="AN597" i="9"/>
  <c r="AO597" i="9"/>
  <c r="AP597" i="9"/>
  <c r="AQ597" i="9"/>
  <c r="AR597" i="9"/>
  <c r="AS597" i="9"/>
  <c r="AT597" i="9"/>
  <c r="AW597" i="9"/>
  <c r="AX597" i="9"/>
  <c r="AY597" i="9"/>
  <c r="AZ597" i="9"/>
  <c r="BA597" i="9"/>
  <c r="BB597" i="9"/>
  <c r="BC597" i="9"/>
  <c r="AM598" i="9"/>
  <c r="AN598" i="9"/>
  <c r="AO598" i="9"/>
  <c r="AP598" i="9"/>
  <c r="AQ598" i="9"/>
  <c r="AR598" i="9"/>
  <c r="AS598" i="9"/>
  <c r="AT598" i="9"/>
  <c r="AW598" i="9"/>
  <c r="AX598" i="9"/>
  <c r="AY598" i="9"/>
  <c r="AZ598" i="9"/>
  <c r="BA598" i="9"/>
  <c r="BB598" i="9"/>
  <c r="BC598" i="9"/>
  <c r="AM599" i="9"/>
  <c r="AN599" i="9"/>
  <c r="AO599" i="9"/>
  <c r="AP599" i="9"/>
  <c r="AQ599" i="9"/>
  <c r="AR599" i="9"/>
  <c r="AS599" i="9"/>
  <c r="AT599" i="9"/>
  <c r="AW599" i="9"/>
  <c r="AX599" i="9"/>
  <c r="AY599" i="9"/>
  <c r="AZ599" i="9"/>
  <c r="BA599" i="9"/>
  <c r="BB599" i="9"/>
  <c r="BC599" i="9"/>
  <c r="AM600" i="9"/>
  <c r="AN600" i="9"/>
  <c r="AO600" i="9"/>
  <c r="AP600" i="9"/>
  <c r="AQ600" i="9"/>
  <c r="AR600" i="9"/>
  <c r="AS600" i="9"/>
  <c r="AT600" i="9"/>
  <c r="AW600" i="9"/>
  <c r="AX600" i="9"/>
  <c r="AY600" i="9"/>
  <c r="AZ600" i="9"/>
  <c r="BA600" i="9"/>
  <c r="BB600" i="9"/>
  <c r="BC600" i="9"/>
  <c r="AM601" i="9"/>
  <c r="AN601" i="9"/>
  <c r="AO601" i="9"/>
  <c r="AP601" i="9"/>
  <c r="AQ601" i="9"/>
  <c r="AR601" i="9"/>
  <c r="AS601" i="9"/>
  <c r="AT601" i="9"/>
  <c r="AW601" i="9"/>
  <c r="AX601" i="9"/>
  <c r="AY601" i="9"/>
  <c r="AZ601" i="9"/>
  <c r="BA601" i="9"/>
  <c r="BB601" i="9"/>
  <c r="BC601" i="9"/>
  <c r="AM602" i="9"/>
  <c r="AN602" i="9"/>
  <c r="AO602" i="9"/>
  <c r="AP602" i="9"/>
  <c r="AQ602" i="9"/>
  <c r="AR602" i="9"/>
  <c r="AS602" i="9"/>
  <c r="AT602" i="9"/>
  <c r="AW602" i="9"/>
  <c r="AX602" i="9"/>
  <c r="AY602" i="9"/>
  <c r="AZ602" i="9"/>
  <c r="BA602" i="9"/>
  <c r="BB602" i="9"/>
  <c r="BC602" i="9"/>
  <c r="AM603" i="9"/>
  <c r="AN603" i="9"/>
  <c r="AO603" i="9"/>
  <c r="AP603" i="9"/>
  <c r="AQ603" i="9"/>
  <c r="AR603" i="9"/>
  <c r="AS603" i="9"/>
  <c r="AT603" i="9"/>
  <c r="AW603" i="9"/>
  <c r="AX603" i="9"/>
  <c r="AY603" i="9"/>
  <c r="AZ603" i="9"/>
  <c r="BA603" i="9"/>
  <c r="BB603" i="9"/>
  <c r="BC603" i="9"/>
  <c r="AM604" i="9"/>
  <c r="AN604" i="9"/>
  <c r="AO604" i="9"/>
  <c r="AP604" i="9"/>
  <c r="AQ604" i="9"/>
  <c r="AR604" i="9"/>
  <c r="AS604" i="9"/>
  <c r="AT604" i="9"/>
  <c r="AW604" i="9"/>
  <c r="AX604" i="9"/>
  <c r="AY604" i="9"/>
  <c r="AZ604" i="9"/>
  <c r="BA604" i="9"/>
  <c r="BB604" i="9"/>
  <c r="BC604" i="9"/>
  <c r="AM605" i="9"/>
  <c r="AN605" i="9"/>
  <c r="AO605" i="9"/>
  <c r="AP605" i="9"/>
  <c r="AQ605" i="9"/>
  <c r="AR605" i="9"/>
  <c r="AS605" i="9"/>
  <c r="AT605" i="9"/>
  <c r="AW605" i="9"/>
  <c r="AX605" i="9"/>
  <c r="AY605" i="9"/>
  <c r="AZ605" i="9"/>
  <c r="BA605" i="9"/>
  <c r="BB605" i="9"/>
  <c r="BC605" i="9"/>
  <c r="AM606" i="9"/>
  <c r="AN606" i="9"/>
  <c r="AO606" i="9"/>
  <c r="AP606" i="9"/>
  <c r="AQ606" i="9"/>
  <c r="AR606" i="9"/>
  <c r="AS606" i="9"/>
  <c r="AT606" i="9"/>
  <c r="AW606" i="9"/>
  <c r="AX606" i="9"/>
  <c r="AY606" i="9"/>
  <c r="AZ606" i="9"/>
  <c r="BA606" i="9"/>
  <c r="BB606" i="9"/>
  <c r="BC606" i="9"/>
  <c r="AM607" i="9"/>
  <c r="AN607" i="9"/>
  <c r="AO607" i="9"/>
  <c r="AP607" i="9"/>
  <c r="AQ607" i="9"/>
  <c r="AR607" i="9"/>
  <c r="AS607" i="9"/>
  <c r="AT607" i="9"/>
  <c r="AW607" i="9"/>
  <c r="AX607" i="9"/>
  <c r="AY607" i="9"/>
  <c r="AZ607" i="9"/>
  <c r="BA607" i="9"/>
  <c r="BB607" i="9"/>
  <c r="BC607" i="9"/>
  <c r="AM608" i="9"/>
  <c r="AN608" i="9"/>
  <c r="AO608" i="9"/>
  <c r="AP608" i="9"/>
  <c r="AQ608" i="9"/>
  <c r="AR608" i="9"/>
  <c r="AS608" i="9"/>
  <c r="AT608" i="9"/>
  <c r="AW608" i="9"/>
  <c r="AX608" i="9"/>
  <c r="AY608" i="9"/>
  <c r="AZ608" i="9"/>
  <c r="BA608" i="9"/>
  <c r="BB608" i="9"/>
  <c r="BC608" i="9"/>
  <c r="AM609" i="9"/>
  <c r="AN609" i="9"/>
  <c r="AO609" i="9"/>
  <c r="AP609" i="9"/>
  <c r="AQ609" i="9"/>
  <c r="AR609" i="9"/>
  <c r="AS609" i="9"/>
  <c r="AT609" i="9"/>
  <c r="AW609" i="9"/>
  <c r="AX609" i="9"/>
  <c r="AY609" i="9"/>
  <c r="AZ609" i="9"/>
  <c r="BA609" i="9"/>
  <c r="BB609" i="9"/>
  <c r="BC609" i="9"/>
  <c r="AM610" i="9"/>
  <c r="AN610" i="9"/>
  <c r="AO610" i="9"/>
  <c r="AP610" i="9"/>
  <c r="AQ610" i="9"/>
  <c r="AR610" i="9"/>
  <c r="AS610" i="9"/>
  <c r="AT610" i="9"/>
  <c r="AW610" i="9"/>
  <c r="AX610" i="9"/>
  <c r="AY610" i="9"/>
  <c r="AZ610" i="9"/>
  <c r="BA610" i="9"/>
  <c r="BB610" i="9"/>
  <c r="BC610" i="9"/>
  <c r="AM611" i="9"/>
  <c r="AN611" i="9"/>
  <c r="AO611" i="9"/>
  <c r="AP611" i="9"/>
  <c r="AQ611" i="9"/>
  <c r="AR611" i="9"/>
  <c r="AS611" i="9"/>
  <c r="AT611" i="9"/>
  <c r="AW611" i="9"/>
  <c r="AX611" i="9"/>
  <c r="AY611" i="9"/>
  <c r="AZ611" i="9"/>
  <c r="BA611" i="9"/>
  <c r="BB611" i="9"/>
  <c r="BC611" i="9"/>
  <c r="AM612" i="9"/>
  <c r="AN612" i="9"/>
  <c r="AO612" i="9"/>
  <c r="AP612" i="9"/>
  <c r="AQ612" i="9"/>
  <c r="AR612" i="9"/>
  <c r="AS612" i="9"/>
  <c r="AT612" i="9"/>
  <c r="AW612" i="9"/>
  <c r="AX612" i="9"/>
  <c r="AY612" i="9"/>
  <c r="AZ612" i="9"/>
  <c r="BA612" i="9"/>
  <c r="BB612" i="9"/>
  <c r="BC612" i="9"/>
  <c r="AM613" i="9"/>
  <c r="AN613" i="9"/>
  <c r="AO613" i="9"/>
  <c r="AP613" i="9"/>
  <c r="AQ613" i="9"/>
  <c r="AR613" i="9"/>
  <c r="AS613" i="9"/>
  <c r="AT613" i="9"/>
  <c r="AW613" i="9"/>
  <c r="AX613" i="9"/>
  <c r="AY613" i="9"/>
  <c r="AZ613" i="9"/>
  <c r="BA613" i="9"/>
  <c r="BB613" i="9"/>
  <c r="BC613" i="9"/>
  <c r="AM614" i="9"/>
  <c r="AN614" i="9"/>
  <c r="AO614" i="9"/>
  <c r="AP614" i="9"/>
  <c r="AQ614" i="9"/>
  <c r="AR614" i="9"/>
  <c r="AS614" i="9"/>
  <c r="AT614" i="9"/>
  <c r="AW614" i="9"/>
  <c r="AX614" i="9"/>
  <c r="AY614" i="9"/>
  <c r="AZ614" i="9"/>
  <c r="BA614" i="9"/>
  <c r="BB614" i="9"/>
  <c r="BC614" i="9"/>
  <c r="AM615" i="9"/>
  <c r="AN615" i="9"/>
  <c r="AO615" i="9"/>
  <c r="AP615" i="9"/>
  <c r="AQ615" i="9"/>
  <c r="AR615" i="9"/>
  <c r="AS615" i="9"/>
  <c r="AT615" i="9"/>
  <c r="AW615" i="9"/>
  <c r="AX615" i="9"/>
  <c r="AY615" i="9"/>
  <c r="AZ615" i="9"/>
  <c r="BA615" i="9"/>
  <c r="BB615" i="9"/>
  <c r="BC615" i="9"/>
  <c r="AM616" i="9"/>
  <c r="AN616" i="9"/>
  <c r="AO616" i="9"/>
  <c r="AP616" i="9"/>
  <c r="AQ616" i="9"/>
  <c r="AR616" i="9"/>
  <c r="AS616" i="9"/>
  <c r="AT616" i="9"/>
  <c r="AW616" i="9"/>
  <c r="AX616" i="9"/>
  <c r="AY616" i="9"/>
  <c r="AZ616" i="9"/>
  <c r="BA616" i="9"/>
  <c r="BB616" i="9"/>
  <c r="BC616" i="9"/>
  <c r="AM617" i="9"/>
  <c r="AN617" i="9"/>
  <c r="AO617" i="9"/>
  <c r="AP617" i="9"/>
  <c r="AQ617" i="9"/>
  <c r="AR617" i="9"/>
  <c r="AS617" i="9"/>
  <c r="AT617" i="9"/>
  <c r="AW617" i="9"/>
  <c r="AX617" i="9"/>
  <c r="AY617" i="9"/>
  <c r="AZ617" i="9"/>
  <c r="BA617" i="9"/>
  <c r="BB617" i="9"/>
  <c r="BC617" i="9"/>
  <c r="AM618" i="9"/>
  <c r="AN618" i="9"/>
  <c r="AO618" i="9"/>
  <c r="AP618" i="9"/>
  <c r="AQ618" i="9"/>
  <c r="AR618" i="9"/>
  <c r="AS618" i="9"/>
  <c r="AT618" i="9"/>
  <c r="AW618" i="9"/>
  <c r="AX618" i="9"/>
  <c r="AY618" i="9"/>
  <c r="AZ618" i="9"/>
  <c r="BA618" i="9"/>
  <c r="BB618" i="9"/>
  <c r="BC618" i="9"/>
  <c r="AM619" i="9"/>
  <c r="AN619" i="9"/>
  <c r="AO619" i="9"/>
  <c r="AP619" i="9"/>
  <c r="AQ619" i="9"/>
  <c r="AR619" i="9"/>
  <c r="AS619" i="9"/>
  <c r="AT619" i="9"/>
  <c r="AW619" i="9"/>
  <c r="AX619" i="9"/>
  <c r="AY619" i="9"/>
  <c r="AZ619" i="9"/>
  <c r="BA619" i="9"/>
  <c r="BB619" i="9"/>
  <c r="BC619" i="9"/>
  <c r="AM620" i="9"/>
  <c r="AN620" i="9"/>
  <c r="AO620" i="9"/>
  <c r="AP620" i="9"/>
  <c r="AQ620" i="9"/>
  <c r="AR620" i="9"/>
  <c r="AS620" i="9"/>
  <c r="AT620" i="9"/>
  <c r="AW620" i="9"/>
  <c r="AX620" i="9"/>
  <c r="AY620" i="9"/>
  <c r="AZ620" i="9"/>
  <c r="BA620" i="9"/>
  <c r="BB620" i="9"/>
  <c r="BC620" i="9"/>
  <c r="AM621" i="9"/>
  <c r="AN621" i="9"/>
  <c r="AO621" i="9"/>
  <c r="AP621" i="9"/>
  <c r="AQ621" i="9"/>
  <c r="AR621" i="9"/>
  <c r="AS621" i="9"/>
  <c r="AT621" i="9"/>
  <c r="AW621" i="9"/>
  <c r="AX621" i="9"/>
  <c r="AY621" i="9"/>
  <c r="AZ621" i="9"/>
  <c r="BA621" i="9"/>
  <c r="BB621" i="9"/>
  <c r="BC621" i="9"/>
  <c r="AM622" i="9"/>
  <c r="AN622" i="9"/>
  <c r="AO622" i="9"/>
  <c r="AP622" i="9"/>
  <c r="AQ622" i="9"/>
  <c r="AR622" i="9"/>
  <c r="AS622" i="9"/>
  <c r="AT622" i="9"/>
  <c r="AW622" i="9"/>
  <c r="AX622" i="9"/>
  <c r="AY622" i="9"/>
  <c r="AZ622" i="9"/>
  <c r="BA622" i="9"/>
  <c r="BB622" i="9"/>
  <c r="BC622" i="9"/>
  <c r="AM623" i="9"/>
  <c r="AN623" i="9"/>
  <c r="AO623" i="9"/>
  <c r="AP623" i="9"/>
  <c r="AQ623" i="9"/>
  <c r="AR623" i="9"/>
  <c r="AS623" i="9"/>
  <c r="AT623" i="9"/>
  <c r="AW623" i="9"/>
  <c r="AX623" i="9"/>
  <c r="AY623" i="9"/>
  <c r="AZ623" i="9"/>
  <c r="BA623" i="9"/>
  <c r="BB623" i="9"/>
  <c r="BC623" i="9"/>
  <c r="AM624" i="9"/>
  <c r="AN624" i="9"/>
  <c r="AO624" i="9"/>
  <c r="AP624" i="9"/>
  <c r="AQ624" i="9"/>
  <c r="AR624" i="9"/>
  <c r="AS624" i="9"/>
  <c r="AT624" i="9"/>
  <c r="AW624" i="9"/>
  <c r="AX624" i="9"/>
  <c r="AY624" i="9"/>
  <c r="AZ624" i="9"/>
  <c r="BA624" i="9"/>
  <c r="BB624" i="9"/>
  <c r="BC624" i="9"/>
  <c r="AM625" i="9"/>
  <c r="AN625" i="9"/>
  <c r="AO625" i="9"/>
  <c r="AP625" i="9"/>
  <c r="AQ625" i="9"/>
  <c r="AR625" i="9"/>
  <c r="AS625" i="9"/>
  <c r="AT625" i="9"/>
  <c r="AW625" i="9"/>
  <c r="AX625" i="9"/>
  <c r="AY625" i="9"/>
  <c r="AZ625" i="9"/>
  <c r="BA625" i="9"/>
  <c r="BB625" i="9"/>
  <c r="BC625" i="9"/>
  <c r="AM626" i="9"/>
  <c r="AN626" i="9"/>
  <c r="AO626" i="9"/>
  <c r="AP626" i="9"/>
  <c r="AQ626" i="9"/>
  <c r="AR626" i="9"/>
  <c r="AS626" i="9"/>
  <c r="AT626" i="9"/>
  <c r="AW626" i="9"/>
  <c r="AX626" i="9"/>
  <c r="AY626" i="9"/>
  <c r="AZ626" i="9"/>
  <c r="BA626" i="9"/>
  <c r="BB626" i="9"/>
  <c r="BC626" i="9"/>
  <c r="AM627" i="9"/>
  <c r="AN627" i="9"/>
  <c r="AO627" i="9"/>
  <c r="AP627" i="9"/>
  <c r="AQ627" i="9"/>
  <c r="AR627" i="9"/>
  <c r="AS627" i="9"/>
  <c r="AT627" i="9"/>
  <c r="AW627" i="9"/>
  <c r="AX627" i="9"/>
  <c r="AY627" i="9"/>
  <c r="AZ627" i="9"/>
  <c r="BA627" i="9"/>
  <c r="BB627" i="9"/>
  <c r="BC627" i="9"/>
  <c r="AM628" i="9"/>
  <c r="AN628" i="9"/>
  <c r="AO628" i="9"/>
  <c r="AP628" i="9"/>
  <c r="AQ628" i="9"/>
  <c r="AR628" i="9"/>
  <c r="AS628" i="9"/>
  <c r="AT628" i="9"/>
  <c r="AW628" i="9"/>
  <c r="AX628" i="9"/>
  <c r="AY628" i="9"/>
  <c r="AZ628" i="9"/>
  <c r="BA628" i="9"/>
  <c r="BB628" i="9"/>
  <c r="BC628" i="9"/>
  <c r="AM629" i="9"/>
  <c r="AN629" i="9"/>
  <c r="AO629" i="9"/>
  <c r="AP629" i="9"/>
  <c r="AQ629" i="9"/>
  <c r="AR629" i="9"/>
  <c r="AS629" i="9"/>
  <c r="AT629" i="9"/>
  <c r="AW629" i="9"/>
  <c r="AX629" i="9"/>
  <c r="AY629" i="9"/>
  <c r="AZ629" i="9"/>
  <c r="BA629" i="9"/>
  <c r="BB629" i="9"/>
  <c r="BC629" i="9"/>
  <c r="AM630" i="9"/>
  <c r="AN630" i="9"/>
  <c r="AO630" i="9"/>
  <c r="AP630" i="9"/>
  <c r="AQ630" i="9"/>
  <c r="AR630" i="9"/>
  <c r="AS630" i="9"/>
  <c r="AT630" i="9"/>
  <c r="AW630" i="9"/>
  <c r="AX630" i="9"/>
  <c r="AY630" i="9"/>
  <c r="AZ630" i="9"/>
  <c r="BA630" i="9"/>
  <c r="BB630" i="9"/>
  <c r="BC630" i="9"/>
  <c r="AM631" i="9"/>
  <c r="AN631" i="9"/>
  <c r="AO631" i="9"/>
  <c r="AP631" i="9"/>
  <c r="AQ631" i="9"/>
  <c r="AR631" i="9"/>
  <c r="AS631" i="9"/>
  <c r="AT631" i="9"/>
  <c r="AW631" i="9"/>
  <c r="AX631" i="9"/>
  <c r="AY631" i="9"/>
  <c r="AZ631" i="9"/>
  <c r="BA631" i="9"/>
  <c r="BB631" i="9"/>
  <c r="BC631" i="9"/>
  <c r="AM632" i="9"/>
  <c r="AN632" i="9"/>
  <c r="AO632" i="9"/>
  <c r="AP632" i="9"/>
  <c r="AQ632" i="9"/>
  <c r="AR632" i="9"/>
  <c r="AS632" i="9"/>
  <c r="AT632" i="9"/>
  <c r="AW632" i="9"/>
  <c r="AX632" i="9"/>
  <c r="AY632" i="9"/>
  <c r="AZ632" i="9"/>
  <c r="BA632" i="9"/>
  <c r="BB632" i="9"/>
  <c r="BC632" i="9"/>
  <c r="AM633" i="9"/>
  <c r="AN633" i="9"/>
  <c r="AO633" i="9"/>
  <c r="AP633" i="9"/>
  <c r="AQ633" i="9"/>
  <c r="AR633" i="9"/>
  <c r="AS633" i="9"/>
  <c r="AT633" i="9"/>
  <c r="AW633" i="9"/>
  <c r="AX633" i="9"/>
  <c r="AY633" i="9"/>
  <c r="AZ633" i="9"/>
  <c r="BA633" i="9"/>
  <c r="BB633" i="9"/>
  <c r="BC633" i="9"/>
  <c r="AM634" i="9"/>
  <c r="AN634" i="9"/>
  <c r="AO634" i="9"/>
  <c r="AP634" i="9"/>
  <c r="AQ634" i="9"/>
  <c r="AR634" i="9"/>
  <c r="AS634" i="9"/>
  <c r="AT634" i="9"/>
  <c r="AW634" i="9"/>
  <c r="AX634" i="9"/>
  <c r="AY634" i="9"/>
  <c r="AZ634" i="9"/>
  <c r="BA634" i="9"/>
  <c r="BB634" i="9"/>
  <c r="BC634" i="9"/>
  <c r="AM635" i="9"/>
  <c r="AN635" i="9"/>
  <c r="AO635" i="9"/>
  <c r="AP635" i="9"/>
  <c r="AQ635" i="9"/>
  <c r="AR635" i="9"/>
  <c r="AS635" i="9"/>
  <c r="AT635" i="9"/>
  <c r="AW635" i="9"/>
  <c r="AX635" i="9"/>
  <c r="AY635" i="9"/>
  <c r="AZ635" i="9"/>
  <c r="BA635" i="9"/>
  <c r="BB635" i="9"/>
  <c r="BC635" i="9"/>
  <c r="AM636" i="9"/>
  <c r="AN636" i="9"/>
  <c r="AO636" i="9"/>
  <c r="AP636" i="9"/>
  <c r="AQ636" i="9"/>
  <c r="AR636" i="9"/>
  <c r="AS636" i="9"/>
  <c r="AT636" i="9"/>
  <c r="AW636" i="9"/>
  <c r="AX636" i="9"/>
  <c r="AY636" i="9"/>
  <c r="AZ636" i="9"/>
  <c r="BA636" i="9"/>
  <c r="BB636" i="9"/>
  <c r="BC636" i="9"/>
  <c r="AM637" i="9"/>
  <c r="AN637" i="9"/>
  <c r="AO637" i="9"/>
  <c r="AP637" i="9"/>
  <c r="AQ637" i="9"/>
  <c r="AR637" i="9"/>
  <c r="AS637" i="9"/>
  <c r="AT637" i="9"/>
  <c r="AW637" i="9"/>
  <c r="AX637" i="9"/>
  <c r="AY637" i="9"/>
  <c r="AZ637" i="9"/>
  <c r="BA637" i="9"/>
  <c r="BB637" i="9"/>
  <c r="BC637" i="9"/>
  <c r="AM638" i="9"/>
  <c r="AN638" i="9"/>
  <c r="AO638" i="9"/>
  <c r="AP638" i="9"/>
  <c r="AQ638" i="9"/>
  <c r="AR638" i="9"/>
  <c r="AS638" i="9"/>
  <c r="AT638" i="9"/>
  <c r="AW638" i="9"/>
  <c r="AX638" i="9"/>
  <c r="AY638" i="9"/>
  <c r="AZ638" i="9"/>
  <c r="BA638" i="9"/>
  <c r="BB638" i="9"/>
  <c r="BC638" i="9"/>
  <c r="AM639" i="9"/>
  <c r="AN639" i="9"/>
  <c r="AO639" i="9"/>
  <c r="AP639" i="9"/>
  <c r="AQ639" i="9"/>
  <c r="AR639" i="9"/>
  <c r="AS639" i="9"/>
  <c r="AT639" i="9"/>
  <c r="AW639" i="9"/>
  <c r="AX639" i="9"/>
  <c r="AY639" i="9"/>
  <c r="AZ639" i="9"/>
  <c r="BA639" i="9"/>
  <c r="BB639" i="9"/>
  <c r="BC639" i="9"/>
  <c r="AM640" i="9"/>
  <c r="AN640" i="9"/>
  <c r="AO640" i="9"/>
  <c r="AP640" i="9"/>
  <c r="AQ640" i="9"/>
  <c r="AR640" i="9"/>
  <c r="AS640" i="9"/>
  <c r="AT640" i="9"/>
  <c r="AW640" i="9"/>
  <c r="AX640" i="9"/>
  <c r="AY640" i="9"/>
  <c r="AZ640" i="9"/>
  <c r="BA640" i="9"/>
  <c r="BB640" i="9"/>
  <c r="BC640" i="9"/>
  <c r="AM641" i="9"/>
  <c r="AN641" i="9"/>
  <c r="AO641" i="9"/>
  <c r="AP641" i="9"/>
  <c r="AQ641" i="9"/>
  <c r="AR641" i="9"/>
  <c r="AS641" i="9"/>
  <c r="AT641" i="9"/>
  <c r="AW641" i="9"/>
  <c r="AX641" i="9"/>
  <c r="AY641" i="9"/>
  <c r="AZ641" i="9"/>
  <c r="BA641" i="9"/>
  <c r="BB641" i="9"/>
  <c r="BC641" i="9"/>
  <c r="AM642" i="9"/>
  <c r="AN642" i="9"/>
  <c r="AO642" i="9"/>
  <c r="AP642" i="9"/>
  <c r="AQ642" i="9"/>
  <c r="AR642" i="9"/>
  <c r="AS642" i="9"/>
  <c r="AT642" i="9"/>
  <c r="AW642" i="9"/>
  <c r="AX642" i="9"/>
  <c r="AY642" i="9"/>
  <c r="AZ642" i="9"/>
  <c r="BA642" i="9"/>
  <c r="BB642" i="9"/>
  <c r="BC642" i="9"/>
  <c r="AM643" i="9"/>
  <c r="AN643" i="9"/>
  <c r="AO643" i="9"/>
  <c r="AP643" i="9"/>
  <c r="AQ643" i="9"/>
  <c r="AR643" i="9"/>
  <c r="AS643" i="9"/>
  <c r="AT643" i="9"/>
  <c r="AW643" i="9"/>
  <c r="AX643" i="9"/>
  <c r="AY643" i="9"/>
  <c r="AZ643" i="9"/>
  <c r="BA643" i="9"/>
  <c r="BB643" i="9"/>
  <c r="BC643" i="9"/>
  <c r="AM644" i="9"/>
  <c r="AN644" i="9"/>
  <c r="AO644" i="9"/>
  <c r="AP644" i="9"/>
  <c r="AQ644" i="9"/>
  <c r="AR644" i="9"/>
  <c r="AS644" i="9"/>
  <c r="AT644" i="9"/>
  <c r="AW644" i="9"/>
  <c r="AX644" i="9"/>
  <c r="AY644" i="9"/>
  <c r="AZ644" i="9"/>
  <c r="BA644" i="9"/>
  <c r="BB644" i="9"/>
  <c r="BC644" i="9"/>
  <c r="AM645" i="9"/>
  <c r="AN645" i="9"/>
  <c r="AO645" i="9"/>
  <c r="AP645" i="9"/>
  <c r="AQ645" i="9"/>
  <c r="AR645" i="9"/>
  <c r="AS645" i="9"/>
  <c r="AT645" i="9"/>
  <c r="AW645" i="9"/>
  <c r="AX645" i="9"/>
  <c r="AY645" i="9"/>
  <c r="AZ645" i="9"/>
  <c r="BA645" i="9"/>
  <c r="BB645" i="9"/>
  <c r="BC645" i="9"/>
  <c r="AM646" i="9"/>
  <c r="AN646" i="9"/>
  <c r="AO646" i="9"/>
  <c r="AP646" i="9"/>
  <c r="AQ646" i="9"/>
  <c r="AR646" i="9"/>
  <c r="AS646" i="9"/>
  <c r="AT646" i="9"/>
  <c r="AW646" i="9"/>
  <c r="AX646" i="9"/>
  <c r="AY646" i="9"/>
  <c r="AZ646" i="9"/>
  <c r="BA646" i="9"/>
  <c r="BB646" i="9"/>
  <c r="BC646" i="9"/>
  <c r="AM647" i="9"/>
  <c r="AN647" i="9"/>
  <c r="AO647" i="9"/>
  <c r="AP647" i="9"/>
  <c r="AQ647" i="9"/>
  <c r="AR647" i="9"/>
  <c r="AS647" i="9"/>
  <c r="AT647" i="9"/>
  <c r="AW647" i="9"/>
  <c r="AX647" i="9"/>
  <c r="AY647" i="9"/>
  <c r="AZ647" i="9"/>
  <c r="BA647" i="9"/>
  <c r="BB647" i="9"/>
  <c r="BC647" i="9"/>
  <c r="AM648" i="9"/>
  <c r="AN648" i="9"/>
  <c r="AO648" i="9"/>
  <c r="AP648" i="9"/>
  <c r="AQ648" i="9"/>
  <c r="AR648" i="9"/>
  <c r="AS648" i="9"/>
  <c r="AT648" i="9"/>
  <c r="AW648" i="9"/>
  <c r="AX648" i="9"/>
  <c r="AY648" i="9"/>
  <c r="AZ648" i="9"/>
  <c r="BA648" i="9"/>
  <c r="BB648" i="9"/>
  <c r="BC648" i="9"/>
  <c r="AM649" i="9"/>
  <c r="AN649" i="9"/>
  <c r="AO649" i="9"/>
  <c r="AP649" i="9"/>
  <c r="AQ649" i="9"/>
  <c r="AR649" i="9"/>
  <c r="AS649" i="9"/>
  <c r="AT649" i="9"/>
  <c r="AW649" i="9"/>
  <c r="AX649" i="9"/>
  <c r="AY649" i="9"/>
  <c r="AZ649" i="9"/>
  <c r="BA649" i="9"/>
  <c r="BB649" i="9"/>
  <c r="BC649" i="9"/>
  <c r="AM650" i="9"/>
  <c r="AN650" i="9"/>
  <c r="AO650" i="9"/>
  <c r="AP650" i="9"/>
  <c r="AQ650" i="9"/>
  <c r="AR650" i="9"/>
  <c r="AS650" i="9"/>
  <c r="AT650" i="9"/>
  <c r="AW650" i="9"/>
  <c r="AX650" i="9"/>
  <c r="AY650" i="9"/>
  <c r="AZ650" i="9"/>
  <c r="BA650" i="9"/>
  <c r="BB650" i="9"/>
  <c r="BC650" i="9"/>
  <c r="AM651" i="9"/>
  <c r="AN651" i="9"/>
  <c r="AO651" i="9"/>
  <c r="AP651" i="9"/>
  <c r="AQ651" i="9"/>
  <c r="AR651" i="9"/>
  <c r="AS651" i="9"/>
  <c r="AT651" i="9"/>
  <c r="AW651" i="9"/>
  <c r="AX651" i="9"/>
  <c r="AY651" i="9"/>
  <c r="AZ651" i="9"/>
  <c r="BA651" i="9"/>
  <c r="BB651" i="9"/>
  <c r="BC651" i="9"/>
  <c r="AM652" i="9"/>
  <c r="AN652" i="9"/>
  <c r="AO652" i="9"/>
  <c r="AP652" i="9"/>
  <c r="AQ652" i="9"/>
  <c r="AR652" i="9"/>
  <c r="AS652" i="9"/>
  <c r="AT652" i="9"/>
  <c r="AW652" i="9"/>
  <c r="AX652" i="9"/>
  <c r="AY652" i="9"/>
  <c r="AZ652" i="9"/>
  <c r="BA652" i="9"/>
  <c r="BB652" i="9"/>
  <c r="BC652" i="9"/>
  <c r="AM653" i="9"/>
  <c r="AN653" i="9"/>
  <c r="AO653" i="9"/>
  <c r="AP653" i="9"/>
  <c r="AQ653" i="9"/>
  <c r="AR653" i="9"/>
  <c r="AS653" i="9"/>
  <c r="AT653" i="9"/>
  <c r="AW653" i="9"/>
  <c r="AX653" i="9"/>
  <c r="AY653" i="9"/>
  <c r="AZ653" i="9"/>
  <c r="BA653" i="9"/>
  <c r="BB653" i="9"/>
  <c r="BC653" i="9"/>
  <c r="AM654" i="9"/>
  <c r="AN654" i="9"/>
  <c r="AO654" i="9"/>
  <c r="AP654" i="9"/>
  <c r="AQ654" i="9"/>
  <c r="AR654" i="9"/>
  <c r="AS654" i="9"/>
  <c r="AT654" i="9"/>
  <c r="AW654" i="9"/>
  <c r="AX654" i="9"/>
  <c r="AY654" i="9"/>
  <c r="AZ654" i="9"/>
  <c r="BA654" i="9"/>
  <c r="BB654" i="9"/>
  <c r="BC654" i="9"/>
  <c r="AM655" i="9"/>
  <c r="AN655" i="9"/>
  <c r="AO655" i="9"/>
  <c r="AP655" i="9"/>
  <c r="AQ655" i="9"/>
  <c r="AR655" i="9"/>
  <c r="AS655" i="9"/>
  <c r="AT655" i="9"/>
  <c r="AW655" i="9"/>
  <c r="AX655" i="9"/>
  <c r="AY655" i="9"/>
  <c r="AZ655" i="9"/>
  <c r="BA655" i="9"/>
  <c r="BB655" i="9"/>
  <c r="BC655" i="9"/>
  <c r="AM656" i="9"/>
  <c r="AN656" i="9"/>
  <c r="AO656" i="9"/>
  <c r="AP656" i="9"/>
  <c r="AQ656" i="9"/>
  <c r="AR656" i="9"/>
  <c r="AS656" i="9"/>
  <c r="AT656" i="9"/>
  <c r="AW656" i="9"/>
  <c r="AX656" i="9"/>
  <c r="AY656" i="9"/>
  <c r="AZ656" i="9"/>
  <c r="BA656" i="9"/>
  <c r="BB656" i="9"/>
  <c r="BC656" i="9"/>
  <c r="AM657" i="9"/>
  <c r="AN657" i="9"/>
  <c r="AO657" i="9"/>
  <c r="AP657" i="9"/>
  <c r="AQ657" i="9"/>
  <c r="AR657" i="9"/>
  <c r="AS657" i="9"/>
  <c r="AT657" i="9"/>
  <c r="AW657" i="9"/>
  <c r="AX657" i="9"/>
  <c r="AY657" i="9"/>
  <c r="AZ657" i="9"/>
  <c r="BA657" i="9"/>
  <c r="BB657" i="9"/>
  <c r="BC657" i="9"/>
  <c r="AM658" i="9"/>
  <c r="AN658" i="9"/>
  <c r="AO658" i="9"/>
  <c r="AP658" i="9"/>
  <c r="AQ658" i="9"/>
  <c r="AR658" i="9"/>
  <c r="AS658" i="9"/>
  <c r="AT658" i="9"/>
  <c r="AW658" i="9"/>
  <c r="AX658" i="9"/>
  <c r="AY658" i="9"/>
  <c r="AZ658" i="9"/>
  <c r="BA658" i="9"/>
  <c r="BB658" i="9"/>
  <c r="BC658" i="9"/>
  <c r="AM659" i="9"/>
  <c r="AN659" i="9"/>
  <c r="AO659" i="9"/>
  <c r="AP659" i="9"/>
  <c r="AQ659" i="9"/>
  <c r="AR659" i="9"/>
  <c r="AS659" i="9"/>
  <c r="AT659" i="9"/>
  <c r="AW659" i="9"/>
  <c r="AX659" i="9"/>
  <c r="AY659" i="9"/>
  <c r="AZ659" i="9"/>
  <c r="BA659" i="9"/>
  <c r="BB659" i="9"/>
  <c r="BC659" i="9"/>
  <c r="AM660" i="9"/>
  <c r="AN660" i="9"/>
  <c r="AO660" i="9"/>
  <c r="AP660" i="9"/>
  <c r="AQ660" i="9"/>
  <c r="AR660" i="9"/>
  <c r="AS660" i="9"/>
  <c r="AT660" i="9"/>
  <c r="AW660" i="9"/>
  <c r="AX660" i="9"/>
  <c r="AY660" i="9"/>
  <c r="AZ660" i="9"/>
  <c r="BA660" i="9"/>
  <c r="BB660" i="9"/>
  <c r="BC660" i="9"/>
  <c r="AM661" i="9"/>
  <c r="AN661" i="9"/>
  <c r="AO661" i="9"/>
  <c r="AP661" i="9"/>
  <c r="AQ661" i="9"/>
  <c r="AR661" i="9"/>
  <c r="AS661" i="9"/>
  <c r="AT661" i="9"/>
  <c r="AW661" i="9"/>
  <c r="AX661" i="9"/>
  <c r="AY661" i="9"/>
  <c r="AZ661" i="9"/>
  <c r="BA661" i="9"/>
  <c r="BB661" i="9"/>
  <c r="BC661" i="9"/>
  <c r="AM662" i="9"/>
  <c r="AN662" i="9"/>
  <c r="AO662" i="9"/>
  <c r="AP662" i="9"/>
  <c r="AQ662" i="9"/>
  <c r="AR662" i="9"/>
  <c r="AS662" i="9"/>
  <c r="AT662" i="9"/>
  <c r="AW662" i="9"/>
  <c r="AX662" i="9"/>
  <c r="AY662" i="9"/>
  <c r="AZ662" i="9"/>
  <c r="BA662" i="9"/>
  <c r="BB662" i="9"/>
  <c r="BC662" i="9"/>
  <c r="AM663" i="9"/>
  <c r="AN663" i="9"/>
  <c r="AO663" i="9"/>
  <c r="AP663" i="9"/>
  <c r="AQ663" i="9"/>
  <c r="AR663" i="9"/>
  <c r="AS663" i="9"/>
  <c r="AT663" i="9"/>
  <c r="AW663" i="9"/>
  <c r="AX663" i="9"/>
  <c r="AY663" i="9"/>
  <c r="AZ663" i="9"/>
  <c r="BA663" i="9"/>
  <c r="BB663" i="9"/>
  <c r="BC663" i="9"/>
  <c r="AM664" i="9"/>
  <c r="AN664" i="9"/>
  <c r="AO664" i="9"/>
  <c r="AP664" i="9"/>
  <c r="AQ664" i="9"/>
  <c r="AR664" i="9"/>
  <c r="AS664" i="9"/>
  <c r="AT664" i="9"/>
  <c r="AW664" i="9"/>
  <c r="AX664" i="9"/>
  <c r="AY664" i="9"/>
  <c r="AZ664" i="9"/>
  <c r="BA664" i="9"/>
  <c r="BB664" i="9"/>
  <c r="BC664" i="9"/>
  <c r="AM665" i="9"/>
  <c r="AN665" i="9"/>
  <c r="AO665" i="9"/>
  <c r="AP665" i="9"/>
  <c r="AQ665" i="9"/>
  <c r="AR665" i="9"/>
  <c r="AS665" i="9"/>
  <c r="AT665" i="9"/>
  <c r="AW665" i="9"/>
  <c r="AX665" i="9"/>
  <c r="AY665" i="9"/>
  <c r="AZ665" i="9"/>
  <c r="BA665" i="9"/>
  <c r="BB665" i="9"/>
  <c r="BC665" i="9"/>
  <c r="AM666" i="9"/>
  <c r="AN666" i="9"/>
  <c r="AO666" i="9"/>
  <c r="AP666" i="9"/>
  <c r="AQ666" i="9"/>
  <c r="AR666" i="9"/>
  <c r="AS666" i="9"/>
  <c r="AT666" i="9"/>
  <c r="AW666" i="9"/>
  <c r="AX666" i="9"/>
  <c r="AY666" i="9"/>
  <c r="AZ666" i="9"/>
  <c r="BA666" i="9"/>
  <c r="BB666" i="9"/>
  <c r="BC666" i="9"/>
  <c r="AM667" i="9"/>
  <c r="AN667" i="9"/>
  <c r="AO667" i="9"/>
  <c r="AP667" i="9"/>
  <c r="AQ667" i="9"/>
  <c r="AR667" i="9"/>
  <c r="AS667" i="9"/>
  <c r="AT667" i="9"/>
  <c r="AW667" i="9"/>
  <c r="AX667" i="9"/>
  <c r="AY667" i="9"/>
  <c r="AZ667" i="9"/>
  <c r="BA667" i="9"/>
  <c r="BB667" i="9"/>
  <c r="BC667" i="9"/>
  <c r="AM668" i="9"/>
  <c r="AN668" i="9"/>
  <c r="AO668" i="9"/>
  <c r="AP668" i="9"/>
  <c r="AQ668" i="9"/>
  <c r="AR668" i="9"/>
  <c r="AS668" i="9"/>
  <c r="AT668" i="9"/>
  <c r="AW668" i="9"/>
  <c r="AX668" i="9"/>
  <c r="AY668" i="9"/>
  <c r="AZ668" i="9"/>
  <c r="BA668" i="9"/>
  <c r="BB668" i="9"/>
  <c r="BC668" i="9"/>
  <c r="AM669" i="9"/>
  <c r="AN669" i="9"/>
  <c r="AO669" i="9"/>
  <c r="AP669" i="9"/>
  <c r="AQ669" i="9"/>
  <c r="AR669" i="9"/>
  <c r="AS669" i="9"/>
  <c r="AT669" i="9"/>
  <c r="AW669" i="9"/>
  <c r="AX669" i="9"/>
  <c r="AY669" i="9"/>
  <c r="AZ669" i="9"/>
  <c r="BA669" i="9"/>
  <c r="BB669" i="9"/>
  <c r="BC669" i="9"/>
  <c r="AM670" i="9"/>
  <c r="AN670" i="9"/>
  <c r="AO670" i="9"/>
  <c r="AP670" i="9"/>
  <c r="AQ670" i="9"/>
  <c r="AR670" i="9"/>
  <c r="AS670" i="9"/>
  <c r="AT670" i="9"/>
  <c r="AW670" i="9"/>
  <c r="AX670" i="9"/>
  <c r="AY670" i="9"/>
  <c r="AZ670" i="9"/>
  <c r="BA670" i="9"/>
  <c r="BB670" i="9"/>
  <c r="BC670" i="9"/>
  <c r="AM671" i="9"/>
  <c r="AN671" i="9"/>
  <c r="AO671" i="9"/>
  <c r="AP671" i="9"/>
  <c r="AQ671" i="9"/>
  <c r="AR671" i="9"/>
  <c r="AS671" i="9"/>
  <c r="AT671" i="9"/>
  <c r="AW671" i="9"/>
  <c r="AX671" i="9"/>
  <c r="AY671" i="9"/>
  <c r="AZ671" i="9"/>
  <c r="BA671" i="9"/>
  <c r="BB671" i="9"/>
  <c r="BC671" i="9"/>
  <c r="AM672" i="9"/>
  <c r="AN672" i="9"/>
  <c r="AO672" i="9"/>
  <c r="AP672" i="9"/>
  <c r="AQ672" i="9"/>
  <c r="AR672" i="9"/>
  <c r="AS672" i="9"/>
  <c r="AT672" i="9"/>
  <c r="AW672" i="9"/>
  <c r="AX672" i="9"/>
  <c r="AY672" i="9"/>
  <c r="AZ672" i="9"/>
  <c r="BA672" i="9"/>
  <c r="BB672" i="9"/>
  <c r="BC672" i="9"/>
  <c r="AM673" i="9"/>
  <c r="AN673" i="9"/>
  <c r="AO673" i="9"/>
  <c r="AP673" i="9"/>
  <c r="AQ673" i="9"/>
  <c r="AR673" i="9"/>
  <c r="AS673" i="9"/>
  <c r="AT673" i="9"/>
  <c r="AW673" i="9"/>
  <c r="AX673" i="9"/>
  <c r="AY673" i="9"/>
  <c r="AZ673" i="9"/>
  <c r="BA673" i="9"/>
  <c r="BB673" i="9"/>
  <c r="BC673" i="9"/>
  <c r="AM674" i="9"/>
  <c r="AN674" i="9"/>
  <c r="AO674" i="9"/>
  <c r="AP674" i="9"/>
  <c r="AQ674" i="9"/>
  <c r="AR674" i="9"/>
  <c r="AS674" i="9"/>
  <c r="AT674" i="9"/>
  <c r="AW674" i="9"/>
  <c r="AX674" i="9"/>
  <c r="AY674" i="9"/>
  <c r="AZ674" i="9"/>
  <c r="BA674" i="9"/>
  <c r="BB674" i="9"/>
  <c r="BC674" i="9"/>
  <c r="AM675" i="9"/>
  <c r="AN675" i="9"/>
  <c r="AO675" i="9"/>
  <c r="AP675" i="9"/>
  <c r="AQ675" i="9"/>
  <c r="AR675" i="9"/>
  <c r="AS675" i="9"/>
  <c r="AT675" i="9"/>
  <c r="AW675" i="9"/>
  <c r="AX675" i="9"/>
  <c r="AY675" i="9"/>
  <c r="AZ675" i="9"/>
  <c r="BA675" i="9"/>
  <c r="BB675" i="9"/>
  <c r="BC675" i="9"/>
  <c r="AM676" i="9"/>
  <c r="AN676" i="9"/>
  <c r="AO676" i="9"/>
  <c r="AP676" i="9"/>
  <c r="AQ676" i="9"/>
  <c r="AR676" i="9"/>
  <c r="AS676" i="9"/>
  <c r="AT676" i="9"/>
  <c r="AW676" i="9"/>
  <c r="AX676" i="9"/>
  <c r="AY676" i="9"/>
  <c r="AZ676" i="9"/>
  <c r="BA676" i="9"/>
  <c r="BB676" i="9"/>
  <c r="BC676" i="9"/>
  <c r="AM677" i="9"/>
  <c r="AN677" i="9"/>
  <c r="AO677" i="9"/>
  <c r="AP677" i="9"/>
  <c r="AQ677" i="9"/>
  <c r="AR677" i="9"/>
  <c r="AS677" i="9"/>
  <c r="AT677" i="9"/>
  <c r="AW677" i="9"/>
  <c r="AX677" i="9"/>
  <c r="AY677" i="9"/>
  <c r="AZ677" i="9"/>
  <c r="BA677" i="9"/>
  <c r="BB677" i="9"/>
  <c r="BC677" i="9"/>
  <c r="AM678" i="9"/>
  <c r="AN678" i="9"/>
  <c r="AO678" i="9"/>
  <c r="AP678" i="9"/>
  <c r="AQ678" i="9"/>
  <c r="AR678" i="9"/>
  <c r="AS678" i="9"/>
  <c r="AT678" i="9"/>
  <c r="AW678" i="9"/>
  <c r="AX678" i="9"/>
  <c r="AY678" i="9"/>
  <c r="AZ678" i="9"/>
  <c r="BA678" i="9"/>
  <c r="BB678" i="9"/>
  <c r="BC678" i="9"/>
  <c r="AM679" i="9"/>
  <c r="AN679" i="9"/>
  <c r="AO679" i="9"/>
  <c r="AP679" i="9"/>
  <c r="AQ679" i="9"/>
  <c r="AR679" i="9"/>
  <c r="AS679" i="9"/>
  <c r="AT679" i="9"/>
  <c r="AW679" i="9"/>
  <c r="AX679" i="9"/>
  <c r="AY679" i="9"/>
  <c r="AZ679" i="9"/>
  <c r="BA679" i="9"/>
  <c r="BB679" i="9"/>
  <c r="BC679" i="9"/>
  <c r="AM680" i="9"/>
  <c r="AN680" i="9"/>
  <c r="AO680" i="9"/>
  <c r="AP680" i="9"/>
  <c r="AQ680" i="9"/>
  <c r="AR680" i="9"/>
  <c r="AS680" i="9"/>
  <c r="AT680" i="9"/>
  <c r="AW680" i="9"/>
  <c r="AX680" i="9"/>
  <c r="AY680" i="9"/>
  <c r="AZ680" i="9"/>
  <c r="BA680" i="9"/>
  <c r="BB680" i="9"/>
  <c r="BC680" i="9"/>
  <c r="AM681" i="9"/>
  <c r="AN681" i="9"/>
  <c r="AO681" i="9"/>
  <c r="AP681" i="9"/>
  <c r="AQ681" i="9"/>
  <c r="AR681" i="9"/>
  <c r="AS681" i="9"/>
  <c r="AT681" i="9"/>
  <c r="AW681" i="9"/>
  <c r="AX681" i="9"/>
  <c r="AY681" i="9"/>
  <c r="AZ681" i="9"/>
  <c r="BA681" i="9"/>
  <c r="BB681" i="9"/>
  <c r="BC681" i="9"/>
  <c r="AM682" i="9"/>
  <c r="AN682" i="9"/>
  <c r="AO682" i="9"/>
  <c r="AP682" i="9"/>
  <c r="AQ682" i="9"/>
  <c r="AR682" i="9"/>
  <c r="AS682" i="9"/>
  <c r="AT682" i="9"/>
  <c r="AW682" i="9"/>
  <c r="AX682" i="9"/>
  <c r="AY682" i="9"/>
  <c r="AZ682" i="9"/>
  <c r="BA682" i="9"/>
  <c r="BB682" i="9"/>
  <c r="BC682" i="9"/>
  <c r="AM683" i="9"/>
  <c r="AN683" i="9"/>
  <c r="AO683" i="9"/>
  <c r="AP683" i="9"/>
  <c r="AQ683" i="9"/>
  <c r="AR683" i="9"/>
  <c r="AS683" i="9"/>
  <c r="AT683" i="9"/>
  <c r="AW683" i="9"/>
  <c r="AX683" i="9"/>
  <c r="AY683" i="9"/>
  <c r="AZ683" i="9"/>
  <c r="BA683" i="9"/>
  <c r="BB683" i="9"/>
  <c r="BC683" i="9"/>
  <c r="AM684" i="9"/>
  <c r="AN684" i="9"/>
  <c r="AO684" i="9"/>
  <c r="AP684" i="9"/>
  <c r="AQ684" i="9"/>
  <c r="AR684" i="9"/>
  <c r="AS684" i="9"/>
  <c r="AT684" i="9"/>
  <c r="AW684" i="9"/>
  <c r="AX684" i="9"/>
  <c r="AY684" i="9"/>
  <c r="AZ684" i="9"/>
  <c r="BA684" i="9"/>
  <c r="BB684" i="9"/>
  <c r="BC684" i="9"/>
  <c r="AM685" i="9"/>
  <c r="AN685" i="9"/>
  <c r="AO685" i="9"/>
  <c r="AP685" i="9"/>
  <c r="AQ685" i="9"/>
  <c r="AR685" i="9"/>
  <c r="AS685" i="9"/>
  <c r="AT685" i="9"/>
  <c r="AW685" i="9"/>
  <c r="AX685" i="9"/>
  <c r="AY685" i="9"/>
  <c r="AZ685" i="9"/>
  <c r="BA685" i="9"/>
  <c r="BB685" i="9"/>
  <c r="BC685" i="9"/>
  <c r="AM686" i="9"/>
  <c r="AN686" i="9"/>
  <c r="AO686" i="9"/>
  <c r="AP686" i="9"/>
  <c r="AQ686" i="9"/>
  <c r="AR686" i="9"/>
  <c r="AS686" i="9"/>
  <c r="AT686" i="9"/>
  <c r="AW686" i="9"/>
  <c r="AX686" i="9"/>
  <c r="AY686" i="9"/>
  <c r="AZ686" i="9"/>
  <c r="BA686" i="9"/>
  <c r="BB686" i="9"/>
  <c r="BC686" i="9"/>
  <c r="AM687" i="9"/>
  <c r="AN687" i="9"/>
  <c r="AO687" i="9"/>
  <c r="AP687" i="9"/>
  <c r="AQ687" i="9"/>
  <c r="AR687" i="9"/>
  <c r="AS687" i="9"/>
  <c r="AT687" i="9"/>
  <c r="AW687" i="9"/>
  <c r="AX687" i="9"/>
  <c r="AY687" i="9"/>
  <c r="AZ687" i="9"/>
  <c r="BA687" i="9"/>
  <c r="BB687" i="9"/>
  <c r="BC687" i="9"/>
  <c r="AM688" i="9"/>
  <c r="AN688" i="9"/>
  <c r="AO688" i="9"/>
  <c r="AP688" i="9"/>
  <c r="AQ688" i="9"/>
  <c r="AR688" i="9"/>
  <c r="AS688" i="9"/>
  <c r="AT688" i="9"/>
  <c r="AW688" i="9"/>
  <c r="AX688" i="9"/>
  <c r="AY688" i="9"/>
  <c r="AZ688" i="9"/>
  <c r="BA688" i="9"/>
  <c r="BB688" i="9"/>
  <c r="BC688" i="9"/>
  <c r="AM689" i="9"/>
  <c r="AN689" i="9"/>
  <c r="AO689" i="9"/>
  <c r="AP689" i="9"/>
  <c r="AQ689" i="9"/>
  <c r="AR689" i="9"/>
  <c r="AS689" i="9"/>
  <c r="AT689" i="9"/>
  <c r="AW689" i="9"/>
  <c r="AX689" i="9"/>
  <c r="AY689" i="9"/>
  <c r="AZ689" i="9"/>
  <c r="BA689" i="9"/>
  <c r="BB689" i="9"/>
  <c r="BC689" i="9"/>
  <c r="AM690" i="9"/>
  <c r="AN690" i="9"/>
  <c r="AO690" i="9"/>
  <c r="AP690" i="9"/>
  <c r="AQ690" i="9"/>
  <c r="AR690" i="9"/>
  <c r="AS690" i="9"/>
  <c r="AT690" i="9"/>
  <c r="AW690" i="9"/>
  <c r="AX690" i="9"/>
  <c r="AY690" i="9"/>
  <c r="AZ690" i="9"/>
  <c r="BA690" i="9"/>
  <c r="BB690" i="9"/>
  <c r="BC690" i="9"/>
  <c r="AM691" i="9"/>
  <c r="AN691" i="9"/>
  <c r="AO691" i="9"/>
  <c r="AP691" i="9"/>
  <c r="AQ691" i="9"/>
  <c r="AR691" i="9"/>
  <c r="AS691" i="9"/>
  <c r="AT691" i="9"/>
  <c r="AW691" i="9"/>
  <c r="AX691" i="9"/>
  <c r="AY691" i="9"/>
  <c r="AZ691" i="9"/>
  <c r="BA691" i="9"/>
  <c r="BB691" i="9"/>
  <c r="BC691" i="9"/>
  <c r="AM692" i="9"/>
  <c r="AN692" i="9"/>
  <c r="AO692" i="9"/>
  <c r="AP692" i="9"/>
  <c r="AQ692" i="9"/>
  <c r="AR692" i="9"/>
  <c r="AS692" i="9"/>
  <c r="AT692" i="9"/>
  <c r="AW692" i="9"/>
  <c r="AX692" i="9"/>
  <c r="AY692" i="9"/>
  <c r="AZ692" i="9"/>
  <c r="BA692" i="9"/>
  <c r="BB692" i="9"/>
  <c r="BC692" i="9"/>
  <c r="AM693" i="9"/>
  <c r="AN693" i="9"/>
  <c r="AO693" i="9"/>
  <c r="AP693" i="9"/>
  <c r="AQ693" i="9"/>
  <c r="AR693" i="9"/>
  <c r="AS693" i="9"/>
  <c r="AT693" i="9"/>
  <c r="AW693" i="9"/>
  <c r="AX693" i="9"/>
  <c r="AY693" i="9"/>
  <c r="AZ693" i="9"/>
  <c r="BA693" i="9"/>
  <c r="BB693" i="9"/>
  <c r="BC693" i="9"/>
  <c r="AM694" i="9"/>
  <c r="AN694" i="9"/>
  <c r="AO694" i="9"/>
  <c r="AP694" i="9"/>
  <c r="AQ694" i="9"/>
  <c r="AR694" i="9"/>
  <c r="AS694" i="9"/>
  <c r="AT694" i="9"/>
  <c r="AW694" i="9"/>
  <c r="AX694" i="9"/>
  <c r="AY694" i="9"/>
  <c r="AZ694" i="9"/>
  <c r="BA694" i="9"/>
  <c r="BB694" i="9"/>
  <c r="BC694" i="9"/>
  <c r="AM695" i="9"/>
  <c r="AN695" i="9"/>
  <c r="AO695" i="9"/>
  <c r="AP695" i="9"/>
  <c r="AQ695" i="9"/>
  <c r="AR695" i="9"/>
  <c r="AS695" i="9"/>
  <c r="AT695" i="9"/>
  <c r="AW695" i="9"/>
  <c r="AX695" i="9"/>
  <c r="AY695" i="9"/>
  <c r="AZ695" i="9"/>
  <c r="BA695" i="9"/>
  <c r="BB695" i="9"/>
  <c r="BC695" i="9"/>
  <c r="AM696" i="9"/>
  <c r="AN696" i="9"/>
  <c r="AO696" i="9"/>
  <c r="AP696" i="9"/>
  <c r="AQ696" i="9"/>
  <c r="AR696" i="9"/>
  <c r="AS696" i="9"/>
  <c r="AT696" i="9"/>
  <c r="AW696" i="9"/>
  <c r="AX696" i="9"/>
  <c r="AY696" i="9"/>
  <c r="AZ696" i="9"/>
  <c r="BA696" i="9"/>
  <c r="BB696" i="9"/>
  <c r="BC696" i="9"/>
  <c r="AM697" i="9"/>
  <c r="AN697" i="9"/>
  <c r="AO697" i="9"/>
  <c r="AP697" i="9"/>
  <c r="AQ697" i="9"/>
  <c r="AR697" i="9"/>
  <c r="AS697" i="9"/>
  <c r="AT697" i="9"/>
  <c r="AW697" i="9"/>
  <c r="AX697" i="9"/>
  <c r="AY697" i="9"/>
  <c r="AZ697" i="9"/>
  <c r="BA697" i="9"/>
  <c r="BB697" i="9"/>
  <c r="BC697" i="9"/>
  <c r="AM698" i="9"/>
  <c r="AN698" i="9"/>
  <c r="AO698" i="9"/>
  <c r="AP698" i="9"/>
  <c r="AQ698" i="9"/>
  <c r="AR698" i="9"/>
  <c r="AS698" i="9"/>
  <c r="AT698" i="9"/>
  <c r="AW698" i="9"/>
  <c r="AX698" i="9"/>
  <c r="AY698" i="9"/>
  <c r="AZ698" i="9"/>
  <c r="BA698" i="9"/>
  <c r="BB698" i="9"/>
  <c r="BC698" i="9"/>
  <c r="AM699" i="9"/>
  <c r="AN699" i="9"/>
  <c r="AO699" i="9"/>
  <c r="AP699" i="9"/>
  <c r="AQ699" i="9"/>
  <c r="AR699" i="9"/>
  <c r="AS699" i="9"/>
  <c r="AT699" i="9"/>
  <c r="AW699" i="9"/>
  <c r="AX699" i="9"/>
  <c r="AY699" i="9"/>
  <c r="AZ699" i="9"/>
  <c r="BA699" i="9"/>
  <c r="BB699" i="9"/>
  <c r="BC699" i="9"/>
  <c r="AM700" i="9"/>
  <c r="AN700" i="9"/>
  <c r="AO700" i="9"/>
  <c r="AP700" i="9"/>
  <c r="AQ700" i="9"/>
  <c r="AR700" i="9"/>
  <c r="AS700" i="9"/>
  <c r="AT700" i="9"/>
  <c r="AW700" i="9"/>
  <c r="AX700" i="9"/>
  <c r="AY700" i="9"/>
  <c r="AZ700" i="9"/>
  <c r="BA700" i="9"/>
  <c r="BB700" i="9"/>
  <c r="BC700" i="9"/>
  <c r="AM701" i="9"/>
  <c r="AN701" i="9"/>
  <c r="AO701" i="9"/>
  <c r="AP701" i="9"/>
  <c r="AQ701" i="9"/>
  <c r="AR701" i="9"/>
  <c r="AS701" i="9"/>
  <c r="AT701" i="9"/>
  <c r="AW701" i="9"/>
  <c r="AX701" i="9"/>
  <c r="AY701" i="9"/>
  <c r="AZ701" i="9"/>
  <c r="BA701" i="9"/>
  <c r="BB701" i="9"/>
  <c r="BC701" i="9"/>
  <c r="AM702" i="9"/>
  <c r="AN702" i="9"/>
  <c r="AO702" i="9"/>
  <c r="AP702" i="9"/>
  <c r="AQ702" i="9"/>
  <c r="AR702" i="9"/>
  <c r="AS702" i="9"/>
  <c r="AT702" i="9"/>
  <c r="AW702" i="9"/>
  <c r="AX702" i="9"/>
  <c r="AY702" i="9"/>
  <c r="AZ702" i="9"/>
  <c r="BA702" i="9"/>
  <c r="BB702" i="9"/>
  <c r="BC702" i="9"/>
  <c r="AM703" i="9"/>
  <c r="AN703" i="9"/>
  <c r="AO703" i="9"/>
  <c r="AP703" i="9"/>
  <c r="AQ703" i="9"/>
  <c r="AR703" i="9"/>
  <c r="AS703" i="9"/>
  <c r="AT703" i="9"/>
  <c r="AW703" i="9"/>
  <c r="AX703" i="9"/>
  <c r="AY703" i="9"/>
  <c r="AZ703" i="9"/>
  <c r="BA703" i="9"/>
  <c r="BB703" i="9"/>
  <c r="BC703" i="9"/>
  <c r="AM704" i="9"/>
  <c r="AN704" i="9"/>
  <c r="AO704" i="9"/>
  <c r="AP704" i="9"/>
  <c r="AQ704" i="9"/>
  <c r="AR704" i="9"/>
  <c r="AS704" i="9"/>
  <c r="AT704" i="9"/>
  <c r="AW704" i="9"/>
  <c r="AX704" i="9"/>
  <c r="AY704" i="9"/>
  <c r="AZ704" i="9"/>
  <c r="BA704" i="9"/>
  <c r="BB704" i="9"/>
  <c r="BC704" i="9"/>
  <c r="AM705" i="9"/>
  <c r="AN705" i="9"/>
  <c r="AO705" i="9"/>
  <c r="AP705" i="9"/>
  <c r="AQ705" i="9"/>
  <c r="AR705" i="9"/>
  <c r="AS705" i="9"/>
  <c r="AT705" i="9"/>
  <c r="AW705" i="9"/>
  <c r="AX705" i="9"/>
  <c r="AY705" i="9"/>
  <c r="AZ705" i="9"/>
  <c r="BA705" i="9"/>
  <c r="BB705" i="9"/>
  <c r="BC705" i="9"/>
  <c r="AM706" i="9"/>
  <c r="AN706" i="9"/>
  <c r="AO706" i="9"/>
  <c r="AP706" i="9"/>
  <c r="AQ706" i="9"/>
  <c r="AR706" i="9"/>
  <c r="AS706" i="9"/>
  <c r="AT706" i="9"/>
  <c r="AW706" i="9"/>
  <c r="AX706" i="9"/>
  <c r="AY706" i="9"/>
  <c r="AZ706" i="9"/>
  <c r="BA706" i="9"/>
  <c r="BB706" i="9"/>
  <c r="BC706" i="9"/>
  <c r="AM707" i="9"/>
  <c r="AN707" i="9"/>
  <c r="AO707" i="9"/>
  <c r="AP707" i="9"/>
  <c r="AQ707" i="9"/>
  <c r="AR707" i="9"/>
  <c r="AS707" i="9"/>
  <c r="AT707" i="9"/>
  <c r="AW707" i="9"/>
  <c r="AX707" i="9"/>
  <c r="AY707" i="9"/>
  <c r="AZ707" i="9"/>
  <c r="BA707" i="9"/>
  <c r="BB707" i="9"/>
  <c r="BC707" i="9"/>
  <c r="AM708" i="9"/>
  <c r="AN708" i="9"/>
  <c r="AO708" i="9"/>
  <c r="AP708" i="9"/>
  <c r="AQ708" i="9"/>
  <c r="AR708" i="9"/>
  <c r="AS708" i="9"/>
  <c r="AT708" i="9"/>
  <c r="AW708" i="9"/>
  <c r="AX708" i="9"/>
  <c r="AY708" i="9"/>
  <c r="AZ708" i="9"/>
  <c r="BA708" i="9"/>
  <c r="BB708" i="9"/>
  <c r="BC708" i="9"/>
  <c r="AM709" i="9"/>
  <c r="AN709" i="9"/>
  <c r="AO709" i="9"/>
  <c r="AP709" i="9"/>
  <c r="AQ709" i="9"/>
  <c r="AR709" i="9"/>
  <c r="AS709" i="9"/>
  <c r="AT709" i="9"/>
  <c r="AW709" i="9"/>
  <c r="AX709" i="9"/>
  <c r="AY709" i="9"/>
  <c r="AZ709" i="9"/>
  <c r="BA709" i="9"/>
  <c r="BB709" i="9"/>
  <c r="BC709" i="9"/>
  <c r="AM710" i="9"/>
  <c r="AN710" i="9"/>
  <c r="AO710" i="9"/>
  <c r="AP710" i="9"/>
  <c r="AQ710" i="9"/>
  <c r="AR710" i="9"/>
  <c r="AS710" i="9"/>
  <c r="AT710" i="9"/>
  <c r="AW710" i="9"/>
  <c r="AX710" i="9"/>
  <c r="AY710" i="9"/>
  <c r="AZ710" i="9"/>
  <c r="BA710" i="9"/>
  <c r="BB710" i="9"/>
  <c r="BC710" i="9"/>
  <c r="AM711" i="9"/>
  <c r="AN711" i="9"/>
  <c r="AO711" i="9"/>
  <c r="AP711" i="9"/>
  <c r="AQ711" i="9"/>
  <c r="AR711" i="9"/>
  <c r="AS711" i="9"/>
  <c r="AT711" i="9"/>
  <c r="AW711" i="9"/>
  <c r="AX711" i="9"/>
  <c r="AY711" i="9"/>
  <c r="AZ711" i="9"/>
  <c r="BA711" i="9"/>
  <c r="BB711" i="9"/>
  <c r="BC711" i="9"/>
  <c r="AM712" i="9"/>
  <c r="AN712" i="9"/>
  <c r="AO712" i="9"/>
  <c r="AP712" i="9"/>
  <c r="AQ712" i="9"/>
  <c r="AR712" i="9"/>
  <c r="AS712" i="9"/>
  <c r="AT712" i="9"/>
  <c r="AW712" i="9"/>
  <c r="AX712" i="9"/>
  <c r="AY712" i="9"/>
  <c r="AZ712" i="9"/>
  <c r="BA712" i="9"/>
  <c r="BB712" i="9"/>
  <c r="BC712" i="9"/>
  <c r="AM713" i="9"/>
  <c r="AN713" i="9"/>
  <c r="AO713" i="9"/>
  <c r="AP713" i="9"/>
  <c r="AQ713" i="9"/>
  <c r="AR713" i="9"/>
  <c r="AS713" i="9"/>
  <c r="AT713" i="9"/>
  <c r="AW713" i="9"/>
  <c r="AX713" i="9"/>
  <c r="AY713" i="9"/>
  <c r="AZ713" i="9"/>
  <c r="BA713" i="9"/>
  <c r="BB713" i="9"/>
  <c r="BC713" i="9"/>
  <c r="AM714" i="9"/>
  <c r="AN714" i="9"/>
  <c r="AO714" i="9"/>
  <c r="AP714" i="9"/>
  <c r="AQ714" i="9"/>
  <c r="AR714" i="9"/>
  <c r="AS714" i="9"/>
  <c r="AT714" i="9"/>
  <c r="AW714" i="9"/>
  <c r="AX714" i="9"/>
  <c r="AY714" i="9"/>
  <c r="AZ714" i="9"/>
  <c r="BA714" i="9"/>
  <c r="BB714" i="9"/>
  <c r="BC714" i="9"/>
  <c r="AM715" i="9"/>
  <c r="AN715" i="9"/>
  <c r="AO715" i="9"/>
  <c r="AP715" i="9"/>
  <c r="AQ715" i="9"/>
  <c r="AR715" i="9"/>
  <c r="AS715" i="9"/>
  <c r="AT715" i="9"/>
  <c r="AW715" i="9"/>
  <c r="AX715" i="9"/>
  <c r="AY715" i="9"/>
  <c r="AZ715" i="9"/>
  <c r="BA715" i="9"/>
  <c r="BB715" i="9"/>
  <c r="BC715" i="9"/>
  <c r="AM716" i="9"/>
  <c r="AN716" i="9"/>
  <c r="AO716" i="9"/>
  <c r="AP716" i="9"/>
  <c r="AQ716" i="9"/>
  <c r="AR716" i="9"/>
  <c r="AS716" i="9"/>
  <c r="AT716" i="9"/>
  <c r="AW716" i="9"/>
  <c r="AX716" i="9"/>
  <c r="AY716" i="9"/>
  <c r="AZ716" i="9"/>
  <c r="BA716" i="9"/>
  <c r="BB716" i="9"/>
  <c r="BC716" i="9"/>
  <c r="AM717" i="9"/>
  <c r="AN717" i="9"/>
  <c r="AO717" i="9"/>
  <c r="AP717" i="9"/>
  <c r="AQ717" i="9"/>
  <c r="AR717" i="9"/>
  <c r="AS717" i="9"/>
  <c r="AT717" i="9"/>
  <c r="AW717" i="9"/>
  <c r="AX717" i="9"/>
  <c r="AY717" i="9"/>
  <c r="AZ717" i="9"/>
  <c r="BA717" i="9"/>
  <c r="BB717" i="9"/>
  <c r="BC717" i="9"/>
  <c r="AM718" i="9"/>
  <c r="AN718" i="9"/>
  <c r="AO718" i="9"/>
  <c r="AP718" i="9"/>
  <c r="AQ718" i="9"/>
  <c r="AR718" i="9"/>
  <c r="AS718" i="9"/>
  <c r="AT718" i="9"/>
  <c r="AW718" i="9"/>
  <c r="AX718" i="9"/>
  <c r="AY718" i="9"/>
  <c r="AZ718" i="9"/>
  <c r="BA718" i="9"/>
  <c r="BB718" i="9"/>
  <c r="BC718" i="9"/>
  <c r="AM719" i="9"/>
  <c r="AN719" i="9"/>
  <c r="AO719" i="9"/>
  <c r="AP719" i="9"/>
  <c r="AQ719" i="9"/>
  <c r="AR719" i="9"/>
  <c r="AS719" i="9"/>
  <c r="AT719" i="9"/>
  <c r="AW719" i="9"/>
  <c r="AX719" i="9"/>
  <c r="AY719" i="9"/>
  <c r="AZ719" i="9"/>
  <c r="BA719" i="9"/>
  <c r="BB719" i="9"/>
  <c r="BC719" i="9"/>
  <c r="AM720" i="9"/>
  <c r="AN720" i="9"/>
  <c r="AO720" i="9"/>
  <c r="AP720" i="9"/>
  <c r="AQ720" i="9"/>
  <c r="AR720" i="9"/>
  <c r="AS720" i="9"/>
  <c r="AT720" i="9"/>
  <c r="AW720" i="9"/>
  <c r="AX720" i="9"/>
  <c r="AY720" i="9"/>
  <c r="AZ720" i="9"/>
  <c r="BA720" i="9"/>
  <c r="BB720" i="9"/>
  <c r="BC720" i="9"/>
  <c r="AM721" i="9"/>
  <c r="AN721" i="9"/>
  <c r="AO721" i="9"/>
  <c r="AP721" i="9"/>
  <c r="AQ721" i="9"/>
  <c r="AR721" i="9"/>
  <c r="AS721" i="9"/>
  <c r="AT721" i="9"/>
  <c r="AW721" i="9"/>
  <c r="AX721" i="9"/>
  <c r="AY721" i="9"/>
  <c r="AZ721" i="9"/>
  <c r="BA721" i="9"/>
  <c r="BB721" i="9"/>
  <c r="BC721" i="9"/>
  <c r="AM722" i="9"/>
  <c r="AN722" i="9"/>
  <c r="AO722" i="9"/>
  <c r="AP722" i="9"/>
  <c r="AQ722" i="9"/>
  <c r="AR722" i="9"/>
  <c r="AS722" i="9"/>
  <c r="AT722" i="9"/>
  <c r="AW722" i="9"/>
  <c r="AX722" i="9"/>
  <c r="AY722" i="9"/>
  <c r="AZ722" i="9"/>
  <c r="BA722" i="9"/>
  <c r="BB722" i="9"/>
  <c r="BC722" i="9"/>
  <c r="AM723" i="9"/>
  <c r="AN723" i="9"/>
  <c r="AO723" i="9"/>
  <c r="AP723" i="9"/>
  <c r="AQ723" i="9"/>
  <c r="AR723" i="9"/>
  <c r="AS723" i="9"/>
  <c r="AT723" i="9"/>
  <c r="AW723" i="9"/>
  <c r="AX723" i="9"/>
  <c r="AY723" i="9"/>
  <c r="AZ723" i="9"/>
  <c r="BA723" i="9"/>
  <c r="BB723" i="9"/>
  <c r="BC723" i="9"/>
  <c r="AM724" i="9"/>
  <c r="AN724" i="9"/>
  <c r="AO724" i="9"/>
  <c r="AP724" i="9"/>
  <c r="AQ724" i="9"/>
  <c r="AR724" i="9"/>
  <c r="AS724" i="9"/>
  <c r="AT724" i="9"/>
  <c r="AW724" i="9"/>
  <c r="AX724" i="9"/>
  <c r="AY724" i="9"/>
  <c r="AZ724" i="9"/>
  <c r="BA724" i="9"/>
  <c r="BB724" i="9"/>
  <c r="BC724" i="9"/>
  <c r="AM725" i="9"/>
  <c r="AN725" i="9"/>
  <c r="AO725" i="9"/>
  <c r="AP725" i="9"/>
  <c r="AQ725" i="9"/>
  <c r="AR725" i="9"/>
  <c r="AS725" i="9"/>
  <c r="AT725" i="9"/>
  <c r="AW725" i="9"/>
  <c r="AX725" i="9"/>
  <c r="AY725" i="9"/>
  <c r="AZ725" i="9"/>
  <c r="BA725" i="9"/>
  <c r="BB725" i="9"/>
  <c r="BC725" i="9"/>
  <c r="AM726" i="9"/>
  <c r="AN726" i="9"/>
  <c r="AO726" i="9"/>
  <c r="AP726" i="9"/>
  <c r="AQ726" i="9"/>
  <c r="AR726" i="9"/>
  <c r="AS726" i="9"/>
  <c r="AT726" i="9"/>
  <c r="AW726" i="9"/>
  <c r="AX726" i="9"/>
  <c r="AY726" i="9"/>
  <c r="AZ726" i="9"/>
  <c r="BA726" i="9"/>
  <c r="BB726" i="9"/>
  <c r="BC726" i="9"/>
  <c r="AM727" i="9"/>
  <c r="AN727" i="9"/>
  <c r="AO727" i="9"/>
  <c r="AP727" i="9"/>
  <c r="AQ727" i="9"/>
  <c r="AR727" i="9"/>
  <c r="AS727" i="9"/>
  <c r="AT727" i="9"/>
  <c r="AW727" i="9"/>
  <c r="AX727" i="9"/>
  <c r="AY727" i="9"/>
  <c r="AZ727" i="9"/>
  <c r="BA727" i="9"/>
  <c r="BB727" i="9"/>
  <c r="BC727" i="9"/>
  <c r="AM728" i="9"/>
  <c r="AN728" i="9"/>
  <c r="AO728" i="9"/>
  <c r="AP728" i="9"/>
  <c r="AQ728" i="9"/>
  <c r="AR728" i="9"/>
  <c r="AS728" i="9"/>
  <c r="AT728" i="9"/>
  <c r="AW728" i="9"/>
  <c r="AX728" i="9"/>
  <c r="AY728" i="9"/>
  <c r="AZ728" i="9"/>
  <c r="BA728" i="9"/>
  <c r="BB728" i="9"/>
  <c r="BC728" i="9"/>
  <c r="AM729" i="9"/>
  <c r="AN729" i="9"/>
  <c r="AO729" i="9"/>
  <c r="AP729" i="9"/>
  <c r="AQ729" i="9"/>
  <c r="AR729" i="9"/>
  <c r="AS729" i="9"/>
  <c r="AT729" i="9"/>
  <c r="AW729" i="9"/>
  <c r="AX729" i="9"/>
  <c r="AY729" i="9"/>
  <c r="AZ729" i="9"/>
  <c r="BA729" i="9"/>
  <c r="BB729" i="9"/>
  <c r="BC729" i="9"/>
  <c r="AM730" i="9"/>
  <c r="AN730" i="9"/>
  <c r="AO730" i="9"/>
  <c r="AP730" i="9"/>
  <c r="AQ730" i="9"/>
  <c r="AR730" i="9"/>
  <c r="AS730" i="9"/>
  <c r="AT730" i="9"/>
  <c r="AW730" i="9"/>
  <c r="AX730" i="9"/>
  <c r="AY730" i="9"/>
  <c r="AZ730" i="9"/>
  <c r="BA730" i="9"/>
  <c r="BB730" i="9"/>
  <c r="BC730" i="9"/>
  <c r="AM731" i="9"/>
  <c r="AN731" i="9"/>
  <c r="AO731" i="9"/>
  <c r="AP731" i="9"/>
  <c r="AQ731" i="9"/>
  <c r="AR731" i="9"/>
  <c r="AS731" i="9"/>
  <c r="AT731" i="9"/>
  <c r="AW731" i="9"/>
  <c r="AX731" i="9"/>
  <c r="AY731" i="9"/>
  <c r="AZ731" i="9"/>
  <c r="BA731" i="9"/>
  <c r="BB731" i="9"/>
  <c r="BC731" i="9"/>
  <c r="AM732" i="9"/>
  <c r="AN732" i="9"/>
  <c r="AO732" i="9"/>
  <c r="AP732" i="9"/>
  <c r="AQ732" i="9"/>
  <c r="AR732" i="9"/>
  <c r="AS732" i="9"/>
  <c r="AT732" i="9"/>
  <c r="AW732" i="9"/>
  <c r="AX732" i="9"/>
  <c r="AY732" i="9"/>
  <c r="AZ732" i="9"/>
  <c r="BA732" i="9"/>
  <c r="BB732" i="9"/>
  <c r="BC732" i="9"/>
  <c r="AM733" i="9"/>
  <c r="AN733" i="9"/>
  <c r="AO733" i="9"/>
  <c r="AP733" i="9"/>
  <c r="AQ733" i="9"/>
  <c r="AR733" i="9"/>
  <c r="AS733" i="9"/>
  <c r="AT733" i="9"/>
  <c r="AW733" i="9"/>
  <c r="AX733" i="9"/>
  <c r="AY733" i="9"/>
  <c r="AZ733" i="9"/>
  <c r="BA733" i="9"/>
  <c r="BB733" i="9"/>
  <c r="BC733" i="9"/>
  <c r="AM734" i="9"/>
  <c r="AN734" i="9"/>
  <c r="AO734" i="9"/>
  <c r="AP734" i="9"/>
  <c r="AQ734" i="9"/>
  <c r="AR734" i="9"/>
  <c r="AS734" i="9"/>
  <c r="AT734" i="9"/>
  <c r="AW734" i="9"/>
  <c r="AX734" i="9"/>
  <c r="AY734" i="9"/>
  <c r="AZ734" i="9"/>
  <c r="BA734" i="9"/>
  <c r="BB734" i="9"/>
  <c r="BC734" i="9"/>
  <c r="AM735" i="9"/>
  <c r="AN735" i="9"/>
  <c r="AO735" i="9"/>
  <c r="AP735" i="9"/>
  <c r="AQ735" i="9"/>
  <c r="AR735" i="9"/>
  <c r="AS735" i="9"/>
  <c r="AT735" i="9"/>
  <c r="AW735" i="9"/>
  <c r="AX735" i="9"/>
  <c r="AY735" i="9"/>
  <c r="AZ735" i="9"/>
  <c r="BA735" i="9"/>
  <c r="BB735" i="9"/>
  <c r="BC735" i="9"/>
  <c r="AM736" i="9"/>
  <c r="AN736" i="9"/>
  <c r="AO736" i="9"/>
  <c r="AP736" i="9"/>
  <c r="AQ736" i="9"/>
  <c r="AR736" i="9"/>
  <c r="AS736" i="9"/>
  <c r="AT736" i="9"/>
  <c r="AW736" i="9"/>
  <c r="AX736" i="9"/>
  <c r="AY736" i="9"/>
  <c r="AZ736" i="9"/>
  <c r="BA736" i="9"/>
  <c r="BB736" i="9"/>
  <c r="BC736" i="9"/>
  <c r="AM737" i="9"/>
  <c r="AN737" i="9"/>
  <c r="AO737" i="9"/>
  <c r="AP737" i="9"/>
  <c r="AQ737" i="9"/>
  <c r="AR737" i="9"/>
  <c r="AS737" i="9"/>
  <c r="AT737" i="9"/>
  <c r="AW737" i="9"/>
  <c r="AX737" i="9"/>
  <c r="AY737" i="9"/>
  <c r="AZ737" i="9"/>
  <c r="BA737" i="9"/>
  <c r="BB737" i="9"/>
  <c r="BC737" i="9"/>
  <c r="AM738" i="9"/>
  <c r="AN738" i="9"/>
  <c r="AO738" i="9"/>
  <c r="AP738" i="9"/>
  <c r="AQ738" i="9"/>
  <c r="AR738" i="9"/>
  <c r="AS738" i="9"/>
  <c r="AT738" i="9"/>
  <c r="AW738" i="9"/>
  <c r="AX738" i="9"/>
  <c r="AY738" i="9"/>
  <c r="AZ738" i="9"/>
  <c r="BA738" i="9"/>
  <c r="BB738" i="9"/>
  <c r="BC738" i="9"/>
  <c r="AM739" i="9"/>
  <c r="AN739" i="9"/>
  <c r="AO739" i="9"/>
  <c r="AP739" i="9"/>
  <c r="AQ739" i="9"/>
  <c r="AR739" i="9"/>
  <c r="AS739" i="9"/>
  <c r="AT739" i="9"/>
  <c r="AW739" i="9"/>
  <c r="AX739" i="9"/>
  <c r="AY739" i="9"/>
  <c r="AZ739" i="9"/>
  <c r="BA739" i="9"/>
  <c r="BB739" i="9"/>
  <c r="BC739" i="9"/>
  <c r="AM740" i="9"/>
  <c r="AN740" i="9"/>
  <c r="AO740" i="9"/>
  <c r="AP740" i="9"/>
  <c r="AQ740" i="9"/>
  <c r="AR740" i="9"/>
  <c r="AS740" i="9"/>
  <c r="AT740" i="9"/>
  <c r="AW740" i="9"/>
  <c r="AX740" i="9"/>
  <c r="AY740" i="9"/>
  <c r="AZ740" i="9"/>
  <c r="BA740" i="9"/>
  <c r="BB740" i="9"/>
  <c r="BC740" i="9"/>
  <c r="AM741" i="9"/>
  <c r="AN741" i="9"/>
  <c r="AO741" i="9"/>
  <c r="AP741" i="9"/>
  <c r="AQ741" i="9"/>
  <c r="AR741" i="9"/>
  <c r="AS741" i="9"/>
  <c r="AT741" i="9"/>
  <c r="AW741" i="9"/>
  <c r="AX741" i="9"/>
  <c r="AY741" i="9"/>
  <c r="AZ741" i="9"/>
  <c r="BA741" i="9"/>
  <c r="BB741" i="9"/>
  <c r="BC741" i="9"/>
  <c r="AM742" i="9"/>
  <c r="AN742" i="9"/>
  <c r="AO742" i="9"/>
  <c r="AP742" i="9"/>
  <c r="AQ742" i="9"/>
  <c r="AR742" i="9"/>
  <c r="AS742" i="9"/>
  <c r="AT742" i="9"/>
  <c r="AW742" i="9"/>
  <c r="AX742" i="9"/>
  <c r="AY742" i="9"/>
  <c r="AZ742" i="9"/>
  <c r="BA742" i="9"/>
  <c r="BB742" i="9"/>
  <c r="BC742" i="9"/>
  <c r="AM743" i="9"/>
  <c r="AN743" i="9"/>
  <c r="AO743" i="9"/>
  <c r="AP743" i="9"/>
  <c r="AQ743" i="9"/>
  <c r="AR743" i="9"/>
  <c r="AS743" i="9"/>
  <c r="AT743" i="9"/>
  <c r="AW743" i="9"/>
  <c r="AX743" i="9"/>
  <c r="AY743" i="9"/>
  <c r="AZ743" i="9"/>
  <c r="BA743" i="9"/>
  <c r="BB743" i="9"/>
  <c r="BC743" i="9"/>
  <c r="AM744" i="9"/>
  <c r="AN744" i="9"/>
  <c r="AO744" i="9"/>
  <c r="AP744" i="9"/>
  <c r="AQ744" i="9"/>
  <c r="AR744" i="9"/>
  <c r="AS744" i="9"/>
  <c r="AT744" i="9"/>
  <c r="AW744" i="9"/>
  <c r="AX744" i="9"/>
  <c r="AY744" i="9"/>
  <c r="AZ744" i="9"/>
  <c r="BA744" i="9"/>
  <c r="BB744" i="9"/>
  <c r="BC744" i="9"/>
  <c r="AM745" i="9"/>
  <c r="AN745" i="9"/>
  <c r="AO745" i="9"/>
  <c r="AP745" i="9"/>
  <c r="AQ745" i="9"/>
  <c r="AR745" i="9"/>
  <c r="AS745" i="9"/>
  <c r="AT745" i="9"/>
  <c r="AW745" i="9"/>
  <c r="AX745" i="9"/>
  <c r="AY745" i="9"/>
  <c r="AZ745" i="9"/>
  <c r="BA745" i="9"/>
  <c r="BB745" i="9"/>
  <c r="BC745" i="9"/>
  <c r="AM746" i="9"/>
  <c r="AN746" i="9"/>
  <c r="AO746" i="9"/>
  <c r="AP746" i="9"/>
  <c r="AQ746" i="9"/>
  <c r="AR746" i="9"/>
  <c r="AS746" i="9"/>
  <c r="AT746" i="9"/>
  <c r="AW746" i="9"/>
  <c r="AX746" i="9"/>
  <c r="AY746" i="9"/>
  <c r="AZ746" i="9"/>
  <c r="BA746" i="9"/>
  <c r="BB746" i="9"/>
  <c r="BC746" i="9"/>
  <c r="AM747" i="9"/>
  <c r="AN747" i="9"/>
  <c r="AO747" i="9"/>
  <c r="AP747" i="9"/>
  <c r="AQ747" i="9"/>
  <c r="AR747" i="9"/>
  <c r="AS747" i="9"/>
  <c r="AT747" i="9"/>
  <c r="AW747" i="9"/>
  <c r="AX747" i="9"/>
  <c r="AY747" i="9"/>
  <c r="AZ747" i="9"/>
  <c r="BA747" i="9"/>
  <c r="BB747" i="9"/>
  <c r="BC747" i="9"/>
  <c r="AM748" i="9"/>
  <c r="AN748" i="9"/>
  <c r="AO748" i="9"/>
  <c r="AP748" i="9"/>
  <c r="AQ748" i="9"/>
  <c r="AR748" i="9"/>
  <c r="AS748" i="9"/>
  <c r="AT748" i="9"/>
  <c r="AW748" i="9"/>
  <c r="AX748" i="9"/>
  <c r="AY748" i="9"/>
  <c r="AZ748" i="9"/>
  <c r="BA748" i="9"/>
  <c r="BB748" i="9"/>
  <c r="BC748" i="9"/>
  <c r="AM749" i="9"/>
  <c r="AN749" i="9"/>
  <c r="AO749" i="9"/>
  <c r="AP749" i="9"/>
  <c r="AQ749" i="9"/>
  <c r="AR749" i="9"/>
  <c r="AS749" i="9"/>
  <c r="AT749" i="9"/>
  <c r="AW749" i="9"/>
  <c r="AX749" i="9"/>
  <c r="AY749" i="9"/>
  <c r="AZ749" i="9"/>
  <c r="BA749" i="9"/>
  <c r="BB749" i="9"/>
  <c r="BC749" i="9"/>
  <c r="AM750" i="9"/>
  <c r="AN750" i="9"/>
  <c r="AO750" i="9"/>
  <c r="AP750" i="9"/>
  <c r="AQ750" i="9"/>
  <c r="AR750" i="9"/>
  <c r="AS750" i="9"/>
  <c r="AT750" i="9"/>
  <c r="AW750" i="9"/>
  <c r="AX750" i="9"/>
  <c r="AY750" i="9"/>
  <c r="AZ750" i="9"/>
  <c r="BA750" i="9"/>
  <c r="BB750" i="9"/>
  <c r="BC750" i="9"/>
  <c r="AM751" i="9"/>
  <c r="AN751" i="9"/>
  <c r="AO751" i="9"/>
  <c r="AP751" i="9"/>
  <c r="AQ751" i="9"/>
  <c r="AR751" i="9"/>
  <c r="AS751" i="9"/>
  <c r="AT751" i="9"/>
  <c r="AW751" i="9"/>
  <c r="AX751" i="9"/>
  <c r="AY751" i="9"/>
  <c r="AZ751" i="9"/>
  <c r="BA751" i="9"/>
  <c r="BB751" i="9"/>
  <c r="BC751" i="9"/>
  <c r="AM752" i="9"/>
  <c r="AN752" i="9"/>
  <c r="AO752" i="9"/>
  <c r="AP752" i="9"/>
  <c r="AQ752" i="9"/>
  <c r="AR752" i="9"/>
  <c r="AS752" i="9"/>
  <c r="AT752" i="9"/>
  <c r="AW752" i="9"/>
  <c r="AX752" i="9"/>
  <c r="AY752" i="9"/>
  <c r="AZ752" i="9"/>
  <c r="BA752" i="9"/>
  <c r="BB752" i="9"/>
  <c r="BC752" i="9"/>
  <c r="AM753" i="9"/>
  <c r="AN753" i="9"/>
  <c r="AO753" i="9"/>
  <c r="AP753" i="9"/>
  <c r="AQ753" i="9"/>
  <c r="AR753" i="9"/>
  <c r="AS753" i="9"/>
  <c r="AT753" i="9"/>
  <c r="AW753" i="9"/>
  <c r="AX753" i="9"/>
  <c r="AY753" i="9"/>
  <c r="AZ753" i="9"/>
  <c r="BA753" i="9"/>
  <c r="BB753" i="9"/>
  <c r="BC753" i="9"/>
  <c r="AM754" i="9"/>
  <c r="AN754" i="9"/>
  <c r="AO754" i="9"/>
  <c r="AP754" i="9"/>
  <c r="AQ754" i="9"/>
  <c r="AR754" i="9"/>
  <c r="AS754" i="9"/>
  <c r="AT754" i="9"/>
  <c r="AW754" i="9"/>
  <c r="AX754" i="9"/>
  <c r="AY754" i="9"/>
  <c r="AZ754" i="9"/>
  <c r="BA754" i="9"/>
  <c r="BB754" i="9"/>
  <c r="BC754" i="9"/>
  <c r="AM755" i="9"/>
  <c r="AN755" i="9"/>
  <c r="AO755" i="9"/>
  <c r="AP755" i="9"/>
  <c r="AQ755" i="9"/>
  <c r="AR755" i="9"/>
  <c r="AS755" i="9"/>
  <c r="AT755" i="9"/>
  <c r="AW755" i="9"/>
  <c r="AX755" i="9"/>
  <c r="AY755" i="9"/>
  <c r="AZ755" i="9"/>
  <c r="BA755" i="9"/>
  <c r="BB755" i="9"/>
  <c r="BC755" i="9"/>
  <c r="AM756" i="9"/>
  <c r="AN756" i="9"/>
  <c r="AO756" i="9"/>
  <c r="AP756" i="9"/>
  <c r="AQ756" i="9"/>
  <c r="AR756" i="9"/>
  <c r="AS756" i="9"/>
  <c r="AT756" i="9"/>
  <c r="AW756" i="9"/>
  <c r="AX756" i="9"/>
  <c r="AY756" i="9"/>
  <c r="AZ756" i="9"/>
  <c r="BA756" i="9"/>
  <c r="BB756" i="9"/>
  <c r="BC756" i="9"/>
  <c r="AM757" i="9"/>
  <c r="AN757" i="9"/>
  <c r="AO757" i="9"/>
  <c r="AP757" i="9"/>
  <c r="AQ757" i="9"/>
  <c r="AR757" i="9"/>
  <c r="AS757" i="9"/>
  <c r="AT757" i="9"/>
  <c r="AW757" i="9"/>
  <c r="AX757" i="9"/>
  <c r="AY757" i="9"/>
  <c r="AZ757" i="9"/>
  <c r="BA757" i="9"/>
  <c r="BB757" i="9"/>
  <c r="BC757" i="9"/>
  <c r="AM758" i="9"/>
  <c r="AN758" i="9"/>
  <c r="AO758" i="9"/>
  <c r="AP758" i="9"/>
  <c r="AQ758" i="9"/>
  <c r="AR758" i="9"/>
  <c r="AS758" i="9"/>
  <c r="AT758" i="9"/>
  <c r="AW758" i="9"/>
  <c r="AX758" i="9"/>
  <c r="AY758" i="9"/>
  <c r="AZ758" i="9"/>
  <c r="BA758" i="9"/>
  <c r="BB758" i="9"/>
  <c r="BC758" i="9"/>
  <c r="AM759" i="9"/>
  <c r="AN759" i="9"/>
  <c r="AO759" i="9"/>
  <c r="AP759" i="9"/>
  <c r="AQ759" i="9"/>
  <c r="AR759" i="9"/>
  <c r="AS759" i="9"/>
  <c r="AT759" i="9"/>
  <c r="AW759" i="9"/>
  <c r="AX759" i="9"/>
  <c r="AY759" i="9"/>
  <c r="AZ759" i="9"/>
  <c r="BA759" i="9"/>
  <c r="BB759" i="9"/>
  <c r="BC759" i="9"/>
  <c r="AM760" i="9"/>
  <c r="AN760" i="9"/>
  <c r="AO760" i="9"/>
  <c r="AP760" i="9"/>
  <c r="AQ760" i="9"/>
  <c r="AR760" i="9"/>
  <c r="AS760" i="9"/>
  <c r="AT760" i="9"/>
  <c r="AW760" i="9"/>
  <c r="AX760" i="9"/>
  <c r="AY760" i="9"/>
  <c r="AZ760" i="9"/>
  <c r="BA760" i="9"/>
  <c r="BB760" i="9"/>
  <c r="BC760" i="9"/>
  <c r="AM761" i="9"/>
  <c r="AN761" i="9"/>
  <c r="AO761" i="9"/>
  <c r="AP761" i="9"/>
  <c r="AQ761" i="9"/>
  <c r="AR761" i="9"/>
  <c r="AS761" i="9"/>
  <c r="AT761" i="9"/>
  <c r="AW761" i="9"/>
  <c r="AX761" i="9"/>
  <c r="AY761" i="9"/>
  <c r="AZ761" i="9"/>
  <c r="BA761" i="9"/>
  <c r="BB761" i="9"/>
  <c r="BC761" i="9"/>
  <c r="AM762" i="9"/>
  <c r="AN762" i="9"/>
  <c r="AO762" i="9"/>
  <c r="AP762" i="9"/>
  <c r="AQ762" i="9"/>
  <c r="AR762" i="9"/>
  <c r="AS762" i="9"/>
  <c r="AT762" i="9"/>
  <c r="AW762" i="9"/>
  <c r="AX762" i="9"/>
  <c r="AY762" i="9"/>
  <c r="AZ762" i="9"/>
  <c r="BA762" i="9"/>
  <c r="BB762" i="9"/>
  <c r="BC762" i="9"/>
  <c r="AM763" i="9"/>
  <c r="AN763" i="9"/>
  <c r="AO763" i="9"/>
  <c r="AP763" i="9"/>
  <c r="AQ763" i="9"/>
  <c r="AR763" i="9"/>
  <c r="AS763" i="9"/>
  <c r="AT763" i="9"/>
  <c r="AW763" i="9"/>
  <c r="AX763" i="9"/>
  <c r="AY763" i="9"/>
  <c r="AZ763" i="9"/>
  <c r="BA763" i="9"/>
  <c r="BB763" i="9"/>
  <c r="BC763" i="9"/>
  <c r="AM764" i="9"/>
  <c r="AN764" i="9"/>
  <c r="AO764" i="9"/>
  <c r="AP764" i="9"/>
  <c r="AQ764" i="9"/>
  <c r="AR764" i="9"/>
  <c r="AS764" i="9"/>
  <c r="AT764" i="9"/>
  <c r="AW764" i="9"/>
  <c r="AX764" i="9"/>
  <c r="AY764" i="9"/>
  <c r="AZ764" i="9"/>
  <c r="BA764" i="9"/>
  <c r="BB764" i="9"/>
  <c r="BC764" i="9"/>
  <c r="AM765" i="9"/>
  <c r="AN765" i="9"/>
  <c r="AO765" i="9"/>
  <c r="AP765" i="9"/>
  <c r="AQ765" i="9"/>
  <c r="AR765" i="9"/>
  <c r="AS765" i="9"/>
  <c r="AT765" i="9"/>
  <c r="AW765" i="9"/>
  <c r="AX765" i="9"/>
  <c r="AY765" i="9"/>
  <c r="AZ765" i="9"/>
  <c r="BA765" i="9"/>
  <c r="BB765" i="9"/>
  <c r="BC765" i="9"/>
  <c r="AM766" i="9"/>
  <c r="AN766" i="9"/>
  <c r="AO766" i="9"/>
  <c r="AP766" i="9"/>
  <c r="AQ766" i="9"/>
  <c r="AR766" i="9"/>
  <c r="AS766" i="9"/>
  <c r="AT766" i="9"/>
  <c r="AW766" i="9"/>
  <c r="AX766" i="9"/>
  <c r="AY766" i="9"/>
  <c r="AZ766" i="9"/>
  <c r="BA766" i="9"/>
  <c r="BB766" i="9"/>
  <c r="BC766" i="9"/>
  <c r="AM767" i="9"/>
  <c r="AN767" i="9"/>
  <c r="AO767" i="9"/>
  <c r="AP767" i="9"/>
  <c r="AQ767" i="9"/>
  <c r="AR767" i="9"/>
  <c r="AS767" i="9"/>
  <c r="AT767" i="9"/>
  <c r="AW767" i="9"/>
  <c r="AX767" i="9"/>
  <c r="AY767" i="9"/>
  <c r="AZ767" i="9"/>
  <c r="BA767" i="9"/>
  <c r="BB767" i="9"/>
  <c r="BC767" i="9"/>
  <c r="AM768" i="9"/>
  <c r="AN768" i="9"/>
  <c r="AO768" i="9"/>
  <c r="AP768" i="9"/>
  <c r="AQ768" i="9"/>
  <c r="AR768" i="9"/>
  <c r="AS768" i="9"/>
  <c r="AT768" i="9"/>
  <c r="AW768" i="9"/>
  <c r="AX768" i="9"/>
  <c r="AY768" i="9"/>
  <c r="AZ768" i="9"/>
  <c r="BA768" i="9"/>
  <c r="BB768" i="9"/>
  <c r="BC768" i="9"/>
  <c r="AM769" i="9"/>
  <c r="AN769" i="9"/>
  <c r="AO769" i="9"/>
  <c r="AP769" i="9"/>
  <c r="AQ769" i="9"/>
  <c r="AR769" i="9"/>
  <c r="AS769" i="9"/>
  <c r="AT769" i="9"/>
  <c r="AW769" i="9"/>
  <c r="AX769" i="9"/>
  <c r="AY769" i="9"/>
  <c r="AZ769" i="9"/>
  <c r="BA769" i="9"/>
  <c r="BB769" i="9"/>
  <c r="BC769" i="9"/>
  <c r="AM770" i="9"/>
  <c r="AN770" i="9"/>
  <c r="AO770" i="9"/>
  <c r="AP770" i="9"/>
  <c r="AQ770" i="9"/>
  <c r="AR770" i="9"/>
  <c r="AS770" i="9"/>
  <c r="AT770" i="9"/>
  <c r="AW770" i="9"/>
  <c r="AX770" i="9"/>
  <c r="AY770" i="9"/>
  <c r="AZ770" i="9"/>
  <c r="BA770" i="9"/>
  <c r="BB770" i="9"/>
  <c r="BC770" i="9"/>
  <c r="AM771" i="9"/>
  <c r="AN771" i="9"/>
  <c r="AO771" i="9"/>
  <c r="AP771" i="9"/>
  <c r="AQ771" i="9"/>
  <c r="AR771" i="9"/>
  <c r="AS771" i="9"/>
  <c r="AT771" i="9"/>
  <c r="AW771" i="9"/>
  <c r="AX771" i="9"/>
  <c r="AY771" i="9"/>
  <c r="AZ771" i="9"/>
  <c r="BA771" i="9"/>
  <c r="BB771" i="9"/>
  <c r="BC771" i="9"/>
  <c r="AM772" i="9"/>
  <c r="AN772" i="9"/>
  <c r="AO772" i="9"/>
  <c r="AP772" i="9"/>
  <c r="AQ772" i="9"/>
  <c r="AR772" i="9"/>
  <c r="AS772" i="9"/>
  <c r="AT772" i="9"/>
  <c r="AW772" i="9"/>
  <c r="AX772" i="9"/>
  <c r="AY772" i="9"/>
  <c r="AZ772" i="9"/>
  <c r="BA772" i="9"/>
  <c r="BB772" i="9"/>
  <c r="BC772" i="9"/>
  <c r="AM773" i="9"/>
  <c r="AN773" i="9"/>
  <c r="AO773" i="9"/>
  <c r="AP773" i="9"/>
  <c r="AQ773" i="9"/>
  <c r="AR773" i="9"/>
  <c r="AS773" i="9"/>
  <c r="AT773" i="9"/>
  <c r="AW773" i="9"/>
  <c r="AX773" i="9"/>
  <c r="AY773" i="9"/>
  <c r="AZ773" i="9"/>
  <c r="BA773" i="9"/>
  <c r="BB773" i="9"/>
  <c r="BC773" i="9"/>
  <c r="AM774" i="9"/>
  <c r="AN774" i="9"/>
  <c r="AO774" i="9"/>
  <c r="AP774" i="9"/>
  <c r="AQ774" i="9"/>
  <c r="AR774" i="9"/>
  <c r="AS774" i="9"/>
  <c r="AT774" i="9"/>
  <c r="AW774" i="9"/>
  <c r="AX774" i="9"/>
  <c r="AY774" i="9"/>
  <c r="AZ774" i="9"/>
  <c r="BA774" i="9"/>
  <c r="BB774" i="9"/>
  <c r="BC774" i="9"/>
  <c r="AM775" i="9"/>
  <c r="AN775" i="9"/>
  <c r="AO775" i="9"/>
  <c r="AP775" i="9"/>
  <c r="AQ775" i="9"/>
  <c r="AR775" i="9"/>
  <c r="AS775" i="9"/>
  <c r="AT775" i="9"/>
  <c r="AW775" i="9"/>
  <c r="AX775" i="9"/>
  <c r="AY775" i="9"/>
  <c r="AZ775" i="9"/>
  <c r="BA775" i="9"/>
  <c r="BB775" i="9"/>
  <c r="BC775" i="9"/>
  <c r="AM776" i="9"/>
  <c r="AN776" i="9"/>
  <c r="AO776" i="9"/>
  <c r="AP776" i="9"/>
  <c r="AQ776" i="9"/>
  <c r="AR776" i="9"/>
  <c r="AS776" i="9"/>
  <c r="AT776" i="9"/>
  <c r="AW776" i="9"/>
  <c r="AX776" i="9"/>
  <c r="AY776" i="9"/>
  <c r="AZ776" i="9"/>
  <c r="BA776" i="9"/>
  <c r="BB776" i="9"/>
  <c r="BC776" i="9"/>
  <c r="AM777" i="9"/>
  <c r="AN777" i="9"/>
  <c r="AO777" i="9"/>
  <c r="AP777" i="9"/>
  <c r="AQ777" i="9"/>
  <c r="AR777" i="9"/>
  <c r="AS777" i="9"/>
  <c r="AT777" i="9"/>
  <c r="AW777" i="9"/>
  <c r="AX777" i="9"/>
  <c r="AY777" i="9"/>
  <c r="AZ777" i="9"/>
  <c r="BA777" i="9"/>
  <c r="BB777" i="9"/>
  <c r="BC777" i="9"/>
  <c r="AM778" i="9"/>
  <c r="AN778" i="9"/>
  <c r="AO778" i="9"/>
  <c r="AP778" i="9"/>
  <c r="AQ778" i="9"/>
  <c r="AR778" i="9"/>
  <c r="AS778" i="9"/>
  <c r="AT778" i="9"/>
  <c r="AW778" i="9"/>
  <c r="AX778" i="9"/>
  <c r="AY778" i="9"/>
  <c r="AZ778" i="9"/>
  <c r="BA778" i="9"/>
  <c r="BB778" i="9"/>
  <c r="BC778" i="9"/>
  <c r="AM779" i="9"/>
  <c r="AN779" i="9"/>
  <c r="AO779" i="9"/>
  <c r="AP779" i="9"/>
  <c r="AQ779" i="9"/>
  <c r="AR779" i="9"/>
  <c r="AS779" i="9"/>
  <c r="AT779" i="9"/>
  <c r="AW779" i="9"/>
  <c r="AX779" i="9"/>
  <c r="AY779" i="9"/>
  <c r="AZ779" i="9"/>
  <c r="BA779" i="9"/>
  <c r="BB779" i="9"/>
  <c r="BC779" i="9"/>
  <c r="AM780" i="9"/>
  <c r="AN780" i="9"/>
  <c r="AO780" i="9"/>
  <c r="AP780" i="9"/>
  <c r="AQ780" i="9"/>
  <c r="AR780" i="9"/>
  <c r="AS780" i="9"/>
  <c r="AT780" i="9"/>
  <c r="AW780" i="9"/>
  <c r="AX780" i="9"/>
  <c r="AY780" i="9"/>
  <c r="AZ780" i="9"/>
  <c r="BA780" i="9"/>
  <c r="BB780" i="9"/>
  <c r="BC780" i="9"/>
  <c r="AM781" i="9"/>
  <c r="AN781" i="9"/>
  <c r="AO781" i="9"/>
  <c r="AP781" i="9"/>
  <c r="AQ781" i="9"/>
  <c r="AR781" i="9"/>
  <c r="AS781" i="9"/>
  <c r="AT781" i="9"/>
  <c r="AW781" i="9"/>
  <c r="AX781" i="9"/>
  <c r="AY781" i="9"/>
  <c r="AZ781" i="9"/>
  <c r="BA781" i="9"/>
  <c r="BB781" i="9"/>
  <c r="BC781" i="9"/>
  <c r="AM782" i="9"/>
  <c r="AN782" i="9"/>
  <c r="AO782" i="9"/>
  <c r="AP782" i="9"/>
  <c r="AQ782" i="9"/>
  <c r="AR782" i="9"/>
  <c r="AS782" i="9"/>
  <c r="AT782" i="9"/>
  <c r="AW782" i="9"/>
  <c r="AX782" i="9"/>
  <c r="AY782" i="9"/>
  <c r="AZ782" i="9"/>
  <c r="BA782" i="9"/>
  <c r="BB782" i="9"/>
  <c r="BC782" i="9"/>
  <c r="AM783" i="9"/>
  <c r="AN783" i="9"/>
  <c r="AO783" i="9"/>
  <c r="AP783" i="9"/>
  <c r="AQ783" i="9"/>
  <c r="AR783" i="9"/>
  <c r="AS783" i="9"/>
  <c r="AT783" i="9"/>
  <c r="AW783" i="9"/>
  <c r="AX783" i="9"/>
  <c r="AY783" i="9"/>
  <c r="AZ783" i="9"/>
  <c r="BA783" i="9"/>
  <c r="BB783" i="9"/>
  <c r="BC783" i="9"/>
  <c r="AM784" i="9"/>
  <c r="AN784" i="9"/>
  <c r="AO784" i="9"/>
  <c r="AP784" i="9"/>
  <c r="AQ784" i="9"/>
  <c r="AR784" i="9"/>
  <c r="AS784" i="9"/>
  <c r="AT784" i="9"/>
  <c r="AW784" i="9"/>
  <c r="AX784" i="9"/>
  <c r="AY784" i="9"/>
  <c r="AZ784" i="9"/>
  <c r="BA784" i="9"/>
  <c r="BB784" i="9"/>
  <c r="BC784" i="9"/>
  <c r="AM785" i="9"/>
  <c r="AN785" i="9"/>
  <c r="AO785" i="9"/>
  <c r="AP785" i="9"/>
  <c r="AQ785" i="9"/>
  <c r="AR785" i="9"/>
  <c r="AS785" i="9"/>
  <c r="AT785" i="9"/>
  <c r="AW785" i="9"/>
  <c r="AX785" i="9"/>
  <c r="AY785" i="9"/>
  <c r="AZ785" i="9"/>
  <c r="BA785" i="9"/>
  <c r="BB785" i="9"/>
  <c r="BC785" i="9"/>
  <c r="AM786" i="9"/>
  <c r="AN786" i="9"/>
  <c r="AO786" i="9"/>
  <c r="AP786" i="9"/>
  <c r="AQ786" i="9"/>
  <c r="AR786" i="9"/>
  <c r="AS786" i="9"/>
  <c r="AT786" i="9"/>
  <c r="AW786" i="9"/>
  <c r="AX786" i="9"/>
  <c r="AY786" i="9"/>
  <c r="AZ786" i="9"/>
  <c r="BA786" i="9"/>
  <c r="BB786" i="9"/>
  <c r="BC786" i="9"/>
  <c r="AM787" i="9"/>
  <c r="AN787" i="9"/>
  <c r="AO787" i="9"/>
  <c r="AP787" i="9"/>
  <c r="AQ787" i="9"/>
  <c r="AR787" i="9"/>
  <c r="AS787" i="9"/>
  <c r="AT787" i="9"/>
  <c r="AW787" i="9"/>
  <c r="AX787" i="9"/>
  <c r="AY787" i="9"/>
  <c r="AZ787" i="9"/>
  <c r="BA787" i="9"/>
  <c r="BB787" i="9"/>
  <c r="BC787" i="9"/>
  <c r="AM788" i="9"/>
  <c r="AN788" i="9"/>
  <c r="AO788" i="9"/>
  <c r="AP788" i="9"/>
  <c r="AQ788" i="9"/>
  <c r="AR788" i="9"/>
  <c r="AS788" i="9"/>
  <c r="AT788" i="9"/>
  <c r="AW788" i="9"/>
  <c r="AX788" i="9"/>
  <c r="AY788" i="9"/>
  <c r="AZ788" i="9"/>
  <c r="BA788" i="9"/>
  <c r="BB788" i="9"/>
  <c r="BC788" i="9"/>
  <c r="AM789" i="9"/>
  <c r="AN789" i="9"/>
  <c r="AO789" i="9"/>
  <c r="AP789" i="9"/>
  <c r="AQ789" i="9"/>
  <c r="AR789" i="9"/>
  <c r="AS789" i="9"/>
  <c r="AT789" i="9"/>
  <c r="AW789" i="9"/>
  <c r="AX789" i="9"/>
  <c r="AY789" i="9"/>
  <c r="AZ789" i="9"/>
  <c r="BA789" i="9"/>
  <c r="BB789" i="9"/>
  <c r="BC789" i="9"/>
  <c r="AM790" i="9"/>
  <c r="AN790" i="9"/>
  <c r="AO790" i="9"/>
  <c r="AP790" i="9"/>
  <c r="AQ790" i="9"/>
  <c r="AR790" i="9"/>
  <c r="AS790" i="9"/>
  <c r="AT790" i="9"/>
  <c r="AW790" i="9"/>
  <c r="AX790" i="9"/>
  <c r="AY790" i="9"/>
  <c r="AZ790" i="9"/>
  <c r="BA790" i="9"/>
  <c r="BB790" i="9"/>
  <c r="BC790" i="9"/>
  <c r="AM791" i="9"/>
  <c r="AN791" i="9"/>
  <c r="AO791" i="9"/>
  <c r="AP791" i="9"/>
  <c r="AQ791" i="9"/>
  <c r="AR791" i="9"/>
  <c r="AS791" i="9"/>
  <c r="AT791" i="9"/>
  <c r="AW791" i="9"/>
  <c r="AX791" i="9"/>
  <c r="AY791" i="9"/>
  <c r="AZ791" i="9"/>
  <c r="BA791" i="9"/>
  <c r="BB791" i="9"/>
  <c r="BC791" i="9"/>
  <c r="AM792" i="9"/>
  <c r="AN792" i="9"/>
  <c r="AO792" i="9"/>
  <c r="AP792" i="9"/>
  <c r="AQ792" i="9"/>
  <c r="AR792" i="9"/>
  <c r="AS792" i="9"/>
  <c r="AT792" i="9"/>
  <c r="AW792" i="9"/>
  <c r="AX792" i="9"/>
  <c r="AY792" i="9"/>
  <c r="AZ792" i="9"/>
  <c r="BA792" i="9"/>
  <c r="BB792" i="9"/>
  <c r="BC792" i="9"/>
  <c r="AM793" i="9"/>
  <c r="AN793" i="9"/>
  <c r="AO793" i="9"/>
  <c r="AP793" i="9"/>
  <c r="AQ793" i="9"/>
  <c r="AR793" i="9"/>
  <c r="AS793" i="9"/>
  <c r="AT793" i="9"/>
  <c r="AW793" i="9"/>
  <c r="AX793" i="9"/>
  <c r="AY793" i="9"/>
  <c r="AZ793" i="9"/>
  <c r="BA793" i="9"/>
  <c r="BB793" i="9"/>
  <c r="BC793" i="9"/>
  <c r="AM794" i="9"/>
  <c r="AN794" i="9"/>
  <c r="AO794" i="9"/>
  <c r="AP794" i="9"/>
  <c r="AQ794" i="9"/>
  <c r="AR794" i="9"/>
  <c r="AS794" i="9"/>
  <c r="AT794" i="9"/>
  <c r="AW794" i="9"/>
  <c r="AX794" i="9"/>
  <c r="AY794" i="9"/>
  <c r="AZ794" i="9"/>
  <c r="BA794" i="9"/>
  <c r="BB794" i="9"/>
  <c r="BC794" i="9"/>
  <c r="AM795" i="9"/>
  <c r="AN795" i="9"/>
  <c r="AO795" i="9"/>
  <c r="AP795" i="9"/>
  <c r="AQ795" i="9"/>
  <c r="AR795" i="9"/>
  <c r="AS795" i="9"/>
  <c r="AT795" i="9"/>
  <c r="AW795" i="9"/>
  <c r="AX795" i="9"/>
  <c r="AY795" i="9"/>
  <c r="AZ795" i="9"/>
  <c r="BA795" i="9"/>
  <c r="BB795" i="9"/>
  <c r="BC795" i="9"/>
  <c r="AM796" i="9"/>
  <c r="AN796" i="9"/>
  <c r="AO796" i="9"/>
  <c r="AP796" i="9"/>
  <c r="AQ796" i="9"/>
  <c r="AR796" i="9"/>
  <c r="AS796" i="9"/>
  <c r="AT796" i="9"/>
  <c r="AW796" i="9"/>
  <c r="AX796" i="9"/>
  <c r="AY796" i="9"/>
  <c r="AZ796" i="9"/>
  <c r="BA796" i="9"/>
  <c r="BB796" i="9"/>
  <c r="BC796" i="9"/>
  <c r="AM797" i="9"/>
  <c r="AN797" i="9"/>
  <c r="AO797" i="9"/>
  <c r="AP797" i="9"/>
  <c r="AQ797" i="9"/>
  <c r="AR797" i="9"/>
  <c r="AS797" i="9"/>
  <c r="AT797" i="9"/>
  <c r="AW797" i="9"/>
  <c r="AX797" i="9"/>
  <c r="AY797" i="9"/>
  <c r="AZ797" i="9"/>
  <c r="BA797" i="9"/>
  <c r="BB797" i="9"/>
  <c r="BC797" i="9"/>
  <c r="AM798" i="9"/>
  <c r="AN798" i="9"/>
  <c r="AO798" i="9"/>
  <c r="AP798" i="9"/>
  <c r="AQ798" i="9"/>
  <c r="AR798" i="9"/>
  <c r="AS798" i="9"/>
  <c r="AT798" i="9"/>
  <c r="AW798" i="9"/>
  <c r="AX798" i="9"/>
  <c r="AY798" i="9"/>
  <c r="AZ798" i="9"/>
  <c r="BA798" i="9"/>
  <c r="BB798" i="9"/>
  <c r="BC798" i="9"/>
  <c r="AM799" i="9"/>
  <c r="AN799" i="9"/>
  <c r="AO799" i="9"/>
  <c r="AP799" i="9"/>
  <c r="AQ799" i="9"/>
  <c r="AR799" i="9"/>
  <c r="AS799" i="9"/>
  <c r="AT799" i="9"/>
  <c r="AW799" i="9"/>
  <c r="AX799" i="9"/>
  <c r="AY799" i="9"/>
  <c r="AZ799" i="9"/>
  <c r="BA799" i="9"/>
  <c r="BB799" i="9"/>
  <c r="BC799" i="9"/>
  <c r="AM800" i="9"/>
  <c r="AN800" i="9"/>
  <c r="AO800" i="9"/>
  <c r="AP800" i="9"/>
  <c r="AQ800" i="9"/>
  <c r="AR800" i="9"/>
  <c r="AS800" i="9"/>
  <c r="AT800" i="9"/>
  <c r="AW800" i="9"/>
  <c r="AX800" i="9"/>
  <c r="AY800" i="9"/>
  <c r="AZ800" i="9"/>
  <c r="BA800" i="9"/>
  <c r="BB800" i="9"/>
  <c r="BC800" i="9"/>
  <c r="AM801" i="9"/>
  <c r="AN801" i="9"/>
  <c r="AO801" i="9"/>
  <c r="AP801" i="9"/>
  <c r="AQ801" i="9"/>
  <c r="AR801" i="9"/>
  <c r="AS801" i="9"/>
  <c r="AT801" i="9"/>
  <c r="AW801" i="9"/>
  <c r="AX801" i="9"/>
  <c r="AY801" i="9"/>
  <c r="AZ801" i="9"/>
  <c r="BA801" i="9"/>
  <c r="BB801" i="9"/>
  <c r="BC801" i="9"/>
  <c r="AM802" i="9"/>
  <c r="AN802" i="9"/>
  <c r="AO802" i="9"/>
  <c r="AP802" i="9"/>
  <c r="AQ802" i="9"/>
  <c r="AR802" i="9"/>
  <c r="AS802" i="9"/>
  <c r="AT802" i="9"/>
  <c r="AW802" i="9"/>
  <c r="AX802" i="9"/>
  <c r="AY802" i="9"/>
  <c r="AZ802" i="9"/>
  <c r="BA802" i="9"/>
  <c r="BB802" i="9"/>
  <c r="BC802" i="9"/>
  <c r="AM803" i="9"/>
  <c r="AN803" i="9"/>
  <c r="AO803" i="9"/>
  <c r="AP803" i="9"/>
  <c r="AQ803" i="9"/>
  <c r="AR803" i="9"/>
  <c r="AS803" i="9"/>
  <c r="AT803" i="9"/>
  <c r="AW803" i="9"/>
  <c r="AX803" i="9"/>
  <c r="AY803" i="9"/>
  <c r="AZ803" i="9"/>
  <c r="BA803" i="9"/>
  <c r="BB803" i="9"/>
  <c r="BC803" i="9"/>
  <c r="AM804" i="9"/>
  <c r="AN804" i="9"/>
  <c r="AO804" i="9"/>
  <c r="AP804" i="9"/>
  <c r="AQ804" i="9"/>
  <c r="AR804" i="9"/>
  <c r="AS804" i="9"/>
  <c r="AT804" i="9"/>
  <c r="AW804" i="9"/>
  <c r="AX804" i="9"/>
  <c r="AY804" i="9"/>
  <c r="AZ804" i="9"/>
  <c r="BA804" i="9"/>
  <c r="BB804" i="9"/>
  <c r="BC804" i="9"/>
  <c r="AM805" i="9"/>
  <c r="AN805" i="9"/>
  <c r="AO805" i="9"/>
  <c r="AP805" i="9"/>
  <c r="AQ805" i="9"/>
  <c r="AR805" i="9"/>
  <c r="AS805" i="9"/>
  <c r="AT805" i="9"/>
  <c r="AW805" i="9"/>
  <c r="AX805" i="9"/>
  <c r="AY805" i="9"/>
  <c r="AZ805" i="9"/>
  <c r="BA805" i="9"/>
  <c r="BB805" i="9"/>
  <c r="BC805" i="9"/>
  <c r="AM806" i="9"/>
  <c r="AN806" i="9"/>
  <c r="AO806" i="9"/>
  <c r="AP806" i="9"/>
  <c r="AQ806" i="9"/>
  <c r="AR806" i="9"/>
  <c r="AS806" i="9"/>
  <c r="AT806" i="9"/>
  <c r="AW806" i="9"/>
  <c r="AX806" i="9"/>
  <c r="AY806" i="9"/>
  <c r="AZ806" i="9"/>
  <c r="BA806" i="9"/>
  <c r="BB806" i="9"/>
  <c r="BC806" i="9"/>
  <c r="AM807" i="9"/>
  <c r="AN807" i="9"/>
  <c r="AO807" i="9"/>
  <c r="AP807" i="9"/>
  <c r="AQ807" i="9"/>
  <c r="AR807" i="9"/>
  <c r="AS807" i="9"/>
  <c r="AT807" i="9"/>
  <c r="AW807" i="9"/>
  <c r="AX807" i="9"/>
  <c r="AY807" i="9"/>
  <c r="AZ807" i="9"/>
  <c r="BA807" i="9"/>
  <c r="BB807" i="9"/>
  <c r="BC807" i="9"/>
  <c r="AM808" i="9"/>
  <c r="AN808" i="9"/>
  <c r="AO808" i="9"/>
  <c r="AP808" i="9"/>
  <c r="AQ808" i="9"/>
  <c r="AR808" i="9"/>
  <c r="AS808" i="9"/>
  <c r="AT808" i="9"/>
  <c r="AW808" i="9"/>
  <c r="AX808" i="9"/>
  <c r="AY808" i="9"/>
  <c r="AZ808" i="9"/>
  <c r="BA808" i="9"/>
  <c r="BB808" i="9"/>
  <c r="BC808" i="9"/>
  <c r="AM809" i="9"/>
  <c r="AN809" i="9"/>
  <c r="AO809" i="9"/>
  <c r="AP809" i="9"/>
  <c r="AQ809" i="9"/>
  <c r="AR809" i="9"/>
  <c r="AS809" i="9"/>
  <c r="AT809" i="9"/>
  <c r="AW809" i="9"/>
  <c r="AX809" i="9"/>
  <c r="AY809" i="9"/>
  <c r="AZ809" i="9"/>
  <c r="BA809" i="9"/>
  <c r="BB809" i="9"/>
  <c r="BC809" i="9"/>
  <c r="AM810" i="9"/>
  <c r="AN810" i="9"/>
  <c r="AO810" i="9"/>
  <c r="AP810" i="9"/>
  <c r="AQ810" i="9"/>
  <c r="AR810" i="9"/>
  <c r="AS810" i="9"/>
  <c r="AT810" i="9"/>
  <c r="AW810" i="9"/>
  <c r="AX810" i="9"/>
  <c r="AY810" i="9"/>
  <c r="AZ810" i="9"/>
  <c r="BA810" i="9"/>
  <c r="BB810" i="9"/>
  <c r="BC810" i="9"/>
  <c r="AM811" i="9"/>
  <c r="AN811" i="9"/>
  <c r="AO811" i="9"/>
  <c r="AP811" i="9"/>
  <c r="AQ811" i="9"/>
  <c r="AR811" i="9"/>
  <c r="AS811" i="9"/>
  <c r="AT811" i="9"/>
  <c r="AW811" i="9"/>
  <c r="AX811" i="9"/>
  <c r="AY811" i="9"/>
  <c r="AZ811" i="9"/>
  <c r="BA811" i="9"/>
  <c r="BB811" i="9"/>
  <c r="BC811" i="9"/>
  <c r="AM812" i="9"/>
  <c r="AN812" i="9"/>
  <c r="AO812" i="9"/>
  <c r="AP812" i="9"/>
  <c r="AQ812" i="9"/>
  <c r="AR812" i="9"/>
  <c r="AS812" i="9"/>
  <c r="AT812" i="9"/>
  <c r="AW812" i="9"/>
  <c r="AX812" i="9"/>
  <c r="AY812" i="9"/>
  <c r="AZ812" i="9"/>
  <c r="BA812" i="9"/>
  <c r="BB812" i="9"/>
  <c r="BC812" i="9"/>
  <c r="AM813" i="9"/>
  <c r="AN813" i="9"/>
  <c r="AO813" i="9"/>
  <c r="AP813" i="9"/>
  <c r="AQ813" i="9"/>
  <c r="AR813" i="9"/>
  <c r="AS813" i="9"/>
  <c r="AT813" i="9"/>
  <c r="AW813" i="9"/>
  <c r="AX813" i="9"/>
  <c r="AY813" i="9"/>
  <c r="AZ813" i="9"/>
  <c r="BA813" i="9"/>
  <c r="BB813" i="9"/>
  <c r="BC813" i="9"/>
  <c r="AM814" i="9"/>
  <c r="AN814" i="9"/>
  <c r="AO814" i="9"/>
  <c r="AP814" i="9"/>
  <c r="AQ814" i="9"/>
  <c r="AR814" i="9"/>
  <c r="AS814" i="9"/>
  <c r="AT814" i="9"/>
  <c r="AW814" i="9"/>
  <c r="AX814" i="9"/>
  <c r="AY814" i="9"/>
  <c r="AZ814" i="9"/>
  <c r="BA814" i="9"/>
  <c r="BB814" i="9"/>
  <c r="BC814" i="9"/>
  <c r="AM815" i="9"/>
  <c r="AN815" i="9"/>
  <c r="AO815" i="9"/>
  <c r="AP815" i="9"/>
  <c r="AQ815" i="9"/>
  <c r="AR815" i="9"/>
  <c r="AS815" i="9"/>
  <c r="AT815" i="9"/>
  <c r="AW815" i="9"/>
  <c r="AX815" i="9"/>
  <c r="AY815" i="9"/>
  <c r="AZ815" i="9"/>
  <c r="BA815" i="9"/>
  <c r="BB815" i="9"/>
  <c r="BC815" i="9"/>
  <c r="AM816" i="9"/>
  <c r="AN816" i="9"/>
  <c r="AO816" i="9"/>
  <c r="AP816" i="9"/>
  <c r="AQ816" i="9"/>
  <c r="AR816" i="9"/>
  <c r="AS816" i="9"/>
  <c r="AT816" i="9"/>
  <c r="AW816" i="9"/>
  <c r="AX816" i="9"/>
  <c r="AY816" i="9"/>
  <c r="AZ816" i="9"/>
  <c r="BA816" i="9"/>
  <c r="BB816" i="9"/>
  <c r="BC816" i="9"/>
  <c r="AM817" i="9"/>
  <c r="AN817" i="9"/>
  <c r="AO817" i="9"/>
  <c r="AP817" i="9"/>
  <c r="AQ817" i="9"/>
  <c r="AR817" i="9"/>
  <c r="AS817" i="9"/>
  <c r="AT817" i="9"/>
  <c r="AW817" i="9"/>
  <c r="AX817" i="9"/>
  <c r="AY817" i="9"/>
  <c r="AZ817" i="9"/>
  <c r="BA817" i="9"/>
  <c r="BB817" i="9"/>
  <c r="BC817" i="9"/>
  <c r="AM818" i="9"/>
  <c r="AN818" i="9"/>
  <c r="AO818" i="9"/>
  <c r="AP818" i="9"/>
  <c r="AQ818" i="9"/>
  <c r="AR818" i="9"/>
  <c r="AS818" i="9"/>
  <c r="AT818" i="9"/>
  <c r="AW818" i="9"/>
  <c r="AX818" i="9"/>
  <c r="AY818" i="9"/>
  <c r="AZ818" i="9"/>
  <c r="BA818" i="9"/>
  <c r="BB818" i="9"/>
  <c r="BC818" i="9"/>
  <c r="AM819" i="9"/>
  <c r="AN819" i="9"/>
  <c r="AO819" i="9"/>
  <c r="AP819" i="9"/>
  <c r="AQ819" i="9"/>
  <c r="AR819" i="9"/>
  <c r="AS819" i="9"/>
  <c r="AT819" i="9"/>
  <c r="AW819" i="9"/>
  <c r="AX819" i="9"/>
  <c r="AY819" i="9"/>
  <c r="AZ819" i="9"/>
  <c r="BA819" i="9"/>
  <c r="BB819" i="9"/>
  <c r="BC819" i="9"/>
  <c r="AM820" i="9"/>
  <c r="AN820" i="9"/>
  <c r="AO820" i="9"/>
  <c r="AP820" i="9"/>
  <c r="AQ820" i="9"/>
  <c r="AR820" i="9"/>
  <c r="AS820" i="9"/>
  <c r="AT820" i="9"/>
  <c r="AW820" i="9"/>
  <c r="AX820" i="9"/>
  <c r="AY820" i="9"/>
  <c r="AZ820" i="9"/>
  <c r="BA820" i="9"/>
  <c r="BB820" i="9"/>
  <c r="BC820" i="9"/>
  <c r="AM821" i="9"/>
  <c r="AN821" i="9"/>
  <c r="AO821" i="9"/>
  <c r="AP821" i="9"/>
  <c r="AQ821" i="9"/>
  <c r="AR821" i="9"/>
  <c r="AS821" i="9"/>
  <c r="AT821" i="9"/>
  <c r="AW821" i="9"/>
  <c r="AX821" i="9"/>
  <c r="AY821" i="9"/>
  <c r="AZ821" i="9"/>
  <c r="BA821" i="9"/>
  <c r="BB821" i="9"/>
  <c r="BC821" i="9"/>
  <c r="AM822" i="9"/>
  <c r="AN822" i="9"/>
  <c r="AO822" i="9"/>
  <c r="AP822" i="9"/>
  <c r="AQ822" i="9"/>
  <c r="AR822" i="9"/>
  <c r="AS822" i="9"/>
  <c r="AT822" i="9"/>
  <c r="AW822" i="9"/>
  <c r="AX822" i="9"/>
  <c r="AY822" i="9"/>
  <c r="AZ822" i="9"/>
  <c r="BA822" i="9"/>
  <c r="BB822" i="9"/>
  <c r="BC822" i="9"/>
  <c r="AM823" i="9"/>
  <c r="AN823" i="9"/>
  <c r="AO823" i="9"/>
  <c r="AP823" i="9"/>
  <c r="AQ823" i="9"/>
  <c r="AR823" i="9"/>
  <c r="AS823" i="9"/>
  <c r="AT823" i="9"/>
  <c r="AW823" i="9"/>
  <c r="AX823" i="9"/>
  <c r="AY823" i="9"/>
  <c r="AZ823" i="9"/>
  <c r="BA823" i="9"/>
  <c r="BB823" i="9"/>
  <c r="BC823" i="9"/>
  <c r="AM824" i="9"/>
  <c r="AN824" i="9"/>
  <c r="AO824" i="9"/>
  <c r="AP824" i="9"/>
  <c r="AQ824" i="9"/>
  <c r="AR824" i="9"/>
  <c r="AS824" i="9"/>
  <c r="AT824" i="9"/>
  <c r="AW824" i="9"/>
  <c r="AX824" i="9"/>
  <c r="AY824" i="9"/>
  <c r="AZ824" i="9"/>
  <c r="BA824" i="9"/>
  <c r="BB824" i="9"/>
  <c r="BC824" i="9"/>
  <c r="AM825" i="9"/>
  <c r="AN825" i="9"/>
  <c r="AO825" i="9"/>
  <c r="AP825" i="9"/>
  <c r="AQ825" i="9"/>
  <c r="AR825" i="9"/>
  <c r="AS825" i="9"/>
  <c r="AT825" i="9"/>
  <c r="AW825" i="9"/>
  <c r="AX825" i="9"/>
  <c r="AY825" i="9"/>
  <c r="AZ825" i="9"/>
  <c r="BA825" i="9"/>
  <c r="BB825" i="9"/>
  <c r="BC825" i="9"/>
  <c r="AM826" i="9"/>
  <c r="AN826" i="9"/>
  <c r="AO826" i="9"/>
  <c r="AP826" i="9"/>
  <c r="AQ826" i="9"/>
  <c r="AR826" i="9"/>
  <c r="AS826" i="9"/>
  <c r="AT826" i="9"/>
  <c r="AW826" i="9"/>
  <c r="AX826" i="9"/>
  <c r="AY826" i="9"/>
  <c r="AZ826" i="9"/>
  <c r="BA826" i="9"/>
  <c r="BB826" i="9"/>
  <c r="BC826" i="9"/>
  <c r="AM827" i="9"/>
  <c r="AN827" i="9"/>
  <c r="AO827" i="9"/>
  <c r="AP827" i="9"/>
  <c r="AQ827" i="9"/>
  <c r="AR827" i="9"/>
  <c r="AS827" i="9"/>
  <c r="AT827" i="9"/>
  <c r="AW827" i="9"/>
  <c r="AX827" i="9"/>
  <c r="AY827" i="9"/>
  <c r="AZ827" i="9"/>
  <c r="BA827" i="9"/>
  <c r="BB827" i="9"/>
  <c r="BC827" i="9"/>
  <c r="AM828" i="9"/>
  <c r="AN828" i="9"/>
  <c r="AO828" i="9"/>
  <c r="AP828" i="9"/>
  <c r="AQ828" i="9"/>
  <c r="AR828" i="9"/>
  <c r="AS828" i="9"/>
  <c r="AT828" i="9"/>
  <c r="AW828" i="9"/>
  <c r="AX828" i="9"/>
  <c r="AY828" i="9"/>
  <c r="AZ828" i="9"/>
  <c r="BA828" i="9"/>
  <c r="BB828" i="9"/>
  <c r="BC828" i="9"/>
  <c r="AM829" i="9"/>
  <c r="AN829" i="9"/>
  <c r="AO829" i="9"/>
  <c r="AP829" i="9"/>
  <c r="AQ829" i="9"/>
  <c r="AR829" i="9"/>
  <c r="AS829" i="9"/>
  <c r="AT829" i="9"/>
  <c r="AW829" i="9"/>
  <c r="AX829" i="9"/>
  <c r="AY829" i="9"/>
  <c r="AZ829" i="9"/>
  <c r="BA829" i="9"/>
  <c r="BB829" i="9"/>
  <c r="BC829" i="9"/>
  <c r="AM830" i="9"/>
  <c r="AN830" i="9"/>
  <c r="AO830" i="9"/>
  <c r="AP830" i="9"/>
  <c r="AQ830" i="9"/>
  <c r="AR830" i="9"/>
  <c r="AS830" i="9"/>
  <c r="AT830" i="9"/>
  <c r="AW830" i="9"/>
  <c r="AX830" i="9"/>
  <c r="AY830" i="9"/>
  <c r="AZ830" i="9"/>
  <c r="BA830" i="9"/>
  <c r="BB830" i="9"/>
  <c r="BC830" i="9"/>
  <c r="AM831" i="9"/>
  <c r="AN831" i="9"/>
  <c r="AO831" i="9"/>
  <c r="AP831" i="9"/>
  <c r="AQ831" i="9"/>
  <c r="AR831" i="9"/>
  <c r="AS831" i="9"/>
  <c r="AT831" i="9"/>
  <c r="AW831" i="9"/>
  <c r="AX831" i="9"/>
  <c r="AY831" i="9"/>
  <c r="AZ831" i="9"/>
  <c r="BA831" i="9"/>
  <c r="BB831" i="9"/>
  <c r="BC831" i="9"/>
  <c r="AM832" i="9"/>
  <c r="AN832" i="9"/>
  <c r="AO832" i="9"/>
  <c r="AP832" i="9"/>
  <c r="AQ832" i="9"/>
  <c r="AR832" i="9"/>
  <c r="AS832" i="9"/>
  <c r="AT832" i="9"/>
  <c r="AW832" i="9"/>
  <c r="AX832" i="9"/>
  <c r="AY832" i="9"/>
  <c r="AZ832" i="9"/>
  <c r="BA832" i="9"/>
  <c r="BB832" i="9"/>
  <c r="BC832" i="9"/>
  <c r="AM833" i="9"/>
  <c r="AN833" i="9"/>
  <c r="AO833" i="9"/>
  <c r="AP833" i="9"/>
  <c r="AQ833" i="9"/>
  <c r="AR833" i="9"/>
  <c r="AS833" i="9"/>
  <c r="AT833" i="9"/>
  <c r="AW833" i="9"/>
  <c r="AX833" i="9"/>
  <c r="AY833" i="9"/>
  <c r="AZ833" i="9"/>
  <c r="BA833" i="9"/>
  <c r="BB833" i="9"/>
  <c r="BC833" i="9"/>
  <c r="AM834" i="9"/>
  <c r="AN834" i="9"/>
  <c r="AO834" i="9"/>
  <c r="AP834" i="9"/>
  <c r="AQ834" i="9"/>
  <c r="AR834" i="9"/>
  <c r="AS834" i="9"/>
  <c r="AT834" i="9"/>
  <c r="AW834" i="9"/>
  <c r="AX834" i="9"/>
  <c r="AY834" i="9"/>
  <c r="AZ834" i="9"/>
  <c r="BA834" i="9"/>
  <c r="BB834" i="9"/>
  <c r="BC834" i="9"/>
  <c r="AM835" i="9"/>
  <c r="AN835" i="9"/>
  <c r="AO835" i="9"/>
  <c r="AP835" i="9"/>
  <c r="AQ835" i="9"/>
  <c r="AR835" i="9"/>
  <c r="AS835" i="9"/>
  <c r="AT835" i="9"/>
  <c r="AW835" i="9"/>
  <c r="AX835" i="9"/>
  <c r="AY835" i="9"/>
  <c r="AZ835" i="9"/>
  <c r="BA835" i="9"/>
  <c r="BB835" i="9"/>
  <c r="BC835" i="9"/>
  <c r="AM836" i="9"/>
  <c r="AN836" i="9"/>
  <c r="AO836" i="9"/>
  <c r="AP836" i="9"/>
  <c r="AQ836" i="9"/>
  <c r="AR836" i="9"/>
  <c r="AS836" i="9"/>
  <c r="AT836" i="9"/>
  <c r="AW836" i="9"/>
  <c r="AX836" i="9"/>
  <c r="AY836" i="9"/>
  <c r="AZ836" i="9"/>
  <c r="BA836" i="9"/>
  <c r="BB836" i="9"/>
  <c r="BC836" i="9"/>
  <c r="AM837" i="9"/>
  <c r="AN837" i="9"/>
  <c r="AO837" i="9"/>
  <c r="AP837" i="9"/>
  <c r="AQ837" i="9"/>
  <c r="AR837" i="9"/>
  <c r="AS837" i="9"/>
  <c r="AT837" i="9"/>
  <c r="AW837" i="9"/>
  <c r="AX837" i="9"/>
  <c r="AY837" i="9"/>
  <c r="AZ837" i="9"/>
  <c r="BA837" i="9"/>
  <c r="BB837" i="9"/>
  <c r="BC837" i="9"/>
  <c r="AM838" i="9"/>
  <c r="AN838" i="9"/>
  <c r="AO838" i="9"/>
  <c r="AP838" i="9"/>
  <c r="AQ838" i="9"/>
  <c r="AR838" i="9"/>
  <c r="AS838" i="9"/>
  <c r="AT838" i="9"/>
  <c r="AW838" i="9"/>
  <c r="AX838" i="9"/>
  <c r="AY838" i="9"/>
  <c r="AZ838" i="9"/>
  <c r="BA838" i="9"/>
  <c r="BB838" i="9"/>
  <c r="BC838" i="9"/>
  <c r="AM839" i="9"/>
  <c r="AN839" i="9"/>
  <c r="AO839" i="9"/>
  <c r="AP839" i="9"/>
  <c r="AQ839" i="9"/>
  <c r="AR839" i="9"/>
  <c r="AS839" i="9"/>
  <c r="AT839" i="9"/>
  <c r="AW839" i="9"/>
  <c r="AX839" i="9"/>
  <c r="AY839" i="9"/>
  <c r="AZ839" i="9"/>
  <c r="BA839" i="9"/>
  <c r="BB839" i="9"/>
  <c r="BC839" i="9"/>
  <c r="AM840" i="9"/>
  <c r="AN840" i="9"/>
  <c r="AO840" i="9"/>
  <c r="AP840" i="9"/>
  <c r="AQ840" i="9"/>
  <c r="AR840" i="9"/>
  <c r="AS840" i="9"/>
  <c r="AT840" i="9"/>
  <c r="AW840" i="9"/>
  <c r="AX840" i="9"/>
  <c r="AY840" i="9"/>
  <c r="AZ840" i="9"/>
  <c r="BA840" i="9"/>
  <c r="BB840" i="9"/>
  <c r="BC840" i="9"/>
  <c r="AM841" i="9"/>
  <c r="AN841" i="9"/>
  <c r="AO841" i="9"/>
  <c r="AP841" i="9"/>
  <c r="AQ841" i="9"/>
  <c r="AR841" i="9"/>
  <c r="AS841" i="9"/>
  <c r="AT841" i="9"/>
  <c r="AW841" i="9"/>
  <c r="AX841" i="9"/>
  <c r="AY841" i="9"/>
  <c r="AZ841" i="9"/>
  <c r="BA841" i="9"/>
  <c r="BB841" i="9"/>
  <c r="BC841" i="9"/>
  <c r="AM842" i="9"/>
  <c r="AN842" i="9"/>
  <c r="AO842" i="9"/>
  <c r="AP842" i="9"/>
  <c r="AQ842" i="9"/>
  <c r="AR842" i="9"/>
  <c r="AS842" i="9"/>
  <c r="AT842" i="9"/>
  <c r="AW842" i="9"/>
  <c r="AX842" i="9"/>
  <c r="AY842" i="9"/>
  <c r="AZ842" i="9"/>
  <c r="BA842" i="9"/>
  <c r="BB842" i="9"/>
  <c r="BC842" i="9"/>
  <c r="AM843" i="9"/>
  <c r="AN843" i="9"/>
  <c r="AO843" i="9"/>
  <c r="AP843" i="9"/>
  <c r="AQ843" i="9"/>
  <c r="AR843" i="9"/>
  <c r="AS843" i="9"/>
  <c r="AT843" i="9"/>
  <c r="AW843" i="9"/>
  <c r="AX843" i="9"/>
  <c r="AY843" i="9"/>
  <c r="AZ843" i="9"/>
  <c r="BA843" i="9"/>
  <c r="BB843" i="9"/>
  <c r="BC843" i="9"/>
  <c r="AM844" i="9"/>
  <c r="AN844" i="9"/>
  <c r="AO844" i="9"/>
  <c r="AP844" i="9"/>
  <c r="AQ844" i="9"/>
  <c r="AR844" i="9"/>
  <c r="AS844" i="9"/>
  <c r="AT844" i="9"/>
  <c r="AW844" i="9"/>
  <c r="AX844" i="9"/>
  <c r="AY844" i="9"/>
  <c r="AZ844" i="9"/>
  <c r="BA844" i="9"/>
  <c r="BB844" i="9"/>
  <c r="BC844" i="9"/>
  <c r="AM845" i="9"/>
  <c r="AN845" i="9"/>
  <c r="AO845" i="9"/>
  <c r="AP845" i="9"/>
  <c r="AQ845" i="9"/>
  <c r="AR845" i="9"/>
  <c r="AS845" i="9"/>
  <c r="AT845" i="9"/>
  <c r="AW845" i="9"/>
  <c r="AX845" i="9"/>
  <c r="AY845" i="9"/>
  <c r="AZ845" i="9"/>
  <c r="BA845" i="9"/>
  <c r="BB845" i="9"/>
  <c r="BC845" i="9"/>
  <c r="AM846" i="9"/>
  <c r="AN846" i="9"/>
  <c r="AO846" i="9"/>
  <c r="AP846" i="9"/>
  <c r="AQ846" i="9"/>
  <c r="AR846" i="9"/>
  <c r="AS846" i="9"/>
  <c r="AT846" i="9"/>
  <c r="AW846" i="9"/>
  <c r="AX846" i="9"/>
  <c r="AY846" i="9"/>
  <c r="AZ846" i="9"/>
  <c r="BA846" i="9"/>
  <c r="BB846" i="9"/>
  <c r="BC846" i="9"/>
  <c r="AM847" i="9"/>
  <c r="AN847" i="9"/>
  <c r="AO847" i="9"/>
  <c r="AP847" i="9"/>
  <c r="AQ847" i="9"/>
  <c r="AR847" i="9"/>
  <c r="AS847" i="9"/>
  <c r="AT847" i="9"/>
  <c r="AW847" i="9"/>
  <c r="AX847" i="9"/>
  <c r="AY847" i="9"/>
  <c r="AZ847" i="9"/>
  <c r="BA847" i="9"/>
  <c r="BB847" i="9"/>
  <c r="BC847" i="9"/>
  <c r="AM848" i="9"/>
  <c r="AN848" i="9"/>
  <c r="AO848" i="9"/>
  <c r="AP848" i="9"/>
  <c r="AQ848" i="9"/>
  <c r="AR848" i="9"/>
  <c r="AS848" i="9"/>
  <c r="AT848" i="9"/>
  <c r="AW848" i="9"/>
  <c r="AX848" i="9"/>
  <c r="AY848" i="9"/>
  <c r="AZ848" i="9"/>
  <c r="BA848" i="9"/>
  <c r="BB848" i="9"/>
  <c r="BC848" i="9"/>
  <c r="AM849" i="9"/>
  <c r="AN849" i="9"/>
  <c r="AO849" i="9"/>
  <c r="AP849" i="9"/>
  <c r="AQ849" i="9"/>
  <c r="AR849" i="9"/>
  <c r="AS849" i="9"/>
  <c r="AT849" i="9"/>
  <c r="AW849" i="9"/>
  <c r="AX849" i="9"/>
  <c r="AY849" i="9"/>
  <c r="AZ849" i="9"/>
  <c r="BA849" i="9"/>
  <c r="BB849" i="9"/>
  <c r="BC849" i="9"/>
  <c r="AM850" i="9"/>
  <c r="AN850" i="9"/>
  <c r="AO850" i="9"/>
  <c r="AP850" i="9"/>
  <c r="AQ850" i="9"/>
  <c r="AR850" i="9"/>
  <c r="AS850" i="9"/>
  <c r="AT850" i="9"/>
  <c r="AW850" i="9"/>
  <c r="AX850" i="9"/>
  <c r="AY850" i="9"/>
  <c r="AZ850" i="9"/>
  <c r="BA850" i="9"/>
  <c r="BB850" i="9"/>
  <c r="BC850" i="9"/>
  <c r="AM851" i="9"/>
  <c r="AN851" i="9"/>
  <c r="AO851" i="9"/>
  <c r="AP851" i="9"/>
  <c r="AQ851" i="9"/>
  <c r="AR851" i="9"/>
  <c r="AS851" i="9"/>
  <c r="AT851" i="9"/>
  <c r="AW851" i="9"/>
  <c r="AX851" i="9"/>
  <c r="AY851" i="9"/>
  <c r="AZ851" i="9"/>
  <c r="BA851" i="9"/>
  <c r="BB851" i="9"/>
  <c r="BC851" i="9"/>
  <c r="AM852" i="9"/>
  <c r="AN852" i="9"/>
  <c r="AO852" i="9"/>
  <c r="AP852" i="9"/>
  <c r="AQ852" i="9"/>
  <c r="AR852" i="9"/>
  <c r="AS852" i="9"/>
  <c r="AT852" i="9"/>
  <c r="AW852" i="9"/>
  <c r="AX852" i="9"/>
  <c r="AY852" i="9"/>
  <c r="AZ852" i="9"/>
  <c r="BA852" i="9"/>
  <c r="BB852" i="9"/>
  <c r="BC852" i="9"/>
  <c r="AM853" i="9"/>
  <c r="AN853" i="9"/>
  <c r="AO853" i="9"/>
  <c r="AP853" i="9"/>
  <c r="AQ853" i="9"/>
  <c r="AR853" i="9"/>
  <c r="AS853" i="9"/>
  <c r="AT853" i="9"/>
  <c r="AW853" i="9"/>
  <c r="AX853" i="9"/>
  <c r="AY853" i="9"/>
  <c r="AZ853" i="9"/>
  <c r="BA853" i="9"/>
  <c r="BB853" i="9"/>
  <c r="BC853" i="9"/>
  <c r="AM854" i="9"/>
  <c r="AN854" i="9"/>
  <c r="AO854" i="9"/>
  <c r="AP854" i="9"/>
  <c r="AQ854" i="9"/>
  <c r="AR854" i="9"/>
  <c r="AS854" i="9"/>
  <c r="AT854" i="9"/>
  <c r="AW854" i="9"/>
  <c r="AX854" i="9"/>
  <c r="AY854" i="9"/>
  <c r="AZ854" i="9"/>
  <c r="BA854" i="9"/>
  <c r="BB854" i="9"/>
  <c r="BC854" i="9"/>
  <c r="AM855" i="9"/>
  <c r="AN855" i="9"/>
  <c r="AO855" i="9"/>
  <c r="AP855" i="9"/>
  <c r="AQ855" i="9"/>
  <c r="AR855" i="9"/>
  <c r="AS855" i="9"/>
  <c r="AT855" i="9"/>
  <c r="AW855" i="9"/>
  <c r="AX855" i="9"/>
  <c r="AY855" i="9"/>
  <c r="AZ855" i="9"/>
  <c r="BA855" i="9"/>
  <c r="BB855" i="9"/>
  <c r="BC855" i="9"/>
  <c r="AM856" i="9"/>
  <c r="AN856" i="9"/>
  <c r="AO856" i="9"/>
  <c r="AP856" i="9"/>
  <c r="AQ856" i="9"/>
  <c r="AR856" i="9"/>
  <c r="AS856" i="9"/>
  <c r="AT856" i="9"/>
  <c r="AW856" i="9"/>
  <c r="AX856" i="9"/>
  <c r="AY856" i="9"/>
  <c r="AZ856" i="9"/>
  <c r="BA856" i="9"/>
  <c r="BB856" i="9"/>
  <c r="BC856" i="9"/>
  <c r="AM857" i="9"/>
  <c r="AN857" i="9"/>
  <c r="AO857" i="9"/>
  <c r="AP857" i="9"/>
  <c r="AQ857" i="9"/>
  <c r="AR857" i="9"/>
  <c r="AS857" i="9"/>
  <c r="AT857" i="9"/>
  <c r="AW857" i="9"/>
  <c r="AX857" i="9"/>
  <c r="AY857" i="9"/>
  <c r="AZ857" i="9"/>
  <c r="BA857" i="9"/>
  <c r="BB857" i="9"/>
  <c r="BC857" i="9"/>
  <c r="AM858" i="9"/>
  <c r="AN858" i="9"/>
  <c r="AO858" i="9"/>
  <c r="AP858" i="9"/>
  <c r="AQ858" i="9"/>
  <c r="AR858" i="9"/>
  <c r="AS858" i="9"/>
  <c r="AT858" i="9"/>
  <c r="AW858" i="9"/>
  <c r="AX858" i="9"/>
  <c r="AY858" i="9"/>
  <c r="AZ858" i="9"/>
  <c r="BA858" i="9"/>
  <c r="BB858" i="9"/>
  <c r="BC858" i="9"/>
  <c r="AM859" i="9"/>
  <c r="AN859" i="9"/>
  <c r="AO859" i="9"/>
  <c r="AP859" i="9"/>
  <c r="AQ859" i="9"/>
  <c r="AR859" i="9"/>
  <c r="AS859" i="9"/>
  <c r="AT859" i="9"/>
  <c r="AW859" i="9"/>
  <c r="AX859" i="9"/>
  <c r="AY859" i="9"/>
  <c r="AZ859" i="9"/>
  <c r="BA859" i="9"/>
  <c r="BB859" i="9"/>
  <c r="BC859" i="9"/>
  <c r="AM860" i="9"/>
  <c r="AN860" i="9"/>
  <c r="AO860" i="9"/>
  <c r="AP860" i="9"/>
  <c r="AQ860" i="9"/>
  <c r="AR860" i="9"/>
  <c r="AS860" i="9"/>
  <c r="AT860" i="9"/>
  <c r="AW860" i="9"/>
  <c r="AX860" i="9"/>
  <c r="AY860" i="9"/>
  <c r="AZ860" i="9"/>
  <c r="BA860" i="9"/>
  <c r="BB860" i="9"/>
  <c r="BC860" i="9"/>
  <c r="AM861" i="9"/>
  <c r="AN861" i="9"/>
  <c r="AO861" i="9"/>
  <c r="AP861" i="9"/>
  <c r="AQ861" i="9"/>
  <c r="AR861" i="9"/>
  <c r="AS861" i="9"/>
  <c r="AT861" i="9"/>
  <c r="AW861" i="9"/>
  <c r="AX861" i="9"/>
  <c r="AY861" i="9"/>
  <c r="AZ861" i="9"/>
  <c r="BA861" i="9"/>
  <c r="BB861" i="9"/>
  <c r="BC861" i="9"/>
  <c r="AM862" i="9"/>
  <c r="AN862" i="9"/>
  <c r="AO862" i="9"/>
  <c r="AP862" i="9"/>
  <c r="AQ862" i="9"/>
  <c r="AR862" i="9"/>
  <c r="AS862" i="9"/>
  <c r="AT862" i="9"/>
  <c r="AW862" i="9"/>
  <c r="AX862" i="9"/>
  <c r="AY862" i="9"/>
  <c r="AZ862" i="9"/>
  <c r="BA862" i="9"/>
  <c r="BB862" i="9"/>
  <c r="BC862" i="9"/>
  <c r="AM863" i="9"/>
  <c r="AN863" i="9"/>
  <c r="AO863" i="9"/>
  <c r="AP863" i="9"/>
  <c r="AQ863" i="9"/>
  <c r="AR863" i="9"/>
  <c r="AS863" i="9"/>
  <c r="AT863" i="9"/>
  <c r="AW863" i="9"/>
  <c r="AX863" i="9"/>
  <c r="AY863" i="9"/>
  <c r="AZ863" i="9"/>
  <c r="BA863" i="9"/>
  <c r="BB863" i="9"/>
  <c r="BC863" i="9"/>
  <c r="AM864" i="9"/>
  <c r="AN864" i="9"/>
  <c r="AO864" i="9"/>
  <c r="AP864" i="9"/>
  <c r="AQ864" i="9"/>
  <c r="AR864" i="9"/>
  <c r="AS864" i="9"/>
  <c r="AT864" i="9"/>
  <c r="AW864" i="9"/>
  <c r="AX864" i="9"/>
  <c r="AY864" i="9"/>
  <c r="AZ864" i="9"/>
  <c r="BA864" i="9"/>
  <c r="BB864" i="9"/>
  <c r="BC864" i="9"/>
  <c r="AM865" i="9"/>
  <c r="AN865" i="9"/>
  <c r="AO865" i="9"/>
  <c r="AP865" i="9"/>
  <c r="AQ865" i="9"/>
  <c r="AR865" i="9"/>
  <c r="AS865" i="9"/>
  <c r="AT865" i="9"/>
  <c r="AW865" i="9"/>
  <c r="AX865" i="9"/>
  <c r="AY865" i="9"/>
  <c r="AZ865" i="9"/>
  <c r="BA865" i="9"/>
  <c r="BB865" i="9"/>
  <c r="BC865" i="9"/>
  <c r="AM866" i="9"/>
  <c r="AN866" i="9"/>
  <c r="AO866" i="9"/>
  <c r="AP866" i="9"/>
  <c r="AQ866" i="9"/>
  <c r="AR866" i="9"/>
  <c r="AS866" i="9"/>
  <c r="AT866" i="9"/>
  <c r="AW866" i="9"/>
  <c r="AX866" i="9"/>
  <c r="AY866" i="9"/>
  <c r="AZ866" i="9"/>
  <c r="BA866" i="9"/>
  <c r="BB866" i="9"/>
  <c r="BC866" i="9"/>
  <c r="AM867" i="9"/>
  <c r="AN867" i="9"/>
  <c r="AO867" i="9"/>
  <c r="AP867" i="9"/>
  <c r="AQ867" i="9"/>
  <c r="AR867" i="9"/>
  <c r="AS867" i="9"/>
  <c r="AT867" i="9"/>
  <c r="AW867" i="9"/>
  <c r="AX867" i="9"/>
  <c r="AY867" i="9"/>
  <c r="AZ867" i="9"/>
  <c r="BA867" i="9"/>
  <c r="BB867" i="9"/>
  <c r="BC867" i="9"/>
  <c r="AM868" i="9"/>
  <c r="AN868" i="9"/>
  <c r="AO868" i="9"/>
  <c r="AP868" i="9"/>
  <c r="AQ868" i="9"/>
  <c r="AR868" i="9"/>
  <c r="AS868" i="9"/>
  <c r="AT868" i="9"/>
  <c r="AW868" i="9"/>
  <c r="AX868" i="9"/>
  <c r="AY868" i="9"/>
  <c r="AZ868" i="9"/>
  <c r="BA868" i="9"/>
  <c r="BB868" i="9"/>
  <c r="BC868" i="9"/>
  <c r="AM869" i="9"/>
  <c r="AN869" i="9"/>
  <c r="AO869" i="9"/>
  <c r="AP869" i="9"/>
  <c r="AQ869" i="9"/>
  <c r="AR869" i="9"/>
  <c r="AS869" i="9"/>
  <c r="AT869" i="9"/>
  <c r="AW869" i="9"/>
  <c r="AX869" i="9"/>
  <c r="AY869" i="9"/>
  <c r="AZ869" i="9"/>
  <c r="BA869" i="9"/>
  <c r="BB869" i="9"/>
  <c r="BC869" i="9"/>
  <c r="AM870" i="9"/>
  <c r="AN870" i="9"/>
  <c r="AO870" i="9"/>
  <c r="AP870" i="9"/>
  <c r="AQ870" i="9"/>
  <c r="AR870" i="9"/>
  <c r="AS870" i="9"/>
  <c r="AT870" i="9"/>
  <c r="AW870" i="9"/>
  <c r="AX870" i="9"/>
  <c r="AY870" i="9"/>
  <c r="AZ870" i="9"/>
  <c r="BA870" i="9"/>
  <c r="BB870" i="9"/>
  <c r="BC870" i="9"/>
  <c r="AM871" i="9"/>
  <c r="AN871" i="9"/>
  <c r="AO871" i="9"/>
  <c r="AP871" i="9"/>
  <c r="AQ871" i="9"/>
  <c r="AR871" i="9"/>
  <c r="AS871" i="9"/>
  <c r="AT871" i="9"/>
  <c r="AW871" i="9"/>
  <c r="AX871" i="9"/>
  <c r="AY871" i="9"/>
  <c r="AZ871" i="9"/>
  <c r="BA871" i="9"/>
  <c r="BB871" i="9"/>
  <c r="BC871" i="9"/>
  <c r="AM872" i="9"/>
  <c r="AN872" i="9"/>
  <c r="AO872" i="9"/>
  <c r="AP872" i="9"/>
  <c r="AQ872" i="9"/>
  <c r="AR872" i="9"/>
  <c r="AS872" i="9"/>
  <c r="AT872" i="9"/>
  <c r="AW872" i="9"/>
  <c r="AX872" i="9"/>
  <c r="AY872" i="9"/>
  <c r="AZ872" i="9"/>
  <c r="BA872" i="9"/>
  <c r="BB872" i="9"/>
  <c r="BC872" i="9"/>
  <c r="AM873" i="9"/>
  <c r="AN873" i="9"/>
  <c r="AO873" i="9"/>
  <c r="AP873" i="9"/>
  <c r="AQ873" i="9"/>
  <c r="AR873" i="9"/>
  <c r="AS873" i="9"/>
  <c r="AT873" i="9"/>
  <c r="AW873" i="9"/>
  <c r="AX873" i="9"/>
  <c r="AY873" i="9"/>
  <c r="AZ873" i="9"/>
  <c r="BA873" i="9"/>
  <c r="BB873" i="9"/>
  <c r="BC873" i="9"/>
  <c r="AM874" i="9"/>
  <c r="AN874" i="9"/>
  <c r="AO874" i="9"/>
  <c r="AP874" i="9"/>
  <c r="AQ874" i="9"/>
  <c r="AR874" i="9"/>
  <c r="AS874" i="9"/>
  <c r="AT874" i="9"/>
  <c r="AW874" i="9"/>
  <c r="AX874" i="9"/>
  <c r="AY874" i="9"/>
  <c r="AZ874" i="9"/>
  <c r="BA874" i="9"/>
  <c r="BB874" i="9"/>
  <c r="BC874" i="9"/>
  <c r="AM875" i="9"/>
  <c r="AN875" i="9"/>
  <c r="AO875" i="9"/>
  <c r="AP875" i="9"/>
  <c r="AQ875" i="9"/>
  <c r="AR875" i="9"/>
  <c r="AS875" i="9"/>
  <c r="AT875" i="9"/>
  <c r="AW875" i="9"/>
  <c r="AX875" i="9"/>
  <c r="AY875" i="9"/>
  <c r="AZ875" i="9"/>
  <c r="BA875" i="9"/>
  <c r="BB875" i="9"/>
  <c r="BC875" i="9"/>
  <c r="AM876" i="9"/>
  <c r="AN876" i="9"/>
  <c r="AO876" i="9"/>
  <c r="AP876" i="9"/>
  <c r="AQ876" i="9"/>
  <c r="AR876" i="9"/>
  <c r="AS876" i="9"/>
  <c r="AT876" i="9"/>
  <c r="AW876" i="9"/>
  <c r="AX876" i="9"/>
  <c r="AY876" i="9"/>
  <c r="AZ876" i="9"/>
  <c r="BA876" i="9"/>
  <c r="BB876" i="9"/>
  <c r="BC876" i="9"/>
  <c r="AM877" i="9"/>
  <c r="AN877" i="9"/>
  <c r="AO877" i="9"/>
  <c r="AP877" i="9"/>
  <c r="AQ877" i="9"/>
  <c r="AR877" i="9"/>
  <c r="AS877" i="9"/>
  <c r="AT877" i="9"/>
  <c r="AW877" i="9"/>
  <c r="AX877" i="9"/>
  <c r="AY877" i="9"/>
  <c r="AZ877" i="9"/>
  <c r="BA877" i="9"/>
  <c r="BB877" i="9"/>
  <c r="BC877" i="9"/>
  <c r="AM878" i="9"/>
  <c r="AN878" i="9"/>
  <c r="AO878" i="9"/>
  <c r="AP878" i="9"/>
  <c r="AQ878" i="9"/>
  <c r="AR878" i="9"/>
  <c r="AS878" i="9"/>
  <c r="AT878" i="9"/>
  <c r="AW878" i="9"/>
  <c r="AX878" i="9"/>
  <c r="AY878" i="9"/>
  <c r="AZ878" i="9"/>
  <c r="BA878" i="9"/>
  <c r="BB878" i="9"/>
  <c r="BC878" i="9"/>
  <c r="AM879" i="9"/>
  <c r="AN879" i="9"/>
  <c r="AO879" i="9"/>
  <c r="AP879" i="9"/>
  <c r="AQ879" i="9"/>
  <c r="AR879" i="9"/>
  <c r="AS879" i="9"/>
  <c r="AT879" i="9"/>
  <c r="AW879" i="9"/>
  <c r="AX879" i="9"/>
  <c r="AY879" i="9"/>
  <c r="AZ879" i="9"/>
  <c r="BA879" i="9"/>
  <c r="BB879" i="9"/>
  <c r="BC879" i="9"/>
  <c r="AM880" i="9"/>
  <c r="AN880" i="9"/>
  <c r="AO880" i="9"/>
  <c r="AP880" i="9"/>
  <c r="AQ880" i="9"/>
  <c r="AR880" i="9"/>
  <c r="AS880" i="9"/>
  <c r="AT880" i="9"/>
  <c r="AW880" i="9"/>
  <c r="AX880" i="9"/>
  <c r="AY880" i="9"/>
  <c r="AZ880" i="9"/>
  <c r="BA880" i="9"/>
  <c r="BB880" i="9"/>
  <c r="BC880" i="9"/>
  <c r="AM881" i="9"/>
  <c r="AN881" i="9"/>
  <c r="AO881" i="9"/>
  <c r="AP881" i="9"/>
  <c r="AQ881" i="9"/>
  <c r="AR881" i="9"/>
  <c r="AS881" i="9"/>
  <c r="AT881" i="9"/>
  <c r="AW881" i="9"/>
  <c r="AX881" i="9"/>
  <c r="AY881" i="9"/>
  <c r="AZ881" i="9"/>
  <c r="BA881" i="9"/>
  <c r="BB881" i="9"/>
  <c r="BC881" i="9"/>
  <c r="AM882" i="9"/>
  <c r="AN882" i="9"/>
  <c r="AO882" i="9"/>
  <c r="AP882" i="9"/>
  <c r="AQ882" i="9"/>
  <c r="AR882" i="9"/>
  <c r="AS882" i="9"/>
  <c r="AT882" i="9"/>
  <c r="AW882" i="9"/>
  <c r="AX882" i="9"/>
  <c r="AY882" i="9"/>
  <c r="AZ882" i="9"/>
  <c r="BA882" i="9"/>
  <c r="BB882" i="9"/>
  <c r="BC882" i="9"/>
  <c r="AM883" i="9"/>
  <c r="AN883" i="9"/>
  <c r="AO883" i="9"/>
  <c r="AP883" i="9"/>
  <c r="AQ883" i="9"/>
  <c r="AR883" i="9"/>
  <c r="AS883" i="9"/>
  <c r="AT883" i="9"/>
  <c r="AW883" i="9"/>
  <c r="AX883" i="9"/>
  <c r="AY883" i="9"/>
  <c r="AZ883" i="9"/>
  <c r="BA883" i="9"/>
  <c r="BB883" i="9"/>
  <c r="BC883" i="9"/>
  <c r="AM884" i="9"/>
  <c r="AN884" i="9"/>
  <c r="AO884" i="9"/>
  <c r="AP884" i="9"/>
  <c r="AQ884" i="9"/>
  <c r="AR884" i="9"/>
  <c r="AS884" i="9"/>
  <c r="AT884" i="9"/>
  <c r="AW884" i="9"/>
  <c r="AX884" i="9"/>
  <c r="AY884" i="9"/>
  <c r="AZ884" i="9"/>
  <c r="BA884" i="9"/>
  <c r="BB884" i="9"/>
  <c r="BC884" i="9"/>
  <c r="AM885" i="9"/>
  <c r="AN885" i="9"/>
  <c r="AO885" i="9"/>
  <c r="AP885" i="9"/>
  <c r="AQ885" i="9"/>
  <c r="AR885" i="9"/>
  <c r="AS885" i="9"/>
  <c r="AT885" i="9"/>
  <c r="AW885" i="9"/>
  <c r="AX885" i="9"/>
  <c r="AY885" i="9"/>
  <c r="AZ885" i="9"/>
  <c r="BA885" i="9"/>
  <c r="BB885" i="9"/>
  <c r="BC885" i="9"/>
  <c r="AM886" i="9"/>
  <c r="AN886" i="9"/>
  <c r="AO886" i="9"/>
  <c r="AP886" i="9"/>
  <c r="AQ886" i="9"/>
  <c r="AR886" i="9"/>
  <c r="AS886" i="9"/>
  <c r="AT886" i="9"/>
  <c r="AW886" i="9"/>
  <c r="AX886" i="9"/>
  <c r="AY886" i="9"/>
  <c r="AZ886" i="9"/>
  <c r="BA886" i="9"/>
  <c r="BB886" i="9"/>
  <c r="BC886" i="9"/>
  <c r="AM887" i="9"/>
  <c r="AN887" i="9"/>
  <c r="AO887" i="9"/>
  <c r="AP887" i="9"/>
  <c r="AQ887" i="9"/>
  <c r="AR887" i="9"/>
  <c r="AS887" i="9"/>
  <c r="AT887" i="9"/>
  <c r="AW887" i="9"/>
  <c r="AX887" i="9"/>
  <c r="AY887" i="9"/>
  <c r="AZ887" i="9"/>
  <c r="BA887" i="9"/>
  <c r="BB887" i="9"/>
  <c r="BC887" i="9"/>
  <c r="AM888" i="9"/>
  <c r="AN888" i="9"/>
  <c r="AO888" i="9"/>
  <c r="AP888" i="9"/>
  <c r="AQ888" i="9"/>
  <c r="AR888" i="9"/>
  <c r="AS888" i="9"/>
  <c r="AT888" i="9"/>
  <c r="AW888" i="9"/>
  <c r="AX888" i="9"/>
  <c r="AY888" i="9"/>
  <c r="AZ888" i="9"/>
  <c r="BA888" i="9"/>
  <c r="BB888" i="9"/>
  <c r="BC888" i="9"/>
  <c r="AM889" i="9"/>
  <c r="AN889" i="9"/>
  <c r="AO889" i="9"/>
  <c r="AP889" i="9"/>
  <c r="AQ889" i="9"/>
  <c r="AR889" i="9"/>
  <c r="AS889" i="9"/>
  <c r="AT889" i="9"/>
  <c r="AW889" i="9"/>
  <c r="AX889" i="9"/>
  <c r="AY889" i="9"/>
  <c r="AZ889" i="9"/>
  <c r="BA889" i="9"/>
  <c r="BB889" i="9"/>
  <c r="BC889" i="9"/>
  <c r="AM890" i="9"/>
  <c r="AN890" i="9"/>
  <c r="AO890" i="9"/>
  <c r="AP890" i="9"/>
  <c r="AQ890" i="9"/>
  <c r="AR890" i="9"/>
  <c r="AS890" i="9"/>
  <c r="AT890" i="9"/>
  <c r="AW890" i="9"/>
  <c r="AX890" i="9"/>
  <c r="AY890" i="9"/>
  <c r="AZ890" i="9"/>
  <c r="BA890" i="9"/>
  <c r="BB890" i="9"/>
  <c r="BC890" i="9"/>
  <c r="AM891" i="9"/>
  <c r="AN891" i="9"/>
  <c r="AO891" i="9"/>
  <c r="AP891" i="9"/>
  <c r="AQ891" i="9"/>
  <c r="AR891" i="9"/>
  <c r="AS891" i="9"/>
  <c r="AT891" i="9"/>
  <c r="AW891" i="9"/>
  <c r="AX891" i="9"/>
  <c r="AY891" i="9"/>
  <c r="AZ891" i="9"/>
  <c r="BA891" i="9"/>
  <c r="BB891" i="9"/>
  <c r="BC891" i="9"/>
  <c r="AM892" i="9"/>
  <c r="AN892" i="9"/>
  <c r="AO892" i="9"/>
  <c r="AP892" i="9"/>
  <c r="AQ892" i="9"/>
  <c r="AR892" i="9"/>
  <c r="AS892" i="9"/>
  <c r="AT892" i="9"/>
  <c r="AW892" i="9"/>
  <c r="AX892" i="9"/>
  <c r="AY892" i="9"/>
  <c r="AZ892" i="9"/>
  <c r="BA892" i="9"/>
  <c r="BB892" i="9"/>
  <c r="BC892" i="9"/>
  <c r="AM893" i="9"/>
  <c r="AN893" i="9"/>
  <c r="AO893" i="9"/>
  <c r="AP893" i="9"/>
  <c r="AQ893" i="9"/>
  <c r="AR893" i="9"/>
  <c r="AS893" i="9"/>
  <c r="AT893" i="9"/>
  <c r="AW893" i="9"/>
  <c r="AX893" i="9"/>
  <c r="AY893" i="9"/>
  <c r="AZ893" i="9"/>
  <c r="BA893" i="9"/>
  <c r="BB893" i="9"/>
  <c r="BC893" i="9"/>
  <c r="AM894" i="9"/>
  <c r="AN894" i="9"/>
  <c r="AO894" i="9"/>
  <c r="AP894" i="9"/>
  <c r="AQ894" i="9"/>
  <c r="AR894" i="9"/>
  <c r="AS894" i="9"/>
  <c r="AT894" i="9"/>
  <c r="AW894" i="9"/>
  <c r="AX894" i="9"/>
  <c r="AY894" i="9"/>
  <c r="AZ894" i="9"/>
  <c r="BA894" i="9"/>
  <c r="BB894" i="9"/>
  <c r="BC894" i="9"/>
  <c r="AM895" i="9"/>
  <c r="AN895" i="9"/>
  <c r="AO895" i="9"/>
  <c r="AP895" i="9"/>
  <c r="AQ895" i="9"/>
  <c r="AR895" i="9"/>
  <c r="AS895" i="9"/>
  <c r="AT895" i="9"/>
  <c r="AW895" i="9"/>
  <c r="AX895" i="9"/>
  <c r="AY895" i="9"/>
  <c r="AZ895" i="9"/>
  <c r="BA895" i="9"/>
  <c r="BB895" i="9"/>
  <c r="BC895" i="9"/>
  <c r="AM896" i="9"/>
  <c r="AN896" i="9"/>
  <c r="AO896" i="9"/>
  <c r="AP896" i="9"/>
  <c r="AQ896" i="9"/>
  <c r="AR896" i="9"/>
  <c r="AS896" i="9"/>
  <c r="AT896" i="9"/>
  <c r="AW896" i="9"/>
  <c r="AX896" i="9"/>
  <c r="AY896" i="9"/>
  <c r="AZ896" i="9"/>
  <c r="BA896" i="9"/>
  <c r="BB896" i="9"/>
  <c r="BC896" i="9"/>
  <c r="AM897" i="9"/>
  <c r="AN897" i="9"/>
  <c r="AO897" i="9"/>
  <c r="AP897" i="9"/>
  <c r="AQ897" i="9"/>
  <c r="AR897" i="9"/>
  <c r="AS897" i="9"/>
  <c r="AT897" i="9"/>
  <c r="AW897" i="9"/>
  <c r="AX897" i="9"/>
  <c r="AY897" i="9"/>
  <c r="AZ897" i="9"/>
  <c r="BA897" i="9"/>
  <c r="BB897" i="9"/>
  <c r="BC897" i="9"/>
  <c r="AM898" i="9"/>
  <c r="AN898" i="9"/>
  <c r="AO898" i="9"/>
  <c r="AP898" i="9"/>
  <c r="AQ898" i="9"/>
  <c r="AR898" i="9"/>
  <c r="AS898" i="9"/>
  <c r="AT898" i="9"/>
  <c r="AW898" i="9"/>
  <c r="AX898" i="9"/>
  <c r="AY898" i="9"/>
  <c r="AZ898" i="9"/>
  <c r="BA898" i="9"/>
  <c r="BB898" i="9"/>
  <c r="BC898" i="9"/>
  <c r="AM899" i="9"/>
  <c r="AN899" i="9"/>
  <c r="AO899" i="9"/>
  <c r="AP899" i="9"/>
  <c r="AQ899" i="9"/>
  <c r="AR899" i="9"/>
  <c r="AS899" i="9"/>
  <c r="AT899" i="9"/>
  <c r="AW899" i="9"/>
  <c r="AX899" i="9"/>
  <c r="AY899" i="9"/>
  <c r="AZ899" i="9"/>
  <c r="BA899" i="9"/>
  <c r="BB899" i="9"/>
  <c r="BC899" i="9"/>
  <c r="AM900" i="9"/>
  <c r="AN900" i="9"/>
  <c r="AO900" i="9"/>
  <c r="AP900" i="9"/>
  <c r="AQ900" i="9"/>
  <c r="AR900" i="9"/>
  <c r="AS900" i="9"/>
  <c r="AT900" i="9"/>
  <c r="AW900" i="9"/>
  <c r="AX900" i="9"/>
  <c r="AY900" i="9"/>
  <c r="AZ900" i="9"/>
  <c r="BA900" i="9"/>
  <c r="BB900" i="9"/>
  <c r="BC900" i="9"/>
  <c r="AM901" i="9"/>
  <c r="AN901" i="9"/>
  <c r="AO901" i="9"/>
  <c r="AP901" i="9"/>
  <c r="AQ901" i="9"/>
  <c r="AR901" i="9"/>
  <c r="AS901" i="9"/>
  <c r="AT901" i="9"/>
  <c r="AW901" i="9"/>
  <c r="AX901" i="9"/>
  <c r="AY901" i="9"/>
  <c r="AZ901" i="9"/>
  <c r="BA901" i="9"/>
  <c r="BB901" i="9"/>
  <c r="BC901" i="9"/>
  <c r="AM902" i="9"/>
  <c r="AN902" i="9"/>
  <c r="AO902" i="9"/>
  <c r="AP902" i="9"/>
  <c r="AQ902" i="9"/>
  <c r="AR902" i="9"/>
  <c r="AS902" i="9"/>
  <c r="AT902" i="9"/>
  <c r="AW902" i="9"/>
  <c r="AX902" i="9"/>
  <c r="AY902" i="9"/>
  <c r="AZ902" i="9"/>
  <c r="BA902" i="9"/>
  <c r="BB902" i="9"/>
  <c r="BC902" i="9"/>
  <c r="AM903" i="9"/>
  <c r="AN903" i="9"/>
  <c r="AO903" i="9"/>
  <c r="AP903" i="9"/>
  <c r="AQ903" i="9"/>
  <c r="AR903" i="9"/>
  <c r="AS903" i="9"/>
  <c r="AT903" i="9"/>
  <c r="AW903" i="9"/>
  <c r="AX903" i="9"/>
  <c r="AY903" i="9"/>
  <c r="AZ903" i="9"/>
  <c r="BA903" i="9"/>
  <c r="BB903" i="9"/>
  <c r="BC903" i="9"/>
  <c r="AM904" i="9"/>
  <c r="AN904" i="9"/>
  <c r="AO904" i="9"/>
  <c r="AP904" i="9"/>
  <c r="AQ904" i="9"/>
  <c r="AR904" i="9"/>
  <c r="AS904" i="9"/>
  <c r="AT904" i="9"/>
  <c r="AW904" i="9"/>
  <c r="AX904" i="9"/>
  <c r="AY904" i="9"/>
  <c r="AZ904" i="9"/>
  <c r="BA904" i="9"/>
  <c r="BB904" i="9"/>
  <c r="BC904" i="9"/>
  <c r="AM905" i="9"/>
  <c r="AN905" i="9"/>
  <c r="AO905" i="9"/>
  <c r="AP905" i="9"/>
  <c r="AQ905" i="9"/>
  <c r="AR905" i="9"/>
  <c r="AS905" i="9"/>
  <c r="AT905" i="9"/>
  <c r="AW905" i="9"/>
  <c r="AX905" i="9"/>
  <c r="AY905" i="9"/>
  <c r="AZ905" i="9"/>
  <c r="BA905" i="9"/>
  <c r="BB905" i="9"/>
  <c r="BC905" i="9"/>
  <c r="AM906" i="9"/>
  <c r="AN906" i="9"/>
  <c r="AO906" i="9"/>
  <c r="AP906" i="9"/>
  <c r="AQ906" i="9"/>
  <c r="AR906" i="9"/>
  <c r="AS906" i="9"/>
  <c r="AT906" i="9"/>
  <c r="AW906" i="9"/>
  <c r="AX906" i="9"/>
  <c r="AY906" i="9"/>
  <c r="AZ906" i="9"/>
  <c r="BA906" i="9"/>
  <c r="BB906" i="9"/>
  <c r="BC906" i="9"/>
  <c r="AM907" i="9"/>
  <c r="AN907" i="9"/>
  <c r="AO907" i="9"/>
  <c r="AP907" i="9"/>
  <c r="AQ907" i="9"/>
  <c r="AR907" i="9"/>
  <c r="AS907" i="9"/>
  <c r="AT907" i="9"/>
  <c r="AW907" i="9"/>
  <c r="AX907" i="9"/>
  <c r="AY907" i="9"/>
  <c r="AZ907" i="9"/>
  <c r="BA907" i="9"/>
  <c r="BB907" i="9"/>
  <c r="BC907" i="9"/>
  <c r="AM908" i="9"/>
  <c r="AN908" i="9"/>
  <c r="AO908" i="9"/>
  <c r="AP908" i="9"/>
  <c r="AQ908" i="9"/>
  <c r="AR908" i="9"/>
  <c r="AS908" i="9"/>
  <c r="AT908" i="9"/>
  <c r="AW908" i="9"/>
  <c r="AX908" i="9"/>
  <c r="AY908" i="9"/>
  <c r="AZ908" i="9"/>
  <c r="BA908" i="9"/>
  <c r="BB908" i="9"/>
  <c r="BC908" i="9"/>
  <c r="AM909" i="9"/>
  <c r="AN909" i="9"/>
  <c r="AO909" i="9"/>
  <c r="AP909" i="9"/>
  <c r="AQ909" i="9"/>
  <c r="AR909" i="9"/>
  <c r="AS909" i="9"/>
  <c r="AT909" i="9"/>
  <c r="AW909" i="9"/>
  <c r="AX909" i="9"/>
  <c r="AY909" i="9"/>
  <c r="AZ909" i="9"/>
  <c r="BA909" i="9"/>
  <c r="BB909" i="9"/>
  <c r="BC909" i="9"/>
  <c r="AM910" i="9"/>
  <c r="AN910" i="9"/>
  <c r="AO910" i="9"/>
  <c r="AP910" i="9"/>
  <c r="AQ910" i="9"/>
  <c r="AR910" i="9"/>
  <c r="AS910" i="9"/>
  <c r="AT910" i="9"/>
  <c r="AW910" i="9"/>
  <c r="AX910" i="9"/>
  <c r="AY910" i="9"/>
  <c r="AZ910" i="9"/>
  <c r="BA910" i="9"/>
  <c r="BB910" i="9"/>
  <c r="BC910" i="9"/>
  <c r="AM911" i="9"/>
  <c r="AN911" i="9"/>
  <c r="AO911" i="9"/>
  <c r="AP911" i="9"/>
  <c r="AQ911" i="9"/>
  <c r="AR911" i="9"/>
  <c r="AS911" i="9"/>
  <c r="AT911" i="9"/>
  <c r="AW911" i="9"/>
  <c r="AX911" i="9"/>
  <c r="AY911" i="9"/>
  <c r="AZ911" i="9"/>
  <c r="BA911" i="9"/>
  <c r="BB911" i="9"/>
  <c r="BC911" i="9"/>
  <c r="AM912" i="9"/>
  <c r="AN912" i="9"/>
  <c r="AO912" i="9"/>
  <c r="AP912" i="9"/>
  <c r="AQ912" i="9"/>
  <c r="AR912" i="9"/>
  <c r="AS912" i="9"/>
  <c r="AT912" i="9"/>
  <c r="AW912" i="9"/>
  <c r="AX912" i="9"/>
  <c r="AY912" i="9"/>
  <c r="AZ912" i="9"/>
  <c r="BA912" i="9"/>
  <c r="BB912" i="9"/>
  <c r="BC912" i="9"/>
  <c r="AM913" i="9"/>
  <c r="AN913" i="9"/>
  <c r="AO913" i="9"/>
  <c r="AP913" i="9"/>
  <c r="AQ913" i="9"/>
  <c r="AR913" i="9"/>
  <c r="AS913" i="9"/>
  <c r="AT913" i="9"/>
  <c r="AW913" i="9"/>
  <c r="AX913" i="9"/>
  <c r="AY913" i="9"/>
  <c r="AZ913" i="9"/>
  <c r="BA913" i="9"/>
  <c r="BB913" i="9"/>
  <c r="BC913" i="9"/>
  <c r="AM914" i="9"/>
  <c r="AN914" i="9"/>
  <c r="AO914" i="9"/>
  <c r="AP914" i="9"/>
  <c r="AQ914" i="9"/>
  <c r="AR914" i="9"/>
  <c r="AS914" i="9"/>
  <c r="AT914" i="9"/>
  <c r="AW914" i="9"/>
  <c r="AX914" i="9"/>
  <c r="AY914" i="9"/>
  <c r="AZ914" i="9"/>
  <c r="BA914" i="9"/>
  <c r="BB914" i="9"/>
  <c r="BC914" i="9"/>
  <c r="AM915" i="9"/>
  <c r="AN915" i="9"/>
  <c r="AO915" i="9"/>
  <c r="AP915" i="9"/>
  <c r="AQ915" i="9"/>
  <c r="AR915" i="9"/>
  <c r="AS915" i="9"/>
  <c r="AT915" i="9"/>
  <c r="AW915" i="9"/>
  <c r="AX915" i="9"/>
  <c r="AY915" i="9"/>
  <c r="AZ915" i="9"/>
  <c r="BA915" i="9"/>
  <c r="BB915" i="9"/>
  <c r="BC915" i="9"/>
  <c r="AM916" i="9"/>
  <c r="AN916" i="9"/>
  <c r="AO916" i="9"/>
  <c r="AP916" i="9"/>
  <c r="AQ916" i="9"/>
  <c r="AR916" i="9"/>
  <c r="AS916" i="9"/>
  <c r="AT916" i="9"/>
  <c r="AW916" i="9"/>
  <c r="AX916" i="9"/>
  <c r="AY916" i="9"/>
  <c r="AZ916" i="9"/>
  <c r="BA916" i="9"/>
  <c r="BB916" i="9"/>
  <c r="BC916" i="9"/>
  <c r="AM917" i="9"/>
  <c r="AN917" i="9"/>
  <c r="AO917" i="9"/>
  <c r="AP917" i="9"/>
  <c r="AQ917" i="9"/>
  <c r="AR917" i="9"/>
  <c r="AS917" i="9"/>
  <c r="AT917" i="9"/>
  <c r="AW917" i="9"/>
  <c r="AX917" i="9"/>
  <c r="AY917" i="9"/>
  <c r="AZ917" i="9"/>
  <c r="BA917" i="9"/>
  <c r="BB917" i="9"/>
  <c r="BC917" i="9"/>
  <c r="AM918" i="9"/>
  <c r="AN918" i="9"/>
  <c r="AO918" i="9"/>
  <c r="AP918" i="9"/>
  <c r="AQ918" i="9"/>
  <c r="AR918" i="9"/>
  <c r="AS918" i="9"/>
  <c r="AT918" i="9"/>
  <c r="AW918" i="9"/>
  <c r="AX918" i="9"/>
  <c r="AY918" i="9"/>
  <c r="AZ918" i="9"/>
  <c r="BA918" i="9"/>
  <c r="BB918" i="9"/>
  <c r="BC918" i="9"/>
  <c r="AM919" i="9"/>
  <c r="AN919" i="9"/>
  <c r="AO919" i="9"/>
  <c r="AP919" i="9"/>
  <c r="AQ919" i="9"/>
  <c r="AR919" i="9"/>
  <c r="AS919" i="9"/>
  <c r="AT919" i="9"/>
  <c r="AW919" i="9"/>
  <c r="AX919" i="9"/>
  <c r="AY919" i="9"/>
  <c r="AZ919" i="9"/>
  <c r="BA919" i="9"/>
  <c r="BB919" i="9"/>
  <c r="BC919" i="9"/>
  <c r="AM920" i="9"/>
  <c r="AN920" i="9"/>
  <c r="AO920" i="9"/>
  <c r="AP920" i="9"/>
  <c r="AQ920" i="9"/>
  <c r="AR920" i="9"/>
  <c r="AS920" i="9"/>
  <c r="AT920" i="9"/>
  <c r="AW920" i="9"/>
  <c r="AX920" i="9"/>
  <c r="AY920" i="9"/>
  <c r="AZ920" i="9"/>
  <c r="BA920" i="9"/>
  <c r="BB920" i="9"/>
  <c r="BC920" i="9"/>
  <c r="AM921" i="9"/>
  <c r="AN921" i="9"/>
  <c r="AO921" i="9"/>
  <c r="AP921" i="9"/>
  <c r="AQ921" i="9"/>
  <c r="AR921" i="9"/>
  <c r="AS921" i="9"/>
  <c r="AT921" i="9"/>
  <c r="AW921" i="9"/>
  <c r="AX921" i="9"/>
  <c r="AY921" i="9"/>
  <c r="AZ921" i="9"/>
  <c r="BA921" i="9"/>
  <c r="BB921" i="9"/>
  <c r="BC921" i="9"/>
  <c r="AM922" i="9"/>
  <c r="AN922" i="9"/>
  <c r="AO922" i="9"/>
  <c r="AP922" i="9"/>
  <c r="AQ922" i="9"/>
  <c r="AR922" i="9"/>
  <c r="AS922" i="9"/>
  <c r="AT922" i="9"/>
  <c r="AW922" i="9"/>
  <c r="AX922" i="9"/>
  <c r="AY922" i="9"/>
  <c r="AZ922" i="9"/>
  <c r="BA922" i="9"/>
  <c r="BB922" i="9"/>
  <c r="BC922" i="9"/>
  <c r="AM923" i="9"/>
  <c r="AN923" i="9"/>
  <c r="AO923" i="9"/>
  <c r="AP923" i="9"/>
  <c r="AQ923" i="9"/>
  <c r="AR923" i="9"/>
  <c r="AS923" i="9"/>
  <c r="AT923" i="9"/>
  <c r="AW923" i="9"/>
  <c r="AX923" i="9"/>
  <c r="AY923" i="9"/>
  <c r="AZ923" i="9"/>
  <c r="BA923" i="9"/>
  <c r="BB923" i="9"/>
  <c r="BC923" i="9"/>
  <c r="AM924" i="9"/>
  <c r="AN924" i="9"/>
  <c r="AO924" i="9"/>
  <c r="AP924" i="9"/>
  <c r="AQ924" i="9"/>
  <c r="AR924" i="9"/>
  <c r="AS924" i="9"/>
  <c r="AT924" i="9"/>
  <c r="AW924" i="9"/>
  <c r="AX924" i="9"/>
  <c r="AY924" i="9"/>
  <c r="AZ924" i="9"/>
  <c r="BA924" i="9"/>
  <c r="BB924" i="9"/>
  <c r="BC924" i="9"/>
  <c r="AM925" i="9"/>
  <c r="AN925" i="9"/>
  <c r="AO925" i="9"/>
  <c r="AP925" i="9"/>
  <c r="AQ925" i="9"/>
  <c r="AR925" i="9"/>
  <c r="AS925" i="9"/>
  <c r="AT925" i="9"/>
  <c r="AW925" i="9"/>
  <c r="AX925" i="9"/>
  <c r="AY925" i="9"/>
  <c r="AZ925" i="9"/>
  <c r="BA925" i="9"/>
  <c r="BB925" i="9"/>
  <c r="BC925" i="9"/>
  <c r="AM926" i="9"/>
  <c r="AN926" i="9"/>
  <c r="AO926" i="9"/>
  <c r="AP926" i="9"/>
  <c r="AQ926" i="9"/>
  <c r="AR926" i="9"/>
  <c r="AS926" i="9"/>
  <c r="AT926" i="9"/>
  <c r="AW926" i="9"/>
  <c r="AX926" i="9"/>
  <c r="AY926" i="9"/>
  <c r="AZ926" i="9"/>
  <c r="BA926" i="9"/>
  <c r="BB926" i="9"/>
  <c r="BC926" i="9"/>
  <c r="AM927" i="9"/>
  <c r="AN927" i="9"/>
  <c r="AO927" i="9"/>
  <c r="AP927" i="9"/>
  <c r="AQ927" i="9"/>
  <c r="AR927" i="9"/>
  <c r="AS927" i="9"/>
  <c r="AT927" i="9"/>
  <c r="AW927" i="9"/>
  <c r="AX927" i="9"/>
  <c r="AY927" i="9"/>
  <c r="AZ927" i="9"/>
  <c r="BA927" i="9"/>
  <c r="BB927" i="9"/>
  <c r="BC927" i="9"/>
  <c r="AM928" i="9"/>
  <c r="AN928" i="9"/>
  <c r="AO928" i="9"/>
  <c r="AP928" i="9"/>
  <c r="AQ928" i="9"/>
  <c r="AR928" i="9"/>
  <c r="AS928" i="9"/>
  <c r="AT928" i="9"/>
  <c r="AW928" i="9"/>
  <c r="AX928" i="9"/>
  <c r="AY928" i="9"/>
  <c r="AZ928" i="9"/>
  <c r="BA928" i="9"/>
  <c r="BB928" i="9"/>
  <c r="BC928" i="9"/>
  <c r="AM929" i="9"/>
  <c r="AN929" i="9"/>
  <c r="AO929" i="9"/>
  <c r="AP929" i="9"/>
  <c r="AQ929" i="9"/>
  <c r="AR929" i="9"/>
  <c r="AS929" i="9"/>
  <c r="AT929" i="9"/>
  <c r="AW929" i="9"/>
  <c r="AX929" i="9"/>
  <c r="AY929" i="9"/>
  <c r="AZ929" i="9"/>
  <c r="BA929" i="9"/>
  <c r="BB929" i="9"/>
  <c r="BC929" i="9"/>
  <c r="AM930" i="9"/>
  <c r="AN930" i="9"/>
  <c r="AO930" i="9"/>
  <c r="AP930" i="9"/>
  <c r="AQ930" i="9"/>
  <c r="AR930" i="9"/>
  <c r="AS930" i="9"/>
  <c r="AT930" i="9"/>
  <c r="AW930" i="9"/>
  <c r="AX930" i="9"/>
  <c r="AY930" i="9"/>
  <c r="AZ930" i="9"/>
  <c r="BA930" i="9"/>
  <c r="BB930" i="9"/>
  <c r="BC930" i="9"/>
  <c r="AM931" i="9"/>
  <c r="AN931" i="9"/>
  <c r="AO931" i="9"/>
  <c r="AP931" i="9"/>
  <c r="AQ931" i="9"/>
  <c r="AR931" i="9"/>
  <c r="AS931" i="9"/>
  <c r="AT931" i="9"/>
  <c r="AW931" i="9"/>
  <c r="AX931" i="9"/>
  <c r="AY931" i="9"/>
  <c r="AZ931" i="9"/>
  <c r="BA931" i="9"/>
  <c r="BB931" i="9"/>
  <c r="BC931" i="9"/>
  <c r="AM932" i="9"/>
  <c r="AN932" i="9"/>
  <c r="AO932" i="9"/>
  <c r="AP932" i="9"/>
  <c r="AQ932" i="9"/>
  <c r="AR932" i="9"/>
  <c r="AS932" i="9"/>
  <c r="AT932" i="9"/>
  <c r="AW932" i="9"/>
  <c r="AX932" i="9"/>
  <c r="AY932" i="9"/>
  <c r="AZ932" i="9"/>
  <c r="BA932" i="9"/>
  <c r="BB932" i="9"/>
  <c r="BC932" i="9"/>
  <c r="AM933" i="9"/>
  <c r="AN933" i="9"/>
  <c r="AO933" i="9"/>
  <c r="AP933" i="9"/>
  <c r="AQ933" i="9"/>
  <c r="AR933" i="9"/>
  <c r="AS933" i="9"/>
  <c r="AT933" i="9"/>
  <c r="AW933" i="9"/>
  <c r="AX933" i="9"/>
  <c r="AY933" i="9"/>
  <c r="AZ933" i="9"/>
  <c r="BA933" i="9"/>
  <c r="BB933" i="9"/>
  <c r="BC933" i="9"/>
  <c r="AM934" i="9"/>
  <c r="AN934" i="9"/>
  <c r="AO934" i="9"/>
  <c r="AP934" i="9"/>
  <c r="AQ934" i="9"/>
  <c r="AR934" i="9"/>
  <c r="AS934" i="9"/>
  <c r="AT934" i="9"/>
  <c r="AW934" i="9"/>
  <c r="AX934" i="9"/>
  <c r="AY934" i="9"/>
  <c r="AZ934" i="9"/>
  <c r="BA934" i="9"/>
  <c r="BB934" i="9"/>
  <c r="BC934" i="9"/>
  <c r="AM935" i="9"/>
  <c r="AN935" i="9"/>
  <c r="AO935" i="9"/>
  <c r="AP935" i="9"/>
  <c r="AQ935" i="9"/>
  <c r="AR935" i="9"/>
  <c r="AS935" i="9"/>
  <c r="AT935" i="9"/>
  <c r="AW935" i="9"/>
  <c r="AX935" i="9"/>
  <c r="AY935" i="9"/>
  <c r="AZ935" i="9"/>
  <c r="BA935" i="9"/>
  <c r="BB935" i="9"/>
  <c r="BC935" i="9"/>
  <c r="AM936" i="9"/>
  <c r="AN936" i="9"/>
  <c r="AO936" i="9"/>
  <c r="AP936" i="9"/>
  <c r="AQ936" i="9"/>
  <c r="AR936" i="9"/>
  <c r="AS936" i="9"/>
  <c r="AT936" i="9"/>
  <c r="AW936" i="9"/>
  <c r="AX936" i="9"/>
  <c r="AY936" i="9"/>
  <c r="AZ936" i="9"/>
  <c r="BA936" i="9"/>
  <c r="BB936" i="9"/>
  <c r="BC936" i="9"/>
  <c r="AM937" i="9"/>
  <c r="AN937" i="9"/>
  <c r="AO937" i="9"/>
  <c r="AP937" i="9"/>
  <c r="AQ937" i="9"/>
  <c r="AR937" i="9"/>
  <c r="AS937" i="9"/>
  <c r="AT937" i="9"/>
  <c r="AW937" i="9"/>
  <c r="AX937" i="9"/>
  <c r="AY937" i="9"/>
  <c r="AZ937" i="9"/>
  <c r="BA937" i="9"/>
  <c r="BB937" i="9"/>
  <c r="BC937" i="9"/>
  <c r="AM938" i="9"/>
  <c r="AN938" i="9"/>
  <c r="AO938" i="9"/>
  <c r="AP938" i="9"/>
  <c r="AQ938" i="9"/>
  <c r="AR938" i="9"/>
  <c r="AS938" i="9"/>
  <c r="AT938" i="9"/>
  <c r="AW938" i="9"/>
  <c r="AX938" i="9"/>
  <c r="AY938" i="9"/>
  <c r="AZ938" i="9"/>
  <c r="BA938" i="9"/>
  <c r="BB938" i="9"/>
  <c r="BC938" i="9"/>
  <c r="AM939" i="9"/>
  <c r="AN939" i="9"/>
  <c r="AO939" i="9"/>
  <c r="AP939" i="9"/>
  <c r="AQ939" i="9"/>
  <c r="AR939" i="9"/>
  <c r="AS939" i="9"/>
  <c r="AT939" i="9"/>
  <c r="AW939" i="9"/>
  <c r="AX939" i="9"/>
  <c r="AY939" i="9"/>
  <c r="AZ939" i="9"/>
  <c r="BA939" i="9"/>
  <c r="BB939" i="9"/>
  <c r="BC939" i="9"/>
  <c r="AM940" i="9"/>
  <c r="AN940" i="9"/>
  <c r="AO940" i="9"/>
  <c r="AP940" i="9"/>
  <c r="AQ940" i="9"/>
  <c r="AR940" i="9"/>
  <c r="AS940" i="9"/>
  <c r="AT940" i="9"/>
  <c r="AW940" i="9"/>
  <c r="AX940" i="9"/>
  <c r="AY940" i="9"/>
  <c r="AZ940" i="9"/>
  <c r="BA940" i="9"/>
  <c r="BB940" i="9"/>
  <c r="BC940" i="9"/>
  <c r="AM941" i="9"/>
  <c r="AN941" i="9"/>
  <c r="AO941" i="9"/>
  <c r="AP941" i="9"/>
  <c r="AQ941" i="9"/>
  <c r="AR941" i="9"/>
  <c r="AS941" i="9"/>
  <c r="AT941" i="9"/>
  <c r="AW941" i="9"/>
  <c r="AX941" i="9"/>
  <c r="AY941" i="9"/>
  <c r="AZ941" i="9"/>
  <c r="BA941" i="9"/>
  <c r="BB941" i="9"/>
  <c r="BC941" i="9"/>
  <c r="AM942" i="9"/>
  <c r="AN942" i="9"/>
  <c r="AO942" i="9"/>
  <c r="AP942" i="9"/>
  <c r="AQ942" i="9"/>
  <c r="AR942" i="9"/>
  <c r="AS942" i="9"/>
  <c r="AT942" i="9"/>
  <c r="AW942" i="9"/>
  <c r="AX942" i="9"/>
  <c r="AY942" i="9"/>
  <c r="AZ942" i="9"/>
  <c r="BA942" i="9"/>
  <c r="BB942" i="9"/>
  <c r="BC942" i="9"/>
  <c r="AM943" i="9"/>
  <c r="AN943" i="9"/>
  <c r="AO943" i="9"/>
  <c r="AP943" i="9"/>
  <c r="AQ943" i="9"/>
  <c r="AR943" i="9"/>
  <c r="AS943" i="9"/>
  <c r="AT943" i="9"/>
  <c r="AW943" i="9"/>
  <c r="AX943" i="9"/>
  <c r="AY943" i="9"/>
  <c r="AZ943" i="9"/>
  <c r="BA943" i="9"/>
  <c r="BB943" i="9"/>
  <c r="BC943" i="9"/>
  <c r="AM944" i="9"/>
  <c r="AN944" i="9"/>
  <c r="AO944" i="9"/>
  <c r="AP944" i="9"/>
  <c r="AQ944" i="9"/>
  <c r="AR944" i="9"/>
  <c r="AS944" i="9"/>
  <c r="AT944" i="9"/>
  <c r="AW944" i="9"/>
  <c r="AX944" i="9"/>
  <c r="AY944" i="9"/>
  <c r="AZ944" i="9"/>
  <c r="BA944" i="9"/>
  <c r="BB944" i="9"/>
  <c r="BC944" i="9"/>
  <c r="AM945" i="9"/>
  <c r="AN945" i="9"/>
  <c r="AO945" i="9"/>
  <c r="AP945" i="9"/>
  <c r="AQ945" i="9"/>
  <c r="AR945" i="9"/>
  <c r="AS945" i="9"/>
  <c r="AT945" i="9"/>
  <c r="AW945" i="9"/>
  <c r="AX945" i="9"/>
  <c r="AY945" i="9"/>
  <c r="AZ945" i="9"/>
  <c r="BA945" i="9"/>
  <c r="BB945" i="9"/>
  <c r="BC945" i="9"/>
  <c r="AM946" i="9"/>
  <c r="AN946" i="9"/>
  <c r="AO946" i="9"/>
  <c r="AP946" i="9"/>
  <c r="AQ946" i="9"/>
  <c r="AR946" i="9"/>
  <c r="AS946" i="9"/>
  <c r="AT946" i="9"/>
  <c r="AW946" i="9"/>
  <c r="AX946" i="9"/>
  <c r="AY946" i="9"/>
  <c r="AZ946" i="9"/>
  <c r="BA946" i="9"/>
  <c r="BB946" i="9"/>
  <c r="BC946" i="9"/>
  <c r="AM947" i="9"/>
  <c r="AN947" i="9"/>
  <c r="AO947" i="9"/>
  <c r="AP947" i="9"/>
  <c r="AQ947" i="9"/>
  <c r="AR947" i="9"/>
  <c r="AS947" i="9"/>
  <c r="AT947" i="9"/>
  <c r="AW947" i="9"/>
  <c r="AX947" i="9"/>
  <c r="AY947" i="9"/>
  <c r="AZ947" i="9"/>
  <c r="BA947" i="9"/>
  <c r="BB947" i="9"/>
  <c r="BC947" i="9"/>
  <c r="AM948" i="9"/>
  <c r="AN948" i="9"/>
  <c r="AO948" i="9"/>
  <c r="AP948" i="9"/>
  <c r="AQ948" i="9"/>
  <c r="AR948" i="9"/>
  <c r="AS948" i="9"/>
  <c r="AT948" i="9"/>
  <c r="AW948" i="9"/>
  <c r="AX948" i="9"/>
  <c r="AY948" i="9"/>
  <c r="AZ948" i="9"/>
  <c r="BA948" i="9"/>
  <c r="BB948" i="9"/>
  <c r="BC948" i="9"/>
  <c r="AM949" i="9"/>
  <c r="AN949" i="9"/>
  <c r="AO949" i="9"/>
  <c r="AP949" i="9"/>
  <c r="AQ949" i="9"/>
  <c r="AR949" i="9"/>
  <c r="AS949" i="9"/>
  <c r="AT949" i="9"/>
  <c r="AW949" i="9"/>
  <c r="AX949" i="9"/>
  <c r="AY949" i="9"/>
  <c r="AZ949" i="9"/>
  <c r="BA949" i="9"/>
  <c r="BB949" i="9"/>
  <c r="BC949" i="9"/>
  <c r="AM950" i="9"/>
  <c r="AN950" i="9"/>
  <c r="AO950" i="9"/>
  <c r="AP950" i="9"/>
  <c r="AQ950" i="9"/>
  <c r="AR950" i="9"/>
  <c r="AS950" i="9"/>
  <c r="AT950" i="9"/>
  <c r="AW950" i="9"/>
  <c r="AX950" i="9"/>
  <c r="AY950" i="9"/>
  <c r="AZ950" i="9"/>
  <c r="BA950" i="9"/>
  <c r="BB950" i="9"/>
  <c r="BC950" i="9"/>
  <c r="AM951" i="9"/>
  <c r="AN951" i="9"/>
  <c r="AO951" i="9"/>
  <c r="AP951" i="9"/>
  <c r="AQ951" i="9"/>
  <c r="AR951" i="9"/>
  <c r="AS951" i="9"/>
  <c r="AT951" i="9"/>
  <c r="AW951" i="9"/>
  <c r="AX951" i="9"/>
  <c r="AY951" i="9"/>
  <c r="AZ951" i="9"/>
  <c r="BA951" i="9"/>
  <c r="BB951" i="9"/>
  <c r="BC951" i="9"/>
  <c r="AM952" i="9"/>
  <c r="AN952" i="9"/>
  <c r="AO952" i="9"/>
  <c r="AP952" i="9"/>
  <c r="AQ952" i="9"/>
  <c r="AR952" i="9"/>
  <c r="AS952" i="9"/>
  <c r="AT952" i="9"/>
  <c r="AW952" i="9"/>
  <c r="AX952" i="9"/>
  <c r="AY952" i="9"/>
  <c r="AZ952" i="9"/>
  <c r="BA952" i="9"/>
  <c r="BB952" i="9"/>
  <c r="BC952" i="9"/>
  <c r="AM953" i="9"/>
  <c r="AN953" i="9"/>
  <c r="AO953" i="9"/>
  <c r="AP953" i="9"/>
  <c r="AQ953" i="9"/>
  <c r="AR953" i="9"/>
  <c r="AS953" i="9"/>
  <c r="AT953" i="9"/>
  <c r="AW953" i="9"/>
  <c r="AX953" i="9"/>
  <c r="AY953" i="9"/>
  <c r="AZ953" i="9"/>
  <c r="BA953" i="9"/>
  <c r="BB953" i="9"/>
  <c r="BC953" i="9"/>
  <c r="AM954" i="9"/>
  <c r="AN954" i="9"/>
  <c r="AO954" i="9"/>
  <c r="AP954" i="9"/>
  <c r="AQ954" i="9"/>
  <c r="AR954" i="9"/>
  <c r="AS954" i="9"/>
  <c r="AT954" i="9"/>
  <c r="AW954" i="9"/>
  <c r="AX954" i="9"/>
  <c r="AY954" i="9"/>
  <c r="AZ954" i="9"/>
  <c r="BA954" i="9"/>
  <c r="BB954" i="9"/>
  <c r="BC954" i="9"/>
  <c r="AM955" i="9"/>
  <c r="AN955" i="9"/>
  <c r="AO955" i="9"/>
  <c r="AP955" i="9"/>
  <c r="AQ955" i="9"/>
  <c r="AR955" i="9"/>
  <c r="AS955" i="9"/>
  <c r="AT955" i="9"/>
  <c r="AW955" i="9"/>
  <c r="AX955" i="9"/>
  <c r="AY955" i="9"/>
  <c r="AZ955" i="9"/>
  <c r="BA955" i="9"/>
  <c r="BB955" i="9"/>
  <c r="BC955" i="9"/>
  <c r="AM956" i="9"/>
  <c r="AN956" i="9"/>
  <c r="AO956" i="9"/>
  <c r="AP956" i="9"/>
  <c r="AQ956" i="9"/>
  <c r="AR956" i="9"/>
  <c r="AS956" i="9"/>
  <c r="AT956" i="9"/>
  <c r="AW956" i="9"/>
  <c r="AX956" i="9"/>
  <c r="AY956" i="9"/>
  <c r="AZ956" i="9"/>
  <c r="BA956" i="9"/>
  <c r="BB956" i="9"/>
  <c r="BC956" i="9"/>
  <c r="AM957" i="9"/>
  <c r="AN957" i="9"/>
  <c r="AO957" i="9"/>
  <c r="AP957" i="9"/>
  <c r="AQ957" i="9"/>
  <c r="AR957" i="9"/>
  <c r="AS957" i="9"/>
  <c r="AT957" i="9"/>
  <c r="AW957" i="9"/>
  <c r="AX957" i="9"/>
  <c r="AY957" i="9"/>
  <c r="AZ957" i="9"/>
  <c r="BA957" i="9"/>
  <c r="BB957" i="9"/>
  <c r="BC957" i="9"/>
  <c r="AM958" i="9"/>
  <c r="AN958" i="9"/>
  <c r="AO958" i="9"/>
  <c r="AP958" i="9"/>
  <c r="AQ958" i="9"/>
  <c r="AR958" i="9"/>
  <c r="AS958" i="9"/>
  <c r="AT958" i="9"/>
  <c r="AW958" i="9"/>
  <c r="AX958" i="9"/>
  <c r="AY958" i="9"/>
  <c r="AZ958" i="9"/>
  <c r="BA958" i="9"/>
  <c r="BB958" i="9"/>
  <c r="BC958" i="9"/>
  <c r="AM959" i="9"/>
  <c r="AN959" i="9"/>
  <c r="AO959" i="9"/>
  <c r="AP959" i="9"/>
  <c r="AQ959" i="9"/>
  <c r="AR959" i="9"/>
  <c r="AS959" i="9"/>
  <c r="AT959" i="9"/>
  <c r="AW959" i="9"/>
  <c r="AX959" i="9"/>
  <c r="AY959" i="9"/>
  <c r="AZ959" i="9"/>
  <c r="BA959" i="9"/>
  <c r="BB959" i="9"/>
  <c r="BC959" i="9"/>
  <c r="AM960" i="9"/>
  <c r="AN960" i="9"/>
  <c r="AO960" i="9"/>
  <c r="AP960" i="9"/>
  <c r="AQ960" i="9"/>
  <c r="AR960" i="9"/>
  <c r="AS960" i="9"/>
  <c r="AT960" i="9"/>
  <c r="AW960" i="9"/>
  <c r="AX960" i="9"/>
  <c r="AY960" i="9"/>
  <c r="AZ960" i="9"/>
  <c r="BA960" i="9"/>
  <c r="BB960" i="9"/>
  <c r="BC960" i="9"/>
  <c r="AM961" i="9"/>
  <c r="AN961" i="9"/>
  <c r="AO961" i="9"/>
  <c r="AP961" i="9"/>
  <c r="AQ961" i="9"/>
  <c r="AR961" i="9"/>
  <c r="AS961" i="9"/>
  <c r="AT961" i="9"/>
  <c r="AW961" i="9"/>
  <c r="AX961" i="9"/>
  <c r="AY961" i="9"/>
  <c r="AZ961" i="9"/>
  <c r="BA961" i="9"/>
  <c r="BB961" i="9"/>
  <c r="BC961" i="9"/>
  <c r="AM962" i="9"/>
  <c r="AN962" i="9"/>
  <c r="AO962" i="9"/>
  <c r="AP962" i="9"/>
  <c r="AQ962" i="9"/>
  <c r="AR962" i="9"/>
  <c r="AS962" i="9"/>
  <c r="AT962" i="9"/>
  <c r="AW962" i="9"/>
  <c r="AX962" i="9"/>
  <c r="AY962" i="9"/>
  <c r="AZ962" i="9"/>
  <c r="BA962" i="9"/>
  <c r="BB962" i="9"/>
  <c r="BC962" i="9"/>
  <c r="AM963" i="9"/>
  <c r="AN963" i="9"/>
  <c r="AO963" i="9"/>
  <c r="AP963" i="9"/>
  <c r="AQ963" i="9"/>
  <c r="AR963" i="9"/>
  <c r="AS963" i="9"/>
  <c r="AT963" i="9"/>
  <c r="AW963" i="9"/>
  <c r="AX963" i="9"/>
  <c r="AY963" i="9"/>
  <c r="AZ963" i="9"/>
  <c r="BA963" i="9"/>
  <c r="BB963" i="9"/>
  <c r="BC963" i="9"/>
  <c r="AM964" i="9"/>
  <c r="AN964" i="9"/>
  <c r="AO964" i="9"/>
  <c r="AP964" i="9"/>
  <c r="AQ964" i="9"/>
  <c r="AR964" i="9"/>
  <c r="AS964" i="9"/>
  <c r="AT964" i="9"/>
  <c r="AW964" i="9"/>
  <c r="AX964" i="9"/>
  <c r="AY964" i="9"/>
  <c r="AZ964" i="9"/>
  <c r="BA964" i="9"/>
  <c r="BB964" i="9"/>
  <c r="BC964" i="9"/>
  <c r="AM965" i="9"/>
  <c r="AN965" i="9"/>
  <c r="AO965" i="9"/>
  <c r="AP965" i="9"/>
  <c r="AQ965" i="9"/>
  <c r="AR965" i="9"/>
  <c r="AS965" i="9"/>
  <c r="AT965" i="9"/>
  <c r="AW965" i="9"/>
  <c r="AX965" i="9"/>
  <c r="AY965" i="9"/>
  <c r="AZ965" i="9"/>
  <c r="BA965" i="9"/>
  <c r="BB965" i="9"/>
  <c r="BC965" i="9"/>
  <c r="AM966" i="9"/>
  <c r="AN966" i="9"/>
  <c r="AO966" i="9"/>
  <c r="AP966" i="9"/>
  <c r="AQ966" i="9"/>
  <c r="AR966" i="9"/>
  <c r="AS966" i="9"/>
  <c r="AT966" i="9"/>
  <c r="AW966" i="9"/>
  <c r="AX966" i="9"/>
  <c r="AY966" i="9"/>
  <c r="AZ966" i="9"/>
  <c r="BA966" i="9"/>
  <c r="BB966" i="9"/>
  <c r="BC966" i="9"/>
  <c r="AM967" i="9"/>
  <c r="AN967" i="9"/>
  <c r="AO967" i="9"/>
  <c r="AP967" i="9"/>
  <c r="AQ967" i="9"/>
  <c r="AR967" i="9"/>
  <c r="AS967" i="9"/>
  <c r="AT967" i="9"/>
  <c r="AW967" i="9"/>
  <c r="AX967" i="9"/>
  <c r="AY967" i="9"/>
  <c r="AZ967" i="9"/>
  <c r="BA967" i="9"/>
  <c r="BB967" i="9"/>
  <c r="BC967" i="9"/>
  <c r="AM968" i="9"/>
  <c r="AN968" i="9"/>
  <c r="AO968" i="9"/>
  <c r="AP968" i="9"/>
  <c r="AQ968" i="9"/>
  <c r="AR968" i="9"/>
  <c r="AS968" i="9"/>
  <c r="AT968" i="9"/>
  <c r="AW968" i="9"/>
  <c r="AX968" i="9"/>
  <c r="AY968" i="9"/>
  <c r="AZ968" i="9"/>
  <c r="BA968" i="9"/>
  <c r="BB968" i="9"/>
  <c r="BC968" i="9"/>
  <c r="AM969" i="9"/>
  <c r="AN969" i="9"/>
  <c r="AO969" i="9"/>
  <c r="AP969" i="9"/>
  <c r="AQ969" i="9"/>
  <c r="AR969" i="9"/>
  <c r="AS969" i="9"/>
  <c r="AT969" i="9"/>
  <c r="AW969" i="9"/>
  <c r="AX969" i="9"/>
  <c r="AY969" i="9"/>
  <c r="AZ969" i="9"/>
  <c r="BA969" i="9"/>
  <c r="BB969" i="9"/>
  <c r="BC969" i="9"/>
  <c r="AM970" i="9"/>
  <c r="AN970" i="9"/>
  <c r="AO970" i="9"/>
  <c r="AP970" i="9"/>
  <c r="AQ970" i="9"/>
  <c r="AR970" i="9"/>
  <c r="AS970" i="9"/>
  <c r="AT970" i="9"/>
  <c r="AW970" i="9"/>
  <c r="AX970" i="9"/>
  <c r="AY970" i="9"/>
  <c r="AZ970" i="9"/>
  <c r="BA970" i="9"/>
  <c r="BB970" i="9"/>
  <c r="BC970" i="9"/>
  <c r="AM971" i="9"/>
  <c r="AN971" i="9"/>
  <c r="AO971" i="9"/>
  <c r="AP971" i="9"/>
  <c r="AQ971" i="9"/>
  <c r="AR971" i="9"/>
  <c r="AS971" i="9"/>
  <c r="AT971" i="9"/>
  <c r="AW971" i="9"/>
  <c r="AX971" i="9"/>
  <c r="AY971" i="9"/>
  <c r="AZ971" i="9"/>
  <c r="BA971" i="9"/>
  <c r="BB971" i="9"/>
  <c r="BC971" i="9"/>
  <c r="AM972" i="9"/>
  <c r="AN972" i="9"/>
  <c r="AO972" i="9"/>
  <c r="AP972" i="9"/>
  <c r="AQ972" i="9"/>
  <c r="AR972" i="9"/>
  <c r="AS972" i="9"/>
  <c r="AT972" i="9"/>
  <c r="AW972" i="9"/>
  <c r="AX972" i="9"/>
  <c r="AY972" i="9"/>
  <c r="AZ972" i="9"/>
  <c r="BA972" i="9"/>
  <c r="BB972" i="9"/>
  <c r="BC972" i="9"/>
  <c r="AM973" i="9"/>
  <c r="AN973" i="9"/>
  <c r="AO973" i="9"/>
  <c r="AP973" i="9"/>
  <c r="AQ973" i="9"/>
  <c r="AR973" i="9"/>
  <c r="AS973" i="9"/>
  <c r="AT973" i="9"/>
  <c r="AW973" i="9"/>
  <c r="AX973" i="9"/>
  <c r="AY973" i="9"/>
  <c r="AZ973" i="9"/>
  <c r="BA973" i="9"/>
  <c r="BB973" i="9"/>
  <c r="BC973" i="9"/>
  <c r="AM974" i="9"/>
  <c r="AN974" i="9"/>
  <c r="AO974" i="9"/>
  <c r="AP974" i="9"/>
  <c r="AQ974" i="9"/>
  <c r="AR974" i="9"/>
  <c r="AS974" i="9"/>
  <c r="AT974" i="9"/>
  <c r="AW974" i="9"/>
  <c r="AX974" i="9"/>
  <c r="AY974" i="9"/>
  <c r="AZ974" i="9"/>
  <c r="BA974" i="9"/>
  <c r="BB974" i="9"/>
  <c r="BC974" i="9"/>
  <c r="AM975" i="9"/>
  <c r="AN975" i="9"/>
  <c r="AO975" i="9"/>
  <c r="AP975" i="9"/>
  <c r="AQ975" i="9"/>
  <c r="AR975" i="9"/>
  <c r="AS975" i="9"/>
  <c r="AT975" i="9"/>
  <c r="AW975" i="9"/>
  <c r="AX975" i="9"/>
  <c r="AY975" i="9"/>
  <c r="AZ975" i="9"/>
  <c r="BA975" i="9"/>
  <c r="BB975" i="9"/>
  <c r="BC975" i="9"/>
  <c r="AM976" i="9"/>
  <c r="AN976" i="9"/>
  <c r="AO976" i="9"/>
  <c r="AP976" i="9"/>
  <c r="AQ976" i="9"/>
  <c r="AR976" i="9"/>
  <c r="AS976" i="9"/>
  <c r="AT976" i="9"/>
  <c r="AW976" i="9"/>
  <c r="AX976" i="9"/>
  <c r="AY976" i="9"/>
  <c r="AZ976" i="9"/>
  <c r="BA976" i="9"/>
  <c r="BB976" i="9"/>
  <c r="BC976" i="9"/>
  <c r="AM977" i="9"/>
  <c r="AN977" i="9"/>
  <c r="AO977" i="9"/>
  <c r="AP977" i="9"/>
  <c r="AQ977" i="9"/>
  <c r="AR977" i="9"/>
  <c r="AS977" i="9"/>
  <c r="AT977" i="9"/>
  <c r="AW977" i="9"/>
  <c r="AX977" i="9"/>
  <c r="AY977" i="9"/>
  <c r="AZ977" i="9"/>
  <c r="BA977" i="9"/>
  <c r="BB977" i="9"/>
  <c r="BC977" i="9"/>
</calcChain>
</file>

<file path=xl/comments1.xml><?xml version="1.0" encoding="utf-8"?>
<comments xmlns="http://schemas.openxmlformats.org/spreadsheetml/2006/main">
  <authors>
    <author>Joel Myers</author>
    <author>Russell, Bud</author>
    <author>Steven M. Yates</author>
    <author>dks0228569</author>
    <author>yatess</author>
  </authors>
  <commentList>
    <comment ref="A7" authorId="0">
      <text>
        <r>
          <rPr>
            <sz val="8"/>
            <color indexed="81"/>
            <rFont val="Tahoma"/>
            <family val="2"/>
          </rPr>
          <t>Enter the brand name that you would like to represent this product.
Be specific if certain letters are capitalized or if words are hyphenated.</t>
        </r>
      </text>
    </comment>
    <comment ref="B7" authorId="1">
      <text>
        <r>
          <rPr>
            <sz val="9"/>
            <color indexed="81"/>
            <rFont val="Tahoma"/>
            <family val="2"/>
          </rPr>
          <t xml:space="preserve">Category 1: Overall Category (e.g.: Apparel, Footwear, Fitness, Golf, Accessories, Hunting, Tackle, Outdoor Equipment, Outerwear, Licensed)
</t>
        </r>
      </text>
    </comment>
    <comment ref="C7" authorId="1">
      <text>
        <r>
          <rPr>
            <sz val="9"/>
            <color indexed="81"/>
            <rFont val="Tahoma"/>
            <family val="2"/>
          </rPr>
          <t xml:space="preserve">Category 2: Detailed Product Category (e.g.: Volleyball, Lacrosse, Basketball, Tackle, Rod, Reels)
</t>
        </r>
      </text>
    </comment>
    <comment ref="D7" authorId="0">
      <text>
        <r>
          <rPr>
            <sz val="8"/>
            <color indexed="81"/>
            <rFont val="Tahoma"/>
            <family val="2"/>
          </rPr>
          <t xml:space="preserve">The title you would like to accompany this product.  Product title cannot exceed 30 characters.
</t>
        </r>
      </text>
    </comment>
    <comment ref="E7" authorId="0">
      <text>
        <r>
          <rPr>
            <sz val="8"/>
            <color indexed="81"/>
            <rFont val="Tahoma"/>
            <family val="2"/>
          </rPr>
          <t>This is the number or code you use to identify this product.
Vendor Part # cannot exceed 14 characters.</t>
        </r>
      </text>
    </comment>
    <comment ref="F7" authorId="2">
      <text>
        <r>
          <rPr>
            <sz val="8"/>
            <color indexed="81"/>
            <rFont val="Tahoma"/>
            <family val="2"/>
          </rPr>
          <t>This is the Manufacturer part number for the product.  This is often referred to as Vendor Part Number (VPN) if the manufacturer and vendor are the same.  If they are not the same, you can unhide column C and also enter a Vendor Part number.</t>
        </r>
      </text>
    </comment>
    <comment ref="G7" authorId="2">
      <text>
        <r>
          <rPr>
            <sz val="8"/>
            <color indexed="81"/>
            <rFont val="Tahoma"/>
            <family val="2"/>
          </rPr>
          <t>Must match your DSG Corporate Cost</t>
        </r>
      </text>
    </comment>
    <comment ref="H7" authorId="2">
      <text>
        <r>
          <rPr>
            <sz val="8"/>
            <color indexed="81"/>
            <rFont val="Tahoma"/>
            <family val="2"/>
          </rPr>
          <t>This the suggested selling price</t>
        </r>
      </text>
    </comment>
    <comment ref="I7" authorId="3">
      <text>
        <r>
          <rPr>
            <sz val="8"/>
            <color indexed="81"/>
            <rFont val="Tahoma"/>
            <family val="2"/>
          </rPr>
          <t>This field will autocalculate</t>
        </r>
        <r>
          <rPr>
            <sz val="8"/>
            <color indexed="81"/>
            <rFont val="Tahoma"/>
            <family val="2"/>
          </rPr>
          <t xml:space="preserve">
</t>
        </r>
      </text>
    </comment>
    <comment ref="J7" authorId="2">
      <text>
        <r>
          <rPr>
            <sz val="8"/>
            <color indexed="81"/>
            <rFont val="Tahoma"/>
            <family val="2"/>
          </rPr>
          <t xml:space="preserve">This is the Manufacturer's Suggested Retail Price.  It is used as a guideline to show the savings off MSRP. </t>
        </r>
      </text>
    </comment>
    <comment ref="K7" authorId="1">
      <text>
        <r>
          <rPr>
            <sz val="9"/>
            <color indexed="81"/>
            <rFont val="Tahoma"/>
            <family val="2"/>
          </rPr>
          <t>Customer Type should include gender and age category per the drop downs included in this column</t>
        </r>
      </text>
    </comment>
    <comment ref="L7" authorId="2">
      <text>
        <r>
          <rPr>
            <sz val="8"/>
            <color indexed="81"/>
            <rFont val="Tahoma"/>
            <family val="2"/>
          </rPr>
          <t>List the color of the product. For those products with multiple colors, a completed line for each color is required.</t>
        </r>
      </text>
    </comment>
    <comment ref="M7" authorId="2">
      <text>
        <r>
          <rPr>
            <sz val="8"/>
            <color indexed="81"/>
            <rFont val="Tahoma"/>
            <family val="2"/>
          </rPr>
          <t>List the size of the product. For those products with multiple sizes, completed line for each size is required.</t>
        </r>
      </text>
    </comment>
    <comment ref="N7" authorId="2">
      <text>
        <r>
          <rPr>
            <sz val="8"/>
            <color indexed="81"/>
            <rFont val="Tahoma"/>
            <family val="2"/>
          </rPr>
          <t>This is the Universal Product Code. All UPCs must be at least 12 digits.  The UPC should contain no dashes, spaces or other special characters.  Leading zeros should only be included for UPCs that are less than 12 characters.  UPC is used in all transactions as the key indicator of product ordered.  Please double check that the UPC is entered is accurate.</t>
        </r>
      </text>
    </comment>
    <comment ref="O7" authorId="1">
      <text>
        <r>
          <rPr>
            <sz val="9"/>
            <color indexed="81"/>
            <rFont val="Tahoma"/>
            <family val="2"/>
          </rPr>
          <t xml:space="preserve">Please indicate if you are willing to supply this item through Vendor Direct (e.g. drop ship directly to a customer)
</t>
        </r>
      </text>
    </comment>
    <comment ref="P7" authorId="1">
      <text>
        <r>
          <rPr>
            <sz val="9"/>
            <color indexed="81"/>
            <rFont val="Tahoma"/>
            <family val="2"/>
          </rPr>
          <t xml:space="preserve">If this item ships in multiple boxes, please add a line for each box showing the accurate shipping weight and dimensions
</t>
        </r>
      </text>
    </comment>
    <comment ref="Q7" authorId="4">
      <text>
        <r>
          <rPr>
            <sz val="8"/>
            <color indexed="81"/>
            <rFont val="Tahoma"/>
            <family val="2"/>
          </rPr>
          <t xml:space="preserve">Individual Product Packaging Depth/Length as Shipped in </t>
        </r>
        <r>
          <rPr>
            <b/>
            <sz val="8"/>
            <color indexed="81"/>
            <rFont val="Tahoma"/>
            <family val="2"/>
          </rPr>
          <t>inches</t>
        </r>
        <r>
          <rPr>
            <sz val="8"/>
            <color indexed="81"/>
            <rFont val="Tahoma"/>
            <family val="2"/>
          </rPr>
          <t xml:space="preserve"> (e.g. in shipping package)  This is typically the longest dimension.  Round to the nearest tenth of an inch.</t>
        </r>
      </text>
    </comment>
    <comment ref="R7" authorId="4">
      <text>
        <r>
          <rPr>
            <sz val="8"/>
            <color indexed="81"/>
            <rFont val="Tahoma"/>
            <family val="2"/>
          </rPr>
          <t xml:space="preserve">Individual Product Packaging Depth/Length as Shipped in </t>
        </r>
        <r>
          <rPr>
            <b/>
            <sz val="8"/>
            <color indexed="81"/>
            <rFont val="Tahoma"/>
            <family val="2"/>
          </rPr>
          <t>inches</t>
        </r>
        <r>
          <rPr>
            <sz val="8"/>
            <color indexed="81"/>
            <rFont val="Tahoma"/>
            <family val="2"/>
          </rPr>
          <t xml:space="preserve"> (e.g. in shipping package) Round to the nearest tenth of an inch.</t>
        </r>
      </text>
    </comment>
    <comment ref="S7" authorId="4">
      <text>
        <r>
          <rPr>
            <sz val="8"/>
            <color indexed="81"/>
            <rFont val="Tahoma"/>
            <family val="2"/>
          </rPr>
          <t>Individual Product Packaging Height as Shipped in inches (e.g. in shipping package). Round to the nearest tenth of an inch.</t>
        </r>
      </text>
    </comment>
    <comment ref="T7" authorId="4">
      <text>
        <r>
          <rPr>
            <sz val="8"/>
            <color indexed="81"/>
            <rFont val="Tahoma"/>
            <family val="2"/>
          </rPr>
          <t>Individual Product Packaging Weight in pounds.  Please round to the nearest tenth of a pound. (i.e. 2.3)</t>
        </r>
      </text>
    </comment>
    <comment ref="U7" authorId="1">
      <text>
        <r>
          <rPr>
            <sz val="9"/>
            <color indexed="81"/>
            <rFont val="Tahoma"/>
            <family val="2"/>
          </rPr>
          <t>Please enter the casepack units so that we may also use this product set up sheet to support Stores/Brick &amp; Mortar purchases</t>
        </r>
      </text>
    </comment>
    <comment ref="V7" authorId="1">
      <text>
        <r>
          <rPr>
            <sz val="9"/>
            <color indexed="81"/>
            <rFont val="Tahoma"/>
            <family val="2"/>
          </rPr>
          <t>Please enter the innerpack units so that we may also use this product set up sheet to support Stores/Brick &amp; Mortar purchases</t>
        </r>
      </text>
    </comment>
    <comment ref="X7" authorId="3">
      <text>
        <r>
          <rPr>
            <b/>
            <sz val="8"/>
            <color indexed="81"/>
            <rFont val="Tahoma"/>
            <family val="2"/>
          </rPr>
          <t xml:space="preserve">Fill out the LTL FORM tab:
</t>
        </r>
        <r>
          <rPr>
            <sz val="8"/>
            <color indexed="81"/>
            <rFont val="Tahoma"/>
            <family val="2"/>
          </rPr>
          <t xml:space="preserve">
If this item is </t>
        </r>
        <r>
          <rPr>
            <b/>
            <sz val="8"/>
            <color indexed="81"/>
            <rFont val="Tahoma"/>
            <family val="2"/>
          </rPr>
          <t>over 150 lbs</t>
        </r>
        <r>
          <rPr>
            <sz val="8"/>
            <color indexed="81"/>
            <rFont val="Tahoma"/>
            <family val="2"/>
          </rPr>
          <t xml:space="preserve">. it must be shipped using a LTL (less-than-truckload) carrier.  For LTL shipments </t>
        </r>
        <r>
          <rPr>
            <b/>
            <sz val="8"/>
            <color indexed="81"/>
            <rFont val="Tahoma"/>
            <family val="2"/>
          </rPr>
          <t>ONLY</t>
        </r>
        <r>
          <rPr>
            <sz val="8"/>
            <color indexed="81"/>
            <rFont val="Tahoma"/>
            <family val="2"/>
          </rPr>
          <t xml:space="preserve"> we ask that you provide a nationwide flat freight cost.  Freight for</t>
        </r>
        <r>
          <rPr>
            <b/>
            <sz val="8"/>
            <color indexed="81"/>
            <rFont val="Tahoma"/>
            <family val="2"/>
          </rPr>
          <t xml:space="preserve"> LTL only</t>
        </r>
        <r>
          <rPr>
            <sz val="8"/>
            <color indexed="81"/>
            <rFont val="Tahoma"/>
            <family val="2"/>
          </rPr>
          <t xml:space="preserve"> will be pre-pay and add to the invoice.
If the item is </t>
        </r>
        <r>
          <rPr>
            <b/>
            <sz val="8"/>
            <color indexed="81"/>
            <rFont val="Tahoma"/>
            <family val="2"/>
          </rPr>
          <t>bulky</t>
        </r>
        <r>
          <rPr>
            <sz val="8"/>
            <color indexed="81"/>
            <rFont val="Tahoma"/>
            <family val="2"/>
          </rPr>
          <t xml:space="preserve"> and requires LTL shipment, please also fill out the LTL form</t>
        </r>
      </text>
    </comment>
    <comment ref="Y7" authorId="1">
      <text>
        <r>
          <rPr>
            <sz val="9"/>
            <color indexed="81"/>
            <rFont val="Tahoma"/>
            <family val="2"/>
          </rPr>
          <t xml:space="preserve">Please enter </t>
        </r>
        <r>
          <rPr>
            <b/>
            <i/>
            <sz val="9"/>
            <color indexed="81"/>
            <rFont val="Tahoma"/>
            <family val="2"/>
          </rPr>
          <t>no</t>
        </r>
        <r>
          <rPr>
            <sz val="9"/>
            <color indexed="81"/>
            <rFont val="Tahoma"/>
            <family val="2"/>
          </rPr>
          <t xml:space="preserve"> if there are no restrictions for shipping this item, enter </t>
        </r>
        <r>
          <rPr>
            <b/>
            <i/>
            <sz val="9"/>
            <color indexed="81"/>
            <rFont val="Tahoma"/>
            <family val="2"/>
          </rPr>
          <t>yes</t>
        </r>
        <r>
          <rPr>
            <sz val="9"/>
            <color indexed="81"/>
            <rFont val="Tahoma"/>
            <family val="2"/>
          </rPr>
          <t xml:space="preserve"> if there are restrictions and we will contact you for further details</t>
        </r>
      </text>
    </comment>
    <comment ref="Z7" authorId="0">
      <text>
        <r>
          <rPr>
            <sz val="8"/>
            <color indexed="81"/>
            <rFont val="Tahoma"/>
            <family val="2"/>
          </rPr>
          <t>Include the country of origin or country of assembly.</t>
        </r>
      </text>
    </comment>
    <comment ref="AA7" authorId="0">
      <text>
        <r>
          <rPr>
            <sz val="8"/>
            <color indexed="81"/>
            <rFont val="Tahoma"/>
            <family val="2"/>
          </rPr>
          <t>The main function of the product description is to inform customers. Product descriptions should be thoughtfully constructed to give the consumer the information he or she needs to purchase the product. If possible, strive for a feature/benefit relationship to illustrate to the customer what features the product has and what those features will do for them. Always opt for clear over clever.
Short Descriptions should be no more than 450 characters long (including spaces), emphasizing the most prominent selling features for a given product. The features that set the product apart from others in the same line or category should be highlighted. Leave one space after any punctuation, including between sentences.
Think of the short description as the lead paragraph to any news story you might read in the newspaper, hear on the radio, or see on television. All of the most important details should be covered, answering as many of the journalistic “who, what, where, when, why, and how” questions as possible or relevant.</t>
        </r>
      </text>
    </comment>
    <comment ref="AB7" authorId="0">
      <text>
        <r>
          <rPr>
            <sz val="8"/>
            <color indexed="81"/>
            <rFont val="Tahoma"/>
            <family val="2"/>
          </rPr>
          <t>Long Descriptions should list all key product features in a bullet point list. Long descriptions can accommodate up to 4000 characters (including spaces).
Please include all information about the product that you can. Items should be listed in order of importance, from most important to least important. Place each of the bullet points in the order of importance you deem most effective.
Examples of product information include, but are not limited to: 
All product attributes (such as:  includes carrying case, balls sold separately, etc)
Gender/Age (such as: Adult, Youth, Men’s, Women’s, etc…)
Product construction
Technology:  Include all technology used to create the product 
Product specifications and measurements (Including but not limited to: weight, length, width, height, depth): If there are various parts associated with the product, those dimensions should be provided as well 
Fabric/material content (if applicable):  Listed by percentage (such as:  80% Cotton / 20% Polyester)
Size chart/fit guide (if applicable)
Capitalize the first word in each bullet point and properly format key technologies/proper names as you want them to display. All other words are lower case. There is no punctuation at the end of any bullet points.</t>
        </r>
      </text>
    </comment>
    <comment ref="AC7" authorId="0">
      <text>
        <r>
          <rPr>
            <sz val="8"/>
            <color indexed="81"/>
            <rFont val="Tahoma"/>
            <family val="2"/>
          </rPr>
          <t>Any warranty or guarantee that you supply the customer.</t>
        </r>
      </text>
    </comment>
    <comment ref="AD7" authorId="0">
      <text>
        <r>
          <rPr>
            <sz val="8"/>
            <color indexed="81"/>
            <rFont val="Tahoma"/>
            <family val="2"/>
          </rPr>
          <t>This should be a link to the exact file name of the full-sized image that is included. Please note: this is a case- and content-sensitive field. Any deviation from the actual file name will result in an inability to properly represent your products.
Requested Image Specifications:
Resolution: at least 2000 x 2000 pixels - preferably square (2500x2500, 3000x3000, ect...) with minimal white space surrounding the image.
Image Format:  RGB
File Format: .jpg or .tiff
If you have additional images, i.e. different angles or close-ups, please include them.</t>
        </r>
      </text>
    </comment>
  </commentList>
</comments>
</file>

<file path=xl/comments2.xml><?xml version="1.0" encoding="utf-8"?>
<comments xmlns="http://schemas.openxmlformats.org/spreadsheetml/2006/main">
  <authors>
    <author>Joel Myers</author>
    <author>Steven M. Yates</author>
    <author>yatess</author>
    <author>Salopek, Greg H</author>
  </authors>
  <commentList>
    <comment ref="A16" authorId="0">
      <text>
        <r>
          <rPr>
            <sz val="8"/>
            <color indexed="81"/>
            <rFont val="Tahoma"/>
            <family val="2"/>
          </rPr>
          <t>Enter the brand name that you would like to represent this product.
Be specific if certain letters are capitalized or if words are hyphenated.</t>
        </r>
      </text>
    </comment>
    <comment ref="B16" authorId="0">
      <text>
        <r>
          <rPr>
            <sz val="8"/>
            <color indexed="81"/>
            <rFont val="Tahoma"/>
            <family val="2"/>
          </rPr>
          <t xml:space="preserve">The title you would like to accompany this product.  Product title cannot exceed 30 characters.
</t>
        </r>
      </text>
    </comment>
    <comment ref="C16" authorId="0">
      <text>
        <r>
          <rPr>
            <sz val="8"/>
            <color indexed="81"/>
            <rFont val="Tahoma"/>
            <family val="2"/>
          </rPr>
          <t>This is the number or code you use to identify this product.
Vendor Part # cannot exceed 14 characters.</t>
        </r>
      </text>
    </comment>
    <comment ref="D16" authorId="1">
      <text>
        <r>
          <rPr>
            <sz val="8"/>
            <color indexed="81"/>
            <rFont val="Tahoma"/>
            <family val="2"/>
          </rPr>
          <t>This is the Universal Product Code. All UPCs must be at least 12 digits.  The UPC should contain no dashes, spaces or other special characters.  Leading zeros should only be included for UPCs that are less than 12 characters.  UPC is used in all transactions as the key indicator of product ordered.  Please double check that the UPC is entered is accurate.</t>
        </r>
      </text>
    </comment>
    <comment ref="E16" authorId="2">
      <text>
        <r>
          <rPr>
            <sz val="8"/>
            <color indexed="81"/>
            <rFont val="Tahoma"/>
            <family val="2"/>
          </rPr>
          <t xml:space="preserve">Individual Product Packaging Depth/Length as Shipped in </t>
        </r>
        <r>
          <rPr>
            <b/>
            <sz val="8"/>
            <color indexed="81"/>
            <rFont val="Tahoma"/>
            <family val="2"/>
          </rPr>
          <t>inches</t>
        </r>
        <r>
          <rPr>
            <sz val="8"/>
            <color indexed="81"/>
            <rFont val="Tahoma"/>
            <family val="2"/>
          </rPr>
          <t xml:space="preserve"> (e.g. in shipping package)  This is typically the longest dimension.  Round to the nearest tenth of an inch.</t>
        </r>
      </text>
    </comment>
    <comment ref="F16" authorId="2">
      <text>
        <r>
          <rPr>
            <sz val="8"/>
            <color indexed="81"/>
            <rFont val="Tahoma"/>
            <family val="2"/>
          </rPr>
          <t xml:space="preserve">Individual Product Packaging Depth/Length as Shipped in </t>
        </r>
        <r>
          <rPr>
            <b/>
            <sz val="8"/>
            <color indexed="81"/>
            <rFont val="Tahoma"/>
            <family val="2"/>
          </rPr>
          <t>inches</t>
        </r>
        <r>
          <rPr>
            <sz val="8"/>
            <color indexed="81"/>
            <rFont val="Tahoma"/>
            <family val="2"/>
          </rPr>
          <t xml:space="preserve"> (e.g. in shipping package) Round to the nearest tenth of an inch.</t>
        </r>
      </text>
    </comment>
    <comment ref="G16" authorId="2">
      <text>
        <r>
          <rPr>
            <sz val="8"/>
            <color indexed="81"/>
            <rFont val="Tahoma"/>
            <family val="2"/>
          </rPr>
          <t>Individual Product Packaging Height as Shipped in inches (e.g. in shipping package). Round to the nearest tenth of an inch.</t>
        </r>
      </text>
    </comment>
    <comment ref="H16" authorId="2">
      <text>
        <r>
          <rPr>
            <sz val="8"/>
            <color indexed="81"/>
            <rFont val="Tahoma"/>
            <family val="2"/>
          </rPr>
          <t>Individual Product Packaging Weight in pounds.  Please round to the nearest tenth of a pound. (i.e. 2.3)</t>
        </r>
      </text>
    </comment>
    <comment ref="I16" authorId="3">
      <text>
        <r>
          <rPr>
            <b/>
            <sz val="9"/>
            <color indexed="81"/>
            <rFont val="Tahoma"/>
            <family val="2"/>
          </rPr>
          <t xml:space="preserve">• Curbside Delivery </t>
        </r>
        <r>
          <rPr>
            <sz val="9"/>
            <color indexed="81"/>
            <rFont val="Tahoma"/>
            <family val="2"/>
          </rPr>
          <t xml:space="preserve">typically includes lift-gate service to unload the item from the truck and place it at the curb. Drivers do not carry the item inside the building/ assist in set-up. 
</t>
        </r>
      </text>
    </comment>
    <comment ref="A36" authorId="0">
      <text>
        <r>
          <rPr>
            <sz val="8"/>
            <color indexed="81"/>
            <rFont val="Tahoma"/>
            <family val="2"/>
          </rPr>
          <t>Enter the brand name that you would like to represent this product.
Be specific if certain letters are capitalized or if words are hyphenated.</t>
        </r>
      </text>
    </comment>
    <comment ref="B36" authorId="0">
      <text>
        <r>
          <rPr>
            <sz val="8"/>
            <color indexed="81"/>
            <rFont val="Tahoma"/>
            <family val="2"/>
          </rPr>
          <t xml:space="preserve">The title you would like to accompany this product.  Product title cannot exceed 30 characters.
</t>
        </r>
      </text>
    </comment>
    <comment ref="C36" authorId="0">
      <text>
        <r>
          <rPr>
            <sz val="8"/>
            <color indexed="81"/>
            <rFont val="Tahoma"/>
            <family val="2"/>
          </rPr>
          <t>This is the number or code you use to identify this product.
Vendor Part # cannot exceed 14 characters.</t>
        </r>
      </text>
    </comment>
    <comment ref="D36" authorId="1">
      <text>
        <r>
          <rPr>
            <sz val="8"/>
            <color indexed="81"/>
            <rFont val="Tahoma"/>
            <family val="2"/>
          </rPr>
          <t>This is the Universal Product Code. All UPCs must be at least 12 digits.  The UPC should contain no dashes, spaces or other special characters.  Leading zeros should only be included for UPCs that are less than 12 characters.  UPC is used in all transactions as the key indicator of product ordered.  Please double check that the UPC is entered is accurate.</t>
        </r>
      </text>
    </comment>
    <comment ref="E36" authorId="2">
      <text>
        <r>
          <rPr>
            <sz val="8"/>
            <color indexed="81"/>
            <rFont val="Tahoma"/>
            <family val="2"/>
          </rPr>
          <t xml:space="preserve">Individual Product Packaging Depth/Length as Shipped in </t>
        </r>
        <r>
          <rPr>
            <b/>
            <sz val="8"/>
            <color indexed="81"/>
            <rFont val="Tahoma"/>
            <family val="2"/>
          </rPr>
          <t>inches</t>
        </r>
        <r>
          <rPr>
            <sz val="8"/>
            <color indexed="81"/>
            <rFont val="Tahoma"/>
            <family val="2"/>
          </rPr>
          <t xml:space="preserve"> (e.g. in shipping package)  This is typically the longest dimension.  Round to the nearest tenth of an inch.</t>
        </r>
      </text>
    </comment>
    <comment ref="F36" authorId="2">
      <text>
        <r>
          <rPr>
            <sz val="8"/>
            <color indexed="81"/>
            <rFont val="Tahoma"/>
            <family val="2"/>
          </rPr>
          <t xml:space="preserve">Individual Product Packaging Depth/Length as Shipped in </t>
        </r>
        <r>
          <rPr>
            <b/>
            <sz val="8"/>
            <color indexed="81"/>
            <rFont val="Tahoma"/>
            <family val="2"/>
          </rPr>
          <t>inches</t>
        </r>
        <r>
          <rPr>
            <sz val="8"/>
            <color indexed="81"/>
            <rFont val="Tahoma"/>
            <family val="2"/>
          </rPr>
          <t xml:space="preserve"> (e.g. in shipping package) Round to the nearest tenth of an inch.</t>
        </r>
      </text>
    </comment>
    <comment ref="G36" authorId="2">
      <text>
        <r>
          <rPr>
            <sz val="8"/>
            <color indexed="81"/>
            <rFont val="Tahoma"/>
            <family val="2"/>
          </rPr>
          <t>Individual Product Packaging Height as Shipped in inches (e.g. in shipping package). Round to the nearest tenth of an inch.</t>
        </r>
      </text>
    </comment>
    <comment ref="H36" authorId="2">
      <text>
        <r>
          <rPr>
            <sz val="8"/>
            <color indexed="81"/>
            <rFont val="Tahoma"/>
            <family val="2"/>
          </rPr>
          <t>Individual Product Packaging Weight in pounds.  Please round to the nearest tenth of a pound. (i.e. 2.3)</t>
        </r>
      </text>
    </comment>
    <comment ref="I36" authorId="3">
      <text>
        <r>
          <rPr>
            <b/>
            <sz val="9"/>
            <color indexed="81"/>
            <rFont val="Tahoma"/>
            <family val="2"/>
          </rPr>
          <t xml:space="preserve">• Threshold Delivery </t>
        </r>
        <r>
          <rPr>
            <sz val="9"/>
            <color indexed="81"/>
            <rFont val="Tahoma"/>
            <family val="2"/>
          </rPr>
          <t xml:space="preserve">includes lift-gate service to unload the item from the truck and deliver it through the first threshold of the building. 
</t>
        </r>
      </text>
    </comment>
    <comment ref="J36" authorId="3">
      <text>
        <r>
          <rPr>
            <b/>
            <sz val="9"/>
            <color indexed="81"/>
            <rFont val="Tahoma"/>
            <family val="2"/>
          </rPr>
          <t xml:space="preserve">• Room-of-Choice Delivery </t>
        </r>
        <r>
          <rPr>
            <sz val="9"/>
            <color indexed="81"/>
            <rFont val="Tahoma"/>
            <family val="2"/>
          </rPr>
          <t xml:space="preserve">includes lift-gate service to unload the item from the truck. The item will then be delivered through the first threshold of the building and into the room of choice, including one flight of stairs, up or down. </t>
        </r>
      </text>
    </comment>
    <comment ref="A56" authorId="0">
      <text>
        <r>
          <rPr>
            <sz val="8"/>
            <color indexed="81"/>
            <rFont val="Tahoma"/>
            <family val="2"/>
          </rPr>
          <t>Enter the brand name that you would like to represent this product.
Be specific if certain letters are capitalized or if words are hyphenated.</t>
        </r>
      </text>
    </comment>
    <comment ref="B56" authorId="0">
      <text>
        <r>
          <rPr>
            <sz val="8"/>
            <color indexed="81"/>
            <rFont val="Tahoma"/>
            <family val="2"/>
          </rPr>
          <t xml:space="preserve">The title you would like to accompany this product.  Product title cannot exceed 30 characters.
</t>
        </r>
      </text>
    </comment>
    <comment ref="C56" authorId="0">
      <text>
        <r>
          <rPr>
            <sz val="8"/>
            <color indexed="81"/>
            <rFont val="Tahoma"/>
            <family val="2"/>
          </rPr>
          <t>This is the number or code you use to identify this product.
Vendor Part # cannot exceed 14 characters.</t>
        </r>
      </text>
    </comment>
    <comment ref="D56" authorId="1">
      <text>
        <r>
          <rPr>
            <sz val="8"/>
            <color indexed="81"/>
            <rFont val="Tahoma"/>
            <family val="2"/>
          </rPr>
          <t>This is the Universal Product Code. All UPCs must be at least 12 digits.  The UPC should contain no dashes, spaces or other special characters.  Leading zeros should only be included for UPCs that are less than 12 characters.  UPC is used in all transactions as the key indicator of product ordered.  Please double check that the UPC is entered is accurate.</t>
        </r>
      </text>
    </comment>
    <comment ref="E56" authorId="2">
      <text>
        <r>
          <rPr>
            <sz val="8"/>
            <color indexed="81"/>
            <rFont val="Tahoma"/>
            <family val="2"/>
          </rPr>
          <t xml:space="preserve">Individual Product Packaging Depth/Length as Shipped in </t>
        </r>
        <r>
          <rPr>
            <b/>
            <sz val="8"/>
            <color indexed="81"/>
            <rFont val="Tahoma"/>
            <family val="2"/>
          </rPr>
          <t>inches</t>
        </r>
        <r>
          <rPr>
            <sz val="8"/>
            <color indexed="81"/>
            <rFont val="Tahoma"/>
            <family val="2"/>
          </rPr>
          <t xml:space="preserve"> (e.g. in shipping package)  This is typically the longest dimension.  Round to the nearest tenth of an inch.</t>
        </r>
      </text>
    </comment>
    <comment ref="F56" authorId="2">
      <text>
        <r>
          <rPr>
            <sz val="8"/>
            <color indexed="81"/>
            <rFont val="Tahoma"/>
            <family val="2"/>
          </rPr>
          <t xml:space="preserve">Individual Product Packaging Depth/Length as Shipped in </t>
        </r>
        <r>
          <rPr>
            <b/>
            <sz val="8"/>
            <color indexed="81"/>
            <rFont val="Tahoma"/>
            <family val="2"/>
          </rPr>
          <t>inches</t>
        </r>
        <r>
          <rPr>
            <sz val="8"/>
            <color indexed="81"/>
            <rFont val="Tahoma"/>
            <family val="2"/>
          </rPr>
          <t xml:space="preserve"> (e.g. in shipping package) Round to the nearest tenth of an inch.</t>
        </r>
      </text>
    </comment>
    <comment ref="G56" authorId="2">
      <text>
        <r>
          <rPr>
            <sz val="8"/>
            <color indexed="81"/>
            <rFont val="Tahoma"/>
            <family val="2"/>
          </rPr>
          <t>Individual Product Packaging Height as Shipped in inches (e.g. in shipping package). Round to the nearest tenth of an inch.</t>
        </r>
      </text>
    </comment>
    <comment ref="H56" authorId="2">
      <text>
        <r>
          <rPr>
            <sz val="8"/>
            <color indexed="81"/>
            <rFont val="Tahoma"/>
            <family val="2"/>
          </rPr>
          <t>Individual Product Packaging Weight in pounds.  Please round to the nearest tenth of a pound. (i.e. 2.3)</t>
        </r>
      </text>
    </comment>
    <comment ref="I56" authorId="3">
      <text>
        <r>
          <rPr>
            <b/>
            <sz val="9"/>
            <color indexed="81"/>
            <rFont val="Tahoma"/>
            <family val="2"/>
          </rPr>
          <t xml:space="preserve">• Threshold Delivery </t>
        </r>
        <r>
          <rPr>
            <sz val="9"/>
            <color indexed="81"/>
            <rFont val="Tahoma"/>
            <family val="2"/>
          </rPr>
          <t xml:space="preserve">includes lift-gate service to unload the item from the truck and deliver it through the first threshold of the building. 
</t>
        </r>
      </text>
    </comment>
    <comment ref="J56" authorId="3">
      <text>
        <r>
          <rPr>
            <b/>
            <sz val="9"/>
            <color indexed="81"/>
            <rFont val="Tahoma"/>
            <family val="2"/>
          </rPr>
          <t xml:space="preserve">• Room-of-Choice Delivery </t>
        </r>
        <r>
          <rPr>
            <sz val="9"/>
            <color indexed="81"/>
            <rFont val="Tahoma"/>
            <family val="2"/>
          </rPr>
          <t xml:space="preserve">includes lift-gate service to unload the item from the truck. The item will then be delivered through the first threshold of the building and into the room of choice, including one flight of stairs, up or down. </t>
        </r>
      </text>
    </comment>
    <comment ref="K56" authorId="3">
      <text>
        <r>
          <rPr>
            <b/>
            <sz val="9"/>
            <color indexed="81"/>
            <rFont val="Tahoma"/>
            <family val="2"/>
          </rPr>
          <t>• Room-of-Choice Delivery &amp; Assembly</t>
        </r>
        <r>
          <rPr>
            <sz val="9"/>
            <color indexed="81"/>
            <rFont val="Tahoma"/>
            <family val="2"/>
          </rPr>
          <t xml:space="preserve"> or White Glove Service includes lift-gate service to unload the item and bring it through the first threshold of the building. The item will then be brought into a room of choice, including one flight of stairs, up or down. The item will be unpacked and fully assembled with all packaging removed. </t>
        </r>
      </text>
    </comment>
  </commentList>
</comments>
</file>

<file path=xl/sharedStrings.xml><?xml version="1.0" encoding="utf-8"?>
<sst xmlns="http://schemas.openxmlformats.org/spreadsheetml/2006/main" count="291" uniqueCount="192">
  <si>
    <t xml:space="preserve">Brand </t>
  </si>
  <si>
    <t>Product Title</t>
  </si>
  <si>
    <t>Vendor Part #</t>
  </si>
  <si>
    <t>Margin</t>
  </si>
  <si>
    <t>MSRP</t>
  </si>
  <si>
    <t>Color (if applicable)</t>
  </si>
  <si>
    <t>Size (if applicable)</t>
  </si>
  <si>
    <t>UPC</t>
  </si>
  <si>
    <t>Country Of Origin</t>
  </si>
  <si>
    <t>Warranty Information</t>
  </si>
  <si>
    <t>Unit Cost</t>
  </si>
  <si>
    <t xml:space="preserve">Unit Retail </t>
  </si>
  <si>
    <t>Link to Full Size Image</t>
  </si>
  <si>
    <t>Manufacturer Part #</t>
  </si>
  <si>
    <r>
      <t xml:space="preserve">Shipping Width </t>
    </r>
    <r>
      <rPr>
        <i/>
        <sz val="8"/>
        <rFont val="Arial"/>
        <family val="2"/>
      </rPr>
      <t>Inches</t>
    </r>
  </si>
  <si>
    <r>
      <t xml:space="preserve">Shipping Height </t>
    </r>
    <r>
      <rPr>
        <i/>
        <sz val="8"/>
        <rFont val="Arial"/>
        <family val="2"/>
      </rPr>
      <t>Inches</t>
    </r>
  </si>
  <si>
    <r>
      <t xml:space="preserve">Shipping Weight </t>
    </r>
    <r>
      <rPr>
        <i/>
        <sz val="8"/>
        <rFont val="Arial"/>
        <family val="2"/>
      </rPr>
      <t>Pounds</t>
    </r>
  </si>
  <si>
    <r>
      <t>Long Description</t>
    </r>
    <r>
      <rPr>
        <i/>
        <sz val="8"/>
        <rFont val="Arial"/>
        <family val="2"/>
      </rPr>
      <t xml:space="preserve"> (bullet points)</t>
    </r>
  </si>
  <si>
    <t>Once complete, please mail this form to your DSG Buyer.  The Buyer will indicate which styles are choosen for the eCom assortment, set the item up in our PRIMO item management system, and then forward to eCom Content for upload.</t>
  </si>
  <si>
    <t>Thank you for your partnership in the eCom product/Item set-up process!</t>
  </si>
  <si>
    <t>(Check vs. Vendor)</t>
  </si>
  <si>
    <t>Style #</t>
  </si>
  <si>
    <t>Style Desc</t>
  </si>
  <si>
    <t>Data Pull from Vendor Supplied UPC</t>
  </si>
  <si>
    <t>DEPARTMENT_NUMBER</t>
  </si>
  <si>
    <t>DEPARTMENT_DESCRIPTION</t>
  </si>
  <si>
    <t>SUB_DEPARTMENT_NUMBER</t>
  </si>
  <si>
    <t>SUB_DEPARTMENT_DESCRIPTION</t>
  </si>
  <si>
    <t>CLASS_NUMBER</t>
  </si>
  <si>
    <t>CLASS_DESCRIPTION</t>
  </si>
  <si>
    <t>STYLE_NUMBER</t>
  </si>
  <si>
    <t>DESCRIPTION</t>
  </si>
  <si>
    <t>CURRENT_UNIT_RETAIL</t>
  </si>
  <si>
    <t>CURRENT_UNIT_COST</t>
  </si>
  <si>
    <t>Dept Number</t>
  </si>
  <si>
    <t>Dept Desc</t>
  </si>
  <si>
    <t>Sub Dept Number</t>
  </si>
  <si>
    <t>Sub Dept Desc</t>
  </si>
  <si>
    <t>Class Number</t>
  </si>
  <si>
    <t>Class Desc</t>
  </si>
  <si>
    <t>Sub Class Number</t>
  </si>
  <si>
    <t>Sub Class Name</t>
  </si>
  <si>
    <t>Current Cost</t>
  </si>
  <si>
    <t>GSI_sku</t>
  </si>
  <si>
    <t>SUB_CLASS_DESCRIPTION</t>
  </si>
  <si>
    <t>SUB_CLASS_NUMBER</t>
  </si>
  <si>
    <t>DSG_SKU</t>
  </si>
  <si>
    <t>SKU_DESCRIPTION</t>
  </si>
  <si>
    <t>Product Desc</t>
  </si>
  <si>
    <t>GSI SKU</t>
  </si>
  <si>
    <t>DSG SKU</t>
  </si>
  <si>
    <t>DIM Calc</t>
  </si>
  <si>
    <r>
      <t>Shipping Length</t>
    </r>
    <r>
      <rPr>
        <b/>
        <i/>
        <sz val="8"/>
        <rFont val="Arial"/>
        <family val="2"/>
      </rPr>
      <t xml:space="preserve"> (Longest Dimension) </t>
    </r>
    <r>
      <rPr>
        <i/>
        <sz val="8"/>
        <rFont val="Arial"/>
        <family val="2"/>
      </rPr>
      <t>Inches</t>
    </r>
  </si>
  <si>
    <t>Vendor</t>
  </si>
  <si>
    <t>DSG Buyer</t>
  </si>
  <si>
    <t xml:space="preserve">Vendors please complete this form in totality for the yellow Vendor sections.  We cannot start item set-up if this product set-up sheet is not fully complete.  Any forms that are less than complete will be returned to you.  </t>
  </si>
  <si>
    <t>Auto Calc</t>
  </si>
  <si>
    <t>PID</t>
  </si>
  <si>
    <t>PID Status</t>
  </si>
  <si>
    <t>eComm Price</t>
  </si>
  <si>
    <t>Comments</t>
  </si>
  <si>
    <t>Yes</t>
  </si>
  <si>
    <t>No</t>
  </si>
  <si>
    <t>Category
Level 1</t>
  </si>
  <si>
    <t>Category
Level 2</t>
  </si>
  <si>
    <t>VDC
Yes/No</t>
  </si>
  <si>
    <t>Approved
Yes/No</t>
  </si>
  <si>
    <t>Multi-box Shipment Yes/No</t>
  </si>
  <si>
    <t>INDIVIDUAL PACKAGE</t>
  </si>
  <si>
    <t>GSI Price</t>
  </si>
  <si>
    <t>Pri Vendor</t>
  </si>
  <si>
    <t>Ecomm Chain Retail</t>
  </si>
  <si>
    <t>UPC DUP</t>
  </si>
  <si>
    <t>Priority</t>
  </si>
  <si>
    <t>Approval Date</t>
  </si>
  <si>
    <t>Link to Product Video (if available)</t>
  </si>
  <si>
    <r>
      <t xml:space="preserve">Short Description
</t>
    </r>
    <r>
      <rPr>
        <i/>
        <sz val="8"/>
        <color rgb="FFFF0000"/>
        <rFont val="Arial"/>
        <family val="2"/>
      </rPr>
      <t>(up to 400-450 characters)</t>
    </r>
  </si>
  <si>
    <t>Customer Type</t>
  </si>
  <si>
    <t>Adult</t>
  </si>
  <si>
    <t>Boy’s</t>
  </si>
  <si>
    <t>Girl’s</t>
  </si>
  <si>
    <t>Infant</t>
  </si>
  <si>
    <t>Junior</t>
  </si>
  <si>
    <t>Men’s</t>
  </si>
  <si>
    <t>Senior</t>
  </si>
  <si>
    <t>Toddler</t>
  </si>
  <si>
    <t>Unisex</t>
  </si>
  <si>
    <t>Women’s</t>
  </si>
  <si>
    <t>Youth</t>
  </si>
  <si>
    <t>Vendor #</t>
  </si>
  <si>
    <t>Style Number</t>
  </si>
  <si>
    <t>Style  Description</t>
  </si>
  <si>
    <t>Cost</t>
  </si>
  <si>
    <t>Retail</t>
  </si>
  <si>
    <t>Vend #</t>
  </si>
  <si>
    <t>Hierarchy</t>
  </si>
  <si>
    <t>Case Pack</t>
  </si>
  <si>
    <t>Inner Pack</t>
  </si>
  <si>
    <t>Alt Vendor</t>
  </si>
  <si>
    <t>Brand</t>
  </si>
  <si>
    <t>PD Style</t>
  </si>
  <si>
    <t>DSG Buyer Disclaimer: all skus will import to this tab, please be cautious to remove duplicates if necessary to list a single style</t>
  </si>
  <si>
    <t>Shipping Restrictions</t>
  </si>
  <si>
    <t>Please provide the contact person for the product setup information:</t>
  </si>
  <si>
    <t>Primary</t>
  </si>
  <si>
    <t>Secondary</t>
  </si>
  <si>
    <t>Please complete columns A-AE</t>
  </si>
  <si>
    <t>Columns O, P and Y require a YES or NO answer</t>
  </si>
  <si>
    <t>Common Mistakes</t>
  </si>
  <si>
    <t>**Please hover over each column header for further instructions**</t>
  </si>
  <si>
    <t>DSG Merchant</t>
  </si>
  <si>
    <t>Complete Approved column (AF, this will auto-generate an approval date in AI)</t>
  </si>
  <si>
    <t>Complete Priority and Comments, if applicable</t>
  </si>
  <si>
    <t xml:space="preserve">Confirm the costs/retail prices are accurate </t>
  </si>
  <si>
    <t>SKU information will populate the Product Creation tab when buyer approved is YES</t>
  </si>
  <si>
    <t>Please REMOVE DUPLICATES from the Product Creation tab</t>
  </si>
  <si>
    <t>**IMPORTANT**</t>
  </si>
  <si>
    <t>Styles will not be set up by the eCom team until the following are completed:</t>
  </si>
  <si>
    <t>Buyer Approved column is YES</t>
  </si>
  <si>
    <t>Style has UPC linked</t>
  </si>
  <si>
    <t>All setup information is complete in the Product Setup Sheet</t>
  </si>
  <si>
    <t>DSG Content</t>
  </si>
  <si>
    <t>Filter setup sheet by Buyer Approved (column AF) for accurate assortment</t>
  </si>
  <si>
    <t>Set up the DSG Style (column AW)</t>
  </si>
  <si>
    <t>Use VDC Y/N (column O) to add style to VDC catalog, if applicable</t>
  </si>
  <si>
    <t>Use Individual Package shipping diminsions</t>
  </si>
  <si>
    <t>Use DIM Calc/LTL Freight Cost (columns W and X), if applicable</t>
  </si>
  <si>
    <t>If Shipping Restrictions (column Y) is YES, work with VDC and vendor for details</t>
  </si>
  <si>
    <t>Current Chain
Retail</t>
  </si>
  <si>
    <t>Vendor Direct to Consumer
Product Setup Sheet</t>
  </si>
  <si>
    <t>Pri Vendor #</t>
  </si>
  <si>
    <t>Good Better Best</t>
  </si>
  <si>
    <t>Gender by Age</t>
  </si>
  <si>
    <t>Min Adv Price</t>
  </si>
  <si>
    <t>New Prod Intro Price</t>
  </si>
  <si>
    <t>Country of Origin</t>
  </si>
  <si>
    <t>PL Brand</t>
  </si>
  <si>
    <t>300</t>
  </si>
  <si>
    <t>BIKES</t>
  </si>
  <si>
    <t>1</t>
  </si>
  <si>
    <t>MENS BIKES</t>
  </si>
  <si>
    <t>3</t>
  </si>
  <si>
    <t>MENS COMFORT BIKES</t>
  </si>
  <si>
    <t>02-14-4020</t>
  </si>
  <si>
    <t>WILDWOOD CLASS 14 OLD</t>
  </si>
  <si>
    <t>RED 15</t>
  </si>
  <si>
    <t>N</t>
  </si>
  <si>
    <t>ACCELL NORTH AMERICA INC</t>
  </si>
  <si>
    <t>3982</t>
  </si>
  <si>
    <t>Color</t>
  </si>
  <si>
    <t>Size</t>
  </si>
  <si>
    <t>Dim</t>
  </si>
  <si>
    <t>Signage Style Name</t>
  </si>
  <si>
    <t>Signage Copy 1</t>
  </si>
  <si>
    <t>Signage Copy 2</t>
  </si>
  <si>
    <t>Signage Copy 3</t>
  </si>
  <si>
    <t>Signage Copy 4</t>
  </si>
  <si>
    <t>Signage Copy 5</t>
  </si>
  <si>
    <t>Sheet may be returned if any criteria are not met</t>
  </si>
  <si>
    <t>• Form is limited to 970 SKUs maximum</t>
  </si>
  <si>
    <t>• UPC needs to be numbers only (no spaces, dashes, etc.)</t>
  </si>
  <si>
    <t>• Weights/Dimensions need to be numbers only (no quotes, LBS, etc.)</t>
  </si>
  <si>
    <t>• Image needs to be linked, or FTP information provided</t>
  </si>
  <si>
    <t>• Product Title can only include numbers, letters or a dash "-"</t>
  </si>
  <si>
    <t>   No other symbols are valid. Title is strictly limited to 30 character spaces</t>
  </si>
  <si>
    <t>• Do Not add colors or sizes to product title. DO use the specific columns</t>
  </si>
  <si>
    <t>If an item is over 150 lbs. it must be shipped using a LTL (less-than-truckload) carrier.  For LTL shipments ONLY we ask that you provide a nationwide flat freight cost.  Freight for LTL only will be pre-pay and add to the invoice.</t>
  </si>
  <si>
    <t xml:space="preserve">Please add your LTL items to all applicable buckets below with the desired service levels. </t>
  </si>
  <si>
    <t>Who are your current Freight Carriers?</t>
  </si>
  <si>
    <t>Scroll down for more options</t>
  </si>
  <si>
    <r>
      <rPr>
        <sz val="11"/>
        <rFont val="Arial"/>
        <family val="2"/>
      </rPr>
      <t xml:space="preserve">Items only requiring </t>
    </r>
    <r>
      <rPr>
        <b/>
        <sz val="11"/>
        <rFont val="Arial"/>
        <family val="2"/>
      </rPr>
      <t>Curbside Delivery</t>
    </r>
  </si>
  <si>
    <t>Hover below for description</t>
  </si>
  <si>
    <t>Curbside Override (Dollar Amount)</t>
  </si>
  <si>
    <r>
      <rPr>
        <sz val="11"/>
        <rFont val="Arial"/>
        <family val="2"/>
      </rPr>
      <t xml:space="preserve">Items with </t>
    </r>
    <r>
      <rPr>
        <b/>
        <sz val="11"/>
        <rFont val="Arial"/>
        <family val="2"/>
      </rPr>
      <t>Threshold / Room of Choice</t>
    </r>
    <r>
      <rPr>
        <sz val="11"/>
        <rFont val="Arial"/>
        <family val="2"/>
      </rPr>
      <t xml:space="preserve"> service levels available</t>
    </r>
  </si>
  <si>
    <t>Threshold Override
(Dollar Amount)</t>
  </si>
  <si>
    <t>Room of Choice Override
(Dollar Amount)</t>
  </si>
  <si>
    <r>
      <rPr>
        <sz val="11"/>
        <rFont val="Arial"/>
        <family val="2"/>
      </rPr>
      <t xml:space="preserve">Items with </t>
    </r>
    <r>
      <rPr>
        <b/>
        <sz val="11"/>
        <rFont val="Arial"/>
        <family val="2"/>
      </rPr>
      <t>Threshold / Room of Choice / Assembly</t>
    </r>
    <r>
      <rPr>
        <sz val="11"/>
        <rFont val="Arial"/>
        <family val="2"/>
      </rPr>
      <t xml:space="preserve"> service levels available</t>
    </r>
  </si>
  <si>
    <t>Room of Choice and Assembly Override 
(Dollar Amount)</t>
  </si>
  <si>
    <t>LTL Freight Form v1.1</t>
  </si>
  <si>
    <t>If you have any questions, please reach out to your VDC contact</t>
  </si>
  <si>
    <r>
      <t>Would you be interested in utilizing our relationship with</t>
    </r>
    <r>
      <rPr>
        <b/>
        <sz val="10"/>
        <rFont val="Arial"/>
        <family val="2"/>
      </rPr>
      <t xml:space="preserve"> AIT Freight</t>
    </r>
    <r>
      <rPr>
        <sz val="10"/>
        <rFont val="Arial"/>
        <family val="2"/>
      </rPr>
      <t>?</t>
    </r>
  </si>
  <si>
    <t>Add rows under each bucket if needed.  Columns in yellow to be copied from the Item Setup Form</t>
  </si>
  <si>
    <t>If you are currently utilizing AIT, we will not need override amounts as we will reference our AIT Freight Tables based on weight</t>
  </si>
  <si>
    <r>
      <t xml:space="preserve">LTL Freight
</t>
    </r>
    <r>
      <rPr>
        <sz val="8"/>
        <rFont val="Arial"/>
        <family val="2"/>
      </rPr>
      <t>see "LTL Form" Tab</t>
    </r>
  </si>
  <si>
    <t>Dick's Sporting Goods Product Setup Sheet  v15.1</t>
  </si>
  <si>
    <t>Compatible with: MDM SC Paste From Clipboard Template Rel 15.1 April 2015</t>
  </si>
  <si>
    <t>Item_Type</t>
  </si>
  <si>
    <t>Item Type</t>
  </si>
  <si>
    <r>
      <rPr>
        <sz val="36"/>
        <color rgb="FFFF0000"/>
        <rFont val="Arial"/>
        <family val="2"/>
      </rPr>
      <t>*STOP*</t>
    </r>
    <r>
      <rPr>
        <sz val="11"/>
        <color rgb="FFFF0000"/>
        <rFont val="Arial"/>
        <family val="2"/>
      </rPr>
      <t xml:space="preserve">
</t>
    </r>
    <r>
      <rPr>
        <sz val="16"/>
        <color rgb="FFFF0000"/>
        <rFont val="Arial"/>
        <family val="2"/>
      </rPr>
      <t xml:space="preserve"> </t>
    </r>
    <r>
      <rPr>
        <sz val="16"/>
        <color theme="0"/>
        <rFont val="Arial"/>
        <family val="2"/>
      </rPr>
      <t xml:space="preserve">Do not enter any more items. Use multiple sheets separated by product category. This sheet can only handle 970 lines. </t>
    </r>
  </si>
  <si>
    <t>Please create multiple sheets separated by product category.</t>
  </si>
  <si>
    <t>• Create multiple sheets separated by product category</t>
  </si>
  <si>
    <r>
      <rPr>
        <sz val="36"/>
        <color rgb="FFFF0000"/>
        <rFont val="Arial"/>
        <family val="2"/>
      </rPr>
      <t>*STOP*</t>
    </r>
    <r>
      <rPr>
        <sz val="11"/>
        <color rgb="FFFF0000"/>
        <rFont val="Arial"/>
        <family val="2"/>
      </rPr>
      <t xml:space="preserve">
</t>
    </r>
    <r>
      <rPr>
        <sz val="16"/>
        <color rgb="FFFF0000"/>
        <rFont val="Arial"/>
        <family val="2"/>
      </rPr>
      <t xml:space="preserve"> </t>
    </r>
    <r>
      <rPr>
        <sz val="16"/>
        <color theme="0"/>
        <rFont val="Arial"/>
        <family val="2"/>
      </rPr>
      <t xml:space="preserve">Do not enter any more items. Use multiple sheets separated by product category. 
This sheet can only handle 970 lines. </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</si>
</sst>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8" formatCode="&quot;$&quot;#,##0.00_);[Red]\(&quot;$&quot;#,##0.0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quot;$&quot;#,##0.00"/>
  </numFmts>
  <fonts count="6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sz val="8"/>
      <name val="Arial"/>
      <family val="2"/>
    </font>
    <font>
      <sz val="8"/>
      <color indexed="81"/>
      <name val="Tahoma"/>
      <family val="2"/>
    </font>
    <font>
      <sz val="10"/>
      <name val="Arial"/>
      <family val="2"/>
    </font>
    <font>
      <sz val="8"/>
      <color indexed="8"/>
      <name val="Arial"/>
      <family val="2"/>
    </font>
    <font>
      <b/>
      <sz val="8"/>
      <color indexed="81"/>
      <name val="Tahoma"/>
      <family val="2"/>
    </font>
    <font>
      <b/>
      <i/>
      <sz val="8"/>
      <name val="Arial"/>
      <family val="2"/>
    </font>
    <font>
      <i/>
      <sz val="8"/>
      <name val="Arial"/>
      <family val="2"/>
    </font>
    <font>
      <b/>
      <sz val="12"/>
      <color indexed="57"/>
      <name val="Arial"/>
      <family val="2"/>
    </font>
    <font>
      <sz val="12"/>
      <color indexed="57"/>
      <name val="Arial"/>
      <family val="2"/>
    </font>
    <font>
      <sz val="8"/>
      <name val="Arial"/>
      <family val="2"/>
    </font>
    <font>
      <sz val="10"/>
      <name val="Arial"/>
      <family val="2"/>
    </font>
    <font>
      <u/>
      <sz val="11"/>
      <color theme="10"/>
      <name val="Calibri"/>
      <family val="2"/>
    </font>
    <font>
      <u/>
      <sz val="12.65"/>
      <color theme="10"/>
      <name val="Calibri"/>
      <family val="2"/>
    </font>
    <font>
      <u/>
      <sz val="10"/>
      <color theme="10"/>
      <name val="Arial"/>
      <family val="2"/>
    </font>
    <font>
      <sz val="8"/>
      <color theme="1"/>
      <name val="Arial"/>
      <family val="2"/>
    </font>
    <font>
      <sz val="8"/>
      <color indexed="57"/>
      <name val="Arial"/>
      <family val="2"/>
    </font>
    <font>
      <sz val="8"/>
      <name val="Arial"/>
      <family val="2"/>
    </font>
    <font>
      <sz val="10"/>
      <color rgb="FF000000"/>
      <name val="Arial"/>
      <family val="2"/>
    </font>
    <font>
      <sz val="8"/>
      <name val="Verdana"/>
      <family val="2"/>
    </font>
    <font>
      <sz val="9"/>
      <name val="Geneva"/>
      <family val="2"/>
    </font>
    <font>
      <sz val="11"/>
      <color indexed="8"/>
      <name val="Calibri"/>
      <family val="2"/>
    </font>
    <font>
      <b/>
      <sz val="10"/>
      <name val="Arial"/>
      <family val="2"/>
    </font>
    <font>
      <b/>
      <sz val="8"/>
      <name val="Arial"/>
      <family val="2"/>
    </font>
    <font>
      <b/>
      <sz val="14"/>
      <name val="Arial"/>
      <family val="2"/>
    </font>
    <font>
      <b/>
      <sz val="24"/>
      <color rgb="FFFF0000"/>
      <name val="Arial"/>
      <family val="2"/>
    </font>
    <font>
      <sz val="11"/>
      <name val="Calibri"/>
      <family val="2"/>
    </font>
    <font>
      <i/>
      <sz val="8"/>
      <color rgb="FFFF0000"/>
      <name val="Arial"/>
      <family val="2"/>
    </font>
    <font>
      <sz val="9"/>
      <color indexed="81"/>
      <name val="Tahoma"/>
      <family val="2"/>
    </font>
    <font>
      <b/>
      <sz val="14"/>
      <name val="Calibri"/>
      <family val="2"/>
    </font>
    <font>
      <b/>
      <i/>
      <sz val="9"/>
      <color indexed="81"/>
      <name val="Tahoma"/>
      <family val="2"/>
    </font>
    <font>
      <b/>
      <sz val="8"/>
      <color theme="0"/>
      <name val="Arial"/>
      <family val="2"/>
    </font>
    <font>
      <b/>
      <sz val="11"/>
      <color theme="1"/>
      <name val="Calibri"/>
      <family val="2"/>
      <scheme val="minor"/>
    </font>
    <font>
      <i/>
      <sz val="11"/>
      <color theme="1"/>
      <name val="Calibri"/>
      <family val="2"/>
      <scheme val="minor"/>
    </font>
    <font>
      <b/>
      <sz val="11"/>
      <name val="Calibri"/>
      <family val="2"/>
      <scheme val="minor"/>
    </font>
    <font>
      <b/>
      <sz val="11"/>
      <color rgb="FFFF0000"/>
      <name val="Calibri"/>
      <family val="2"/>
      <scheme val="minor"/>
    </font>
    <font>
      <sz val="8"/>
      <name val="Arial"/>
      <family val="2"/>
    </font>
    <font>
      <b/>
      <sz val="11"/>
      <name val="Calibri"/>
      <family val="2"/>
    </font>
    <font>
      <b/>
      <sz val="11"/>
      <color rgb="FFFF0000"/>
      <name val="Calibri"/>
      <family val="2"/>
    </font>
    <font>
      <sz val="11"/>
      <color rgb="FF000000"/>
      <name val="Calibri"/>
      <family val="2"/>
    </font>
    <font>
      <b/>
      <sz val="10"/>
      <color rgb="FFFF0000"/>
      <name val="Arial"/>
      <family val="2"/>
    </font>
    <font>
      <b/>
      <sz val="11"/>
      <name val="Arial"/>
      <family val="2"/>
    </font>
    <font>
      <sz val="11"/>
      <name val="Arial"/>
      <family val="2"/>
    </font>
    <font>
      <b/>
      <sz val="10"/>
      <color rgb="FF000000"/>
      <name val="Arial"/>
      <family val="2"/>
    </font>
    <font>
      <b/>
      <sz val="9"/>
      <color indexed="81"/>
      <name val="Tahoma"/>
      <family val="2"/>
    </font>
    <font>
      <sz val="11"/>
      <name val="Calibri"/>
      <family val="2"/>
      <scheme val="minor"/>
    </font>
    <font>
      <sz val="11"/>
      <color rgb="FFFF0000"/>
      <name val="Arial"/>
      <family val="2"/>
    </font>
    <font>
      <sz val="36"/>
      <color rgb="FFFF0000"/>
      <name val="Arial"/>
      <family val="2"/>
    </font>
    <font>
      <sz val="16"/>
      <color rgb="FFFF0000"/>
      <name val="Arial"/>
      <family val="2"/>
    </font>
    <font>
      <sz val="16"/>
      <color theme="0"/>
      <name val="Arial"/>
      <family val="2"/>
    </font>
    <font>
      <sz val="10"/>
      <color indexed="8"/>
      <name val="Arial"/>
      <family val="2"/>
    </font>
  </fonts>
  <fills count="17">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rgb="FFFFFF00"/>
        <bgColor indexed="64"/>
      </patternFill>
    </fill>
    <fill>
      <patternFill patternType="solid">
        <fgColor rgb="FFF55F0B"/>
        <bgColor indexed="64"/>
      </patternFill>
    </fill>
    <fill>
      <patternFill patternType="solid">
        <fgColor rgb="FF00B050"/>
        <bgColor indexed="64"/>
      </patternFill>
    </fill>
    <fill>
      <patternFill patternType="solid">
        <fgColor theme="6" tint="0.59999389629810485"/>
        <bgColor indexed="64"/>
      </patternFill>
    </fill>
    <fill>
      <patternFill patternType="solid">
        <fgColor theme="0"/>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92D050"/>
        <bgColor indexed="64"/>
      </patternFill>
    </fill>
    <fill>
      <patternFill patternType="solid">
        <fgColor theme="4"/>
        <bgColor theme="4"/>
      </patternFill>
    </fill>
    <fill>
      <patternFill patternType="solid">
        <fgColor rgb="FFFF33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1"/>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style="thin">
        <color theme="0"/>
      </left>
      <right style="thin">
        <color theme="0"/>
      </right>
      <top/>
      <bottom style="thick">
        <color theme="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148">
    <xf numFmtId="0" fontId="0" fillId="0" borderId="0"/>
    <xf numFmtId="0" fontId="16" fillId="0" borderId="0"/>
    <xf numFmtId="9" fontId="13" fillId="0" borderId="0" applyFont="0" applyFill="0" applyBorder="0" applyAlignment="0" applyProtection="0"/>
    <xf numFmtId="0" fontId="12" fillId="0" borderId="0"/>
    <xf numFmtId="0" fontId="26" fillId="0" borderId="0"/>
    <xf numFmtId="165" fontId="12" fillId="0" borderId="0" applyFont="0" applyFill="0" applyBorder="0" applyAlignment="0" applyProtection="0"/>
    <xf numFmtId="164" fontId="12" fillId="0" borderId="0" applyFont="0" applyFill="0" applyBorder="0" applyAlignment="0" applyProtection="0"/>
    <xf numFmtId="0" fontId="27" fillId="0" borderId="0" applyNumberFormat="0" applyFill="0" applyBorder="0" applyAlignment="0" applyProtection="0">
      <alignment vertical="top"/>
      <protection locked="0"/>
    </xf>
    <xf numFmtId="0" fontId="28"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0" fontId="12" fillId="0" borderId="0"/>
    <xf numFmtId="0" fontId="14" fillId="0" borderId="0"/>
    <xf numFmtId="0" fontId="25" fillId="0" borderId="0"/>
    <xf numFmtId="9" fontId="26" fillId="0" borderId="0" applyFont="0" applyFill="0" applyBorder="0" applyAlignment="0" applyProtection="0"/>
    <xf numFmtId="0" fontId="13" fillId="0" borderId="0"/>
    <xf numFmtId="0" fontId="11" fillId="0" borderId="0"/>
    <xf numFmtId="0" fontId="13" fillId="0" borderId="0"/>
    <xf numFmtId="165" fontId="11" fillId="0" borderId="0" applyFont="0" applyFill="0" applyBorder="0" applyAlignment="0" applyProtection="0"/>
    <xf numFmtId="164" fontId="11" fillId="0" borderId="0" applyFont="0" applyFill="0" applyBorder="0" applyAlignment="0" applyProtection="0"/>
    <xf numFmtId="0" fontId="11" fillId="0" borderId="0"/>
    <xf numFmtId="0" fontId="14" fillId="0" borderId="0"/>
    <xf numFmtId="0" fontId="14" fillId="0" borderId="0"/>
    <xf numFmtId="9"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0" fontId="13" fillId="0" borderId="0"/>
    <xf numFmtId="0" fontId="35" fillId="0" borderId="0"/>
    <xf numFmtId="9" fontId="14" fillId="0" borderId="0" applyFont="0" applyFill="0" applyBorder="0" applyAlignment="0" applyProtection="0"/>
    <xf numFmtId="0" fontId="10" fillId="0" borderId="0"/>
    <xf numFmtId="165"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165" fontId="10" fillId="0" borderId="0" applyFont="0" applyFill="0" applyBorder="0" applyAlignment="0" applyProtection="0"/>
    <xf numFmtId="164" fontId="10" fillId="0" borderId="0" applyFont="0" applyFill="0" applyBorder="0" applyAlignment="0" applyProtection="0"/>
    <xf numFmtId="0" fontId="10" fillId="0" borderId="0"/>
    <xf numFmtId="0" fontId="9" fillId="0" borderId="0"/>
    <xf numFmtId="165"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5" fontId="9" fillId="0" borderId="0" applyFont="0" applyFill="0" applyBorder="0" applyAlignment="0" applyProtection="0"/>
    <xf numFmtId="164" fontId="9" fillId="0" borderId="0" applyFont="0" applyFill="0" applyBorder="0" applyAlignment="0" applyProtection="0"/>
    <xf numFmtId="0" fontId="9" fillId="0" borderId="0"/>
    <xf numFmtId="9" fontId="13" fillId="0" borderId="0" applyFont="0" applyFill="0" applyBorder="0" applyAlignment="0" applyProtection="0"/>
    <xf numFmtId="0" fontId="14" fillId="0" borderId="0"/>
    <xf numFmtId="0" fontId="14" fillId="0" borderId="0"/>
    <xf numFmtId="9" fontId="13" fillId="0" borderId="0" applyFont="0" applyFill="0" applyBorder="0" applyAlignment="0" applyProtection="0"/>
    <xf numFmtId="165" fontId="36" fillId="0" borderId="0" applyFont="0" applyFill="0" applyBorder="0" applyAlignment="0" applyProtection="0"/>
    <xf numFmtId="165"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0" fontId="9" fillId="0" borderId="0"/>
    <xf numFmtId="0" fontId="9" fillId="0" borderId="0"/>
    <xf numFmtId="0" fontId="14" fillId="0" borderId="0"/>
    <xf numFmtId="0" fontId="9" fillId="0" borderId="0"/>
    <xf numFmtId="0" fontId="9" fillId="0" borderId="0"/>
    <xf numFmtId="9" fontId="13" fillId="0" borderId="0" applyFont="0" applyFill="0" applyBorder="0" applyAlignment="0" applyProtection="0"/>
    <xf numFmtId="9" fontId="13" fillId="0" borderId="0" applyFont="0" applyFill="0" applyBorder="0" applyAlignment="0" applyProtection="0"/>
    <xf numFmtId="0" fontId="9" fillId="0" borderId="0"/>
    <xf numFmtId="165"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5"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5"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5" fontId="9" fillId="0" borderId="0" applyFont="0" applyFill="0" applyBorder="0" applyAlignment="0" applyProtection="0"/>
    <xf numFmtId="164" fontId="9" fillId="0" borderId="0" applyFont="0" applyFill="0" applyBorder="0" applyAlignment="0" applyProtection="0"/>
    <xf numFmtId="0" fontId="9" fillId="0" borderId="0"/>
    <xf numFmtId="0" fontId="14" fillId="0" borderId="0"/>
    <xf numFmtId="0" fontId="8" fillId="0" borderId="0"/>
    <xf numFmtId="0" fontId="13" fillId="0" borderId="0"/>
    <xf numFmtId="0" fontId="7" fillId="0" borderId="0"/>
    <xf numFmtId="0" fontId="13" fillId="0" borderId="0"/>
    <xf numFmtId="0" fontId="7" fillId="0" borderId="0"/>
    <xf numFmtId="0" fontId="7" fillId="0" borderId="0"/>
    <xf numFmtId="0" fontId="6" fillId="0" borderId="0"/>
    <xf numFmtId="165"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4" fontId="6"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4" fontId="6" fillId="0" borderId="0" applyFont="0" applyFill="0" applyBorder="0" applyAlignment="0" applyProtection="0"/>
    <xf numFmtId="0" fontId="6"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164" fontId="5" fillId="0" borderId="0" applyFont="0" applyFill="0" applyBorder="0" applyAlignment="0" applyProtection="0"/>
    <xf numFmtId="0" fontId="5" fillId="0" borderId="0"/>
    <xf numFmtId="0" fontId="4" fillId="0" borderId="0"/>
    <xf numFmtId="165"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5" fontId="4" fillId="0" borderId="0" applyFont="0" applyFill="0" applyBorder="0" applyAlignment="0" applyProtection="0"/>
    <xf numFmtId="164" fontId="4" fillId="0" borderId="0" applyFont="0" applyFill="0" applyBorder="0" applyAlignment="0" applyProtection="0"/>
    <xf numFmtId="0" fontId="4" fillId="0" borderId="0"/>
    <xf numFmtId="0" fontId="3" fillId="0" borderId="0"/>
    <xf numFmtId="0" fontId="2" fillId="0" borderId="0"/>
    <xf numFmtId="0" fontId="1" fillId="0" borderId="0"/>
    <xf numFmtId="0" fontId="1" fillId="0" borderId="0"/>
    <xf numFmtId="0" fontId="65" fillId="0" borderId="0"/>
  </cellStyleXfs>
  <cellXfs count="154">
    <xf numFmtId="0" fontId="0" fillId="0" borderId="0" xfId="0"/>
    <xf numFmtId="0" fontId="15" fillId="2" borderId="1" xfId="1" applyFont="1" applyFill="1" applyBorder="1" applyAlignment="1">
      <alignment horizontal="center" vertical="center" wrapText="1"/>
    </xf>
    <xf numFmtId="0" fontId="19" fillId="2" borderId="1" xfId="0" applyFont="1" applyFill="1" applyBorder="1"/>
    <xf numFmtId="0" fontId="18" fillId="0" borderId="0" xfId="0" applyFont="1"/>
    <xf numFmtId="0" fontId="23" fillId="0" borderId="0" xfId="0" applyFont="1"/>
    <xf numFmtId="0" fontId="24" fillId="0" borderId="0" xfId="0" applyFont="1"/>
    <xf numFmtId="0" fontId="15" fillId="2" borderId="4" xfId="1" applyFont="1" applyFill="1" applyBorder="1" applyAlignment="1">
      <alignment horizontal="center" vertical="center" wrapText="1"/>
    </xf>
    <xf numFmtId="0" fontId="31" fillId="0" borderId="0" xfId="0" applyFont="1"/>
    <xf numFmtId="0" fontId="14" fillId="0" borderId="0" xfId="0" applyFont="1"/>
    <xf numFmtId="1" fontId="14" fillId="0" borderId="0" xfId="0" applyNumberFormat="1" applyFont="1"/>
    <xf numFmtId="0" fontId="15" fillId="2" borderId="3" xfId="1" applyFont="1" applyFill="1" applyBorder="1" applyAlignment="1">
      <alignment horizontal="center" vertical="center" wrapText="1"/>
    </xf>
    <xf numFmtId="0" fontId="15" fillId="2" borderId="2" xfId="1" applyFont="1" applyFill="1" applyBorder="1" applyAlignment="1">
      <alignment horizontal="center" vertical="center" wrapText="1"/>
    </xf>
    <xf numFmtId="0" fontId="32" fillId="0" borderId="0" xfId="0" applyFont="1"/>
    <xf numFmtId="0" fontId="31" fillId="0" borderId="0" xfId="0" applyFont="1" applyAlignment="1">
      <alignment horizontal="center"/>
    </xf>
    <xf numFmtId="0" fontId="14" fillId="0" borderId="0" xfId="0" applyFont="1" applyBorder="1" applyAlignment="1">
      <alignment horizontal="center"/>
    </xf>
    <xf numFmtId="1" fontId="24" fillId="0" borderId="0" xfId="0" applyNumberFormat="1" applyFont="1"/>
    <xf numFmtId="1" fontId="18" fillId="0" borderId="0" xfId="0" applyNumberFormat="1" applyFont="1"/>
    <xf numFmtId="1" fontId="0" fillId="0" borderId="0" xfId="0" applyNumberFormat="1"/>
    <xf numFmtId="0" fontId="15" fillId="3" borderId="5" xfId="1" applyFont="1" applyFill="1" applyBorder="1" applyAlignment="1">
      <alignment horizontal="center" vertical="center" wrapText="1"/>
    </xf>
    <xf numFmtId="0" fontId="15" fillId="3" borderId="4" xfId="1" applyFont="1" applyFill="1" applyBorder="1" applyAlignment="1">
      <alignment horizontal="center" vertical="center" wrapText="1"/>
    </xf>
    <xf numFmtId="9" fontId="15" fillId="3" borderId="4" xfId="2" applyFont="1" applyFill="1" applyBorder="1" applyAlignment="1">
      <alignment horizontal="center" vertical="center" wrapText="1"/>
    </xf>
    <xf numFmtId="1" fontId="15" fillId="3" borderId="4" xfId="1" applyNumberFormat="1" applyFont="1" applyFill="1" applyBorder="1" applyAlignment="1">
      <alignment horizontal="center" vertical="center" wrapText="1"/>
    </xf>
    <xf numFmtId="0" fontId="13" fillId="0" borderId="0" xfId="0" applyFont="1"/>
    <xf numFmtId="0" fontId="15" fillId="4" borderId="1" xfId="0" applyFont="1" applyFill="1" applyBorder="1" applyAlignment="1">
      <alignment horizontal="center" wrapText="1"/>
    </xf>
    <xf numFmtId="0" fontId="15" fillId="5" borderId="7" xfId="0" applyFont="1" applyFill="1" applyBorder="1" applyAlignment="1">
      <alignment horizontal="center" wrapText="1"/>
    </xf>
    <xf numFmtId="0" fontId="0" fillId="0" borderId="0" xfId="0" applyAlignment="1">
      <alignment wrapText="1"/>
    </xf>
    <xf numFmtId="0" fontId="14" fillId="0" borderId="0" xfId="0" applyFont="1" applyAlignment="1">
      <alignment wrapText="1"/>
    </xf>
    <xf numFmtId="0" fontId="15" fillId="6" borderId="1" xfId="0" applyFont="1" applyFill="1" applyBorder="1" applyAlignment="1">
      <alignment horizontal="center" wrapText="1"/>
    </xf>
    <xf numFmtId="0" fontId="14" fillId="8" borderId="1" xfId="22" applyFont="1" applyFill="1" applyBorder="1" applyAlignment="1">
      <alignment horizontal="left" wrapText="1"/>
    </xf>
    <xf numFmtId="8" fontId="14" fillId="8" borderId="1" xfId="12" applyNumberFormat="1" applyFont="1" applyFill="1" applyBorder="1" applyAlignment="1">
      <alignment horizontal="center" wrapText="1"/>
    </xf>
    <xf numFmtId="0" fontId="34" fillId="8" borderId="1" xfId="12" applyFont="1" applyFill="1" applyBorder="1" applyAlignment="1">
      <alignment wrapText="1"/>
    </xf>
    <xf numFmtId="49" fontId="14" fillId="8" borderId="1" xfId="27" applyNumberFormat="1" applyFont="1" applyFill="1" applyBorder="1" applyAlignment="1" applyProtection="1">
      <alignment horizontal="center"/>
      <protection locked="0"/>
    </xf>
    <xf numFmtId="0" fontId="30" fillId="8" borderId="1" xfId="20" applyFont="1" applyFill="1" applyBorder="1" applyAlignment="1">
      <alignment horizontal="center" wrapText="1"/>
    </xf>
    <xf numFmtId="0" fontId="14" fillId="8" borderId="1" xfId="12" applyFont="1" applyFill="1" applyBorder="1" applyAlignment="1">
      <alignment horizontal="center" wrapText="1"/>
    </xf>
    <xf numFmtId="0" fontId="14" fillId="8" borderId="1" xfId="12" applyFont="1" applyFill="1" applyBorder="1" applyAlignment="1">
      <alignment horizontal="left" wrapText="1"/>
    </xf>
    <xf numFmtId="0" fontId="14" fillId="0" borderId="1" xfId="76" applyFont="1" applyFill="1" applyBorder="1" applyAlignment="1">
      <alignment horizontal="left" wrapText="1"/>
    </xf>
    <xf numFmtId="8" fontId="14" fillId="0" borderId="1" xfId="76" applyNumberFormat="1" applyFont="1" applyFill="1" applyBorder="1" applyAlignment="1">
      <alignment horizontal="left" wrapText="1"/>
    </xf>
    <xf numFmtId="0" fontId="37" fillId="0" borderId="0" xfId="0" applyFont="1"/>
    <xf numFmtId="0" fontId="15" fillId="0" borderId="3" xfId="0" applyFont="1" applyBorder="1"/>
    <xf numFmtId="0" fontId="37" fillId="9" borderId="0" xfId="0" applyFont="1" applyFill="1"/>
    <xf numFmtId="0" fontId="13" fillId="0" borderId="0" xfId="0" applyFont="1" applyFill="1"/>
    <xf numFmtId="0" fontId="0" fillId="9" borderId="0" xfId="0" applyFill="1"/>
    <xf numFmtId="0" fontId="24" fillId="0" borderId="0" xfId="0" applyFont="1" applyFill="1"/>
    <xf numFmtId="0" fontId="18" fillId="0" borderId="0" xfId="0" applyFont="1" applyFill="1"/>
    <xf numFmtId="0" fontId="0" fillId="0" borderId="0" xfId="0" applyFill="1"/>
    <xf numFmtId="0" fontId="37" fillId="0" borderId="0" xfId="0" applyFont="1" applyFill="1"/>
    <xf numFmtId="0" fontId="14" fillId="0" borderId="8" xfId="1" applyFont="1" applyFill="1" applyBorder="1" applyAlignment="1">
      <alignment horizontal="left" wrapText="1"/>
    </xf>
    <xf numFmtId="0" fontId="14" fillId="0" borderId="9" xfId="1" applyFont="1" applyFill="1" applyBorder="1" applyAlignment="1">
      <alignment horizontal="left" wrapText="1"/>
    </xf>
    <xf numFmtId="8" fontId="14" fillId="0" borderId="9" xfId="1" applyNumberFormat="1" applyFont="1" applyFill="1" applyBorder="1" applyAlignment="1">
      <alignment horizontal="left" wrapText="1"/>
    </xf>
    <xf numFmtId="1" fontId="14" fillId="0" borderId="9" xfId="1" applyNumberFormat="1" applyFont="1" applyFill="1" applyBorder="1" applyAlignment="1">
      <alignment horizontal="left" wrapText="1"/>
    </xf>
    <xf numFmtId="0" fontId="14" fillId="2" borderId="9" xfId="1" applyFont="1" applyFill="1" applyBorder="1" applyAlignment="1">
      <alignment horizontal="left" wrapText="1"/>
    </xf>
    <xf numFmtId="0" fontId="38" fillId="2" borderId="4" xfId="1" applyFont="1" applyFill="1" applyBorder="1" applyAlignment="1">
      <alignment horizontal="center" vertical="center" wrapText="1"/>
    </xf>
    <xf numFmtId="14" fontId="24" fillId="0" borderId="0" xfId="0" applyNumberFormat="1" applyFont="1" applyAlignment="1">
      <alignment horizontal="center"/>
    </xf>
    <xf numFmtId="14" fontId="18" fillId="0" borderId="0" xfId="0" applyNumberFormat="1" applyFont="1" applyAlignment="1">
      <alignment horizontal="center"/>
    </xf>
    <xf numFmtId="14" fontId="0" fillId="0" borderId="0" xfId="0" applyNumberFormat="1" applyAlignment="1">
      <alignment horizontal="center"/>
    </xf>
    <xf numFmtId="0" fontId="15" fillId="3" borderId="11" xfId="1" applyFont="1" applyFill="1" applyBorder="1" applyAlignment="1">
      <alignment horizontal="center" vertical="center" wrapText="1"/>
    </xf>
    <xf numFmtId="0" fontId="14" fillId="0" borderId="10" xfId="1" applyFont="1" applyFill="1" applyBorder="1" applyAlignment="1">
      <alignment horizontal="left" wrapText="1"/>
    </xf>
    <xf numFmtId="49" fontId="14" fillId="0" borderId="1" xfId="27" applyNumberFormat="1" applyFont="1" applyFill="1" applyBorder="1" applyAlignment="1" applyProtection="1">
      <alignment horizontal="center"/>
    </xf>
    <xf numFmtId="1" fontId="15" fillId="4" borderId="1" xfId="0" applyNumberFormat="1" applyFont="1" applyFill="1" applyBorder="1" applyAlignment="1">
      <alignment horizontal="center" wrapText="1"/>
    </xf>
    <xf numFmtId="1" fontId="14" fillId="8" borderId="1" xfId="27" applyNumberFormat="1" applyFont="1" applyFill="1" applyBorder="1" applyAlignment="1" applyProtection="1">
      <alignment horizontal="center"/>
      <protection locked="0"/>
    </xf>
    <xf numFmtId="1" fontId="14" fillId="0" borderId="1" xfId="14" applyNumberFormat="1" applyFont="1" applyFill="1" applyBorder="1" applyAlignment="1">
      <alignment horizontal="left" wrapText="1"/>
    </xf>
    <xf numFmtId="0" fontId="15" fillId="0" borderId="3" xfId="0" applyNumberFormat="1" applyFont="1" applyFill="1" applyBorder="1"/>
    <xf numFmtId="0" fontId="15" fillId="0" borderId="10" xfId="0" applyNumberFormat="1" applyFont="1" applyFill="1" applyBorder="1"/>
    <xf numFmtId="9" fontId="15" fillId="2" borderId="4" xfId="14" applyFont="1" applyFill="1" applyBorder="1" applyAlignment="1">
      <alignment horizontal="center" vertical="center" wrapText="1"/>
    </xf>
    <xf numFmtId="49" fontId="18" fillId="0" borderId="0" xfId="0" applyNumberFormat="1" applyFont="1"/>
    <xf numFmtId="49" fontId="15" fillId="4" borderId="1" xfId="0" applyNumberFormat="1" applyFont="1" applyFill="1" applyBorder="1" applyAlignment="1">
      <alignment horizontal="center" wrapText="1"/>
    </xf>
    <xf numFmtId="49" fontId="15" fillId="3" borderId="4" xfId="1" applyNumberFormat="1" applyFont="1" applyFill="1" applyBorder="1" applyAlignment="1">
      <alignment horizontal="center" vertical="center" wrapText="1"/>
    </xf>
    <xf numFmtId="49" fontId="14" fillId="0" borderId="1" xfId="76" applyNumberFormat="1" applyFont="1" applyFill="1" applyBorder="1" applyAlignment="1">
      <alignment horizontal="left" wrapText="1"/>
    </xf>
    <xf numFmtId="49" fontId="14" fillId="0" borderId="9" xfId="1" applyNumberFormat="1" applyFont="1" applyFill="1" applyBorder="1" applyAlignment="1">
      <alignment horizontal="left" wrapText="1"/>
    </xf>
    <xf numFmtId="49" fontId="0" fillId="0" borderId="0" xfId="0" applyNumberFormat="1"/>
    <xf numFmtId="0" fontId="0" fillId="0" borderId="1" xfId="0" applyBorder="1"/>
    <xf numFmtId="1" fontId="14" fillId="8" borderId="1" xfId="80" applyNumberFormat="1" applyFont="1" applyFill="1" applyBorder="1" applyAlignment="1">
      <alignment vertical="top" wrapText="1"/>
    </xf>
    <xf numFmtId="1" fontId="31" fillId="0" borderId="0" xfId="0" applyNumberFormat="1" applyFont="1"/>
    <xf numFmtId="0" fontId="15" fillId="0" borderId="3" xfId="0" applyNumberFormat="1" applyFont="1" applyBorder="1"/>
    <xf numFmtId="0" fontId="15" fillId="0" borderId="10" xfId="0" applyNumberFormat="1" applyFont="1" applyBorder="1"/>
    <xf numFmtId="49" fontId="40" fillId="0" borderId="0" xfId="0" applyNumberFormat="1" applyFont="1" applyBorder="1" applyAlignment="1"/>
    <xf numFmtId="22" fontId="19" fillId="2" borderId="1" xfId="0" applyNumberFormat="1" applyFont="1" applyFill="1" applyBorder="1"/>
    <xf numFmtId="0" fontId="41" fillId="0" borderId="0" xfId="0" applyFont="1" applyAlignment="1">
      <alignment vertical="center"/>
    </xf>
    <xf numFmtId="9" fontId="14" fillId="7" borderId="3" xfId="2" applyNumberFormat="1" applyFont="1" applyFill="1" applyBorder="1" applyAlignment="1">
      <alignment horizontal="left" wrapText="1"/>
    </xf>
    <xf numFmtId="9" fontId="14" fillId="7" borderId="3" xfId="2" applyNumberFormat="1" applyFont="1" applyFill="1" applyBorder="1" applyAlignment="1">
      <alignment horizontal="center" wrapText="1"/>
    </xf>
    <xf numFmtId="9" fontId="14" fillId="7" borderId="9" xfId="2" applyNumberFormat="1" applyFont="1" applyFill="1" applyBorder="1" applyAlignment="1">
      <alignment horizontal="center" wrapText="1"/>
    </xf>
    <xf numFmtId="166" fontId="0" fillId="0" borderId="1" xfId="0" applyNumberFormat="1" applyBorder="1"/>
    <xf numFmtId="0" fontId="46" fillId="12" borderId="14" xfId="0" applyFont="1" applyFill="1" applyBorder="1"/>
    <xf numFmtId="0" fontId="47" fillId="0" borderId="1" xfId="143" applyFont="1" applyBorder="1"/>
    <xf numFmtId="0" fontId="47" fillId="4" borderId="15" xfId="143" applyFont="1" applyFill="1" applyBorder="1" applyAlignment="1">
      <alignment horizontal="center"/>
    </xf>
    <xf numFmtId="0" fontId="3" fillId="0" borderId="16" xfId="143" applyBorder="1"/>
    <xf numFmtId="0" fontId="48" fillId="0" borderId="16" xfId="143" applyFont="1" applyBorder="1"/>
    <xf numFmtId="0" fontId="49" fillId="0" borderId="16" xfId="143" applyFont="1" applyBorder="1" applyAlignment="1">
      <alignment horizontal="center"/>
    </xf>
    <xf numFmtId="0" fontId="3" fillId="0" borderId="0" xfId="143"/>
    <xf numFmtId="0" fontId="49" fillId="13" borderId="15" xfId="143" applyFont="1" applyFill="1" applyBorder="1" applyAlignment="1">
      <alignment horizontal="center"/>
    </xf>
    <xf numFmtId="0" fontId="0" fillId="0" borderId="0" xfId="0" applyBorder="1"/>
    <xf numFmtId="0" fontId="3" fillId="0" borderId="16" xfId="143" applyBorder="1" applyAlignment="1">
      <alignment wrapText="1"/>
    </xf>
    <xf numFmtId="0" fontId="50" fillId="0" borderId="16" xfId="143" applyFont="1" applyBorder="1" applyAlignment="1">
      <alignment horizontal="center"/>
    </xf>
    <xf numFmtId="0" fontId="3" fillId="0" borderId="17" xfId="143" applyBorder="1"/>
    <xf numFmtId="0" fontId="47" fillId="9" borderId="15" xfId="143" applyFont="1" applyFill="1" applyBorder="1" applyAlignment="1">
      <alignment horizontal="center"/>
    </xf>
    <xf numFmtId="0" fontId="48" fillId="0" borderId="16" xfId="143" applyFont="1" applyFill="1" applyBorder="1"/>
    <xf numFmtId="0" fontId="3" fillId="4" borderId="1" xfId="143" applyFill="1" applyBorder="1"/>
    <xf numFmtId="0" fontId="39" fillId="0" borderId="0" xfId="0" applyFont="1" applyBorder="1" applyAlignment="1">
      <alignment vertical="center" wrapText="1"/>
    </xf>
    <xf numFmtId="1" fontId="51" fillId="0" borderId="0" xfId="0" applyNumberFormat="1" applyFont="1"/>
    <xf numFmtId="0" fontId="51" fillId="0" borderId="0" xfId="0" applyFont="1"/>
    <xf numFmtId="0" fontId="37" fillId="11" borderId="1" xfId="0" applyFont="1" applyFill="1" applyBorder="1" applyAlignment="1">
      <alignment wrapText="1"/>
    </xf>
    <xf numFmtId="0" fontId="37" fillId="0" borderId="0" xfId="0" applyFont="1" applyAlignment="1">
      <alignment wrapText="1"/>
    </xf>
    <xf numFmtId="0" fontId="53" fillId="0" borderId="16" xfId="0" applyFont="1" applyBorder="1" applyAlignment="1">
      <alignment horizontal="center" vertical="center"/>
    </xf>
    <xf numFmtId="0" fontId="52" fillId="0" borderId="16" xfId="0" applyFont="1" applyBorder="1" applyAlignment="1">
      <alignment horizontal="center" vertical="center"/>
    </xf>
    <xf numFmtId="0" fontId="41" fillId="0" borderId="16" xfId="0" applyFont="1" applyBorder="1" applyAlignment="1">
      <alignment vertical="center"/>
    </xf>
    <xf numFmtId="0" fontId="54" fillId="0" borderId="16" xfId="0" applyFont="1" applyBorder="1" applyAlignment="1">
      <alignment vertical="center"/>
    </xf>
    <xf numFmtId="0" fontId="53" fillId="0" borderId="17" xfId="0" applyFont="1" applyBorder="1" applyAlignment="1">
      <alignment horizontal="center" vertical="center"/>
    </xf>
    <xf numFmtId="0" fontId="0" fillId="4" borderId="15" xfId="0" applyFill="1" applyBorder="1" applyAlignment="1"/>
    <xf numFmtId="0" fontId="0" fillId="0" borderId="0" xfId="0" applyFill="1" applyAlignment="1"/>
    <xf numFmtId="0" fontId="55" fillId="7" borderId="15" xfId="0" applyFont="1" applyFill="1" applyBorder="1"/>
    <xf numFmtId="0" fontId="15" fillId="4" borderId="5" xfId="0" applyFont="1" applyFill="1" applyBorder="1" applyAlignment="1">
      <alignment horizontal="center" wrapText="1"/>
    </xf>
    <xf numFmtId="0" fontId="15" fillId="4" borderId="4" xfId="0" applyFont="1" applyFill="1" applyBorder="1" applyAlignment="1">
      <alignment horizontal="center" wrapText="1"/>
    </xf>
    <xf numFmtId="49" fontId="15" fillId="4" borderId="4" xfId="0" applyNumberFormat="1" applyFont="1" applyFill="1" applyBorder="1" applyAlignment="1">
      <alignment horizontal="center" wrapText="1"/>
    </xf>
    <xf numFmtId="1" fontId="15" fillId="4" borderId="4" xfId="0" applyNumberFormat="1" applyFont="1" applyFill="1" applyBorder="1" applyAlignment="1">
      <alignment horizontal="center" wrapText="1"/>
    </xf>
    <xf numFmtId="1" fontId="15" fillId="14" borderId="29" xfId="0" applyNumberFormat="1" applyFont="1" applyFill="1" applyBorder="1" applyAlignment="1">
      <alignment horizontal="center" wrapText="1"/>
    </xf>
    <xf numFmtId="0" fontId="15" fillId="4" borderId="30" xfId="22" applyFont="1" applyFill="1" applyBorder="1" applyAlignment="1">
      <alignment horizontal="center" vertical="center" wrapText="1"/>
    </xf>
    <xf numFmtId="0" fontId="15" fillId="4" borderId="31" xfId="22" applyFont="1" applyFill="1" applyBorder="1" applyAlignment="1">
      <alignment horizontal="center" vertical="center" wrapText="1"/>
    </xf>
    <xf numFmtId="49" fontId="15" fillId="4" borderId="31" xfId="22" applyNumberFormat="1" applyFont="1" applyFill="1" applyBorder="1" applyAlignment="1">
      <alignment horizontal="center" vertical="center" wrapText="1"/>
    </xf>
    <xf numFmtId="1" fontId="15" fillId="4" borderId="31" xfId="22" applyNumberFormat="1" applyFont="1" applyFill="1" applyBorder="1" applyAlignment="1">
      <alignment horizontal="center" vertical="center" wrapText="1"/>
    </xf>
    <xf numFmtId="0" fontId="58" fillId="14" borderId="32" xfId="144" applyFont="1" applyFill="1" applyBorder="1" applyAlignment="1">
      <alignment horizontal="center" vertical="center" wrapText="1"/>
    </xf>
    <xf numFmtId="0" fontId="0" fillId="0" borderId="4" xfId="0" applyBorder="1"/>
    <xf numFmtId="1" fontId="15" fillId="14" borderId="4" xfId="0" applyNumberFormat="1" applyFont="1" applyFill="1" applyBorder="1" applyAlignment="1">
      <alignment horizontal="center" wrapText="1"/>
    </xf>
    <xf numFmtId="0" fontId="58" fillId="14" borderId="33" xfId="144" applyFont="1" applyFill="1" applyBorder="1" applyAlignment="1">
      <alignment horizontal="center" vertical="center" wrapText="1"/>
    </xf>
    <xf numFmtId="44" fontId="33" fillId="15" borderId="4" xfId="25" applyFont="1" applyFill="1" applyBorder="1" applyAlignment="1">
      <alignment horizontal="center" vertical="center"/>
    </xf>
    <xf numFmtId="0" fontId="24" fillId="0" borderId="0" xfId="0" applyFont="1" applyAlignment="1">
      <alignment horizontal="center"/>
    </xf>
    <xf numFmtId="0" fontId="18" fillId="0" borderId="0" xfId="0" applyFont="1" applyAlignment="1">
      <alignment horizontal="center"/>
    </xf>
    <xf numFmtId="0" fontId="14" fillId="8" borderId="1" xfId="22" applyFont="1" applyFill="1" applyBorder="1" applyAlignment="1">
      <alignment horizontal="center" wrapText="1"/>
    </xf>
    <xf numFmtId="0" fontId="0" fillId="0" borderId="0" xfId="0" applyAlignment="1">
      <alignment horizontal="center"/>
    </xf>
    <xf numFmtId="9" fontId="15" fillId="2" borderId="4" xfId="45" applyFont="1" applyFill="1" applyBorder="1" applyAlignment="1">
      <alignment horizontal="center" vertical="center" wrapText="1"/>
    </xf>
    <xf numFmtId="0" fontId="60" fillId="0" borderId="16" xfId="0" applyFont="1" applyBorder="1"/>
    <xf numFmtId="0" fontId="55" fillId="0" borderId="0" xfId="0" applyFont="1"/>
    <xf numFmtId="0" fontId="36" fillId="0" borderId="1" xfId="147" applyFont="1" applyFill="1" applyBorder="1" applyAlignment="1"/>
    <xf numFmtId="0" fontId="47" fillId="0" borderId="2" xfId="143" applyFont="1" applyBorder="1" applyAlignment="1">
      <alignment horizontal="center"/>
    </xf>
    <xf numFmtId="0" fontId="47" fillId="0" borderId="3" xfId="143" applyFont="1" applyBorder="1" applyAlignment="1">
      <alignment horizontal="center"/>
    </xf>
    <xf numFmtId="0" fontId="39" fillId="0" borderId="19" xfId="0" applyFont="1" applyBorder="1" applyAlignment="1">
      <alignment horizontal="center" vertical="center" wrapText="1"/>
    </xf>
    <xf numFmtId="0" fontId="39" fillId="0" borderId="20" xfId="0" applyFont="1" applyBorder="1" applyAlignment="1">
      <alignment horizontal="center" vertical="center" wrapText="1"/>
    </xf>
    <xf numFmtId="0" fontId="39" fillId="0" borderId="21" xfId="0" applyFont="1" applyBorder="1" applyAlignment="1">
      <alignment horizontal="center" vertical="center" wrapText="1"/>
    </xf>
    <xf numFmtId="0" fontId="39" fillId="0" borderId="22" xfId="0" applyFont="1" applyBorder="1" applyAlignment="1">
      <alignment horizontal="center" vertical="center" wrapText="1"/>
    </xf>
    <xf numFmtId="0" fontId="39" fillId="0" borderId="0" xfId="0" applyFont="1" applyBorder="1" applyAlignment="1">
      <alignment horizontal="center" vertical="center" wrapText="1"/>
    </xf>
    <xf numFmtId="0" fontId="39" fillId="0" borderId="18" xfId="0" applyFont="1" applyBorder="1" applyAlignment="1">
      <alignment horizontal="center" vertical="center" wrapText="1"/>
    </xf>
    <xf numFmtId="0" fontId="39" fillId="0" borderId="23" xfId="0" applyFont="1" applyBorder="1" applyAlignment="1">
      <alignment horizontal="center" vertical="center" wrapText="1"/>
    </xf>
    <xf numFmtId="0" fontId="39" fillId="0" borderId="24" xfId="0" applyFont="1" applyBorder="1" applyAlignment="1">
      <alignment horizontal="center" vertical="center" wrapText="1"/>
    </xf>
    <xf numFmtId="0" fontId="39" fillId="0" borderId="25" xfId="0" applyFont="1" applyBorder="1" applyAlignment="1">
      <alignment horizontal="center" vertical="center" wrapText="1"/>
    </xf>
    <xf numFmtId="0" fontId="39" fillId="10" borderId="13" xfId="0" applyFont="1" applyFill="1" applyBorder="1" applyAlignment="1">
      <alignment horizontal="center" vertical="center"/>
    </xf>
    <xf numFmtId="0" fontId="39" fillId="10" borderId="0" xfId="0" applyFont="1" applyFill="1" applyBorder="1" applyAlignment="1">
      <alignment horizontal="center" vertical="center"/>
    </xf>
    <xf numFmtId="0" fontId="39" fillId="10" borderId="6" xfId="0" applyFont="1" applyFill="1" applyBorder="1" applyAlignment="1">
      <alignment horizontal="center" vertical="center"/>
    </xf>
    <xf numFmtId="0" fontId="39" fillId="10" borderId="12" xfId="0" applyFont="1" applyFill="1" applyBorder="1" applyAlignment="1">
      <alignment horizontal="center" vertical="center"/>
    </xf>
    <xf numFmtId="0" fontId="61" fillId="16" borderId="0" xfId="0" applyFont="1" applyFill="1" applyAlignment="1">
      <alignment horizontal="center" vertical="center" wrapText="1"/>
    </xf>
    <xf numFmtId="0" fontId="44" fillId="0" borderId="0" xfId="0" applyFont="1" applyAlignment="1">
      <alignment horizontal="center"/>
    </xf>
    <xf numFmtId="0" fontId="0" fillId="4" borderId="26" xfId="0" applyFill="1" applyBorder="1" applyAlignment="1">
      <alignment horizontal="center"/>
    </xf>
    <xf numFmtId="0" fontId="0" fillId="4" borderId="27" xfId="0" applyFill="1" applyBorder="1" applyAlignment="1">
      <alignment horizontal="center"/>
    </xf>
    <xf numFmtId="0" fontId="56" fillId="7" borderId="26" xfId="0" applyFont="1" applyFill="1" applyBorder="1" applyAlignment="1">
      <alignment horizontal="center"/>
    </xf>
    <xf numFmtId="0" fontId="56" fillId="7" borderId="28" xfId="0" applyFont="1" applyFill="1" applyBorder="1" applyAlignment="1">
      <alignment horizontal="center"/>
    </xf>
    <xf numFmtId="0" fontId="56" fillId="7" borderId="27" xfId="0" applyFont="1" applyFill="1" applyBorder="1" applyAlignment="1">
      <alignment horizontal="center"/>
    </xf>
  </cellXfs>
  <cellStyles count="148">
    <cellStyle name="Comma 2" xfId="5"/>
    <cellStyle name="Comma 2 2" xfId="18"/>
    <cellStyle name="Comma 2 2 2" xfId="34"/>
    <cellStyle name="Comma 2 2 2 2" xfId="73"/>
    <cellStyle name="Comma 2 2 2 2 2" xfId="124"/>
    <cellStyle name="Comma 2 2 2 3" xfId="50"/>
    <cellStyle name="Comma 2 2 2 4" xfId="96"/>
    <cellStyle name="Comma 2 2 3" xfId="65"/>
    <cellStyle name="Comma 2 2 3 2" xfId="116"/>
    <cellStyle name="Comma 2 2 4" xfId="42"/>
    <cellStyle name="Comma 2 2 4 2" xfId="104"/>
    <cellStyle name="Comma 2 2 5" xfId="88"/>
    <cellStyle name="Comma 2 2 6" xfId="132"/>
    <cellStyle name="Comma 2 2 7" xfId="140"/>
    <cellStyle name="Comma 2 3" xfId="30"/>
    <cellStyle name="Comma 2 3 2" xfId="69"/>
    <cellStyle name="Comma 2 3 2 2" xfId="120"/>
    <cellStyle name="Comma 2 3 3" xfId="49"/>
    <cellStyle name="Comma 2 3 4" xfId="92"/>
    <cellStyle name="Comma 2 4" xfId="61"/>
    <cellStyle name="Comma 2 4 2" xfId="112"/>
    <cellStyle name="Comma 2 5" xfId="38"/>
    <cellStyle name="Comma 2 5 2" xfId="100"/>
    <cellStyle name="Comma 2 6" xfId="84"/>
    <cellStyle name="Comma 2 7" xfId="128"/>
    <cellStyle name="Comma 2 8" xfId="136"/>
    <cellStyle name="Comma 3" xfId="24"/>
    <cellStyle name="Currency 2" xfId="6"/>
    <cellStyle name="Currency 2 2" xfId="19"/>
    <cellStyle name="Currency 2 2 2" xfId="35"/>
    <cellStyle name="Currency 2 2 2 2" xfId="74"/>
    <cellStyle name="Currency 2 2 2 2 2" xfId="125"/>
    <cellStyle name="Currency 2 2 2 3" xfId="52"/>
    <cellStyle name="Currency 2 2 2 4" xfId="97"/>
    <cellStyle name="Currency 2 2 3" xfId="66"/>
    <cellStyle name="Currency 2 2 3 2" xfId="117"/>
    <cellStyle name="Currency 2 2 4" xfId="43"/>
    <cellStyle name="Currency 2 2 4 2" xfId="105"/>
    <cellStyle name="Currency 2 2 5" xfId="89"/>
    <cellStyle name="Currency 2 2 6" xfId="133"/>
    <cellStyle name="Currency 2 2 7" xfId="141"/>
    <cellStyle name="Currency 2 3" xfId="25"/>
    <cellStyle name="Currency 2 3 2" xfId="70"/>
    <cellStyle name="Currency 2 3 2 2" xfId="121"/>
    <cellStyle name="Currency 2 3 3" xfId="51"/>
    <cellStyle name="Currency 2 4" xfId="31"/>
    <cellStyle name="Currency 2 4 2" xfId="62"/>
    <cellStyle name="Currency 2 4 2 2" xfId="113"/>
    <cellStyle name="Currency 2 4 3" xfId="93"/>
    <cellStyle name="Currency 2 5" xfId="39"/>
    <cellStyle name="Currency 2 5 2" xfId="101"/>
    <cellStyle name="Currency 2 6" xfId="85"/>
    <cellStyle name="Currency 2 7" xfId="129"/>
    <cellStyle name="Currency 2 8" xfId="137"/>
    <cellStyle name="Hyperlink 2" xfId="7"/>
    <cellStyle name="Hyperlink 2 2" xfId="8"/>
    <cellStyle name="Hyperlink 3" xfId="9"/>
    <cellStyle name="Hyperlink 4" xfId="10"/>
    <cellStyle name="Normal" xfId="0" builtinId="0"/>
    <cellStyle name="Normal 10" xfId="79"/>
    <cellStyle name="Normal 10 2 2" xfId="81"/>
    <cellStyle name="Normal 10 2 3" xfId="82"/>
    <cellStyle name="Normal 11" xfId="145"/>
    <cellStyle name="Normal 12" xfId="146"/>
    <cellStyle name="Normal 2" xfId="11"/>
    <cellStyle name="Normal 2 10" xfId="80"/>
    <cellStyle name="Normal 2 11" xfId="130"/>
    <cellStyle name="Normal 2 12" xfId="138"/>
    <cellStyle name="Normal 2 2" xfId="20"/>
    <cellStyle name="Normal 2 2 2" xfId="36"/>
    <cellStyle name="Normal 2 2 2 2" xfId="75"/>
    <cellStyle name="Normal 2 2 2 2 2" xfId="126"/>
    <cellStyle name="Normal 2 2 2 3" xfId="54"/>
    <cellStyle name="Normal 2 2 2 3 2" xfId="108"/>
    <cellStyle name="Normal 2 2 2 4" xfId="98"/>
    <cellStyle name="Normal 2 2 3" xfId="67"/>
    <cellStyle name="Normal 2 2 3 2" xfId="118"/>
    <cellStyle name="Normal 2 2 4" xfId="44"/>
    <cellStyle name="Normal 2 2 4 2" xfId="106"/>
    <cellStyle name="Normal 2 2 5" xfId="90"/>
    <cellStyle name="Normal 2 2 6" xfId="134"/>
    <cellStyle name="Normal 2 2 7" xfId="142"/>
    <cellStyle name="Normal 2 3" xfId="26"/>
    <cellStyle name="Normal 2 3 2" xfId="71"/>
    <cellStyle name="Normal 2 3 2 2" xfId="122"/>
    <cellStyle name="Normal 2 3 3" xfId="46"/>
    <cellStyle name="Normal 2 4" xfId="32"/>
    <cellStyle name="Normal 2 4 2" xfId="55"/>
    <cellStyle name="Normal 2 4 3" xfId="47"/>
    <cellStyle name="Normal 2 4 4" xfId="94"/>
    <cellStyle name="Normal 2 5" xfId="53"/>
    <cellStyle name="Normal 2 5 2" xfId="107"/>
    <cellStyle name="Normal 2 6" xfId="63"/>
    <cellStyle name="Normal 2 6 2" xfId="114"/>
    <cellStyle name="Normal 2 7" xfId="40"/>
    <cellStyle name="Normal 2 7 2" xfId="102"/>
    <cellStyle name="Normal 2 8" xfId="77"/>
    <cellStyle name="Normal 2 9" xfId="86"/>
    <cellStyle name="Normal 3" xfId="12"/>
    <cellStyle name="Normal 3 2" xfId="78"/>
    <cellStyle name="Normal 4" xfId="13"/>
    <cellStyle name="Normal 4 2" xfId="21"/>
    <cellStyle name="Normal 5" xfId="4"/>
    <cellStyle name="Normal 5 2" xfId="17"/>
    <cellStyle name="Normal 6" xfId="3"/>
    <cellStyle name="Normal 6 2" xfId="16"/>
    <cellStyle name="Normal 6 2 2" xfId="33"/>
    <cellStyle name="Normal 6 2 2 2" xfId="72"/>
    <cellStyle name="Normal 6 2 2 2 2" xfId="123"/>
    <cellStyle name="Normal 6 2 2 3" xfId="57"/>
    <cellStyle name="Normal 6 2 2 3 2" xfId="110"/>
    <cellStyle name="Normal 6 2 2 4" xfId="95"/>
    <cellStyle name="Normal 6 2 3" xfId="64"/>
    <cellStyle name="Normal 6 2 3 2" xfId="115"/>
    <cellStyle name="Normal 6 2 4" xfId="41"/>
    <cellStyle name="Normal 6 2 4 2" xfId="103"/>
    <cellStyle name="Normal 6 2 5" xfId="87"/>
    <cellStyle name="Normal 6 2 6" xfId="131"/>
    <cellStyle name="Normal 6 2 7" xfId="139"/>
    <cellStyle name="Normal 6 3" xfId="29"/>
    <cellStyle name="Normal 6 3 2" xfId="68"/>
    <cellStyle name="Normal 6 3 2 2" xfId="119"/>
    <cellStyle name="Normal 6 3 3" xfId="56"/>
    <cellStyle name="Normal 6 3 3 2" xfId="109"/>
    <cellStyle name="Normal 6 3 4" xfId="91"/>
    <cellStyle name="Normal 6 4" xfId="60"/>
    <cellStyle name="Normal 6 4 2" xfId="111"/>
    <cellStyle name="Normal 6 5" xfId="37"/>
    <cellStyle name="Normal 6 5 2" xfId="99"/>
    <cellStyle name="Normal 6 6" xfId="83"/>
    <cellStyle name="Normal 6 7" xfId="127"/>
    <cellStyle name="Normal 6 8" xfId="135"/>
    <cellStyle name="Normal 7" xfId="15"/>
    <cellStyle name="Normal 8" xfId="143"/>
    <cellStyle name="Normal 9" xfId="144"/>
    <cellStyle name="Normal_CAT204NewItemSSREV.xls" xfId="27"/>
    <cellStyle name="Normal_Sheet1" xfId="147"/>
    <cellStyle name="Normal_SKU Setup Form" xfId="1"/>
    <cellStyle name="Normal_SKU Setup Form 2 2" xfId="22"/>
    <cellStyle name="Normal_SKU Setup Form 3" xfId="76"/>
    <cellStyle name="Percent" xfId="2" builtinId="5"/>
    <cellStyle name="Percent 2" xfId="14"/>
    <cellStyle name="Percent 2 2" xfId="23"/>
    <cellStyle name="Percent 2 3" xfId="48"/>
    <cellStyle name="Percent 2 3 2" xfId="58"/>
    <cellStyle name="Percent 3" xfId="28"/>
    <cellStyle name="Percent 3 2" xfId="59"/>
    <cellStyle name="Percent 3 3" xfId="45"/>
  </cellStyles>
  <dxfs count="122">
    <dxf>
      <font>
        <strike val="0"/>
        <outline val="0"/>
        <shadow val="0"/>
        <u val="none"/>
        <vertAlign val="baseline"/>
        <sz val="8"/>
        <color auto="1"/>
        <name val="Arial"/>
        <scheme val="none"/>
      </font>
    </dxf>
    <dxf>
      <font>
        <strike val="0"/>
        <outline val="0"/>
        <shadow val="0"/>
        <u val="none"/>
        <vertAlign val="baseline"/>
        <sz val="8"/>
        <color auto="1"/>
        <name val="Arial"/>
        <scheme val="none"/>
      </font>
    </dxf>
    <dxf>
      <font>
        <strike val="0"/>
        <outline val="0"/>
        <shadow val="0"/>
        <u val="none"/>
        <vertAlign val="baseline"/>
        <sz val="8"/>
        <color auto="1"/>
        <name val="Arial"/>
        <scheme val="none"/>
      </font>
    </dxf>
    <dxf>
      <font>
        <strike val="0"/>
        <outline val="0"/>
        <shadow val="0"/>
        <u val="none"/>
        <vertAlign val="baseline"/>
        <sz val="8"/>
        <color auto="1"/>
        <name val="Arial"/>
        <scheme val="none"/>
      </font>
    </dxf>
    <dxf>
      <font>
        <strike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dxf>
    <dxf>
      <font>
        <strike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dxf>
    <dxf>
      <font>
        <strike val="0"/>
        <outline val="0"/>
        <shadow val="0"/>
        <u val="none"/>
        <vertAlign val="baseline"/>
        <sz val="8"/>
        <color auto="1"/>
        <name val="Arial"/>
        <scheme val="none"/>
      </font>
    </dxf>
    <dxf>
      <font>
        <strike val="0"/>
        <outline val="0"/>
        <shadow val="0"/>
        <u val="none"/>
        <vertAlign val="baseline"/>
        <sz val="8"/>
        <color auto="1"/>
        <name val="Arial"/>
        <scheme val="none"/>
      </font>
    </dxf>
    <dxf>
      <font>
        <strike val="0"/>
        <outline val="0"/>
        <shadow val="0"/>
        <u val="none"/>
        <vertAlign val="baseline"/>
        <sz val="8"/>
        <color auto="1"/>
        <name val="Arial"/>
        <scheme val="none"/>
      </font>
    </dxf>
    <dxf>
      <font>
        <strike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dxf>
    <dxf>
      <font>
        <strike val="0"/>
        <outline val="0"/>
        <shadow val="0"/>
        <u val="none"/>
        <vertAlign val="baseline"/>
        <sz val="8"/>
        <color auto="1"/>
        <name val="Arial"/>
        <scheme val="none"/>
      </font>
    </dxf>
    <dxf>
      <font>
        <strike val="0"/>
        <outline val="0"/>
        <shadow val="0"/>
        <u val="none"/>
        <vertAlign val="baseline"/>
        <sz val="8"/>
        <color auto="1"/>
        <name val="Arial"/>
        <scheme val="none"/>
      </font>
    </dxf>
    <dxf>
      <font>
        <strike val="0"/>
        <outline val="0"/>
        <shadow val="0"/>
        <u val="none"/>
        <vertAlign val="baseline"/>
        <sz val="8"/>
        <color auto="1"/>
        <name val="Arial"/>
        <scheme val="none"/>
      </font>
    </dxf>
    <dxf>
      <font>
        <strike val="0"/>
        <outline val="0"/>
        <shadow val="0"/>
        <u val="none"/>
        <vertAlign val="baseline"/>
        <sz val="8"/>
        <color auto="1"/>
        <name val="Arial"/>
        <scheme val="none"/>
      </font>
    </dxf>
    <dxf>
      <font>
        <strike val="0"/>
        <outline val="0"/>
        <shadow val="0"/>
        <u val="none"/>
        <vertAlign val="baseline"/>
        <sz val="8"/>
        <color auto="1"/>
        <name val="Arial"/>
        <scheme val="none"/>
      </font>
    </dxf>
    <dxf>
      <font>
        <strike val="0"/>
        <outline val="0"/>
        <shadow val="0"/>
        <u val="none"/>
        <vertAlign val="baseline"/>
        <sz val="8"/>
        <color auto="1"/>
        <name val="Arial"/>
        <scheme val="none"/>
      </font>
    </dxf>
    <dxf>
      <font>
        <b val="0"/>
        <i val="0"/>
        <strike val="0"/>
        <condense val="0"/>
        <extend val="0"/>
        <outline val="0"/>
        <shadow val="0"/>
        <u val="none"/>
        <vertAlign val="baseline"/>
        <sz val="8"/>
        <color auto="1"/>
        <name val="Arial"/>
        <scheme val="none"/>
      </font>
      <numFmt numFmtId="1" formatCode="0"/>
    </dxf>
    <dxf>
      <font>
        <strike val="0"/>
        <outline val="0"/>
        <shadow val="0"/>
        <u val="none"/>
        <vertAlign val="baseline"/>
        <sz val="8"/>
        <color auto="1"/>
        <name val="Arial"/>
        <scheme val="none"/>
      </font>
    </dxf>
    <dxf>
      <font>
        <strike val="0"/>
        <outline val="0"/>
        <shadow val="0"/>
        <u val="none"/>
        <vertAlign val="baseline"/>
        <sz val="8"/>
        <color auto="1"/>
        <name val="Arial"/>
        <scheme val="none"/>
      </font>
    </dxf>
    <dxf>
      <font>
        <b val="0"/>
        <i val="0"/>
        <strike val="0"/>
        <condense val="0"/>
        <extend val="0"/>
        <outline val="0"/>
        <shadow val="0"/>
        <u val="none"/>
        <vertAlign val="baseline"/>
        <sz val="8"/>
        <color indexed="8"/>
        <name val="Arial"/>
        <scheme val="none"/>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indexed="8"/>
        <name val="Arial"/>
        <scheme val="none"/>
      </font>
      <fill>
        <patternFill patternType="solid">
          <fgColor indexed="64"/>
          <bgColor indexed="2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indexed="8"/>
        <name val="Arial"/>
        <scheme val="none"/>
      </font>
      <fill>
        <patternFill patternType="solid">
          <fgColor indexed="64"/>
          <bgColor indexed="2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fill>
        <patternFill patternType="solid">
          <fgColor indexed="64"/>
          <bgColor indexed="22"/>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fill>
        <patternFill patternType="solid">
          <fgColor indexed="64"/>
          <bgColor theme="0"/>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fill>
        <patternFill patternType="solid">
          <fgColor indexed="64"/>
          <bgColor theme="0"/>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numFmt numFmtId="0" formatCode="Genera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30" formatCode="@"/>
      <fill>
        <patternFill patternType="solid">
          <fgColor indexed="64"/>
          <bgColor theme="6" tint="0.5999938962981048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8"/>
        <color auto="1"/>
        <name val="Arial"/>
        <scheme val="none"/>
      </font>
      <numFmt numFmtId="1" formatCode="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none"/>
      </font>
      <numFmt numFmtId="1" formatCode="0"/>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none"/>
      </font>
      <numFmt numFmtId="1" formatCode="0"/>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numFmt numFmtId="1" formatCode="0"/>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1" formatCode="0"/>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1" formatCode="0"/>
      <fill>
        <patternFill patternType="none">
          <fgColor indexed="64"/>
          <bgColor indexed="65"/>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numFmt numFmtId="12" formatCode="&quot;$&quot;#,##0.00_);[Red]\(&quot;$&quot;#,##0.00\)"/>
      <fill>
        <patternFill patternType="solid">
          <fgColor indexed="64"/>
          <bgColor theme="0"/>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numFmt numFmtId="12" formatCode="&quot;$&quot;#,##0.00_);[Red]\(&quot;$&quot;#,##0.00\)"/>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Arial"/>
        <scheme val="none"/>
      </font>
      <numFmt numFmtId="13" formatCode="0%"/>
      <fill>
        <patternFill patternType="solid">
          <fgColor indexed="64"/>
          <bgColor theme="6" tint="0.59999389629810485"/>
        </patternFill>
      </fill>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12" formatCode="&quot;$&quot;#,##0.00_);[Red]\(&quot;$&quot;#,##0.00\)"/>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12" formatCode="&quot;$&quot;#,##0.00_);[Red]\(&quot;$&quot;#,##0.00\)"/>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numFmt numFmtId="30" formatCode="@"/>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30" formatCode="@"/>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bottom"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fill>
        <patternFill patternType="none">
          <fgColor indexed="64"/>
          <bgColor indexed="65"/>
        </patternFill>
      </fill>
      <alignment horizontal="left" vertical="bottom"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left" vertical="bottom" textRotation="0" wrapText="1" indent="0" justifyLastLine="0" shrinkToFit="0" readingOrder="0"/>
      <border diagonalUp="0" diagonalDown="0">
        <left style="medium">
          <color indexed="64"/>
        </left>
        <right style="thin">
          <color indexed="64"/>
        </right>
        <top style="thin">
          <color indexed="64"/>
        </top>
        <bottom style="thin">
          <color indexed="64"/>
        </bottom>
        <vertical/>
        <horizontal/>
      </border>
    </dxf>
    <dxf>
      <border outline="0">
        <right style="medium">
          <color indexed="64"/>
        </right>
        <top style="thin">
          <color indexed="64"/>
        </top>
      </border>
    </dxf>
    <dxf>
      <font>
        <b val="0"/>
        <i val="0"/>
        <strike val="0"/>
        <condense val="0"/>
        <extend val="0"/>
        <outline val="0"/>
        <shadow val="0"/>
        <u val="none"/>
        <vertAlign val="baseline"/>
        <sz val="8"/>
        <color auto="1"/>
        <name val="Arial"/>
        <scheme val="none"/>
      </font>
      <fill>
        <patternFill patternType="solid">
          <fgColor indexed="64"/>
          <bgColor indexed="22"/>
        </patternFill>
      </fill>
      <alignment horizontal="left"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8"/>
        <color auto="1"/>
        <name val="Arial"/>
        <scheme val="none"/>
      </font>
      <fill>
        <patternFill patternType="solid">
          <fgColor indexed="64"/>
          <bgColor indexed="22"/>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bottom/>
      </border>
    </dxf>
    <dxf>
      <font>
        <strike val="0"/>
        <outline val="0"/>
        <shadow val="0"/>
        <u val="none"/>
        <vertAlign val="baseline"/>
        <sz val="8"/>
        <name val="Arial"/>
        <scheme val="none"/>
      </font>
      <numFmt numFmtId="0" formatCode="General"/>
    </dxf>
    <dxf>
      <border diagonalUp="0" diagonalDown="0">
        <left style="thin">
          <color indexed="64"/>
        </left>
        <right/>
        <top/>
        <bottom/>
      </border>
    </dxf>
    <dxf>
      <font>
        <strike val="0"/>
        <outline val="0"/>
        <shadow val="0"/>
        <u val="none"/>
        <vertAlign val="baseline"/>
        <sz val="8"/>
        <name val="Arial"/>
        <scheme val="none"/>
      </font>
      <numFmt numFmtId="0" formatCode="General"/>
      <fill>
        <patternFill patternType="none">
          <fgColor indexed="64"/>
          <bgColor indexed="65"/>
        </patternFill>
      </fill>
      <border diagonalUp="0" diagonalDown="0">
        <left/>
        <right style="thin">
          <color indexed="64"/>
        </right>
        <top style="thin">
          <color indexed="64"/>
        </top>
        <bottom style="thin">
          <color indexed="64"/>
        </bottom>
        <vertical/>
        <horizontal/>
      </border>
    </dxf>
    <dxf>
      <border diagonalUp="0" diagonalDown="0">
        <left style="thin">
          <color indexed="64"/>
        </left>
        <right/>
        <top/>
        <bottom/>
      </border>
    </dxf>
    <dxf>
      <font>
        <strike val="0"/>
        <outline val="0"/>
        <shadow val="0"/>
        <u val="none"/>
        <vertAlign val="baseline"/>
        <sz val="8"/>
        <name val="Arial"/>
        <scheme val="none"/>
      </font>
      <numFmt numFmtId="0" formatCode="General"/>
      <fill>
        <patternFill patternType="none">
          <fgColor indexed="64"/>
          <bgColor indexed="65"/>
        </patternFill>
      </fill>
      <border diagonalUp="0" diagonalDown="0">
        <left/>
        <right style="thin">
          <color indexed="64"/>
        </right>
        <top style="thin">
          <color indexed="64"/>
        </top>
        <bottom style="thin">
          <color indexed="64"/>
        </bottom>
        <vertical/>
        <horizontal/>
      </border>
    </dxf>
    <dxf>
      <border diagonalUp="0" diagonalDown="0">
        <left style="thin">
          <color indexed="64"/>
        </left>
        <right/>
        <top/>
        <bottom/>
      </border>
    </dxf>
    <dxf>
      <font>
        <strike val="0"/>
        <outline val="0"/>
        <shadow val="0"/>
        <u val="none"/>
        <vertAlign val="baseline"/>
        <sz val="8"/>
        <name val="Arial"/>
        <scheme val="none"/>
      </font>
      <fill>
        <patternFill patternType="none">
          <fgColor indexed="64"/>
          <bgColor indexed="65"/>
        </patternFill>
      </fill>
      <border diagonalUp="0" diagonalDown="0">
        <left/>
        <right style="thin">
          <color indexed="64"/>
        </right>
        <top style="thin">
          <color indexed="64"/>
        </top>
        <bottom style="thin">
          <color indexed="64"/>
        </bottom>
        <vertical/>
        <horizontal/>
      </border>
    </dxf>
    <dxf>
      <border diagonalUp="0" diagonalDown="0">
        <left style="thin">
          <color indexed="64"/>
        </left>
        <right/>
        <top/>
        <bottom/>
      </border>
    </dxf>
    <dxf>
      <font>
        <strike val="0"/>
        <outline val="0"/>
        <shadow val="0"/>
        <u val="none"/>
        <vertAlign val="baseline"/>
        <sz val="8"/>
        <name val="Arial"/>
        <scheme val="none"/>
      </font>
      <fill>
        <patternFill patternType="none">
          <fgColor indexed="64"/>
          <bgColor indexed="65"/>
        </patternFill>
      </fill>
      <border diagonalUp="0" diagonalDown="0">
        <left/>
        <right style="thin">
          <color indexed="64"/>
        </right>
        <top style="thin">
          <color indexed="64"/>
        </top>
        <bottom style="thin">
          <color indexed="64"/>
        </bottom>
        <vertical/>
        <horizontal/>
      </border>
    </dxf>
    <dxf>
      <border diagonalUp="0" diagonalDown="0">
        <left style="thin">
          <color indexed="64"/>
        </left>
        <right style="thin">
          <color indexed="64"/>
        </right>
        <top/>
        <bottom/>
      </border>
    </dxf>
    <dxf>
      <font>
        <strike val="0"/>
        <outline val="0"/>
        <shadow val="0"/>
        <u val="none"/>
        <vertAlign val="baseline"/>
        <sz val="8"/>
        <name val="Arial"/>
        <scheme val="none"/>
      </font>
      <numFmt numFmtId="0" formatCode="General"/>
      <border diagonalUp="0" diagonalDown="0">
        <left/>
        <right style="thin">
          <color indexed="64"/>
        </right>
        <top style="thin">
          <color indexed="64"/>
        </top>
        <bottom style="thin">
          <color indexed="64"/>
        </bottom>
      </border>
    </dxf>
    <dxf>
      <border diagonalUp="0" diagonalDown="0" outline="0">
        <left style="thin">
          <color indexed="64"/>
        </left>
        <right/>
        <top/>
        <bottom/>
      </border>
    </dxf>
    <dxf>
      <font>
        <b val="0"/>
        <i val="0"/>
        <strike val="0"/>
        <condense val="0"/>
        <extend val="0"/>
        <outline val="0"/>
        <shadow val="0"/>
        <u val="none"/>
        <vertAlign val="baseline"/>
        <sz val="8"/>
        <color auto="1"/>
        <name val="Arial"/>
        <scheme val="none"/>
      </font>
      <numFmt numFmtId="0" formatCode="General"/>
      <border diagonalUp="0" diagonalDown="0">
        <left/>
        <right style="thin">
          <color indexed="64"/>
        </right>
        <top style="thin">
          <color indexed="64"/>
        </top>
        <bottom style="thin">
          <color indexed="64"/>
        </bottom>
        <vertical/>
        <horizontal/>
      </border>
    </dxf>
    <dxf>
      <border diagonalUp="0" diagonalDown="0" outline="0">
        <left style="thin">
          <color indexed="64"/>
        </left>
        <right/>
        <top/>
        <bottom/>
      </border>
    </dxf>
    <dxf>
      <font>
        <b val="0"/>
        <i val="0"/>
        <strike val="0"/>
        <condense val="0"/>
        <extend val="0"/>
        <outline val="0"/>
        <shadow val="0"/>
        <u val="none"/>
        <vertAlign val="baseline"/>
        <sz val="8"/>
        <color auto="1"/>
        <name val="Arial"/>
        <scheme val="none"/>
      </font>
      <numFmt numFmtId="0" formatCode="General"/>
      <border diagonalUp="0" diagonalDown="0">
        <left/>
        <right style="thin">
          <color indexed="64"/>
        </right>
        <top style="thin">
          <color indexed="64"/>
        </top>
        <bottom style="thin">
          <color indexed="64"/>
        </bottom>
        <vertical/>
        <horizontal/>
      </border>
    </dxf>
    <dxf>
      <border diagonalUp="0" diagonalDown="0" outline="0">
        <left style="thin">
          <color indexed="64"/>
        </left>
        <right/>
        <top/>
        <bottom/>
      </border>
    </dxf>
    <dxf>
      <font>
        <strike val="0"/>
        <outline val="0"/>
        <shadow val="0"/>
        <u val="none"/>
        <vertAlign val="baseline"/>
        <sz val="8"/>
        <name val="Arial"/>
        <scheme val="none"/>
      </font>
      <numFmt numFmtId="0" formatCode="General"/>
      <border diagonalUp="0" diagonalDown="0">
        <left style="thin">
          <color indexed="64"/>
        </left>
        <right/>
        <top style="thin">
          <color indexed="64"/>
        </top>
        <bottom style="thin">
          <color indexed="64"/>
        </bottom>
      </border>
    </dxf>
    <dxf>
      <border diagonalUp="0" diagonalDown="0" outline="0">
        <left style="thin">
          <color indexed="64"/>
        </left>
        <right style="thin">
          <color indexed="64"/>
        </right>
        <top/>
        <bottom/>
      </border>
    </dxf>
    <dxf>
      <font>
        <strike val="0"/>
        <outline val="0"/>
        <shadow val="0"/>
        <u val="none"/>
        <vertAlign val="baseline"/>
        <sz val="8"/>
        <name val="Arial"/>
        <scheme val="none"/>
      </font>
      <numFmt numFmtId="0" formatCode="General"/>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ont>
        <strike val="0"/>
        <outline val="0"/>
        <shadow val="0"/>
        <u val="none"/>
        <vertAlign val="baseline"/>
        <sz val="8"/>
        <name val="Arial"/>
        <scheme val="none"/>
      </font>
      <numFmt numFmtId="0" formatCode="General"/>
      <border diagonalUp="0" diagonalDown="0">
        <left/>
        <right style="thin">
          <color indexed="64"/>
        </right>
        <top style="thin">
          <color indexed="64"/>
        </top>
        <bottom style="thin">
          <color indexed="64"/>
        </bottom>
        <vertical/>
        <horizontal/>
      </border>
    </dxf>
    <dxf>
      <border diagonalUp="0" diagonalDown="0" outline="0">
        <left style="thin">
          <color indexed="64"/>
        </left>
        <right style="thin">
          <color indexed="64"/>
        </right>
        <top/>
        <bottom/>
      </border>
    </dxf>
    <dxf>
      <font>
        <strike val="0"/>
        <outline val="0"/>
        <shadow val="0"/>
        <u val="none"/>
        <vertAlign val="baseline"/>
        <sz val="8"/>
        <name val="Arial"/>
        <scheme val="none"/>
      </font>
      <numFmt numFmtId="0" formatCode="General"/>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ont>
        <strike val="0"/>
        <outline val="0"/>
        <shadow val="0"/>
        <u val="none"/>
        <vertAlign val="baseline"/>
        <sz val="8"/>
        <name val="Arial"/>
        <scheme val="none"/>
      </font>
      <numFmt numFmtId="0" formatCode="General"/>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ont>
        <strike val="0"/>
        <outline val="0"/>
        <shadow val="0"/>
        <u val="none"/>
        <vertAlign val="baseline"/>
        <sz val="8"/>
        <name val="Arial"/>
        <scheme val="none"/>
      </font>
      <numFmt numFmtId="0" formatCode="General"/>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ont>
        <strike val="0"/>
        <outline val="0"/>
        <shadow val="0"/>
        <u val="none"/>
        <vertAlign val="baseline"/>
        <sz val="8"/>
        <name val="Arial"/>
        <scheme val="none"/>
      </font>
      <numFmt numFmtId="0" formatCode="General"/>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ont>
        <strike val="0"/>
        <outline val="0"/>
        <shadow val="0"/>
        <u val="none"/>
        <vertAlign val="baseline"/>
        <sz val="8"/>
        <name val="Arial"/>
        <scheme val="none"/>
      </font>
      <numFmt numFmtId="0" formatCode="General"/>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ont>
        <strike val="0"/>
        <outline val="0"/>
        <shadow val="0"/>
        <u val="none"/>
        <vertAlign val="baseline"/>
        <sz val="8"/>
        <name val="Arial"/>
        <scheme val="none"/>
      </font>
      <numFmt numFmtId="0" formatCode="General"/>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ont>
        <strike val="0"/>
        <outline val="0"/>
        <shadow val="0"/>
        <u val="none"/>
        <vertAlign val="baseline"/>
        <sz val="8"/>
        <name val="Arial"/>
        <scheme val="none"/>
      </font>
      <numFmt numFmtId="0" formatCode="General"/>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font>
        <strike val="0"/>
        <outline val="0"/>
        <shadow val="0"/>
        <u val="none"/>
        <vertAlign val="baseline"/>
        <sz val="8"/>
        <name val="Arial"/>
        <scheme val="none"/>
      </font>
      <numFmt numFmtId="0" formatCode="General"/>
      <border diagonalUp="0" diagonalDown="0">
        <left style="thin">
          <color indexed="64"/>
        </left>
        <right style="thin">
          <color indexed="64"/>
        </right>
        <top style="thin">
          <color indexed="64"/>
        </top>
        <bottom style="thin">
          <color indexed="64"/>
        </bottom>
      </border>
    </dxf>
    <dxf>
      <border diagonalUp="0" diagonalDown="0" outline="0">
        <left/>
        <right style="thin">
          <color indexed="64"/>
        </right>
        <top/>
        <bottom/>
      </border>
    </dxf>
    <dxf>
      <font>
        <strike val="0"/>
        <outline val="0"/>
        <shadow val="0"/>
        <u val="none"/>
        <vertAlign val="baseline"/>
        <sz val="8"/>
        <name val="Arial"/>
        <scheme val="none"/>
      </font>
      <numFmt numFmtId="0" formatCode="General"/>
      <border diagonalUp="0" diagonalDown="0">
        <left/>
        <right style="thin">
          <color indexed="64"/>
        </right>
        <top style="thin">
          <color indexed="64"/>
        </top>
        <bottom style="thin">
          <color indexed="64"/>
        </bottom>
      </border>
    </dxf>
    <dxf>
      <border diagonalUp="0" diagonalDown="0">
        <left style="thin">
          <color indexed="64"/>
        </left>
        <right/>
        <top/>
        <bottom/>
      </border>
    </dxf>
    <dxf>
      <font>
        <b/>
        <i val="0"/>
        <strike val="0"/>
        <condense val="0"/>
        <extend val="0"/>
        <outline val="0"/>
        <shadow val="0"/>
        <u val="none"/>
        <vertAlign val="baseline"/>
        <sz val="8"/>
        <color auto="1"/>
        <name val="Arial"/>
        <scheme val="none"/>
      </font>
      <numFmt numFmtId="0" formatCode="General"/>
      <border diagonalUp="0" diagonalDown="0">
        <left/>
        <right style="thin">
          <color indexed="64"/>
        </right>
        <top style="thin">
          <color indexed="64"/>
        </top>
        <bottom style="thin">
          <color indexed="64"/>
        </bottom>
        <vertical/>
        <horizontal/>
      </border>
    </dxf>
    <dxf>
      <border diagonalUp="0" diagonalDown="0">
        <left style="thin">
          <color indexed="64"/>
        </left>
        <right/>
        <top/>
        <bottom/>
      </border>
    </dxf>
    <dxf>
      <font>
        <strike val="0"/>
        <outline val="0"/>
        <shadow val="0"/>
        <u val="none"/>
        <vertAlign val="baseline"/>
        <sz val="8"/>
        <name val="Arial"/>
        <scheme val="none"/>
      </font>
      <numFmt numFmtId="0" formatCode="General"/>
      <border diagonalUp="0" diagonalDown="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8"/>
        <name val="Arial"/>
        <scheme val="none"/>
      </font>
    </dxf>
    <dxf>
      <border outline="0">
        <bottom style="thin">
          <color indexed="64"/>
        </bottom>
      </border>
    </dxf>
    <dxf>
      <font>
        <b/>
        <i val="0"/>
        <strike val="0"/>
        <condense val="0"/>
        <extend val="0"/>
        <outline val="0"/>
        <shadow val="0"/>
        <u val="none"/>
        <vertAlign val="baseline"/>
        <sz val="8"/>
        <color auto="1"/>
        <name val="Arial"/>
        <scheme val="none"/>
      </font>
      <fill>
        <patternFill patternType="solid">
          <fgColor indexed="64"/>
          <bgColor indexed="2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ill>
        <patternFill>
          <bgColor rgb="FFFF0000"/>
        </patternFill>
      </fill>
    </dxf>
    <dxf>
      <font>
        <color theme="0"/>
      </font>
      <fill>
        <patternFill>
          <bgColor rgb="FFC00000"/>
        </patternFill>
      </fill>
    </dxf>
    <dxf>
      <font>
        <color theme="0"/>
      </font>
      <fill>
        <patternFill>
          <bgColor rgb="FFC00000"/>
        </patternFill>
      </fill>
    </dxf>
    <dxf>
      <fill>
        <patternFill>
          <bgColor rgb="FFFF0000"/>
        </patternFill>
      </fill>
    </dxf>
    <dxf>
      <font>
        <b/>
        <i val="0"/>
      </font>
      <fill>
        <patternFill>
          <bgColor rgb="FFFF0000"/>
        </patternFill>
      </fill>
    </dxf>
    <dxf>
      <fill>
        <patternFill>
          <bgColor rgb="FFFFC000"/>
        </patternFill>
      </fill>
    </dxf>
    <dxf>
      <font>
        <color theme="0"/>
      </font>
      <fill>
        <patternFill>
          <bgColor rgb="FFC00000"/>
        </patternFill>
      </fill>
    </dxf>
    <dxf>
      <font>
        <color theme="0"/>
      </font>
      <fill>
        <patternFill>
          <bgColor rgb="FFC00000"/>
        </patternFill>
      </fill>
    </dxf>
    <dxf>
      <font>
        <b/>
        <i val="0"/>
      </font>
      <fill>
        <patternFill>
          <bgColor rgb="FFFF0000"/>
        </patternFill>
      </fill>
    </dxf>
  </dxfs>
  <tableStyles count="0" defaultTableStyle="TableStyleMedium9" defaultPivotStyle="PivotStyleLight16"/>
  <colors>
    <mruColors>
      <color rgb="FFFF3399"/>
      <color rgb="FFF02BF5"/>
      <color rgb="FFF55F0B"/>
    </mru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12" Type="http://schemas.microsoft.com/office/2006/relationships/vbaProject" Target="vbaProject.bin"/>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externalLink" Target="externalLinks/externalLink1.xml"/>
  <Relationship Id="rId8" Type="http://schemas.openxmlformats.org/officeDocument/2006/relationships/theme" Target="theme/theme1.xml"/>
  <Relationship Id="rId9" Type="http://schemas.openxmlformats.org/officeDocument/2006/relationships/styles" Target="styles.xml"/>
</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1.xml.rels><?xml version="1.0" encoding="UTF-8"?>

<Relationships xmlns="http://schemas.openxmlformats.org/package/2006/relationships">
  <Relationship Id="rId1" Type="http://schemas.openxmlformats.org/officeDocument/2006/relationships/hyperlink" TargetMode="External" Target="http://www.dickssportinggoods.com/home/index.jsp"/>
  <Relationship Id="rId2"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5</xdr:row>
      <xdr:rowOff>0</xdr:rowOff>
    </xdr:from>
    <xdr:to>
      <xdr:col>5</xdr:col>
      <xdr:colOff>257175</xdr:colOff>
      <xdr:row>9</xdr:row>
      <xdr:rowOff>0</xdr:rowOff>
    </xdr:to>
    <xdr:pic>
      <xdr:nvPicPr>
        <xdr:cNvPr id="5" name="Picture 4">
          <a:hlinkClick xmlns:r="http://schemas.openxmlformats.org/officeDocument/2006/relationships" r:id="rId1"/>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86575" y="904875"/>
          <a:ext cx="1476375" cy="7715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36</xdr:col>
          <xdr:colOff>0</xdr:colOff>
          <xdr:row>0</xdr:row>
          <xdr:rowOff>66675</xdr:rowOff>
        </xdr:from>
        <xdr:to>
          <xdr:col>37</xdr:col>
          <xdr:colOff>0</xdr:colOff>
          <xdr:row>2</xdr:row>
          <xdr:rowOff>104775</xdr:rowOff>
        </xdr:to>
        <xdr:sp macro="" textlink="">
          <xdr:nvSpPr>
            <xdr:cNvPr id="7221" name="Button 53" hidden="1">
              <a:extLst>
                <a:ext uri="{63B3BB69-23CF-44E3-9099-C40C66FF867C}">
                  <a14:compatExt spid="_x0000_s7221"/>
                </a:ext>
              </a:extLst>
            </xdr:cNvPr>
            <xdr:cNvSpPr/>
          </xdr:nvSpPr>
          <xdr:spPr>
            <a:xfrm>
              <a:off x="0" y="0"/>
              <a:ext cx="0" cy="0"/>
            </a:xfrm>
            <a:prstGeom prst="rect">
              <a:avLst/>
            </a:prstGeom>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Get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38</xdr:col>
          <xdr:colOff>371475</xdr:colOff>
          <xdr:row>0</xdr:row>
          <xdr:rowOff>66675</xdr:rowOff>
        </xdr:from>
        <xdr:to>
          <xdr:col>39</xdr:col>
          <xdr:colOff>390525</xdr:colOff>
          <xdr:row>2</xdr:row>
          <xdr:rowOff>104775</xdr:rowOff>
        </xdr:to>
        <xdr:sp macro="" textlink="">
          <xdr:nvSpPr>
            <xdr:cNvPr id="7222" name="Button 54" hidden="1">
              <a:extLst>
                <a:ext uri="{63B3BB69-23CF-44E3-9099-C40C66FF867C}">
                  <a14:compatExt spid="_x0000_s7222"/>
                </a:ext>
              </a:extLst>
            </xdr:cNvPr>
            <xdr:cNvSpPr/>
          </xdr:nvSpPr>
          <xdr:spPr>
            <a:xfrm>
              <a:off x="0" y="0"/>
              <a:ext cx="0" cy="0"/>
            </a:xfrm>
            <a:prstGeom prst="rect">
              <a:avLst/>
            </a:prstGeom>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Clear Data</a:t>
              </a:r>
            </a:p>
          </xdr:txBody>
        </xdr:sp>
        <xdr:clientData fPrintsWithSheet="0"/>
      </xdr:twoCellAnchor>
    </mc:Choice>
    <mc:Fallback/>
  </mc:AlternateContent>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Users/dks0343076/AppData/Local/Microsoft/Windows/Temporary%20Internet%20Files/Content.Outlook/FQO8HYSY/Product%20Setup%20Sheet-DSG%20Tennis%20and%20Girls%2010%2020%2015.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Item Setup Form"/>
      <sheetName val="Product Creation"/>
      <sheetName val="data"/>
      <sheetName val="Validation"/>
      <sheetName val="LTL Form"/>
      <sheetName val="Product Setup Sheet-DSG Tennis "/>
    </sheetNames>
    <sheetDataSet>
      <sheetData sheetId="0"/>
      <sheetData sheetId="1"/>
      <sheetData sheetId="2"/>
      <sheetData sheetId="3">
        <row r="4">
          <cell r="A4" t="str">
            <v>UPC</v>
          </cell>
          <cell r="L4" t="str">
            <v>CURRENT_UNIT_COST</v>
          </cell>
          <cell r="M4" t="str">
            <v>CURRENT_UNIT_RETAIL</v>
          </cell>
          <cell r="S4" t="str">
            <v>Pri Vendor</v>
          </cell>
          <cell r="U4" t="str">
            <v>Ecomm Chain Retail</v>
          </cell>
          <cell r="V4" t="str">
            <v>Pri Vendor #</v>
          </cell>
        </row>
        <row r="5">
          <cell r="A5">
            <v>791964418832</v>
          </cell>
          <cell r="L5">
            <v>185</v>
          </cell>
          <cell r="M5">
            <v>379.99</v>
          </cell>
          <cell r="S5" t="str">
            <v>ACCELL NORTH AMERICA INC</v>
          </cell>
          <cell r="U5">
            <v>299.99</v>
          </cell>
          <cell r="V5" t="str">
            <v>3982</v>
          </cell>
        </row>
      </sheetData>
      <sheetData sheetId="4"/>
      <sheetData sheetId="5"/>
      <sheetData sheetId="6" refreshError="1"/>
    </sheetDataSet>
  </externalBook>
</externalLink>
</file>

<file path=xl/tables/table1.xml><?xml version="1.0" encoding="utf-8"?>
<table xmlns="http://schemas.openxmlformats.org/spreadsheetml/2006/main" id="4" name="Table4" displayName="Table4" ref="AK7:BF977" totalsRowShown="0" headerRowDxfId="112" dataDxfId="110" headerRowBorderDxfId="111" tableBorderDxfId="109" totalsRowBorderDxfId="108" headerRowCellStyle="Percent 3 3">
  <autoFilter ref="AK7:BF977"/>
  <tableColumns count="22">
    <tableColumn id="20" name="Vendor" dataDxfId="107" totalsRowDxfId="106">
      <calculatedColumnFormula>IF(ISNA(MATCH($N8,[1]data!$A:$A,0)),"",INDEX([1]data!S:S,MATCH($N8,[1]data!$A:$A,0)))</calculatedColumnFormula>
    </tableColumn>
    <tableColumn id="21" name="Vendor #" dataDxfId="105" totalsRowDxfId="104">
      <calculatedColumnFormula>IF(ISNA(MATCH($N8,[1]data!$A:$A,0)),"",INDEX([1]data!V:V,MATCH($N8,[1]data!$A:$A,0)))</calculatedColumnFormula>
    </tableColumn>
    <tableColumn id="1" name="Dept Number" dataDxfId="103" totalsRowDxfId="102">
      <calculatedColumnFormula>IF(ISNA(MATCH(#REF!,data!$A:$A,0)),"",INDEX(data!B:B,MATCH(#REF!,data!$A:$A,0)))</calculatedColumnFormula>
    </tableColumn>
    <tableColumn id="2" name="Dept Desc" dataDxfId="101" totalsRowDxfId="100">
      <calculatedColumnFormula>IF(ISNA(MATCH(#REF!,data!$A:$A,0)),"",INDEX(data!C:C,MATCH(#REF!,data!$A:$A,0)))</calculatedColumnFormula>
    </tableColumn>
    <tableColumn id="3" name="Sub Dept Number" dataDxfId="99" totalsRowDxfId="98">
      <calculatedColumnFormula>IF(ISNA(MATCH(#REF!,data!$A:$A,0)),"",INDEX(data!D:D,MATCH(#REF!,data!$A:$A,0)))</calculatedColumnFormula>
    </tableColumn>
    <tableColumn id="4" name="Sub Dept Desc" dataDxfId="97" totalsRowDxfId="96">
      <calculatedColumnFormula>IF(ISNA(MATCH(#REF!,data!$A:$A,0)),"",INDEX(data!E:E,MATCH(#REF!,data!$A:$A,0)))</calculatedColumnFormula>
    </tableColumn>
    <tableColumn id="5" name="Class Number" dataDxfId="95" totalsRowDxfId="94">
      <calculatedColumnFormula>IF(ISNA(MATCH(#REF!,data!$A:$A,0)),"",INDEX(data!F:F,MATCH(#REF!,data!$A:$A,0)))</calculatedColumnFormula>
    </tableColumn>
    <tableColumn id="6" name="Class Desc" dataDxfId="93" totalsRowDxfId="92">
      <calculatedColumnFormula>IF(ISNA(MATCH(#REF!,data!$A:$A,0)),"",INDEX(data!G:G,MATCH(#REF!,data!$A:$A,0)))</calculatedColumnFormula>
    </tableColumn>
    <tableColumn id="7" name="Sub Class Number" dataDxfId="91" totalsRowDxfId="90">
      <calculatedColumnFormula>IF(ISNA(MATCH(#REF!,data!$A:$A,0)),"",INDEX(data!H:H,MATCH(#REF!,data!$A:$A,0)))</calculatedColumnFormula>
    </tableColumn>
    <tableColumn id="8" name="Sub Class Name" dataDxfId="89" totalsRowDxfId="88">
      <calculatedColumnFormula>IF(ISNA(MATCH(#REF!,data!$A:$A,0)),"",INDEX(data!I:I,MATCH(#REF!,data!$A:$A,0)))</calculatedColumnFormula>
    </tableColumn>
    <tableColumn id="9" name="Current Cost" dataDxfId="87" totalsRowDxfId="86">
      <calculatedColumnFormula>IF(ISNA(MATCH($N8,[1]data!$A:$A,0)),"",INDEX([1]data!L:L,MATCH($N8,[1]data!$A:$A,0)))</calculatedColumnFormula>
    </tableColumn>
    <tableColumn id="10" name="Current Chain_x000a_Retail" dataDxfId="85" totalsRowDxfId="84">
      <calculatedColumnFormula>IF(ISNA(MATCH($N8,[1]data!$A:$A,0)),"",INDEX([1]data!M:M,MATCH($N8,[1]data!$A:$A,0)))</calculatedColumnFormula>
    </tableColumn>
    <tableColumn id="11" name="Style #" dataDxfId="83" totalsRowDxfId="82">
      <calculatedColumnFormula>IF(ISNA(MATCH(#REF!,data!$A:$A,0)),"",INDEX(data!J:J,MATCH(#REF!,data!$A:$A,0)))</calculatedColumnFormula>
    </tableColumn>
    <tableColumn id="12" name="Style Desc" dataDxfId="81" totalsRowDxfId="80">
      <calculatedColumnFormula>IF(ISNA(MATCH(#REF!,data!$A:$A,0)),"",INDEX(data!K:K,MATCH(#REF!,data!$A:$A,0)))</calculatedColumnFormula>
    </tableColumn>
    <tableColumn id="14" name="Product Desc" dataDxfId="79" totalsRowDxfId="78">
      <calculatedColumnFormula>IF(ISNA(MATCH(#REF!,data!$A:$A,0)),"",INDEX(data!O:O,MATCH(#REF!,data!$A:$A,0)))</calculatedColumnFormula>
    </tableColumn>
    <tableColumn id="15" name="DSG SKU" dataDxfId="77" totalsRowDxfId="76">
      <calculatedColumnFormula>IF(ISNA(MATCH(#REF!,data!$A:$A,0)),"",INDEX(data!N:N,MATCH(#REF!,data!$A:$A,0)))</calculatedColumnFormula>
    </tableColumn>
    <tableColumn id="13" name="GSI SKU" dataDxfId="75" totalsRowDxfId="74">
      <calculatedColumnFormula>IF(ISNA(MATCH(#REF!,data!$A:$A,0)),"",INDEX(data!P:P,MATCH(#REF!,data!$A:$A,0)))</calculatedColumnFormula>
    </tableColumn>
    <tableColumn id="16" name="PID" dataDxfId="73" totalsRowDxfId="72">
      <calculatedColumnFormula>IF(ISNA(MATCH(#REF!,data!$A:$A,0)),"",INDEX(data!Q:Q,MATCH(#REF!,data!$A:$A,0)))</calculatedColumnFormula>
    </tableColumn>
    <tableColumn id="17" name="PID Status" dataDxfId="71" totalsRowDxfId="70">
      <calculatedColumnFormula>IF(ISNA(MATCH(#REF!,data!$A:$A,0)),"",INDEX(data!R:R,MATCH(#REF!,data!$A:$A,0)))</calculatedColumnFormula>
    </tableColumn>
    <tableColumn id="18" name="eComm Price" dataDxfId="69" totalsRowDxfId="68">
      <calculatedColumnFormula>IF(ISNA(MATCH($N8,[1]data!$A:$A,0)),"",INDEX([1]data!U:U,MATCH($N8,[1]data!$A:$A,0)))</calculatedColumnFormula>
    </tableColumn>
    <tableColumn id="19" name="UPC DUP" dataDxfId="67" totalsRowDxfId="66">
      <calculatedColumnFormula>IF(COUNTIF([1]data!A:A,[1]!Table1[[#This Row],[UPC]])&lt;2,"","DUP")</calculatedColumnFormula>
    </tableColumn>
    <tableColumn id="22" name="Item Type" dataDxfId="65" totalsRowDxfId="64">
      <calculatedColumnFormula>IF(ISNA(MATCH($N8,data!$A:$A,0)),"",INDEX(data!W:W,MATCH($N8,data!$A:$A,0)))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A7:AI977" totalsRowShown="0" headerRowDxfId="63" dataDxfId="61" headerRowBorderDxfId="62" tableBorderDxfId="60" headerRowCellStyle="Percent 3 3" dataCellStyle="Percent 3 3">
  <autoFilter ref="A7:AI977"/>
  <tableColumns count="35">
    <tableColumn id="1" name="Brand " dataDxfId="59" dataCellStyle="Percent 3 3"/>
    <tableColumn id="26" name="Category_x000a_Level 1" dataDxfId="58" dataCellStyle="Percent 3 3"/>
    <tableColumn id="23" name="Category_x000a_Level 2" dataDxfId="57" dataCellStyle="Percent 3 3"/>
    <tableColumn id="2" name="Product Title" dataDxfId="56" dataCellStyle="Percent 3 3"/>
    <tableColumn id="3" name="Vendor Part #" dataDxfId="55" dataCellStyle="Percent 3 3"/>
    <tableColumn id="4" name="Manufacturer Part #" dataDxfId="54" dataCellStyle="Percent 3 3"/>
    <tableColumn id="5" name="Unit Cost" dataDxfId="53" dataCellStyle="Percent 3 3"/>
    <tableColumn id="6" name="Unit Retail " dataDxfId="52" dataCellStyle="Percent 3 3"/>
    <tableColumn id="7" name="Margin" dataDxfId="51">
      <calculatedColumnFormula>IF(H8&lt;&gt;0,(H8-G8)/H8,"")</calculatedColumnFormula>
    </tableColumn>
    <tableColumn id="8" name="MSRP" dataDxfId="50" dataCellStyle="Percent 3 3"/>
    <tableColumn id="29" name="Customer Type" dataDxfId="49" dataCellStyle="Normal 6"/>
    <tableColumn id="9" name="Color (if applicable)" dataDxfId="48" dataCellStyle="Percent 3 3"/>
    <tableColumn id="10" name="Size (if applicable)" dataDxfId="47" dataCellStyle="Percent 3 3"/>
    <tableColumn id="11" name="UPC" dataDxfId="46" dataCellStyle="Percent 2"/>
    <tableColumn id="34" name="VDC_x000a_Yes/No" dataDxfId="45" dataCellStyle="Normal 2 2 4"/>
    <tableColumn id="35" name="Multi-box Shipment Yes/No" dataDxfId="44" dataCellStyle="Normal 2 2 4"/>
    <tableColumn id="12" name="Shipping Length (Longest Dimension) Inches" dataDxfId="43" dataCellStyle="Percent 3 3"/>
    <tableColumn id="13" name="Shipping Width Inches" dataDxfId="42" dataCellStyle="Percent 3 3"/>
    <tableColumn id="14" name="Shipping Height Inches" dataDxfId="41" dataCellStyle="Percent 3 3"/>
    <tableColumn id="15" name="Shipping Weight Pounds" dataDxfId="40" dataCellStyle="Percent 3 3"/>
    <tableColumn id="33" name="Case Pack" dataDxfId="39" dataCellStyle="Percent"/>
    <tableColumn id="32" name="Inner Pack" dataDxfId="38" dataCellStyle="Percent"/>
    <tableColumn id="16" name="DIM Calc" dataDxfId="37" dataCellStyle="Comma 2 2 4 2">
      <calculatedColumnFormula>IF(ISERR(Q8*R8*S8),"",(Q8*R8*S8))</calculatedColumnFormula>
    </tableColumn>
    <tableColumn id="17" name="LTL Freight_x000a_see &quot;LTL Form&quot; Tab" dataDxfId="36" dataCellStyle="Percent 3 3">
      <calculatedColumnFormula>IF(Table1[[#This Row],[Shipping Weight Pounds]]&gt;150,"See LTL Form","No")</calculatedColumnFormula>
    </tableColumn>
    <tableColumn id="31" name="Shipping Restrictions" dataDxfId="35" dataCellStyle="Percent 2 2"/>
    <tableColumn id="18" name="Country Of Origin" dataDxfId="34" dataCellStyle="Percent 3 3"/>
    <tableColumn id="19" name="Short Description_x000a_(up to 400-450 characters)" dataDxfId="33" dataCellStyle="Percent 3 3"/>
    <tableColumn id="20" name="Long Description (bullet points)" dataDxfId="32" dataCellStyle="Percent 3 3"/>
    <tableColumn id="21" name="Warranty Information" dataDxfId="31" dataCellStyle="Percent 3 3"/>
    <tableColumn id="22" name="Link to Full Size Image" dataDxfId="30" dataCellStyle="Percent 3 3"/>
    <tableColumn id="25" name="Link to Product Video (if available)" dataDxfId="29" dataCellStyle="Normal 2 2 2 4"/>
    <tableColumn id="24" name="Approved_x000a_Yes/No" dataDxfId="28" dataCellStyle="Percent 3 3"/>
    <tableColumn id="28" name="Priority" dataDxfId="27"/>
    <tableColumn id="27" name="Comments" dataDxfId="26" dataCellStyle="Percent 3 3"/>
    <tableColumn id="30" name="Approval Date" dataDxfId="25"/>
  </tableColumns>
  <tableStyleInfo showFirstColumn="0" showLastColumn="0" showRowStripes="1" showColumnStripes="0"/>
</table>
</file>

<file path=xl/tables/table3.xml><?xml version="1.0" encoding="utf-8"?>
<table xmlns="http://schemas.openxmlformats.org/spreadsheetml/2006/main" id="2" name="Table2" displayName="Table2" ref="A4:W6" totalsRowShown="0" headerRowDxfId="24" dataDxfId="23">
  <autoFilter ref="A4:W6"/>
  <tableColumns count="23">
    <tableColumn id="1" name="UPC" dataDxfId="22"/>
    <tableColumn id="2" name="DEPARTMENT_NUMBER" dataDxfId="21"/>
    <tableColumn id="3" name="DEPARTMENT_DESCRIPTION" dataDxfId="20"/>
    <tableColumn id="4" name="SUB_DEPARTMENT_NUMBER" dataDxfId="19"/>
    <tableColumn id="5" name="SUB_DEPARTMENT_DESCRIPTION" dataDxfId="18"/>
    <tableColumn id="6" name="CLASS_NUMBER" dataDxfId="17"/>
    <tableColumn id="7" name="CLASS_DESCRIPTION" dataDxfId="16"/>
    <tableColumn id="13" name="SUB_CLASS_NUMBER" dataDxfId="15"/>
    <tableColumn id="14" name="SUB_CLASS_DESCRIPTION" dataDxfId="14"/>
    <tableColumn id="8" name="STYLE_NUMBER" dataDxfId="13"/>
    <tableColumn id="9" name="DESCRIPTION" dataDxfId="12"/>
    <tableColumn id="10" name="CURRENT_UNIT_COST" dataDxfId="11"/>
    <tableColumn id="11" name="CURRENT_UNIT_RETAIL" dataDxfId="10"/>
    <tableColumn id="15" name="DSG_SKU" dataDxfId="9"/>
    <tableColumn id="16" name="SKU_DESCRIPTION" dataDxfId="8"/>
    <tableColumn id="12" name="GSI_sku" dataDxfId="7"/>
    <tableColumn id="20" name="PID" dataDxfId="6"/>
    <tableColumn id="19" name="PID Status" dataDxfId="5"/>
    <tableColumn id="17" name="Pri Vendor" dataDxfId="4"/>
    <tableColumn id="18" name="GSI Price" dataDxfId="3"/>
    <tableColumn id="21" name="Ecomm Chain Retail" dataDxfId="2"/>
    <tableColumn id="22" name="Pri Vendor #" dataDxfId="1"/>
    <tableColumn id="23" name="Item_Typ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_rels/sheet2.xml.rels><?xml version="1.0" encoding="UTF-8"?>

<Relationships xmlns="http://schemas.openxmlformats.org/package/2006/relationships">
  <Relationship Id="rId1" Type="http://schemas.openxmlformats.org/officeDocument/2006/relationships/printerSettings" Target="../printerSettings/printerSettings1.bin"/>
  <Relationship Id="rId2" Type="http://schemas.openxmlformats.org/officeDocument/2006/relationships/drawing" Target="../drawings/drawing2.xml"/>
  <Relationship Id="rId3" Type="http://schemas.openxmlformats.org/officeDocument/2006/relationships/vmlDrawing" Target="../drawings/vmlDrawing1.vml"/>
  <Relationship Id="rId4" Type="http://schemas.openxmlformats.org/officeDocument/2006/relationships/ctrlProp" Target="../ctrlProps/ctrlProp1.xml"/>
  <Relationship Id="rId5" Type="http://schemas.openxmlformats.org/officeDocument/2006/relationships/ctrlProp" Target="../ctrlProps/ctrlProp2.xml"/>
  <Relationship Id="rId6" Type="http://schemas.openxmlformats.org/officeDocument/2006/relationships/table" Target="../tables/table1.xml"/>
  <Relationship Id="rId7" Type="http://schemas.openxmlformats.org/officeDocument/2006/relationships/table" Target="../tables/table2.xml"/>
  <Relationship Id="rId8" Type="http://schemas.openxmlformats.org/officeDocument/2006/relationships/comments" Target="../comments1.xml"/>
</Relationships>

</file>

<file path=xl/worksheets/_rels/sheet4.xml.rels><?xml version="1.0" encoding="UTF-8"?>

<Relationships xmlns="http://schemas.openxmlformats.org/package/2006/relationships">
  <Relationship Id="rId1" Type="http://schemas.openxmlformats.org/officeDocument/2006/relationships/table" Target="../tables/table3.xml"/>
</Relationships>

</file>

<file path=xl/worksheets/_rels/sheet6.xml.rels><?xml version="1.0" encoding="UTF-8"?>

<Relationships xmlns="http://schemas.openxmlformats.org/package/2006/relationships">
  <Relationship Id="rId1" Type="http://schemas.openxmlformats.org/officeDocument/2006/relationships/vmlDrawing" Target="../drawings/vmlDrawing2.vml"/>
  <Relationship Id="rId2" Type="http://schemas.openxmlformats.org/officeDocument/2006/relationships/comments" Target="../comments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H42"/>
  <sheetViews>
    <sheetView workbookViewId="0">
      <selection activeCell="B9" sqref="B9"/>
    </sheetView>
  </sheetViews>
  <sheetFormatPr defaultRowHeight="12.75"/>
  <cols>
    <col min="1" max="1" customWidth="true" width="10.85546875" collapsed="false"/>
    <col min="2" max="2" customWidth="true" width="83.28515625" collapsed="false"/>
  </cols>
  <sheetData>
    <row r="1" spans="1:8" ht="15">
      <c r="A1" s="132" t="s">
        <v>103</v>
      </c>
      <c r="B1" s="133"/>
    </row>
    <row r="2" spans="1:8" ht="15">
      <c r="A2" s="83" t="s">
        <v>104</v>
      </c>
      <c r="B2" s="96"/>
    </row>
    <row r="3" spans="1:8" ht="15">
      <c r="A3" s="83" t="s">
        <v>105</v>
      </c>
      <c r="B3" s="96"/>
    </row>
    <row r="5" spans="1:8" ht="13.5" thickBot="1"/>
    <row r="6" spans="1:8" ht="15.75" thickBot="1">
      <c r="B6" s="84" t="s">
        <v>53</v>
      </c>
    </row>
    <row r="7" spans="1:8" ht="15">
      <c r="B7" s="85" t="s">
        <v>106</v>
      </c>
    </row>
    <row r="8" spans="1:8" ht="15">
      <c r="B8" s="86" t="s">
        <v>107</v>
      </c>
    </row>
    <row r="9" spans="1:8" ht="15">
      <c r="B9" s="102" t="s">
        <v>109</v>
      </c>
    </row>
    <row r="10" spans="1:8" ht="15.75" thickBot="1">
      <c r="B10" s="86"/>
    </row>
    <row r="11" spans="1:8" ht="15">
      <c r="B11" s="87" t="s">
        <v>108</v>
      </c>
      <c r="D11" s="134" t="s">
        <v>129</v>
      </c>
      <c r="E11" s="135"/>
      <c r="F11" s="135"/>
      <c r="G11" s="135"/>
      <c r="H11" s="136"/>
    </row>
    <row r="12" spans="1:8" ht="15">
      <c r="B12" s="103" t="s">
        <v>158</v>
      </c>
      <c r="D12" s="137"/>
      <c r="E12" s="138"/>
      <c r="F12" s="138"/>
      <c r="G12" s="138"/>
      <c r="H12" s="139"/>
    </row>
    <row r="13" spans="1:8" ht="15" customHeight="1" thickBot="1">
      <c r="B13" s="104" t="s">
        <v>159</v>
      </c>
      <c r="D13" s="140"/>
      <c r="E13" s="141"/>
      <c r="F13" s="141"/>
      <c r="G13" s="141"/>
      <c r="H13" s="142"/>
    </row>
    <row r="14" spans="1:8" ht="15" customHeight="1">
      <c r="B14" s="129" t="s">
        <v>190</v>
      </c>
      <c r="D14" s="97"/>
      <c r="E14" s="97"/>
      <c r="F14" s="97"/>
    </row>
    <row r="15" spans="1:8" ht="15.75" customHeight="1">
      <c r="B15" s="105" t="s">
        <v>160</v>
      </c>
      <c r="D15" s="97"/>
      <c r="E15" s="97"/>
      <c r="F15" s="97"/>
    </row>
    <row r="16" spans="1:8" ht="15.75" customHeight="1">
      <c r="B16" s="105" t="s">
        <v>161</v>
      </c>
      <c r="D16" s="97"/>
      <c r="E16" s="97"/>
      <c r="F16" s="97"/>
    </row>
    <row r="17" spans="2:8" ht="15.75" customHeight="1">
      <c r="B17" s="105" t="s">
        <v>162</v>
      </c>
      <c r="D17" s="97"/>
      <c r="E17" s="97"/>
      <c r="F17" s="97"/>
    </row>
    <row r="18" spans="2:8" ht="15.75" customHeight="1">
      <c r="B18" s="105" t="s">
        <v>163</v>
      </c>
      <c r="D18" s="97"/>
      <c r="E18" s="97"/>
      <c r="F18" s="97"/>
    </row>
    <row r="19" spans="2:8" ht="15.75" customHeight="1">
      <c r="B19" s="105" t="s">
        <v>164</v>
      </c>
      <c r="D19" s="97"/>
      <c r="E19" s="97"/>
      <c r="F19" s="97"/>
    </row>
    <row r="20" spans="2:8" ht="15.75" customHeight="1">
      <c r="B20" s="105" t="s">
        <v>165</v>
      </c>
      <c r="D20" s="97"/>
      <c r="E20" s="97"/>
      <c r="F20" s="97"/>
    </row>
    <row r="21" spans="2:8" ht="15.75" customHeight="1" thickBot="1">
      <c r="B21" s="106" t="s">
        <v>109</v>
      </c>
      <c r="D21" s="97"/>
      <c r="E21" s="97"/>
      <c r="F21" s="97"/>
    </row>
    <row r="22" spans="2:8" ht="15.75" thickBot="1">
      <c r="B22" s="88"/>
    </row>
    <row r="23" spans="2:8" ht="15.75" thickBot="1">
      <c r="B23" s="89" t="s">
        <v>110</v>
      </c>
    </row>
    <row r="24" spans="2:8" ht="15">
      <c r="B24" s="85" t="s">
        <v>111</v>
      </c>
      <c r="F24" s="90"/>
      <c r="G24" s="90"/>
      <c r="H24" s="90"/>
    </row>
    <row r="25" spans="2:8" ht="15">
      <c r="B25" s="85" t="s">
        <v>112</v>
      </c>
      <c r="F25" s="90"/>
      <c r="G25" s="90"/>
      <c r="H25" s="90"/>
    </row>
    <row r="26" spans="2:8" ht="15">
      <c r="B26" s="85" t="s">
        <v>113</v>
      </c>
      <c r="F26" s="90"/>
      <c r="G26" s="90"/>
      <c r="H26" s="90"/>
    </row>
    <row r="27" spans="2:8" ht="15">
      <c r="B27" s="91" t="s">
        <v>114</v>
      </c>
      <c r="F27" s="90"/>
      <c r="G27" s="90"/>
      <c r="H27" s="90"/>
    </row>
    <row r="28" spans="2:8" ht="15">
      <c r="B28" s="91" t="s">
        <v>115</v>
      </c>
      <c r="F28" s="90"/>
      <c r="G28" s="90"/>
      <c r="H28" s="90"/>
    </row>
    <row r="29" spans="2:8" ht="15">
      <c r="B29" s="91"/>
    </row>
    <row r="30" spans="2:8" ht="15">
      <c r="B30" s="92" t="s">
        <v>116</v>
      </c>
    </row>
    <row r="31" spans="2:8" ht="15">
      <c r="B31" s="86" t="s">
        <v>117</v>
      </c>
    </row>
    <row r="32" spans="2:8" ht="15">
      <c r="B32" s="85" t="s">
        <v>118</v>
      </c>
    </row>
    <row r="33" spans="2:2" ht="15">
      <c r="B33" s="85" t="s">
        <v>119</v>
      </c>
    </row>
    <row r="34" spans="2:2" ht="15.75" thickBot="1">
      <c r="B34" s="93" t="s">
        <v>120</v>
      </c>
    </row>
    <row r="35" spans="2:2" ht="15.75" thickBot="1">
      <c r="B35" s="88"/>
    </row>
    <row r="36" spans="2:2" ht="15.75" thickBot="1">
      <c r="B36" s="94" t="s">
        <v>121</v>
      </c>
    </row>
    <row r="37" spans="2:2" ht="15">
      <c r="B37" s="95" t="s">
        <v>122</v>
      </c>
    </row>
    <row r="38" spans="2:2" ht="15">
      <c r="B38" s="85" t="s">
        <v>123</v>
      </c>
    </row>
    <row r="39" spans="2:2" ht="15">
      <c r="B39" s="85" t="s">
        <v>124</v>
      </c>
    </row>
    <row r="40" spans="2:2" ht="15">
      <c r="B40" s="85" t="s">
        <v>125</v>
      </c>
    </row>
    <row r="41" spans="2:2" ht="15">
      <c r="B41" s="85" t="s">
        <v>126</v>
      </c>
    </row>
    <row r="42" spans="2:2" ht="15.75" thickBot="1">
      <c r="B42" s="93" t="s">
        <v>127</v>
      </c>
    </row>
  </sheetData>
  <mergeCells count="2">
    <mergeCell ref="A1:B1"/>
    <mergeCell ref="D11:H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FFFF00"/>
    <pageSetUpPr fitToPage="1"/>
  </sheetPr>
  <dimension ref="A1:BF986"/>
  <sheetViews>
    <sheetView tabSelected="1" zoomScaleNormal="100" workbookViewId="0">
      <pane ySplit="7" topLeftCell="A8" activePane="bottomLeft" state="frozen"/>
      <selection pane="bottomLeft" activeCell="A38" sqref="A38:XFD41"/>
    </sheetView>
  </sheetViews>
  <sheetFormatPr defaultRowHeight="12.75"/>
  <cols>
    <col min="1" max="1" customWidth="true" width="9.42578125" collapsed="false"/>
    <col min="2" max="3" bestFit="true" customWidth="true" width="12.7109375" collapsed="false"/>
    <col min="4" max="4" customWidth="true" width="41.28515625" collapsed="false"/>
    <col min="5" max="5" customWidth="true" style="69" width="13.140625" collapsed="false"/>
    <col min="6" max="6" customWidth="true" style="69" width="13.85546875" collapsed="false"/>
    <col min="7" max="7" customWidth="true" width="10.42578125" collapsed="false"/>
    <col min="8" max="8" customWidth="true" width="11.0" collapsed="false"/>
    <col min="9" max="10" customWidth="true" width="10.42578125" collapsed="false"/>
    <col min="11" max="11" customWidth="true" width="11.7109375" collapsed="false"/>
    <col min="12" max="12" customWidth="true" width="18.0" collapsed="false"/>
    <col min="13" max="13" customWidth="true" width="12.28515625" collapsed="false"/>
    <col min="14" max="14" customWidth="true" style="17" width="19.0" collapsed="false"/>
    <col min="15" max="15" bestFit="true" customWidth="true" style="9" width="11.0" collapsed="false"/>
    <col min="16" max="16" customWidth="true" hidden="true" style="9" width="11.0" collapsed="false"/>
    <col min="17" max="17" customWidth="true" hidden="true" width="17.140625" collapsed="false"/>
    <col min="18" max="18" customWidth="true" hidden="true" width="14.7109375" collapsed="false"/>
    <col min="19" max="19" customWidth="true" hidden="true" width="14.0" collapsed="false"/>
    <col min="20" max="20" customWidth="true" hidden="true" style="17" width="15.140625" collapsed="false"/>
    <col min="21" max="22" customWidth="true" hidden="true" style="17" width="8.5703125" collapsed="false"/>
    <col min="23" max="23" customWidth="true" hidden="true" width="11.42578125" collapsed="false"/>
    <col min="24" max="24" customWidth="true" hidden="true" style="127" width="18.85546875" collapsed="false"/>
    <col min="25" max="25" customWidth="true" hidden="true" width="14.42578125" collapsed="false"/>
    <col min="26" max="26" customWidth="true" hidden="true" width="16.42578125" collapsed="false"/>
    <col min="27" max="27" customWidth="true" style="8" width="56.5703125" collapsed="false"/>
    <col min="28" max="28" customWidth="true" width="27.7109375" collapsed="false"/>
    <col min="29" max="29" customWidth="true" width="19.42578125" collapsed="false"/>
    <col min="30" max="30" customWidth="true" width="20.42578125" collapsed="false"/>
    <col min="31" max="31" customWidth="true" width="18.5703125" collapsed="false"/>
    <col min="32" max="32" bestFit="true" customWidth="true" width="13.28515625" collapsed="false"/>
    <col min="33" max="33" bestFit="true" customWidth="true" width="11.28515625" collapsed="false"/>
    <col min="34" max="34" customWidth="true" style="54" width="19.140625" collapsed="false"/>
    <col min="35" max="35" bestFit="true" customWidth="true" width="16.42578125" collapsed="false"/>
    <col min="36" max="36" customWidth="true" style="44" width="4.7109375" collapsed="false"/>
    <col min="37" max="38" customWidth="true" style="8" width="13.28515625" collapsed="false"/>
    <col min="39" max="39" customWidth="true" style="8" width="12.85546875" collapsed="false"/>
    <col min="40" max="40" customWidth="true" style="8" width="12.0" collapsed="false"/>
    <col min="41" max="41" customWidth="true" style="8" width="19.85546875" collapsed="false"/>
    <col min="42" max="42" customWidth="true" style="8" width="16.140625" collapsed="false"/>
    <col min="43" max="43" customWidth="true" style="8" width="13.7109375" collapsed="false"/>
    <col min="44" max="44" customWidth="true" style="8" width="12.85546875" collapsed="false"/>
    <col min="45" max="45" customWidth="true" style="8" width="13.7109375" collapsed="false"/>
    <col min="46" max="46" customWidth="true" style="8" width="15.28515625" collapsed="false"/>
    <col min="47" max="48" customWidth="true" style="8" width="10.0" collapsed="false"/>
    <col min="49" max="49" bestFit="true" customWidth="true" style="8" width="22.28515625" collapsed="false"/>
    <col min="50" max="50" bestFit="true" customWidth="true" style="8" width="15.42578125" collapsed="false"/>
    <col min="51" max="51" bestFit="true" customWidth="true" style="8" width="11.5703125" collapsed="false"/>
    <col min="52" max="52" bestFit="true" customWidth="true" style="8" width="11.0" collapsed="false"/>
  </cols>
  <sheetData>
    <row r="1" spans="1:58" s="5" customFormat="1" ht="16.5" customHeight="1">
      <c r="A1" s="4" t="s">
        <v>184</v>
      </c>
      <c r="B1" s="4"/>
      <c r="C1" s="4"/>
      <c r="E1" s="75"/>
      <c r="F1" s="75"/>
      <c r="G1" s="75"/>
      <c r="N1" s="15"/>
      <c r="O1" s="72"/>
      <c r="P1" s="72"/>
      <c r="T1" s="15"/>
      <c r="U1" s="15"/>
      <c r="V1" s="15"/>
      <c r="X1" s="124"/>
      <c r="AA1" s="7"/>
      <c r="AH1" s="52"/>
      <c r="AI1" s="42"/>
      <c r="AJ1" s="7"/>
      <c r="AK1" s="7"/>
      <c r="AL1" s="7"/>
      <c r="AM1" s="7"/>
      <c r="AN1" s="7"/>
      <c r="AO1" s="7"/>
      <c r="AP1" s="13"/>
      <c r="AQ1" s="7"/>
      <c r="AR1" s="7"/>
      <c r="AS1" s="7"/>
      <c r="AT1" s="7"/>
      <c r="AU1" s="7"/>
      <c r="AV1" s="7"/>
      <c r="AW1" s="7"/>
      <c r="AX1" s="7"/>
      <c r="AY1" s="7"/>
    </row>
    <row r="2" spans="1:58" s="3" customFormat="1" ht="30">
      <c r="A2" s="3" t="s">
        <v>19</v>
      </c>
      <c r="E2" s="75"/>
      <c r="F2" s="75"/>
      <c r="G2" s="75"/>
      <c r="N2" s="16"/>
      <c r="O2" s="9"/>
      <c r="P2" s="9"/>
      <c r="T2" s="16"/>
      <c r="U2" s="16"/>
      <c r="V2" s="16"/>
      <c r="X2" s="125"/>
      <c r="AA2" s="8"/>
      <c r="AH2" s="53"/>
      <c r="AI2" s="43"/>
      <c r="AJ2" s="14"/>
      <c r="AK2" s="14"/>
      <c r="AL2" s="14"/>
      <c r="AM2" s="8"/>
      <c r="AN2" s="8"/>
      <c r="AO2" s="8"/>
      <c r="AP2" s="8"/>
      <c r="AQ2" s="8"/>
      <c r="AR2" s="8"/>
      <c r="AS2" s="8"/>
      <c r="AT2" s="8"/>
      <c r="AU2" s="8"/>
      <c r="AV2" s="8"/>
      <c r="AW2" s="8"/>
      <c r="AX2" s="8"/>
      <c r="AY2" s="8"/>
    </row>
    <row r="3" spans="1:58" s="3" customFormat="1">
      <c r="A3" s="22" t="s">
        <v>55</v>
      </c>
      <c r="B3" s="22"/>
      <c r="C3" s="22"/>
      <c r="E3" s="64"/>
      <c r="F3" s="64"/>
      <c r="N3" s="16"/>
      <c r="O3" s="9"/>
      <c r="P3" s="9"/>
      <c r="T3" s="16"/>
      <c r="U3" s="16"/>
      <c r="V3" s="16"/>
      <c r="X3" s="125"/>
      <c r="AA3" s="8"/>
      <c r="AH3" s="53"/>
      <c r="AI3" s="43"/>
      <c r="AJ3" s="8"/>
      <c r="AK3" s="8"/>
      <c r="AL3" s="8"/>
      <c r="AM3" s="8"/>
      <c r="AN3" s="8"/>
      <c r="AO3" s="8"/>
      <c r="AP3" s="8"/>
      <c r="AQ3" s="8"/>
      <c r="AR3" s="8"/>
      <c r="AS3" s="8"/>
      <c r="AT3" s="8"/>
      <c r="AU3" s="8"/>
      <c r="AV3" s="8"/>
      <c r="AW3" s="8"/>
      <c r="AX3" s="8"/>
      <c r="AY3" s="8"/>
    </row>
    <row r="4" spans="1:58" s="3" customFormat="1">
      <c r="A4" s="3" t="s">
        <v>18</v>
      </c>
      <c r="E4" s="64"/>
      <c r="F4" s="64"/>
      <c r="N4" s="16"/>
      <c r="O4" s="9"/>
      <c r="P4" s="9"/>
      <c r="Q4" s="143" t="s">
        <v>68</v>
      </c>
      <c r="R4" s="144"/>
      <c r="S4" s="144"/>
      <c r="T4" s="144"/>
      <c r="U4" s="16"/>
      <c r="V4" s="16"/>
      <c r="X4" s="125"/>
      <c r="AA4" s="8"/>
      <c r="AH4" s="53"/>
      <c r="AI4" s="43"/>
      <c r="AJ4" s="8"/>
      <c r="AK4" s="8"/>
      <c r="AL4" s="8"/>
      <c r="AM4" s="8"/>
      <c r="AN4" s="8"/>
      <c r="AO4" s="8"/>
      <c r="AP4" s="8"/>
      <c r="AQ4" s="8"/>
      <c r="AR4" s="8"/>
      <c r="AS4" s="8"/>
      <c r="AT4" s="8"/>
      <c r="AU4" s="8"/>
      <c r="AV4" s="8"/>
      <c r="AW4" s="8"/>
      <c r="AX4" s="8"/>
      <c r="AY4" s="8"/>
    </row>
    <row r="5" spans="1:58" s="3" customFormat="1" ht="18" customHeight="1">
      <c r="A5" s="130" t="s">
        <v>189</v>
      </c>
      <c r="E5" s="64"/>
      <c r="F5" s="64"/>
      <c r="N5" s="16"/>
      <c r="O5" s="9"/>
      <c r="P5" s="9"/>
      <c r="Q5" s="145"/>
      <c r="R5" s="146"/>
      <c r="S5" s="146"/>
      <c r="T5" s="146"/>
      <c r="U5" s="16"/>
      <c r="V5" s="16"/>
      <c r="X5" s="125"/>
      <c r="AA5" s="8"/>
      <c r="AH5" s="53"/>
      <c r="AI5" s="43"/>
      <c r="AJ5" s="8"/>
      <c r="AK5" s="8"/>
      <c r="AL5" s="8"/>
      <c r="AM5" s="8"/>
      <c r="AN5" s="8"/>
      <c r="AO5" s="8"/>
      <c r="AP5" s="8"/>
      <c r="AQ5" s="8"/>
      <c r="AR5" s="8"/>
      <c r="AS5" s="8"/>
      <c r="AT5" s="8"/>
      <c r="AU5" s="8"/>
      <c r="AV5" s="8"/>
      <c r="AW5" s="8"/>
      <c r="AX5" s="8"/>
      <c r="AY5" s="8"/>
    </row>
    <row r="6" spans="1:58" s="25" customFormat="1" ht="20.25" customHeight="1">
      <c r="A6" s="23" t="s">
        <v>53</v>
      </c>
      <c r="B6" s="23" t="s">
        <v>53</v>
      </c>
      <c r="C6" s="23" t="s">
        <v>53</v>
      </c>
      <c r="D6" s="23" t="s">
        <v>53</v>
      </c>
      <c r="E6" s="65" t="s">
        <v>53</v>
      </c>
      <c r="F6" s="65" t="s">
        <v>53</v>
      </c>
      <c r="G6" s="23" t="s">
        <v>53</v>
      </c>
      <c r="H6" s="23" t="s">
        <v>53</v>
      </c>
      <c r="I6" s="27" t="s">
        <v>56</v>
      </c>
      <c r="J6" s="23" t="s">
        <v>53</v>
      </c>
      <c r="K6" s="23" t="s">
        <v>53</v>
      </c>
      <c r="L6" s="23" t="s">
        <v>53</v>
      </c>
      <c r="M6" s="23" t="s">
        <v>53</v>
      </c>
      <c r="N6" s="23" t="s">
        <v>53</v>
      </c>
      <c r="O6" s="23" t="s">
        <v>53</v>
      </c>
      <c r="P6" s="23" t="s">
        <v>53</v>
      </c>
      <c r="Q6" s="23" t="s">
        <v>53</v>
      </c>
      <c r="R6" s="23" t="s">
        <v>53</v>
      </c>
      <c r="S6" s="23" t="s">
        <v>53</v>
      </c>
      <c r="T6" s="58" t="s">
        <v>53</v>
      </c>
      <c r="U6" s="58" t="s">
        <v>53</v>
      </c>
      <c r="V6" s="58" t="s">
        <v>53</v>
      </c>
      <c r="W6" s="27" t="s">
        <v>56</v>
      </c>
      <c r="X6" s="27" t="s">
        <v>56</v>
      </c>
      <c r="Y6" s="23" t="s">
        <v>53</v>
      </c>
      <c r="Z6" s="23" t="s">
        <v>53</v>
      </c>
      <c r="AA6" s="23" t="s">
        <v>53</v>
      </c>
      <c r="AB6" s="23" t="s">
        <v>53</v>
      </c>
      <c r="AC6" s="23" t="s">
        <v>53</v>
      </c>
      <c r="AD6" s="23" t="s">
        <v>53</v>
      </c>
      <c r="AE6" s="23" t="s">
        <v>53</v>
      </c>
      <c r="AF6" s="24" t="s">
        <v>54</v>
      </c>
      <c r="AG6" s="24" t="s">
        <v>54</v>
      </c>
      <c r="AH6" s="24" t="s">
        <v>54</v>
      </c>
      <c r="AI6" s="27" t="s">
        <v>56</v>
      </c>
      <c r="AK6" s="26" t="s">
        <v>23</v>
      </c>
      <c r="AL6" s="26"/>
      <c r="AN6" s="26"/>
      <c r="AO6" s="26"/>
      <c r="AP6" s="26"/>
      <c r="AQ6" s="26"/>
      <c r="AR6" s="26"/>
      <c r="AS6" s="26" t="s">
        <v>20</v>
      </c>
      <c r="AT6" s="26"/>
      <c r="AU6" s="26"/>
      <c r="AV6" s="26"/>
      <c r="AW6" s="26"/>
      <c r="AX6" s="26"/>
      <c r="AY6" s="26"/>
    </row>
    <row r="7" spans="1:58" ht="33.75">
      <c r="A7" s="18" t="s">
        <v>0</v>
      </c>
      <c r="B7" s="55" t="s">
        <v>63</v>
      </c>
      <c r="C7" s="55" t="s">
        <v>64</v>
      </c>
      <c r="D7" s="19" t="s">
        <v>1</v>
      </c>
      <c r="E7" s="66" t="s">
        <v>2</v>
      </c>
      <c r="F7" s="66" t="s">
        <v>13</v>
      </c>
      <c r="G7" s="19" t="s">
        <v>10</v>
      </c>
      <c r="H7" s="19" t="s">
        <v>11</v>
      </c>
      <c r="I7" s="20" t="s">
        <v>3</v>
      </c>
      <c r="J7" s="19" t="s">
        <v>4</v>
      </c>
      <c r="K7" s="19" t="s">
        <v>77</v>
      </c>
      <c r="L7" s="19" t="s">
        <v>5</v>
      </c>
      <c r="M7" s="19" t="s">
        <v>6</v>
      </c>
      <c r="N7" s="21" t="s">
        <v>7</v>
      </c>
      <c r="O7" s="21" t="s">
        <v>65</v>
      </c>
      <c r="P7" s="21" t="s">
        <v>67</v>
      </c>
      <c r="Q7" s="19" t="s">
        <v>52</v>
      </c>
      <c r="R7" s="19" t="s">
        <v>14</v>
      </c>
      <c r="S7" s="19" t="s">
        <v>15</v>
      </c>
      <c r="T7" s="21" t="s">
        <v>16</v>
      </c>
      <c r="U7" s="21" t="s">
        <v>96</v>
      </c>
      <c r="V7" s="21" t="s">
        <v>97</v>
      </c>
      <c r="W7" s="19" t="s">
        <v>51</v>
      </c>
      <c r="X7" s="19" t="s">
        <v>183</v>
      </c>
      <c r="Y7" s="19" t="s">
        <v>102</v>
      </c>
      <c r="Z7" s="19" t="s">
        <v>8</v>
      </c>
      <c r="AA7" s="19" t="s">
        <v>76</v>
      </c>
      <c r="AB7" s="19" t="s">
        <v>17</v>
      </c>
      <c r="AC7" s="19" t="s">
        <v>9</v>
      </c>
      <c r="AD7" s="19" t="s">
        <v>12</v>
      </c>
      <c r="AE7" s="19" t="s">
        <v>75</v>
      </c>
      <c r="AF7" s="6" t="s">
        <v>66</v>
      </c>
      <c r="AG7" s="6" t="s">
        <v>73</v>
      </c>
      <c r="AH7" s="6" t="s">
        <v>60</v>
      </c>
      <c r="AI7" s="6" t="s">
        <v>74</v>
      </c>
      <c r="AK7" s="63" t="s">
        <v>53</v>
      </c>
      <c r="AL7" s="63" t="s">
        <v>89</v>
      </c>
      <c r="AM7" s="10" t="s">
        <v>34</v>
      </c>
      <c r="AN7" s="1" t="s">
        <v>35</v>
      </c>
      <c r="AO7" s="1" t="s">
        <v>36</v>
      </c>
      <c r="AP7" s="1" t="s">
        <v>37</v>
      </c>
      <c r="AQ7" s="1" t="s">
        <v>38</v>
      </c>
      <c r="AR7" s="1" t="s">
        <v>39</v>
      </c>
      <c r="AS7" s="1" t="s">
        <v>40</v>
      </c>
      <c r="AT7" s="1" t="s">
        <v>41</v>
      </c>
      <c r="AU7" s="6" t="s">
        <v>42</v>
      </c>
      <c r="AV7" s="6" t="s">
        <v>128</v>
      </c>
      <c r="AW7" s="1" t="s">
        <v>21</v>
      </c>
      <c r="AX7" s="11" t="s">
        <v>22</v>
      </c>
      <c r="AY7" s="11" t="s">
        <v>48</v>
      </c>
      <c r="AZ7" s="11" t="s">
        <v>50</v>
      </c>
      <c r="BA7" s="11" t="s">
        <v>49</v>
      </c>
      <c r="BB7" s="51" t="s">
        <v>57</v>
      </c>
      <c r="BC7" s="51" t="s">
        <v>58</v>
      </c>
      <c r="BD7" s="6" t="s">
        <v>59</v>
      </c>
      <c r="BE7" s="63" t="s">
        <v>72</v>
      </c>
      <c r="BF7" s="128" t="s">
        <v>187</v>
      </c>
    </row>
    <row r="8" spans="1:58" ht="12.75" customHeight="1">
      <c r="A8" s="35"/>
      <c r="B8" s="35"/>
      <c r="C8" s="35"/>
      <c r="D8" s="35"/>
      <c r="E8" s="67"/>
      <c r="F8" s="67"/>
      <c r="G8" s="36"/>
      <c r="H8" s="29"/>
      <c r="I8" s="78"/>
      <c r="J8" s="29"/>
      <c r="K8" s="29"/>
      <c r="L8" s="33"/>
      <c r="M8" s="33"/>
      <c r="N8" s="131"/>
      <c r="O8" s="71"/>
      <c r="P8" s="71"/>
      <c r="Q8" s="33"/>
      <c r="R8" s="31"/>
      <c r="S8" s="31"/>
      <c r="T8" s="59"/>
      <c r="U8" s="59"/>
      <c r="V8" s="59"/>
      <c r="W8" s="57"/>
      <c r="X8" s="126"/>
      <c r="Y8" s="28"/>
      <c r="Z8" s="33"/>
      <c r="AA8" s="34"/>
      <c r="AB8" s="30"/>
      <c r="AC8" s="30"/>
      <c r="AD8" s="32"/>
      <c r="AE8" s="32"/>
      <c r="AF8" s="2"/>
      <c r="AG8" s="2"/>
      <c r="AH8" s="2"/>
      <c r="AI8" s="2"/>
      <c r="AK8" s="73"/>
      <c r="AL8" s="73"/>
      <c r="AM8" s="38"/>
      <c r="AN8" s="38"/>
      <c r="AO8" s="38"/>
      <c r="AP8" s="38"/>
      <c r="AQ8" s="38"/>
      <c r="AR8" s="38"/>
      <c r="AS8" s="38"/>
      <c r="AT8" s="38"/>
      <c r="AU8" s="38"/>
      <c r="AV8" s="38"/>
      <c r="AW8" s="38"/>
      <c r="AX8" s="38"/>
      <c r="AY8" s="38"/>
      <c r="AZ8" s="38"/>
      <c r="BA8" s="38"/>
      <c r="BB8" s="38"/>
      <c r="BC8" s="38"/>
      <c r="BD8" s="38"/>
      <c r="BE8" s="61"/>
      <c r="BF8" s="38"/>
    </row>
    <row r="9" spans="1:58" ht="12.75" customHeight="1">
      <c r="A9" s="35"/>
      <c r="B9" s="35"/>
      <c r="C9" s="35"/>
      <c r="D9" s="35"/>
      <c r="E9" s="67"/>
      <c r="F9" s="67"/>
      <c r="G9" s="36"/>
      <c r="H9" s="29"/>
      <c r="I9" s="78"/>
      <c r="J9" s="29"/>
      <c r="K9" s="29"/>
      <c r="L9" s="33"/>
      <c r="M9" s="33"/>
      <c r="N9" s="131"/>
      <c r="O9" s="71"/>
      <c r="P9" s="71"/>
      <c r="Q9" s="33"/>
      <c r="R9" s="31"/>
      <c r="S9" s="31"/>
      <c r="T9" s="59"/>
      <c r="U9" s="59"/>
      <c r="V9" s="59"/>
      <c r="W9" s="57"/>
      <c r="X9" s="126"/>
      <c r="Y9" s="28"/>
      <c r="Z9" s="33"/>
      <c r="AA9" s="34"/>
      <c r="AB9" s="30"/>
      <c r="AC9" s="30"/>
      <c r="AD9" s="32"/>
      <c r="AE9" s="32"/>
      <c r="AF9" s="2"/>
      <c r="AG9" s="2"/>
      <c r="AH9" s="2"/>
      <c r="AI9" s="2"/>
      <c r="AK9" s="73"/>
      <c r="AL9" s="73"/>
      <c r="AM9" s="38"/>
      <c r="AN9" s="38"/>
      <c r="AO9" s="38"/>
      <c r="AP9" s="38"/>
      <c r="AQ9" s="38"/>
      <c r="AR9" s="38"/>
      <c r="AS9" s="38"/>
      <c r="AT9" s="38"/>
      <c r="AU9" s="38"/>
      <c r="AV9" s="38"/>
      <c r="AW9" s="38"/>
      <c r="AX9" s="38"/>
      <c r="AY9" s="38"/>
      <c r="AZ9" s="38"/>
      <c r="BA9" s="38"/>
      <c r="BB9" s="38"/>
      <c r="BC9" s="38"/>
      <c r="BD9" s="38"/>
      <c r="BE9" s="61"/>
      <c r="BF9" s="38"/>
    </row>
    <row r="10" spans="1:58" ht="12.75" customHeight="1">
      <c r="A10" s="35"/>
      <c r="B10" s="35"/>
      <c r="C10" s="35"/>
      <c r="D10" s="35"/>
      <c r="E10" s="67"/>
      <c r="F10" s="67"/>
      <c r="G10" s="36"/>
      <c r="H10" s="29"/>
      <c r="I10" s="78"/>
      <c r="J10" s="29"/>
      <c r="K10" s="29"/>
      <c r="L10" s="33"/>
      <c r="M10" s="33"/>
      <c r="N10" s="131"/>
      <c r="O10" s="71"/>
      <c r="P10" s="71"/>
      <c r="Q10" s="33"/>
      <c r="R10" s="31"/>
      <c r="S10" s="31"/>
      <c r="T10" s="59"/>
      <c r="U10" s="59"/>
      <c r="V10" s="59"/>
      <c r="W10" s="57"/>
      <c r="X10" s="126"/>
      <c r="Y10" s="28"/>
      <c r="Z10" s="33"/>
      <c r="AA10" s="34"/>
      <c r="AB10" s="30"/>
      <c r="AC10" s="30"/>
      <c r="AD10" s="32"/>
      <c r="AE10" s="32"/>
      <c r="AF10" s="2"/>
      <c r="AG10" s="2"/>
      <c r="AH10" s="2"/>
      <c r="AI10" s="2"/>
      <c r="AK10" s="73"/>
      <c r="AL10" s="73"/>
      <c r="AM10" s="38"/>
      <c r="AN10" s="38"/>
      <c r="AO10" s="38"/>
      <c r="AP10" s="38"/>
      <c r="AQ10" s="38"/>
      <c r="AR10" s="38"/>
      <c r="AS10" s="38"/>
      <c r="AT10" s="38"/>
      <c r="AU10" s="38"/>
      <c r="AV10" s="38"/>
      <c r="AW10" s="38"/>
      <c r="AX10" s="38"/>
      <c r="AY10" s="38"/>
      <c r="AZ10" s="38"/>
      <c r="BA10" s="38"/>
      <c r="BB10" s="38"/>
      <c r="BC10" s="38"/>
      <c r="BD10" s="38"/>
      <c r="BE10" s="61"/>
      <c r="BF10" s="38"/>
    </row>
    <row r="11" spans="1:58" ht="12.75" customHeight="1">
      <c r="A11" s="35"/>
      <c r="B11" s="35"/>
      <c r="C11" s="35"/>
      <c r="D11" s="35"/>
      <c r="E11" s="67"/>
      <c r="F11" s="67"/>
      <c r="G11" s="36"/>
      <c r="H11" s="29"/>
      <c r="I11" s="78"/>
      <c r="J11" s="29"/>
      <c r="K11" s="29"/>
      <c r="L11" s="33"/>
      <c r="M11" s="33"/>
      <c r="N11" s="131"/>
      <c r="O11" s="71"/>
      <c r="P11" s="71"/>
      <c r="Q11" s="33"/>
      <c r="R11" s="31"/>
      <c r="S11" s="31"/>
      <c r="T11" s="59"/>
      <c r="U11" s="59"/>
      <c r="V11" s="59"/>
      <c r="W11" s="57"/>
      <c r="X11" s="126"/>
      <c r="Y11" s="28"/>
      <c r="Z11" s="33"/>
      <c r="AA11" s="34"/>
      <c r="AB11" s="30"/>
      <c r="AC11" s="30"/>
      <c r="AD11" s="32"/>
      <c r="AE11" s="32"/>
      <c r="AF11" s="2"/>
      <c r="AG11" s="2"/>
      <c r="AH11" s="2"/>
      <c r="AI11" s="2"/>
      <c r="AK11" s="73"/>
      <c r="AL11" s="73"/>
      <c r="AM11" s="38"/>
      <c r="AN11" s="38"/>
      <c r="AO11" s="38"/>
      <c r="AP11" s="38"/>
      <c r="AQ11" s="38"/>
      <c r="AR11" s="38"/>
      <c r="AS11" s="38"/>
      <c r="AT11" s="38"/>
      <c r="AU11" s="38"/>
      <c r="AV11" s="38"/>
      <c r="AW11" s="38"/>
      <c r="AX11" s="38"/>
      <c r="AY11" s="38"/>
      <c r="AZ11" s="38"/>
      <c r="BA11" s="38"/>
      <c r="BB11" s="38"/>
      <c r="BC11" s="38"/>
      <c r="BD11" s="38"/>
      <c r="BE11" s="61"/>
      <c r="BF11" s="38"/>
    </row>
    <row r="12" spans="1:58" ht="12.75" customHeight="1">
      <c r="A12" s="35"/>
      <c r="B12" s="35"/>
      <c r="C12" s="35"/>
      <c r="D12" s="35"/>
      <c r="E12" s="67"/>
      <c r="F12" s="67"/>
      <c r="G12" s="36"/>
      <c r="H12" s="29"/>
      <c r="I12" s="78"/>
      <c r="J12" s="29"/>
      <c r="K12" s="29"/>
      <c r="L12" s="33"/>
      <c r="M12" s="33"/>
      <c r="N12" s="131"/>
      <c r="O12" s="71"/>
      <c r="P12" s="71"/>
      <c r="Q12" s="33"/>
      <c r="R12" s="31"/>
      <c r="S12" s="31"/>
      <c r="T12" s="59"/>
      <c r="U12" s="59"/>
      <c r="V12" s="59"/>
      <c r="W12" s="57"/>
      <c r="X12" s="126"/>
      <c r="Y12" s="28"/>
      <c r="Z12" s="33"/>
      <c r="AA12" s="34"/>
      <c r="AB12" s="30"/>
      <c r="AC12" s="30"/>
      <c r="AD12" s="32"/>
      <c r="AE12" s="32"/>
      <c r="AF12" s="2"/>
      <c r="AG12" s="2"/>
      <c r="AH12" s="2"/>
      <c r="AI12" s="2"/>
      <c r="AK12" s="73"/>
      <c r="AL12" s="73"/>
      <c r="AM12" s="38"/>
      <c r="AN12" s="38"/>
      <c r="AO12" s="38"/>
      <c r="AP12" s="38"/>
      <c r="AQ12" s="38"/>
      <c r="AR12" s="38"/>
      <c r="AS12" s="38"/>
      <c r="AT12" s="38"/>
      <c r="AU12" s="38"/>
      <c r="AV12" s="38"/>
      <c r="AW12" s="38"/>
      <c r="AX12" s="38"/>
      <c r="AY12" s="38"/>
      <c r="AZ12" s="38"/>
      <c r="BA12" s="38"/>
      <c r="BB12" s="38"/>
      <c r="BC12" s="38"/>
      <c r="BD12" s="38"/>
      <c r="BE12" s="61"/>
      <c r="BF12" s="38"/>
    </row>
    <row r="13" spans="1:58" ht="12.75" customHeight="1">
      <c r="A13" s="35"/>
      <c r="B13" s="35"/>
      <c r="C13" s="35"/>
      <c r="D13" s="35"/>
      <c r="E13" s="67"/>
      <c r="F13" s="67"/>
      <c r="G13" s="36"/>
      <c r="H13" s="29"/>
      <c r="I13" s="78"/>
      <c r="J13" s="29"/>
      <c r="K13" s="29"/>
      <c r="L13" s="33"/>
      <c r="M13" s="33"/>
      <c r="N13" s="131"/>
      <c r="O13" s="71"/>
      <c r="P13" s="71"/>
      <c r="Q13" s="33"/>
      <c r="R13" s="31"/>
      <c r="S13" s="31"/>
      <c r="T13" s="59"/>
      <c r="U13" s="59"/>
      <c r="V13" s="59"/>
      <c r="W13" s="57"/>
      <c r="X13" s="126"/>
      <c r="Y13" s="28"/>
      <c r="Z13" s="33"/>
      <c r="AA13" s="34"/>
      <c r="AB13" s="30"/>
      <c r="AC13" s="30"/>
      <c r="AD13" s="32"/>
      <c r="AE13" s="32"/>
      <c r="AF13" s="2"/>
      <c r="AG13" s="2"/>
      <c r="AH13" s="2"/>
      <c r="AI13" s="2"/>
      <c r="AK13" s="73"/>
      <c r="AL13" s="73"/>
      <c r="AM13" s="38"/>
      <c r="AN13" s="38"/>
      <c r="AO13" s="38"/>
      <c r="AP13" s="38"/>
      <c r="AQ13" s="38"/>
      <c r="AR13" s="38"/>
      <c r="AS13" s="38"/>
      <c r="AT13" s="38"/>
      <c r="AU13" s="38"/>
      <c r="AV13" s="38"/>
      <c r="AW13" s="38"/>
      <c r="AX13" s="38"/>
      <c r="AY13" s="38"/>
      <c r="AZ13" s="38"/>
      <c r="BA13" s="38"/>
      <c r="BB13" s="38"/>
      <c r="BC13" s="38"/>
      <c r="BD13" s="38"/>
      <c r="BE13" s="61"/>
      <c r="BF13" s="38"/>
    </row>
    <row r="14" spans="1:58" ht="12.75" customHeight="1">
      <c r="A14" s="35"/>
      <c r="B14" s="35"/>
      <c r="C14" s="35"/>
      <c r="D14" s="35"/>
      <c r="E14" s="67"/>
      <c r="F14" s="67"/>
      <c r="G14" s="36"/>
      <c r="H14" s="29"/>
      <c r="I14" s="78"/>
      <c r="J14" s="29"/>
      <c r="K14" s="29"/>
      <c r="L14" s="33"/>
      <c r="M14" s="33"/>
      <c r="N14" s="131"/>
      <c r="O14" s="71"/>
      <c r="P14" s="71"/>
      <c r="Q14" s="33"/>
      <c r="R14" s="31"/>
      <c r="S14" s="31"/>
      <c r="T14" s="59"/>
      <c r="U14" s="59"/>
      <c r="V14" s="59"/>
      <c r="W14" s="57"/>
      <c r="X14" s="126"/>
      <c r="Y14" s="28"/>
      <c r="Z14" s="33"/>
      <c r="AA14" s="34"/>
      <c r="AB14" s="30"/>
      <c r="AC14" s="30"/>
      <c r="AD14" s="32"/>
      <c r="AE14" s="32"/>
      <c r="AF14" s="2"/>
      <c r="AG14" s="2"/>
      <c r="AH14" s="2"/>
      <c r="AI14" s="2"/>
      <c r="AK14" s="73"/>
      <c r="AL14" s="73"/>
      <c r="AM14" s="38"/>
      <c r="AN14" s="38"/>
      <c r="AO14" s="38"/>
      <c r="AP14" s="38"/>
      <c r="AQ14" s="38"/>
      <c r="AR14" s="38"/>
      <c r="AS14" s="38"/>
      <c r="AT14" s="38"/>
      <c r="AU14" s="38"/>
      <c r="AV14" s="38"/>
      <c r="AW14" s="38"/>
      <c r="AX14" s="38"/>
      <c r="AY14" s="38"/>
      <c r="AZ14" s="38"/>
      <c r="BA14" s="38"/>
      <c r="BB14" s="38"/>
      <c r="BC14" s="38"/>
      <c r="BD14" s="38"/>
      <c r="BE14" s="61"/>
      <c r="BF14" s="38"/>
    </row>
    <row r="15" spans="1:58" ht="12.75" customHeight="1">
      <c r="A15" s="35"/>
      <c r="B15" s="35"/>
      <c r="C15" s="35"/>
      <c r="D15" s="35"/>
      <c r="E15" s="67"/>
      <c r="F15" s="67"/>
      <c r="G15" s="36"/>
      <c r="H15" s="29"/>
      <c r="I15" s="78"/>
      <c r="J15" s="29"/>
      <c r="K15" s="29"/>
      <c r="L15" s="33"/>
      <c r="M15" s="33"/>
      <c r="N15" s="131"/>
      <c r="O15" s="71"/>
      <c r="P15" s="71"/>
      <c r="Q15" s="33"/>
      <c r="R15" s="31"/>
      <c r="S15" s="31"/>
      <c r="T15" s="59"/>
      <c r="U15" s="59"/>
      <c r="V15" s="59"/>
      <c r="W15" s="57"/>
      <c r="X15" s="126"/>
      <c r="Y15" s="28"/>
      <c r="Z15" s="33"/>
      <c r="AA15" s="34"/>
      <c r="AB15" s="30"/>
      <c r="AC15" s="30"/>
      <c r="AD15" s="32"/>
      <c r="AE15" s="32"/>
      <c r="AF15" s="2"/>
      <c r="AG15" s="2"/>
      <c r="AH15" s="2"/>
      <c r="AI15" s="2"/>
      <c r="AK15" s="73"/>
      <c r="AL15" s="73"/>
      <c r="AM15" s="38"/>
      <c r="AN15" s="38"/>
      <c r="AO15" s="38"/>
      <c r="AP15" s="38"/>
      <c r="AQ15" s="38"/>
      <c r="AR15" s="38"/>
      <c r="AS15" s="38"/>
      <c r="AT15" s="38"/>
      <c r="AU15" s="38"/>
      <c r="AV15" s="38"/>
      <c r="AW15" s="38"/>
      <c r="AX15" s="38"/>
      <c r="AY15" s="38"/>
      <c r="AZ15" s="38"/>
      <c r="BA15" s="38"/>
      <c r="BB15" s="38"/>
      <c r="BC15" s="38"/>
      <c r="BD15" s="38"/>
      <c r="BE15" s="61"/>
      <c r="BF15" s="38"/>
    </row>
    <row r="16" spans="1:58" ht="12.75" customHeight="1">
      <c r="A16" s="35"/>
      <c r="B16" s="35"/>
      <c r="C16" s="35"/>
      <c r="D16" s="35"/>
      <c r="E16" s="67"/>
      <c r="F16" s="67"/>
      <c r="G16" s="36"/>
      <c r="H16" s="29"/>
      <c r="I16" s="78"/>
      <c r="J16" s="29"/>
      <c r="K16" s="29"/>
      <c r="L16" s="33"/>
      <c r="M16" s="33"/>
      <c r="N16" s="131"/>
      <c r="O16" s="71"/>
      <c r="P16" s="71"/>
      <c r="Q16" s="33"/>
      <c r="R16" s="31"/>
      <c r="S16" s="31"/>
      <c r="T16" s="59"/>
      <c r="U16" s="59"/>
      <c r="V16" s="59"/>
      <c r="W16" s="57"/>
      <c r="X16" s="126"/>
      <c r="Y16" s="28"/>
      <c r="Z16" s="33"/>
      <c r="AA16" s="34"/>
      <c r="AB16" s="30"/>
      <c r="AC16" s="30"/>
      <c r="AD16" s="32"/>
      <c r="AE16" s="32"/>
      <c r="AF16" s="2"/>
      <c r="AG16" s="2"/>
      <c r="AH16" s="2"/>
      <c r="AI16" s="2"/>
      <c r="AK16" s="73"/>
      <c r="AL16" s="73"/>
      <c r="AM16" s="38"/>
      <c r="AN16" s="38"/>
      <c r="AO16" s="38"/>
      <c r="AP16" s="38"/>
      <c r="AQ16" s="38"/>
      <c r="AR16" s="38"/>
      <c r="AS16" s="38"/>
      <c r="AT16" s="38"/>
      <c r="AU16" s="38"/>
      <c r="AV16" s="38"/>
      <c r="AW16" s="38"/>
      <c r="AX16" s="38"/>
      <c r="AY16" s="38"/>
      <c r="AZ16" s="38"/>
      <c r="BA16" s="38"/>
      <c r="BB16" s="38"/>
      <c r="BC16" s="38"/>
      <c r="BD16" s="38"/>
      <c r="BE16" s="61"/>
      <c r="BF16" s="38"/>
    </row>
    <row r="17" spans="1:58" ht="12.75" customHeight="1">
      <c r="A17" s="35"/>
      <c r="B17" s="35"/>
      <c r="C17" s="35"/>
      <c r="D17" s="35"/>
      <c r="E17" s="67"/>
      <c r="F17" s="67"/>
      <c r="G17" s="36"/>
      <c r="H17" s="29"/>
      <c r="I17" s="78"/>
      <c r="J17" s="29"/>
      <c r="K17" s="29"/>
      <c r="L17" s="33"/>
      <c r="M17" s="33"/>
      <c r="N17" s="131"/>
      <c r="O17" s="71"/>
      <c r="P17" s="71"/>
      <c r="Q17" s="33"/>
      <c r="R17" s="31"/>
      <c r="S17" s="31"/>
      <c r="T17" s="59"/>
      <c r="U17" s="59"/>
      <c r="V17" s="59"/>
      <c r="W17" s="57"/>
      <c r="X17" s="126"/>
      <c r="Y17" s="28"/>
      <c r="Z17" s="33"/>
      <c r="AA17" s="34"/>
      <c r="AB17" s="30"/>
      <c r="AC17" s="30"/>
      <c r="AD17" s="32"/>
      <c r="AE17" s="32"/>
      <c r="AF17" s="2"/>
      <c r="AG17" s="2"/>
      <c r="AH17" s="2"/>
      <c r="AI17" s="2"/>
      <c r="AK17" s="73"/>
      <c r="AL17" s="73"/>
      <c r="AM17" s="38"/>
      <c r="AN17" s="38"/>
      <c r="AO17" s="38"/>
      <c r="AP17" s="38"/>
      <c r="AQ17" s="38"/>
      <c r="AR17" s="38"/>
      <c r="AS17" s="38"/>
      <c r="AT17" s="38"/>
      <c r="AU17" s="38"/>
      <c r="AV17" s="38"/>
      <c r="AW17" s="38"/>
      <c r="AX17" s="38"/>
      <c r="AY17" s="38"/>
      <c r="AZ17" s="38"/>
      <c r="BA17" s="38"/>
      <c r="BB17" s="38"/>
      <c r="BC17" s="38"/>
      <c r="BD17" s="38"/>
      <c r="BE17" s="61"/>
      <c r="BF17" s="38"/>
    </row>
    <row r="18" spans="1:58" ht="12.75" customHeight="1">
      <c r="A18" s="35"/>
      <c r="B18" s="35"/>
      <c r="C18" s="35"/>
      <c r="D18" s="35"/>
      <c r="E18" s="67"/>
      <c r="F18" s="67"/>
      <c r="G18" s="36"/>
      <c r="H18" s="29"/>
      <c r="I18" s="78"/>
      <c r="J18" s="29"/>
      <c r="K18" s="29"/>
      <c r="L18" s="33"/>
      <c r="M18" s="33"/>
      <c r="N18" s="131"/>
      <c r="O18" s="71"/>
      <c r="P18" s="71"/>
      <c r="Q18" s="33"/>
      <c r="R18" s="31"/>
      <c r="S18" s="31"/>
      <c r="T18" s="59"/>
      <c r="U18" s="59"/>
      <c r="V18" s="59"/>
      <c r="W18" s="57"/>
      <c r="X18" s="126"/>
      <c r="Y18" s="28"/>
      <c r="Z18" s="33"/>
      <c r="AA18" s="34"/>
      <c r="AB18" s="30"/>
      <c r="AC18" s="30"/>
      <c r="AD18" s="32"/>
      <c r="AE18" s="32"/>
      <c r="AF18" s="2"/>
      <c r="AG18" s="2"/>
      <c r="AH18" s="2"/>
      <c r="AI18" s="2"/>
      <c r="AK18" s="73"/>
      <c r="AL18" s="73"/>
      <c r="AM18" s="38"/>
      <c r="AN18" s="38"/>
      <c r="AO18" s="38"/>
      <c r="AP18" s="38"/>
      <c r="AQ18" s="38"/>
      <c r="AR18" s="38"/>
      <c r="AS18" s="38"/>
      <c r="AT18" s="38"/>
      <c r="AU18" s="38"/>
      <c r="AV18" s="38"/>
      <c r="AW18" s="38"/>
      <c r="AX18" s="38"/>
      <c r="AY18" s="38"/>
      <c r="AZ18" s="38"/>
      <c r="BA18" s="38"/>
      <c r="BB18" s="38"/>
      <c r="BC18" s="38"/>
      <c r="BD18" s="38"/>
      <c r="BE18" s="61"/>
      <c r="BF18" s="38"/>
    </row>
    <row r="19" spans="1:58" ht="12.75" customHeight="1">
      <c r="A19" s="35"/>
      <c r="B19" s="35"/>
      <c r="C19" s="35"/>
      <c r="D19" s="35"/>
      <c r="E19" s="67"/>
      <c r="F19" s="67"/>
      <c r="G19" s="36"/>
      <c r="H19" s="29"/>
      <c r="I19" s="78"/>
      <c r="J19" s="29"/>
      <c r="K19" s="29"/>
      <c r="L19" s="33"/>
      <c r="M19" s="33"/>
      <c r="N19" s="131"/>
      <c r="O19" s="71"/>
      <c r="P19" s="71"/>
      <c r="Q19" s="33"/>
      <c r="R19" s="31"/>
      <c r="S19" s="31"/>
      <c r="T19" s="59"/>
      <c r="U19" s="59"/>
      <c r="V19" s="59"/>
      <c r="W19" s="57"/>
      <c r="X19" s="126"/>
      <c r="Y19" s="28"/>
      <c r="Z19" s="33"/>
      <c r="AA19" s="34"/>
      <c r="AB19" s="30"/>
      <c r="AC19" s="30"/>
      <c r="AD19" s="32"/>
      <c r="AE19" s="32"/>
      <c r="AF19" s="2"/>
      <c r="AG19" s="2"/>
      <c r="AH19" s="2"/>
      <c r="AI19" s="2"/>
      <c r="AK19" s="73"/>
      <c r="AL19" s="73"/>
      <c r="AM19" s="38"/>
      <c r="AN19" s="38"/>
      <c r="AO19" s="38"/>
      <c r="AP19" s="38"/>
      <c r="AQ19" s="38"/>
      <c r="AR19" s="38"/>
      <c r="AS19" s="38"/>
      <c r="AT19" s="38"/>
      <c r="AU19" s="38"/>
      <c r="AV19" s="38"/>
      <c r="AW19" s="38"/>
      <c r="AX19" s="38"/>
      <c r="AY19" s="38"/>
      <c r="AZ19" s="38"/>
      <c r="BA19" s="38"/>
      <c r="BB19" s="38"/>
      <c r="BC19" s="38"/>
      <c r="BD19" s="38"/>
      <c r="BE19" s="61"/>
      <c r="BF19" s="38"/>
    </row>
    <row r="20" spans="1:58" ht="12.75" customHeight="1">
      <c r="A20" s="35"/>
      <c r="B20" s="35"/>
      <c r="C20" s="35"/>
      <c r="D20" s="35"/>
      <c r="E20" s="67"/>
      <c r="F20" s="67"/>
      <c r="G20" s="36"/>
      <c r="H20" s="29"/>
      <c r="I20" s="78"/>
      <c r="J20" s="29"/>
      <c r="K20" s="29"/>
      <c r="L20" s="33"/>
      <c r="M20" s="33"/>
      <c r="N20" s="131"/>
      <c r="O20" s="71"/>
      <c r="P20" s="71"/>
      <c r="Q20" s="33"/>
      <c r="R20" s="31"/>
      <c r="S20" s="31"/>
      <c r="T20" s="59"/>
      <c r="U20" s="59"/>
      <c r="V20" s="59"/>
      <c r="W20" s="57"/>
      <c r="X20" s="126"/>
      <c r="Y20" s="28"/>
      <c r="Z20" s="33"/>
      <c r="AA20" s="34"/>
      <c r="AB20" s="30"/>
      <c r="AC20" s="30"/>
      <c r="AD20" s="32"/>
      <c r="AE20" s="32"/>
      <c r="AF20" s="2"/>
      <c r="AG20" s="2"/>
      <c r="AH20" s="2"/>
      <c r="AI20" s="2"/>
      <c r="AK20" s="73"/>
      <c r="AL20" s="73"/>
      <c r="AM20" s="38"/>
      <c r="AN20" s="38"/>
      <c r="AO20" s="38"/>
      <c r="AP20" s="38"/>
      <c r="AQ20" s="38"/>
      <c r="AR20" s="38"/>
      <c r="AS20" s="38"/>
      <c r="AT20" s="38"/>
      <c r="AU20" s="38"/>
      <c r="AV20" s="38"/>
      <c r="AW20" s="38"/>
      <c r="AX20" s="38"/>
      <c r="AY20" s="38"/>
      <c r="AZ20" s="38"/>
      <c r="BA20" s="38"/>
      <c r="BB20" s="38"/>
      <c r="BC20" s="38"/>
      <c r="BD20" s="38"/>
      <c r="BE20" s="61"/>
      <c r="BF20" s="38"/>
    </row>
    <row r="21" spans="1:58" ht="12.75" customHeight="1">
      <c r="A21" s="35"/>
      <c r="B21" s="35"/>
      <c r="C21" s="35"/>
      <c r="D21" s="35"/>
      <c r="E21" s="67"/>
      <c r="F21" s="67"/>
      <c r="G21" s="36"/>
      <c r="H21" s="29"/>
      <c r="I21" s="78"/>
      <c r="J21" s="29"/>
      <c r="K21" s="29"/>
      <c r="L21" s="33"/>
      <c r="M21" s="33"/>
      <c r="N21" s="131"/>
      <c r="O21" s="71"/>
      <c r="P21" s="71"/>
      <c r="Q21" s="33"/>
      <c r="R21" s="31"/>
      <c r="S21" s="31"/>
      <c r="T21" s="59"/>
      <c r="U21" s="59"/>
      <c r="V21" s="59"/>
      <c r="W21" s="57"/>
      <c r="X21" s="126"/>
      <c r="Y21" s="28"/>
      <c r="Z21" s="33"/>
      <c r="AA21" s="34"/>
      <c r="AB21" s="30"/>
      <c r="AC21" s="30"/>
      <c r="AD21" s="32"/>
      <c r="AE21" s="32"/>
      <c r="AF21" s="2"/>
      <c r="AG21" s="2"/>
      <c r="AH21" s="2"/>
      <c r="AI21" s="2"/>
      <c r="AK21" s="73"/>
      <c r="AL21" s="73"/>
      <c r="AM21" s="38"/>
      <c r="AN21" s="38"/>
      <c r="AO21" s="38"/>
      <c r="AP21" s="38"/>
      <c r="AQ21" s="38"/>
      <c r="AR21" s="38"/>
      <c r="AS21" s="38"/>
      <c r="AT21" s="38"/>
      <c r="AU21" s="38"/>
      <c r="AV21" s="38"/>
      <c r="AW21" s="38"/>
      <c r="AX21" s="38"/>
      <c r="AY21" s="38"/>
      <c r="AZ21" s="38"/>
      <c r="BA21" s="38"/>
      <c r="BB21" s="38"/>
      <c r="BC21" s="38"/>
      <c r="BD21" s="38"/>
      <c r="BE21" s="61"/>
      <c r="BF21" s="38"/>
    </row>
    <row r="22" spans="1:58" ht="12.75" customHeight="1">
      <c r="A22" s="35"/>
      <c r="B22" s="35"/>
      <c r="C22" s="35"/>
      <c r="D22" s="35"/>
      <c r="E22" s="67"/>
      <c r="F22" s="67"/>
      <c r="G22" s="36"/>
      <c r="H22" s="29"/>
      <c r="I22" s="78"/>
      <c r="J22" s="29"/>
      <c r="K22" s="29"/>
      <c r="L22" s="33"/>
      <c r="M22" s="33"/>
      <c r="N22" s="131"/>
      <c r="O22" s="71"/>
      <c r="P22" s="71"/>
      <c r="Q22" s="33"/>
      <c r="R22" s="31"/>
      <c r="S22" s="31"/>
      <c r="T22" s="59"/>
      <c r="U22" s="59"/>
      <c r="V22" s="59"/>
      <c r="W22" s="57"/>
      <c r="X22" s="126"/>
      <c r="Y22" s="28"/>
      <c r="Z22" s="33"/>
      <c r="AA22" s="34"/>
      <c r="AB22" s="30"/>
      <c r="AC22" s="30"/>
      <c r="AD22" s="32"/>
      <c r="AE22" s="32"/>
      <c r="AF22" s="2"/>
      <c r="AG22" s="2"/>
      <c r="AH22" s="2"/>
      <c r="AI22" s="2"/>
      <c r="AK22" s="73"/>
      <c r="AL22" s="73"/>
      <c r="AM22" s="38"/>
      <c r="AN22" s="38"/>
      <c r="AO22" s="38"/>
      <c r="AP22" s="38"/>
      <c r="AQ22" s="38"/>
      <c r="AR22" s="38"/>
      <c r="AS22" s="38"/>
      <c r="AT22" s="38"/>
      <c r="AU22" s="38"/>
      <c r="AV22" s="38"/>
      <c r="AW22" s="38"/>
      <c r="AX22" s="38"/>
      <c r="AY22" s="38"/>
      <c r="AZ22" s="38"/>
      <c r="BA22" s="38"/>
      <c r="BB22" s="38"/>
      <c r="BC22" s="38"/>
      <c r="BD22" s="38"/>
      <c r="BE22" s="61"/>
      <c r="BF22" s="38"/>
    </row>
    <row r="23" spans="1:58" ht="12.75" customHeight="1">
      <c r="A23" s="35"/>
      <c r="B23" s="35"/>
      <c r="C23" s="35"/>
      <c r="D23" s="35"/>
      <c r="E23" s="67"/>
      <c r="F23" s="67"/>
      <c r="G23" s="36"/>
      <c r="H23" s="29"/>
      <c r="I23" s="78"/>
      <c r="J23" s="29"/>
      <c r="K23" s="29"/>
      <c r="L23" s="33"/>
      <c r="M23" s="33"/>
      <c r="N23" s="131"/>
      <c r="O23" s="71"/>
      <c r="P23" s="71"/>
      <c r="Q23" s="33"/>
      <c r="R23" s="31"/>
      <c r="S23" s="31"/>
      <c r="T23" s="59"/>
      <c r="U23" s="59"/>
      <c r="V23" s="59"/>
      <c r="W23" s="57"/>
      <c r="X23" s="126"/>
      <c r="Y23" s="28"/>
      <c r="Z23" s="33"/>
      <c r="AA23" s="34"/>
      <c r="AB23" s="30"/>
      <c r="AC23" s="30"/>
      <c r="AD23" s="32"/>
      <c r="AE23" s="32"/>
      <c r="AF23" s="2"/>
      <c r="AG23" s="2"/>
      <c r="AH23" s="2"/>
      <c r="AI23" s="2"/>
      <c r="AK23" s="73"/>
      <c r="AL23" s="73"/>
      <c r="AM23" s="38"/>
      <c r="AN23" s="38"/>
      <c r="AO23" s="38"/>
      <c r="AP23" s="38"/>
      <c r="AQ23" s="38"/>
      <c r="AR23" s="38"/>
      <c r="AS23" s="38"/>
      <c r="AT23" s="38"/>
      <c r="AU23" s="38"/>
      <c r="AV23" s="38"/>
      <c r="AW23" s="38"/>
      <c r="AX23" s="38"/>
      <c r="AY23" s="38"/>
      <c r="AZ23" s="38"/>
      <c r="BA23" s="38"/>
      <c r="BB23" s="38"/>
      <c r="BC23" s="38"/>
      <c r="BD23" s="38"/>
      <c r="BE23" s="61"/>
      <c r="BF23" s="38"/>
    </row>
    <row r="24" spans="1:58" ht="12.75" customHeight="1">
      <c r="A24" s="35"/>
      <c r="B24" s="35"/>
      <c r="C24" s="35"/>
      <c r="D24" s="35"/>
      <c r="E24" s="67"/>
      <c r="F24" s="67"/>
      <c r="G24" s="36"/>
      <c r="H24" s="29"/>
      <c r="I24" s="78"/>
      <c r="J24" s="29"/>
      <c r="K24" s="29"/>
      <c r="L24" s="33"/>
      <c r="M24" s="33"/>
      <c r="N24" s="131"/>
      <c r="O24" s="71"/>
      <c r="P24" s="71"/>
      <c r="Q24" s="33"/>
      <c r="R24" s="31"/>
      <c r="S24" s="31"/>
      <c r="T24" s="59"/>
      <c r="U24" s="59"/>
      <c r="V24" s="59"/>
      <c r="W24" s="57"/>
      <c r="X24" s="126"/>
      <c r="Y24" s="28"/>
      <c r="Z24" s="33"/>
      <c r="AA24" s="34"/>
      <c r="AB24" s="30"/>
      <c r="AC24" s="30"/>
      <c r="AD24" s="32"/>
      <c r="AE24" s="32"/>
      <c r="AF24" s="2"/>
      <c r="AG24" s="2"/>
      <c r="AH24" s="2"/>
      <c r="AI24" s="2"/>
      <c r="AK24" s="73"/>
      <c r="AL24" s="73"/>
      <c r="AM24" s="38"/>
      <c r="AN24" s="38"/>
      <c r="AO24" s="38"/>
      <c r="AP24" s="38"/>
      <c r="AQ24" s="38"/>
      <c r="AR24" s="38"/>
      <c r="AS24" s="38"/>
      <c r="AT24" s="38"/>
      <c r="AU24" s="38"/>
      <c r="AV24" s="38"/>
      <c r="AW24" s="38"/>
      <c r="AX24" s="38"/>
      <c r="AY24" s="38"/>
      <c r="AZ24" s="38"/>
      <c r="BA24" s="38"/>
      <c r="BB24" s="38"/>
      <c r="BC24" s="38"/>
      <c r="BD24" s="38"/>
      <c r="BE24" s="61"/>
      <c r="BF24" s="38"/>
    </row>
    <row r="25" spans="1:58" ht="12.75" customHeight="1">
      <c r="A25" s="35"/>
      <c r="B25" s="35"/>
      <c r="C25" s="35"/>
      <c r="D25" s="35"/>
      <c r="E25" s="67"/>
      <c r="F25" s="67"/>
      <c r="G25" s="36"/>
      <c r="H25" s="29"/>
      <c r="I25" s="78"/>
      <c r="J25" s="29"/>
      <c r="K25" s="29"/>
      <c r="L25" s="33"/>
      <c r="M25" s="33"/>
      <c r="N25" s="131"/>
      <c r="O25" s="71"/>
      <c r="P25" s="71"/>
      <c r="Q25" s="33"/>
      <c r="R25" s="31"/>
      <c r="S25" s="31"/>
      <c r="T25" s="59"/>
      <c r="U25" s="59"/>
      <c r="V25" s="59"/>
      <c r="W25" s="57"/>
      <c r="X25" s="126"/>
      <c r="Y25" s="28"/>
      <c r="Z25" s="33"/>
      <c r="AA25" s="34"/>
      <c r="AB25" s="30"/>
      <c r="AC25" s="30"/>
      <c r="AD25" s="32"/>
      <c r="AE25" s="32"/>
      <c r="AF25" s="2"/>
      <c r="AG25" s="2"/>
      <c r="AH25" s="2"/>
      <c r="AI25" s="2"/>
      <c r="AK25" s="73"/>
      <c r="AL25" s="73"/>
      <c r="AM25" s="38"/>
      <c r="AN25" s="38"/>
      <c r="AO25" s="38"/>
      <c r="AP25" s="38"/>
      <c r="AQ25" s="38"/>
      <c r="AR25" s="38"/>
      <c r="AS25" s="38"/>
      <c r="AT25" s="38"/>
      <c r="AU25" s="38"/>
      <c r="AV25" s="38"/>
      <c r="AW25" s="38"/>
      <c r="AX25" s="38"/>
      <c r="AY25" s="38"/>
      <c r="AZ25" s="38"/>
      <c r="BA25" s="38"/>
      <c r="BB25" s="38"/>
      <c r="BC25" s="38"/>
      <c r="BD25" s="38"/>
      <c r="BE25" s="61"/>
      <c r="BF25" s="38"/>
    </row>
    <row r="26" spans="1:58" ht="12.75" customHeight="1">
      <c r="A26" s="35"/>
      <c r="B26" s="35"/>
      <c r="C26" s="35"/>
      <c r="D26" s="35"/>
      <c r="E26" s="67"/>
      <c r="F26" s="67"/>
      <c r="G26" s="36"/>
      <c r="H26" s="29"/>
      <c r="I26" s="78"/>
      <c r="J26" s="29"/>
      <c r="K26" s="29"/>
      <c r="L26" s="33"/>
      <c r="M26" s="33"/>
      <c r="N26" s="131"/>
      <c r="O26" s="71"/>
      <c r="P26" s="71"/>
      <c r="Q26" s="33"/>
      <c r="R26" s="31"/>
      <c r="S26" s="31"/>
      <c r="T26" s="59"/>
      <c r="U26" s="59"/>
      <c r="V26" s="59"/>
      <c r="W26" s="57"/>
      <c r="X26" s="126"/>
      <c r="Y26" s="28"/>
      <c r="Z26" s="33"/>
      <c r="AA26" s="34"/>
      <c r="AB26" s="30"/>
      <c r="AC26" s="30"/>
      <c r="AD26" s="32"/>
      <c r="AE26" s="32"/>
      <c r="AF26" s="2"/>
      <c r="AG26" s="2"/>
      <c r="AH26" s="2"/>
      <c r="AI26" s="2"/>
      <c r="AK26" s="73"/>
      <c r="AL26" s="73"/>
      <c r="AM26" s="38"/>
      <c r="AN26" s="38"/>
      <c r="AO26" s="38"/>
      <c r="AP26" s="38"/>
      <c r="AQ26" s="38"/>
      <c r="AR26" s="38"/>
      <c r="AS26" s="38"/>
      <c r="AT26" s="38"/>
      <c r="AU26" s="38"/>
      <c r="AV26" s="38"/>
      <c r="AW26" s="38"/>
      <c r="AX26" s="38"/>
      <c r="AY26" s="38"/>
      <c r="AZ26" s="38"/>
      <c r="BA26" s="38"/>
      <c r="BB26" s="38"/>
      <c r="BC26" s="38"/>
      <c r="BD26" s="38"/>
      <c r="BE26" s="61"/>
      <c r="BF26" s="38"/>
    </row>
    <row r="27" spans="1:58" ht="12.75" customHeight="1">
      <c r="A27" s="35"/>
      <c r="B27" s="35"/>
      <c r="C27" s="35"/>
      <c r="D27" s="35"/>
      <c r="E27" s="67"/>
      <c r="F27" s="67"/>
      <c r="G27" s="36"/>
      <c r="H27" s="29"/>
      <c r="I27" s="78"/>
      <c r="J27" s="29"/>
      <c r="K27" s="29"/>
      <c r="L27" s="33"/>
      <c r="M27" s="33"/>
      <c r="N27" s="131"/>
      <c r="O27" s="71"/>
      <c r="P27" s="71"/>
      <c r="Q27" s="33"/>
      <c r="R27" s="31"/>
      <c r="S27" s="31"/>
      <c r="T27" s="59"/>
      <c r="U27" s="59"/>
      <c r="V27" s="59"/>
      <c r="W27" s="57"/>
      <c r="X27" s="126"/>
      <c r="Y27" s="28"/>
      <c r="Z27" s="33"/>
      <c r="AA27" s="34"/>
      <c r="AB27" s="30"/>
      <c r="AC27" s="30"/>
      <c r="AD27" s="32"/>
      <c r="AE27" s="32"/>
      <c r="AF27" s="2"/>
      <c r="AG27" s="2"/>
      <c r="AH27" s="2"/>
      <c r="AI27" s="2"/>
      <c r="AK27" s="73"/>
      <c r="AL27" s="73"/>
      <c r="AM27" s="38"/>
      <c r="AN27" s="38"/>
      <c r="AO27" s="38"/>
      <c r="AP27" s="38"/>
      <c r="AQ27" s="38"/>
      <c r="AR27" s="38"/>
      <c r="AS27" s="38"/>
      <c r="AT27" s="38"/>
      <c r="AU27" s="38"/>
      <c r="AV27" s="38"/>
      <c r="AW27" s="38"/>
      <c r="AX27" s="38"/>
      <c r="AY27" s="38"/>
      <c r="AZ27" s="38"/>
      <c r="BA27" s="38"/>
      <c r="BB27" s="38"/>
      <c r="BC27" s="38"/>
      <c r="BD27" s="38"/>
      <c r="BE27" s="61"/>
      <c r="BF27" s="38"/>
    </row>
    <row r="28" spans="1:58" ht="12.75" customHeight="1">
      <c r="A28" s="35"/>
      <c r="B28" s="35"/>
      <c r="C28" s="35"/>
      <c r="D28" s="35"/>
      <c r="E28" s="67"/>
      <c r="F28" s="67"/>
      <c r="G28" s="36"/>
      <c r="H28" s="29"/>
      <c r="I28" s="78"/>
      <c r="J28" s="29"/>
      <c r="K28" s="29"/>
      <c r="L28" s="33"/>
      <c r="M28" s="33"/>
      <c r="N28" s="131"/>
      <c r="O28" s="71"/>
      <c r="P28" s="71"/>
      <c r="Q28" s="33"/>
      <c r="R28" s="31"/>
      <c r="S28" s="31"/>
      <c r="T28" s="59"/>
      <c r="U28" s="59"/>
      <c r="V28" s="59"/>
      <c r="W28" s="57"/>
      <c r="X28" s="126"/>
      <c r="Y28" s="28"/>
      <c r="Z28" s="33"/>
      <c r="AA28" s="34"/>
      <c r="AB28" s="30"/>
      <c r="AC28" s="30"/>
      <c r="AD28" s="32"/>
      <c r="AE28" s="32"/>
      <c r="AF28" s="2"/>
      <c r="AG28" s="2"/>
      <c r="AH28" s="2"/>
      <c r="AI28" s="2"/>
      <c r="AK28" s="73"/>
      <c r="AL28" s="73"/>
      <c r="AM28" s="38"/>
      <c r="AN28" s="38"/>
      <c r="AO28" s="38"/>
      <c r="AP28" s="38"/>
      <c r="AQ28" s="38"/>
      <c r="AR28" s="38"/>
      <c r="AS28" s="38"/>
      <c r="AT28" s="38"/>
      <c r="AU28" s="38"/>
      <c r="AV28" s="38"/>
      <c r="AW28" s="38"/>
      <c r="AX28" s="38"/>
      <c r="AY28" s="38"/>
      <c r="AZ28" s="38"/>
      <c r="BA28" s="38"/>
      <c r="BB28" s="38"/>
      <c r="BC28" s="38"/>
      <c r="BD28" s="38"/>
      <c r="BE28" s="61"/>
      <c r="BF28" s="38"/>
    </row>
    <row r="29" spans="1:58" ht="12.75" customHeight="1">
      <c r="A29" s="35"/>
      <c r="B29" s="35"/>
      <c r="C29" s="35"/>
      <c r="D29" s="35"/>
      <c r="E29" s="67"/>
      <c r="F29" s="67"/>
      <c r="G29" s="36"/>
      <c r="H29" s="29"/>
      <c r="I29" s="78"/>
      <c r="J29" s="29"/>
      <c r="K29" s="29"/>
      <c r="L29" s="33"/>
      <c r="M29" s="33"/>
      <c r="N29" s="131"/>
      <c r="O29" s="71"/>
      <c r="P29" s="71"/>
      <c r="Q29" s="33"/>
      <c r="R29" s="31"/>
      <c r="S29" s="31"/>
      <c r="T29" s="59"/>
      <c r="U29" s="59"/>
      <c r="V29" s="59"/>
      <c r="W29" s="57"/>
      <c r="X29" s="126"/>
      <c r="Y29" s="28"/>
      <c r="Z29" s="33"/>
      <c r="AA29" s="34"/>
      <c r="AB29" s="30"/>
      <c r="AC29" s="30"/>
      <c r="AD29" s="32"/>
      <c r="AE29" s="32"/>
      <c r="AF29" s="2"/>
      <c r="AG29" s="2"/>
      <c r="AH29" s="2"/>
      <c r="AI29" s="2"/>
      <c r="AK29" s="73"/>
      <c r="AL29" s="73"/>
      <c r="AM29" s="38"/>
      <c r="AN29" s="38"/>
      <c r="AO29" s="38"/>
      <c r="AP29" s="38"/>
      <c r="AQ29" s="38"/>
      <c r="AR29" s="38"/>
      <c r="AS29" s="38"/>
      <c r="AT29" s="38"/>
      <c r="AU29" s="38"/>
      <c r="AV29" s="38"/>
      <c r="AW29" s="38"/>
      <c r="AX29" s="38"/>
      <c r="AY29" s="38"/>
      <c r="AZ29" s="38"/>
      <c r="BA29" s="38"/>
      <c r="BB29" s="38"/>
      <c r="BC29" s="38"/>
      <c r="BD29" s="38"/>
      <c r="BE29" s="61"/>
      <c r="BF29" s="38"/>
    </row>
    <row r="30" spans="1:58" ht="12.75" customHeight="1">
      <c r="A30" s="35"/>
      <c r="B30" s="35"/>
      <c r="C30" s="35"/>
      <c r="D30" s="35"/>
      <c r="E30" s="67"/>
      <c r="F30" s="67"/>
      <c r="G30" s="36"/>
      <c r="H30" s="29"/>
      <c r="I30" s="78"/>
      <c r="J30" s="29"/>
      <c r="K30" s="29"/>
      <c r="L30" s="33"/>
      <c r="M30" s="33"/>
      <c r="N30" s="131"/>
      <c r="O30" s="71"/>
      <c r="P30" s="71"/>
      <c r="Q30" s="33"/>
      <c r="R30" s="31"/>
      <c r="S30" s="31"/>
      <c r="T30" s="59"/>
      <c r="U30" s="59"/>
      <c r="V30" s="59"/>
      <c r="W30" s="57"/>
      <c r="X30" s="126"/>
      <c r="Y30" s="28"/>
      <c r="Z30" s="33"/>
      <c r="AA30" s="34"/>
      <c r="AB30" s="30"/>
      <c r="AC30" s="30"/>
      <c r="AD30" s="32"/>
      <c r="AE30" s="32"/>
      <c r="AF30" s="2"/>
      <c r="AG30" s="2"/>
      <c r="AH30" s="2"/>
      <c r="AI30" s="2"/>
      <c r="AK30" s="73"/>
      <c r="AL30" s="73"/>
      <c r="AM30" s="38"/>
      <c r="AN30" s="38"/>
      <c r="AO30" s="38"/>
      <c r="AP30" s="38"/>
      <c r="AQ30" s="38"/>
      <c r="AR30" s="38"/>
      <c r="AS30" s="38"/>
      <c r="AT30" s="38"/>
      <c r="AU30" s="38"/>
      <c r="AV30" s="38"/>
      <c r="AW30" s="38"/>
      <c r="AX30" s="38"/>
      <c r="AY30" s="38"/>
      <c r="AZ30" s="38"/>
      <c r="BA30" s="38"/>
      <c r="BB30" s="38"/>
      <c r="BC30" s="38"/>
      <c r="BD30" s="38"/>
      <c r="BE30" s="61"/>
      <c r="BF30" s="38"/>
    </row>
    <row r="31" spans="1:58" ht="12.75" customHeight="1">
      <c r="A31" s="35"/>
      <c r="B31" s="35"/>
      <c r="C31" s="35"/>
      <c r="D31" s="35"/>
      <c r="E31" s="67"/>
      <c r="F31" s="67"/>
      <c r="G31" s="36"/>
      <c r="H31" s="29"/>
      <c r="I31" s="78"/>
      <c r="J31" s="29"/>
      <c r="K31" s="29"/>
      <c r="L31" s="33"/>
      <c r="M31" s="33"/>
      <c r="N31" s="131"/>
      <c r="O31" s="71"/>
      <c r="P31" s="71"/>
      <c r="Q31" s="33"/>
      <c r="R31" s="31"/>
      <c r="S31" s="31"/>
      <c r="T31" s="59"/>
      <c r="U31" s="59"/>
      <c r="V31" s="59"/>
      <c r="W31" s="57"/>
      <c r="X31" s="126"/>
      <c r="Y31" s="28"/>
      <c r="Z31" s="33"/>
      <c r="AA31" s="34"/>
      <c r="AB31" s="30"/>
      <c r="AC31" s="30"/>
      <c r="AD31" s="32"/>
      <c r="AE31" s="32"/>
      <c r="AF31" s="2"/>
      <c r="AG31" s="2"/>
      <c r="AH31" s="2"/>
      <c r="AI31" s="2"/>
      <c r="AK31" s="73"/>
      <c r="AL31" s="73"/>
      <c r="AM31" s="38"/>
      <c r="AN31" s="38"/>
      <c r="AO31" s="38"/>
      <c r="AP31" s="38"/>
      <c r="AQ31" s="38"/>
      <c r="AR31" s="38"/>
      <c r="AS31" s="38"/>
      <c r="AT31" s="38"/>
      <c r="AU31" s="38"/>
      <c r="AV31" s="38"/>
      <c r="AW31" s="38"/>
      <c r="AX31" s="38"/>
      <c r="AY31" s="38"/>
      <c r="AZ31" s="38"/>
      <c r="BA31" s="38"/>
      <c r="BB31" s="38"/>
      <c r="BC31" s="38"/>
      <c r="BD31" s="38"/>
      <c r="BE31" s="61"/>
      <c r="BF31" s="38"/>
    </row>
    <row r="32" spans="1:58" ht="12.75" customHeight="1">
      <c r="A32" s="35"/>
      <c r="B32" s="35"/>
      <c r="C32" s="35"/>
      <c r="D32" s="35"/>
      <c r="E32" s="67"/>
      <c r="F32" s="67"/>
      <c r="G32" s="36"/>
      <c r="H32" s="29"/>
      <c r="I32" s="78"/>
      <c r="J32" s="29"/>
      <c r="K32" s="29"/>
      <c r="L32" s="33"/>
      <c r="M32" s="33"/>
      <c r="N32" s="131"/>
      <c r="O32" s="71"/>
      <c r="P32" s="71"/>
      <c r="Q32" s="33"/>
      <c r="R32" s="31"/>
      <c r="S32" s="31"/>
      <c r="T32" s="59"/>
      <c r="U32" s="59"/>
      <c r="V32" s="59"/>
      <c r="W32" s="57"/>
      <c r="X32" s="126"/>
      <c r="Y32" s="28"/>
      <c r="Z32" s="33"/>
      <c r="AA32" s="34"/>
      <c r="AB32" s="30"/>
      <c r="AC32" s="30"/>
      <c r="AD32" s="32"/>
      <c r="AE32" s="32"/>
      <c r="AF32" s="2"/>
      <c r="AG32" s="2"/>
      <c r="AH32" s="2"/>
      <c r="AI32" s="2"/>
      <c r="AK32" s="73"/>
      <c r="AL32" s="73"/>
      <c r="AM32" s="38"/>
      <c r="AN32" s="38"/>
      <c r="AO32" s="38"/>
      <c r="AP32" s="38"/>
      <c r="AQ32" s="38"/>
      <c r="AR32" s="38"/>
      <c r="AS32" s="38"/>
      <c r="AT32" s="38"/>
      <c r="AU32" s="38"/>
      <c r="AV32" s="38"/>
      <c r="AW32" s="38"/>
      <c r="AX32" s="38"/>
      <c r="AY32" s="38"/>
      <c r="AZ32" s="38"/>
      <c r="BA32" s="38"/>
      <c r="BB32" s="38"/>
      <c r="BC32" s="38"/>
      <c r="BD32" s="38"/>
      <c r="BE32" s="61"/>
      <c r="BF32" s="38"/>
    </row>
    <row r="33" spans="1:58" ht="12.75" customHeight="1">
      <c r="A33" s="35"/>
      <c r="B33" s="35"/>
      <c r="C33" s="35"/>
      <c r="D33" s="35"/>
      <c r="E33" s="67"/>
      <c r="F33" s="67"/>
      <c r="G33" s="36"/>
      <c r="H33" s="29"/>
      <c r="I33" s="78"/>
      <c r="J33" s="29"/>
      <c r="K33" s="29"/>
      <c r="L33" s="33"/>
      <c r="M33" s="33"/>
      <c r="N33" s="131"/>
      <c r="O33" s="71"/>
      <c r="P33" s="71"/>
      <c r="Q33" s="33"/>
      <c r="R33" s="31"/>
      <c r="S33" s="31"/>
      <c r="T33" s="59"/>
      <c r="U33" s="59"/>
      <c r="V33" s="59"/>
      <c r="W33" s="57"/>
      <c r="X33" s="126"/>
      <c r="Y33" s="28"/>
      <c r="Z33" s="33"/>
      <c r="AA33" s="34"/>
      <c r="AB33" s="30"/>
      <c r="AC33" s="30"/>
      <c r="AD33" s="32"/>
      <c r="AE33" s="32"/>
      <c r="AF33" s="2"/>
      <c r="AG33" s="2"/>
      <c r="AH33" s="2"/>
      <c r="AI33" s="2"/>
      <c r="AK33" s="73"/>
      <c r="AL33" s="73"/>
      <c r="AM33" s="38"/>
      <c r="AN33" s="38"/>
      <c r="AO33" s="38"/>
      <c r="AP33" s="38"/>
      <c r="AQ33" s="38"/>
      <c r="AR33" s="38"/>
      <c r="AS33" s="38"/>
      <c r="AT33" s="38"/>
      <c r="AU33" s="38"/>
      <c r="AV33" s="38"/>
      <c r="AW33" s="38"/>
      <c r="AX33" s="38"/>
      <c r="AY33" s="38"/>
      <c r="AZ33" s="38"/>
      <c r="BA33" s="38"/>
      <c r="BB33" s="38"/>
      <c r="BC33" s="38"/>
      <c r="BD33" s="38"/>
      <c r="BE33" s="61"/>
      <c r="BF33" s="38"/>
    </row>
    <row r="34" spans="1:58" ht="12.75" customHeight="1">
      <c r="A34" s="35"/>
      <c r="B34" s="35"/>
      <c r="C34" s="35"/>
      <c r="D34" s="35"/>
      <c r="E34" s="67"/>
      <c r="F34" s="67"/>
      <c r="G34" s="36"/>
      <c r="H34" s="29"/>
      <c r="I34" s="78"/>
      <c r="J34" s="29"/>
      <c r="K34" s="29"/>
      <c r="L34" s="33"/>
      <c r="M34" s="33"/>
      <c r="N34" s="131"/>
      <c r="O34" s="71"/>
      <c r="P34" s="71"/>
      <c r="Q34" s="33"/>
      <c r="R34" s="31"/>
      <c r="S34" s="31"/>
      <c r="T34" s="59"/>
      <c r="U34" s="59"/>
      <c r="V34" s="59"/>
      <c r="W34" s="57"/>
      <c r="X34" s="126"/>
      <c r="Y34" s="28"/>
      <c r="Z34" s="33"/>
      <c r="AA34" s="34"/>
      <c r="AB34" s="30"/>
      <c r="AC34" s="30"/>
      <c r="AD34" s="32"/>
      <c r="AE34" s="32"/>
      <c r="AF34" s="2"/>
      <c r="AG34" s="2"/>
      <c r="AH34" s="2"/>
      <c r="AI34" s="2"/>
      <c r="AK34" s="73"/>
      <c r="AL34" s="73"/>
      <c r="AM34" s="38"/>
      <c r="AN34" s="38"/>
      <c r="AO34" s="38"/>
      <c r="AP34" s="38"/>
      <c r="AQ34" s="38"/>
      <c r="AR34" s="38"/>
      <c r="AS34" s="38"/>
      <c r="AT34" s="38"/>
      <c r="AU34" s="38"/>
      <c r="AV34" s="38"/>
      <c r="AW34" s="38"/>
      <c r="AX34" s="38"/>
      <c r="AY34" s="38"/>
      <c r="AZ34" s="38"/>
      <c r="BA34" s="38"/>
      <c r="BB34" s="38"/>
      <c r="BC34" s="38"/>
      <c r="BD34" s="38"/>
      <c r="BE34" s="61"/>
      <c r="BF34" s="38"/>
    </row>
    <row r="35" spans="1:58" ht="12.75" customHeight="1">
      <c r="A35" s="35"/>
      <c r="B35" s="35"/>
      <c r="C35" s="35"/>
      <c r="D35" s="35"/>
      <c r="E35" s="67"/>
      <c r="F35" s="67"/>
      <c r="G35" s="36"/>
      <c r="H35" s="29"/>
      <c r="I35" s="78"/>
      <c r="J35" s="29"/>
      <c r="K35" s="29"/>
      <c r="L35" s="33"/>
      <c r="M35" s="33"/>
      <c r="N35" s="131"/>
      <c r="O35" s="71"/>
      <c r="P35" s="71"/>
      <c r="Q35" s="33"/>
      <c r="R35" s="31"/>
      <c r="S35" s="31"/>
      <c r="T35" s="59"/>
      <c r="U35" s="59"/>
      <c r="V35" s="59"/>
      <c r="W35" s="57"/>
      <c r="X35" s="126"/>
      <c r="Y35" s="28"/>
      <c r="Z35" s="33"/>
      <c r="AA35" s="34"/>
      <c r="AB35" s="30"/>
      <c r="AC35" s="30"/>
      <c r="AD35" s="32"/>
      <c r="AE35" s="32"/>
      <c r="AF35" s="2"/>
      <c r="AG35" s="2"/>
      <c r="AH35" s="2"/>
      <c r="AI35" s="2"/>
      <c r="AK35" s="73"/>
      <c r="AL35" s="73"/>
      <c r="AM35" s="38"/>
      <c r="AN35" s="38"/>
      <c r="AO35" s="38"/>
      <c r="AP35" s="38"/>
      <c r="AQ35" s="38"/>
      <c r="AR35" s="38"/>
      <c r="AS35" s="38"/>
      <c r="AT35" s="38"/>
      <c r="AU35" s="38"/>
      <c r="AV35" s="38"/>
      <c r="AW35" s="38"/>
      <c r="AX35" s="38"/>
      <c r="AY35" s="38"/>
      <c r="AZ35" s="38"/>
      <c r="BA35" s="38"/>
      <c r="BB35" s="38"/>
      <c r="BC35" s="38"/>
      <c r="BD35" s="38"/>
      <c r="BE35" s="61"/>
      <c r="BF35" s="38"/>
    </row>
    <row r="36" spans="1:58" ht="12.75" customHeight="1">
      <c r="A36" s="35"/>
      <c r="B36" s="35"/>
      <c r="C36" s="35"/>
      <c r="D36" s="35"/>
      <c r="E36" s="67"/>
      <c r="F36" s="67"/>
      <c r="G36" s="36"/>
      <c r="H36" s="29"/>
      <c r="I36" s="78"/>
      <c r="J36" s="29"/>
      <c r="K36" s="29"/>
      <c r="L36" s="33"/>
      <c r="M36" s="33"/>
      <c r="N36" s="131"/>
      <c r="O36" s="71"/>
      <c r="P36" s="71"/>
      <c r="Q36" s="33"/>
      <c r="R36" s="31"/>
      <c r="S36" s="31"/>
      <c r="T36" s="59"/>
      <c r="U36" s="59"/>
      <c r="V36" s="59"/>
      <c r="W36" s="57"/>
      <c r="X36" s="126"/>
      <c r="Y36" s="28"/>
      <c r="Z36" s="33"/>
      <c r="AA36" s="34"/>
      <c r="AB36" s="30"/>
      <c r="AC36" s="30"/>
      <c r="AD36" s="32"/>
      <c r="AE36" s="32"/>
      <c r="AF36" s="2"/>
      <c r="AG36" s="2"/>
      <c r="AH36" s="2"/>
      <c r="AI36" s="2"/>
      <c r="AK36" s="73"/>
      <c r="AL36" s="73"/>
      <c r="AM36" s="38"/>
      <c r="AN36" s="38"/>
      <c r="AO36" s="38"/>
      <c r="AP36" s="38"/>
      <c r="AQ36" s="38"/>
      <c r="AR36" s="38"/>
      <c r="AS36" s="38"/>
      <c r="AT36" s="38"/>
      <c r="AU36" s="38"/>
      <c r="AV36" s="38"/>
      <c r="AW36" s="38"/>
      <c r="AX36" s="38"/>
      <c r="AY36" s="38"/>
      <c r="AZ36" s="38"/>
      <c r="BA36" s="38"/>
      <c r="BB36" s="38"/>
      <c r="BC36" s="38"/>
      <c r="BD36" s="38"/>
      <c r="BE36" s="61"/>
      <c r="BF36" s="38"/>
    </row>
    <row r="37" spans="1:58" ht="12.75" customHeight="1">
      <c r="A37" s="35"/>
      <c r="B37" s="35"/>
      <c r="C37" s="35"/>
      <c r="D37" s="35"/>
      <c r="E37" s="67"/>
      <c r="F37" s="67"/>
      <c r="G37" s="36"/>
      <c r="H37" s="29"/>
      <c r="I37" s="78"/>
      <c r="J37" s="29"/>
      <c r="K37" s="29"/>
      <c r="L37" s="33"/>
      <c r="M37" s="33"/>
      <c r="N37" s="131"/>
      <c r="O37" s="71"/>
      <c r="P37" s="71"/>
      <c r="Q37" s="33"/>
      <c r="R37" s="31"/>
      <c r="S37" s="31"/>
      <c r="T37" s="59"/>
      <c r="U37" s="59"/>
      <c r="V37" s="59"/>
      <c r="W37" s="57"/>
      <c r="X37" s="126"/>
      <c r="Y37" s="28"/>
      <c r="Z37" s="33"/>
      <c r="AA37" s="34"/>
      <c r="AB37" s="30"/>
      <c r="AC37" s="30"/>
      <c r="AD37" s="32"/>
      <c r="AE37" s="32"/>
      <c r="AF37" s="2"/>
      <c r="AG37" s="2"/>
      <c r="AH37" s="2"/>
      <c r="AI37" s="2"/>
      <c r="AK37" s="73"/>
      <c r="AL37" s="73"/>
      <c r="AM37" s="38"/>
      <c r="AN37" s="38"/>
      <c r="AO37" s="38"/>
      <c r="AP37" s="38"/>
      <c r="AQ37" s="38"/>
      <c r="AR37" s="38"/>
      <c r="AS37" s="38"/>
      <c r="AT37" s="38"/>
      <c r="AU37" s="38"/>
      <c r="AV37" s="38"/>
      <c r="AW37" s="38"/>
      <c r="AX37" s="38"/>
      <c r="AY37" s="38"/>
      <c r="AZ37" s="38"/>
      <c r="BA37" s="38"/>
      <c r="BB37" s="38"/>
      <c r="BC37" s="38"/>
      <c r="BD37" s="38"/>
      <c r="BE37" s="61"/>
      <c r="BF37" s="38"/>
    </row>
    <row r="38" spans="1:58" ht="12.75" customHeight="1">
      <c r="A38" s="35"/>
      <c r="B38" s="35"/>
      <c r="C38" s="35"/>
      <c r="D38" s="35"/>
      <c r="E38" s="67"/>
      <c r="F38" s="67"/>
      <c r="G38" s="36"/>
      <c r="H38" s="29"/>
      <c r="I38" s="78"/>
      <c r="J38" s="29"/>
      <c r="K38" s="29"/>
      <c r="L38" s="33"/>
      <c r="M38" s="33"/>
      <c r="N38" s="131"/>
      <c r="O38" s="71"/>
      <c r="P38" s="71"/>
      <c r="Q38" s="33"/>
      <c r="R38" s="31"/>
      <c r="S38" s="31"/>
      <c r="T38" s="59"/>
      <c r="U38" s="59"/>
      <c r="V38" s="59"/>
      <c r="W38" s="57"/>
      <c r="X38" s="126"/>
      <c r="Y38" s="28"/>
      <c r="Z38" s="33"/>
      <c r="AA38" s="34"/>
      <c r="AB38" s="30"/>
      <c r="AC38" s="30"/>
      <c r="AD38" s="32"/>
      <c r="AE38" s="32"/>
      <c r="AF38" s="2"/>
      <c r="AG38" s="2"/>
      <c r="AH38" s="2"/>
      <c r="AI38" s="2"/>
      <c r="AK38" s="73"/>
      <c r="AL38" s="73"/>
      <c r="AM38" s="38"/>
      <c r="AN38" s="38"/>
      <c r="AO38" s="38"/>
      <c r="AP38" s="38"/>
      <c r="AQ38" s="38"/>
      <c r="AR38" s="38"/>
      <c r="AS38" s="38"/>
      <c r="AT38" s="38"/>
      <c r="AU38" s="38"/>
      <c r="AV38" s="38"/>
      <c r="AW38" s="38"/>
      <c r="AX38" s="38"/>
      <c r="AY38" s="38"/>
      <c r="AZ38" s="38"/>
      <c r="BA38" s="38"/>
      <c r="BB38" s="38"/>
      <c r="BC38" s="38"/>
      <c r="BD38" s="38"/>
      <c r="BE38" s="61"/>
      <c r="BF38" s="38"/>
    </row>
    <row r="39" spans="1:58" ht="12.75" customHeight="1">
      <c r="A39" s="35"/>
      <c r="B39" s="35"/>
      <c r="C39" s="35"/>
      <c r="D39" s="35"/>
      <c r="E39" s="67"/>
      <c r="F39" s="67"/>
      <c r="G39" s="36"/>
      <c r="H39" s="29"/>
      <c r="I39" s="78"/>
      <c r="J39" s="29"/>
      <c r="K39" s="29"/>
      <c r="L39" s="33"/>
      <c r="M39" s="33"/>
      <c r="N39" s="131"/>
      <c r="O39" s="71"/>
      <c r="P39" s="71"/>
      <c r="Q39" s="33"/>
      <c r="R39" s="31"/>
      <c r="S39" s="31"/>
      <c r="T39" s="59"/>
      <c r="U39" s="59"/>
      <c r="V39" s="59"/>
      <c r="W39" s="57"/>
      <c r="X39" s="126"/>
      <c r="Y39" s="28"/>
      <c r="Z39" s="33"/>
      <c r="AA39" s="34"/>
      <c r="AB39" s="30"/>
      <c r="AC39" s="30"/>
      <c r="AD39" s="32"/>
      <c r="AE39" s="32"/>
      <c r="AF39" s="2"/>
      <c r="AG39" s="2"/>
      <c r="AH39" s="2"/>
      <c r="AI39" s="2"/>
      <c r="AK39" s="73"/>
      <c r="AL39" s="73"/>
      <c r="AM39" s="38"/>
      <c r="AN39" s="38"/>
      <c r="AO39" s="38"/>
      <c r="AP39" s="38"/>
      <c r="AQ39" s="38"/>
      <c r="AR39" s="38"/>
      <c r="AS39" s="38"/>
      <c r="AT39" s="38"/>
      <c r="AU39" s="38"/>
      <c r="AV39" s="38"/>
      <c r="AW39" s="38"/>
      <c r="AX39" s="38"/>
      <c r="AY39" s="38"/>
      <c r="AZ39" s="38"/>
      <c r="BA39" s="38"/>
      <c r="BB39" s="38"/>
      <c r="BC39" s="38"/>
      <c r="BD39" s="38"/>
      <c r="BE39" s="61"/>
      <c r="BF39" s="38"/>
    </row>
    <row r="40" spans="1:58" ht="12.75" customHeight="1">
      <c r="A40" s="35"/>
      <c r="B40" s="35"/>
      <c r="C40" s="35"/>
      <c r="D40" s="35"/>
      <c r="E40" s="67"/>
      <c r="F40" s="67"/>
      <c r="G40" s="36"/>
      <c r="H40" s="29"/>
      <c r="I40" s="78"/>
      <c r="J40" s="29"/>
      <c r="K40" s="29"/>
      <c r="L40" s="33"/>
      <c r="M40" s="33"/>
      <c r="N40" s="131"/>
      <c r="O40" s="71"/>
      <c r="P40" s="71"/>
      <c r="Q40" s="33"/>
      <c r="R40" s="31"/>
      <c r="S40" s="31"/>
      <c r="T40" s="59"/>
      <c r="U40" s="59"/>
      <c r="V40" s="59"/>
      <c r="W40" s="57"/>
      <c r="X40" s="126"/>
      <c r="Y40" s="28"/>
      <c r="Z40" s="33"/>
      <c r="AA40" s="34"/>
      <c r="AB40" s="30"/>
      <c r="AC40" s="30"/>
      <c r="AD40" s="32"/>
      <c r="AE40" s="32"/>
      <c r="AF40" s="2"/>
      <c r="AG40" s="2"/>
      <c r="AH40" s="2"/>
      <c r="AI40" s="2"/>
      <c r="AK40" s="73"/>
      <c r="AL40" s="73"/>
      <c r="AM40" s="38"/>
      <c r="AN40" s="38"/>
      <c r="AO40" s="38"/>
      <c r="AP40" s="38"/>
      <c r="AQ40" s="38"/>
      <c r="AR40" s="38"/>
      <c r="AS40" s="38"/>
      <c r="AT40" s="38"/>
      <c r="AU40" s="38"/>
      <c r="AV40" s="38"/>
      <c r="AW40" s="38"/>
      <c r="AX40" s="38"/>
      <c r="AY40" s="38"/>
      <c r="AZ40" s="38"/>
      <c r="BA40" s="38"/>
      <c r="BB40" s="38"/>
      <c r="BC40" s="38"/>
      <c r="BD40" s="38"/>
      <c r="BE40" s="61"/>
      <c r="BF40" s="38"/>
    </row>
    <row r="41" spans="1:58" ht="12.75" customHeight="1">
      <c r="A41" s="35"/>
      <c r="B41" s="35"/>
      <c r="C41" s="35"/>
      <c r="D41" s="35"/>
      <c r="E41" s="67"/>
      <c r="F41" s="67"/>
      <c r="G41" s="36"/>
      <c r="H41" s="29"/>
      <c r="I41" s="78"/>
      <c r="J41" s="29"/>
      <c r="K41" s="29"/>
      <c r="L41" s="33"/>
      <c r="M41" s="33"/>
      <c r="N41" s="131"/>
      <c r="O41" s="71"/>
      <c r="P41" s="71"/>
      <c r="Q41" s="33"/>
      <c r="R41" s="31"/>
      <c r="S41" s="31"/>
      <c r="T41" s="59"/>
      <c r="U41" s="59"/>
      <c r="V41" s="59"/>
      <c r="W41" s="57"/>
      <c r="X41" s="126"/>
      <c r="Y41" s="28"/>
      <c r="Z41" s="33"/>
      <c r="AA41" s="34"/>
      <c r="AB41" s="30"/>
      <c r="AC41" s="30"/>
      <c r="AD41" s="32"/>
      <c r="AE41" s="32"/>
      <c r="AF41" s="2"/>
      <c r="AG41" s="2"/>
      <c r="AH41" s="2"/>
      <c r="AI41" s="2"/>
      <c r="AK41" s="73"/>
      <c r="AL41" s="73"/>
      <c r="AM41" s="38"/>
      <c r="AN41" s="38"/>
      <c r="AO41" s="38"/>
      <c r="AP41" s="38"/>
      <c r="AQ41" s="38"/>
      <c r="AR41" s="38"/>
      <c r="AS41" s="38"/>
      <c r="AT41" s="38"/>
      <c r="AU41" s="38"/>
      <c r="AV41" s="38"/>
      <c r="AW41" s="38"/>
      <c r="AX41" s="38"/>
      <c r="AY41" s="38"/>
      <c r="AZ41" s="38"/>
      <c r="BA41" s="38"/>
      <c r="BB41" s="38"/>
      <c r="BC41" s="38"/>
      <c r="BD41" s="38"/>
      <c r="BE41" s="61"/>
      <c r="BF41" s="38"/>
    </row>
    <row r="42" spans="1:58" ht="12.75" customHeight="1">
      <c r="A42" s="35"/>
      <c r="B42" s="35"/>
      <c r="C42" s="35"/>
      <c r="D42" s="35"/>
      <c r="E42" s="67"/>
      <c r="F42" s="67"/>
      <c r="G42" s="36"/>
      <c r="H42" s="29"/>
      <c r="I42" s="78"/>
      <c r="J42" s="29"/>
      <c r="K42" s="29"/>
      <c r="L42" s="33"/>
      <c r="M42" s="33"/>
      <c r="N42" s="131"/>
      <c r="O42" s="71"/>
      <c r="P42" s="71"/>
      <c r="Q42" s="33"/>
      <c r="R42" s="31"/>
      <c r="S42" s="31"/>
      <c r="T42" s="59"/>
      <c r="U42" s="59"/>
      <c r="V42" s="59"/>
      <c r="W42" s="57"/>
      <c r="X42" s="126"/>
      <c r="Y42" s="28"/>
      <c r="Z42" s="33"/>
      <c r="AA42" s="34"/>
      <c r="AB42" s="30"/>
      <c r="AC42" s="30"/>
      <c r="AD42" s="32"/>
      <c r="AE42" s="32"/>
      <c r="AF42" s="2"/>
      <c r="AG42" s="2"/>
      <c r="AH42" s="2"/>
      <c r="AI42" s="2"/>
      <c r="AK42" s="73"/>
      <c r="AL42" s="73"/>
      <c r="AM42" s="38"/>
      <c r="AN42" s="38"/>
      <c r="AO42" s="38"/>
      <c r="AP42" s="38"/>
      <c r="AQ42" s="38"/>
      <c r="AR42" s="38"/>
      <c r="AS42" s="38"/>
      <c r="AT42" s="38"/>
      <c r="AU42" s="38"/>
      <c r="AV42" s="38"/>
      <c r="AW42" s="38"/>
      <c r="AX42" s="38"/>
      <c r="AY42" s="38"/>
      <c r="AZ42" s="38"/>
      <c r="BA42" s="38"/>
      <c r="BB42" s="38"/>
      <c r="BC42" s="38"/>
      <c r="BD42" s="38"/>
      <c r="BE42" s="61"/>
      <c r="BF42" s="38"/>
    </row>
    <row r="43" spans="1:58" ht="12.75" customHeight="1">
      <c r="A43" s="35"/>
      <c r="B43" s="35"/>
      <c r="C43" s="35"/>
      <c r="D43" s="35"/>
      <c r="E43" s="67"/>
      <c r="F43" s="67"/>
      <c r="G43" s="36"/>
      <c r="H43" s="29"/>
      <c r="I43" s="78"/>
      <c r="J43" s="29"/>
      <c r="K43" s="29"/>
      <c r="L43" s="33"/>
      <c r="M43" s="33"/>
      <c r="N43" s="131"/>
      <c r="O43" s="71"/>
      <c r="P43" s="71"/>
      <c r="Q43" s="33"/>
      <c r="R43" s="31"/>
      <c r="S43" s="31"/>
      <c r="T43" s="59"/>
      <c r="U43" s="59"/>
      <c r="V43" s="59"/>
      <c r="W43" s="57"/>
      <c r="X43" s="126"/>
      <c r="Y43" s="28"/>
      <c r="Z43" s="33"/>
      <c r="AA43" s="34"/>
      <c r="AB43" s="30"/>
      <c r="AC43" s="30"/>
      <c r="AD43" s="32"/>
      <c r="AE43" s="32"/>
      <c r="AF43" s="2"/>
      <c r="AG43" s="2"/>
      <c r="AH43" s="2"/>
      <c r="AI43" s="2"/>
      <c r="AK43" s="73"/>
      <c r="AL43" s="73"/>
      <c r="AM43" s="38"/>
      <c r="AN43" s="38"/>
      <c r="AO43" s="38"/>
      <c r="AP43" s="38"/>
      <c r="AQ43" s="38"/>
      <c r="AR43" s="38"/>
      <c r="AS43" s="38"/>
      <c r="AT43" s="38"/>
      <c r="AU43" s="38"/>
      <c r="AV43" s="38"/>
      <c r="AW43" s="38"/>
      <c r="AX43" s="38"/>
      <c r="AY43" s="38"/>
      <c r="AZ43" s="38"/>
      <c r="BA43" s="38"/>
      <c r="BB43" s="38"/>
      <c r="BC43" s="38"/>
      <c r="BD43" s="38"/>
      <c r="BE43" s="61"/>
      <c r="BF43" s="38"/>
    </row>
    <row r="44" spans="1:58" ht="12.75" customHeight="1">
      <c r="A44" s="35"/>
      <c r="B44" s="35"/>
      <c r="C44" s="35"/>
      <c r="D44" s="35"/>
      <c r="E44" s="67"/>
      <c r="F44" s="67"/>
      <c r="G44" s="36"/>
      <c r="H44" s="29"/>
      <c r="I44" s="78"/>
      <c r="J44" s="29"/>
      <c r="K44" s="29"/>
      <c r="L44" s="33"/>
      <c r="M44" s="33"/>
      <c r="N44" s="131"/>
      <c r="O44" s="71"/>
      <c r="P44" s="71"/>
      <c r="Q44" s="33"/>
      <c r="R44" s="31"/>
      <c r="S44" s="31"/>
      <c r="T44" s="59"/>
      <c r="U44" s="59"/>
      <c r="V44" s="59"/>
      <c r="W44" s="57"/>
      <c r="X44" s="126"/>
      <c r="Y44" s="28"/>
      <c r="Z44" s="33"/>
      <c r="AA44" s="34"/>
      <c r="AB44" s="30"/>
      <c r="AC44" s="30"/>
      <c r="AD44" s="32"/>
      <c r="AE44" s="32"/>
      <c r="AF44" s="2"/>
      <c r="AG44" s="2"/>
      <c r="AH44" s="2"/>
      <c r="AI44" s="2"/>
      <c r="AK44" s="73"/>
      <c r="AL44" s="73"/>
      <c r="AM44" s="38"/>
      <c r="AN44" s="38"/>
      <c r="AO44" s="38"/>
      <c r="AP44" s="38"/>
      <c r="AQ44" s="38"/>
      <c r="AR44" s="38"/>
      <c r="AS44" s="38"/>
      <c r="AT44" s="38"/>
      <c r="AU44" s="38"/>
      <c r="AV44" s="38"/>
      <c r="AW44" s="38"/>
      <c r="AX44" s="38"/>
      <c r="AY44" s="38"/>
      <c r="AZ44" s="38"/>
      <c r="BA44" s="38"/>
      <c r="BB44" s="38"/>
      <c r="BC44" s="38"/>
      <c r="BD44" s="38"/>
      <c r="BE44" s="61"/>
      <c r="BF44" s="38"/>
    </row>
    <row r="45" spans="1:58" ht="12.75" customHeight="1">
      <c r="A45" s="35"/>
      <c r="B45" s="35"/>
      <c r="C45" s="35"/>
      <c r="D45" s="35"/>
      <c r="E45" s="67"/>
      <c r="F45" s="67"/>
      <c r="G45" s="36"/>
      <c r="H45" s="29"/>
      <c r="I45" s="78"/>
      <c r="J45" s="29"/>
      <c r="K45" s="29"/>
      <c r="L45" s="33"/>
      <c r="M45" s="33"/>
      <c r="N45" s="131"/>
      <c r="O45" s="71"/>
      <c r="P45" s="71"/>
      <c r="Q45" s="33"/>
      <c r="R45" s="31"/>
      <c r="S45" s="31"/>
      <c r="T45" s="59"/>
      <c r="U45" s="59"/>
      <c r="V45" s="59"/>
      <c r="W45" s="57"/>
      <c r="X45" s="126"/>
      <c r="Y45" s="28"/>
      <c r="Z45" s="33"/>
      <c r="AA45" s="34"/>
      <c r="AB45" s="30"/>
      <c r="AC45" s="30"/>
      <c r="AD45" s="32"/>
      <c r="AE45" s="32"/>
      <c r="AF45" s="2"/>
      <c r="AG45" s="2"/>
      <c r="AH45" s="2"/>
      <c r="AI45" s="2"/>
      <c r="AK45" s="73"/>
      <c r="AL45" s="73"/>
      <c r="AM45" s="38"/>
      <c r="AN45" s="38"/>
      <c r="AO45" s="38"/>
      <c r="AP45" s="38"/>
      <c r="AQ45" s="38"/>
      <c r="AR45" s="38"/>
      <c r="AS45" s="38"/>
      <c r="AT45" s="38"/>
      <c r="AU45" s="38"/>
      <c r="AV45" s="38"/>
      <c r="AW45" s="38"/>
      <c r="AX45" s="38"/>
      <c r="AY45" s="38"/>
      <c r="AZ45" s="38"/>
      <c r="BA45" s="38"/>
      <c r="BB45" s="38"/>
      <c r="BC45" s="38"/>
      <c r="BD45" s="38"/>
      <c r="BE45" s="61"/>
      <c r="BF45" s="38"/>
    </row>
    <row r="46" spans="1:58" ht="12.75" customHeight="1">
      <c r="A46" s="35"/>
      <c r="B46" s="35"/>
      <c r="C46" s="35"/>
      <c r="D46" s="35"/>
      <c r="E46" s="67"/>
      <c r="F46" s="67"/>
      <c r="G46" s="36"/>
      <c r="H46" s="29"/>
      <c r="I46" s="78"/>
      <c r="J46" s="29"/>
      <c r="K46" s="29"/>
      <c r="L46" s="33"/>
      <c r="M46" s="33"/>
      <c r="N46" s="131"/>
      <c r="O46" s="71"/>
      <c r="P46" s="71"/>
      <c r="Q46" s="33"/>
      <c r="R46" s="31"/>
      <c r="S46" s="31"/>
      <c r="T46" s="59"/>
      <c r="U46" s="59"/>
      <c r="V46" s="59"/>
      <c r="W46" s="57"/>
      <c r="X46" s="126"/>
      <c r="Y46" s="28"/>
      <c r="Z46" s="33"/>
      <c r="AA46" s="34"/>
      <c r="AB46" s="30"/>
      <c r="AC46" s="30"/>
      <c r="AD46" s="32"/>
      <c r="AE46" s="32"/>
      <c r="AF46" s="2"/>
      <c r="AG46" s="2"/>
      <c r="AH46" s="2"/>
      <c r="AI46" s="2"/>
      <c r="AK46" s="73"/>
      <c r="AL46" s="73"/>
      <c r="AM46" s="38"/>
      <c r="AN46" s="38"/>
      <c r="AO46" s="38"/>
      <c r="AP46" s="38"/>
      <c r="AQ46" s="38"/>
      <c r="AR46" s="38"/>
      <c r="AS46" s="38"/>
      <c r="AT46" s="38"/>
      <c r="AU46" s="38"/>
      <c r="AV46" s="38"/>
      <c r="AW46" s="38"/>
      <c r="AX46" s="38"/>
      <c r="AY46" s="38"/>
      <c r="AZ46" s="38"/>
      <c r="BA46" s="38"/>
      <c r="BB46" s="38"/>
      <c r="BC46" s="38"/>
      <c r="BD46" s="38"/>
      <c r="BE46" s="61"/>
      <c r="BF46" s="38"/>
    </row>
    <row r="47" spans="1:58" ht="12.75" customHeight="1">
      <c r="A47" s="35"/>
      <c r="B47" s="35"/>
      <c r="C47" s="35"/>
      <c r="D47" s="35"/>
      <c r="E47" s="67"/>
      <c r="F47" s="67"/>
      <c r="G47" s="36"/>
      <c r="H47" s="29"/>
      <c r="I47" s="78"/>
      <c r="J47" s="29"/>
      <c r="K47" s="29"/>
      <c r="L47" s="33"/>
      <c r="M47" s="33"/>
      <c r="N47" s="131"/>
      <c r="O47" s="71"/>
      <c r="P47" s="71"/>
      <c r="Q47" s="33"/>
      <c r="R47" s="31"/>
      <c r="S47" s="31"/>
      <c r="T47" s="59"/>
      <c r="U47" s="59"/>
      <c r="V47" s="59"/>
      <c r="W47" s="57"/>
      <c r="X47" s="126"/>
      <c r="Y47" s="28"/>
      <c r="Z47" s="33"/>
      <c r="AA47" s="34"/>
      <c r="AB47" s="30"/>
      <c r="AC47" s="30"/>
      <c r="AD47" s="32"/>
      <c r="AE47" s="32"/>
      <c r="AF47" s="2"/>
      <c r="AG47" s="2"/>
      <c r="AH47" s="2"/>
      <c r="AI47" s="2"/>
      <c r="AK47" s="73"/>
      <c r="AL47" s="73"/>
      <c r="AM47" s="38"/>
      <c r="AN47" s="38"/>
      <c r="AO47" s="38"/>
      <c r="AP47" s="38"/>
      <c r="AQ47" s="38"/>
      <c r="AR47" s="38"/>
      <c r="AS47" s="38"/>
      <c r="AT47" s="38"/>
      <c r="AU47" s="38"/>
      <c r="AV47" s="38"/>
      <c r="AW47" s="38"/>
      <c r="AX47" s="38"/>
      <c r="AY47" s="38"/>
      <c r="AZ47" s="38"/>
      <c r="BA47" s="38"/>
      <c r="BB47" s="38"/>
      <c r="BC47" s="38"/>
      <c r="BD47" s="38"/>
      <c r="BE47" s="61"/>
      <c r="BF47" s="38"/>
    </row>
    <row r="48" spans="1:58" ht="12.75" customHeight="1">
      <c r="A48" s="35"/>
      <c r="B48" s="35"/>
      <c r="C48" s="35"/>
      <c r="D48" s="35"/>
      <c r="E48" s="67"/>
      <c r="F48" s="67"/>
      <c r="G48" s="36"/>
      <c r="H48" s="29"/>
      <c r="I48" s="78"/>
      <c r="J48" s="29"/>
      <c r="K48" s="29"/>
      <c r="L48" s="33"/>
      <c r="M48" s="33"/>
      <c r="N48" s="131"/>
      <c r="O48" s="71"/>
      <c r="P48" s="71"/>
      <c r="Q48" s="33"/>
      <c r="R48" s="31"/>
      <c r="S48" s="31"/>
      <c r="T48" s="59"/>
      <c r="U48" s="59"/>
      <c r="V48" s="59"/>
      <c r="W48" s="57"/>
      <c r="X48" s="126"/>
      <c r="Y48" s="28"/>
      <c r="Z48" s="33"/>
      <c r="AA48" s="34"/>
      <c r="AB48" s="30"/>
      <c r="AC48" s="30"/>
      <c r="AD48" s="32"/>
      <c r="AE48" s="32"/>
      <c r="AF48" s="2"/>
      <c r="AG48" s="2"/>
      <c r="AH48" s="2"/>
      <c r="AI48" s="2"/>
      <c r="AK48" s="73"/>
      <c r="AL48" s="73"/>
      <c r="AM48" s="38"/>
      <c r="AN48" s="38"/>
      <c r="AO48" s="38"/>
      <c r="AP48" s="38"/>
      <c r="AQ48" s="38"/>
      <c r="AR48" s="38"/>
      <c r="AS48" s="38"/>
      <c r="AT48" s="38"/>
      <c r="AU48" s="38"/>
      <c r="AV48" s="38"/>
      <c r="AW48" s="38"/>
      <c r="AX48" s="38"/>
      <c r="AY48" s="38"/>
      <c r="AZ48" s="38"/>
      <c r="BA48" s="38"/>
      <c r="BB48" s="38"/>
      <c r="BC48" s="38"/>
      <c r="BD48" s="38"/>
      <c r="BE48" s="61"/>
      <c r="BF48" s="38"/>
    </row>
    <row r="49" spans="1:58" ht="12.75" customHeight="1">
      <c r="A49" s="35"/>
      <c r="B49" s="35"/>
      <c r="C49" s="35"/>
      <c r="D49" s="35"/>
      <c r="E49" s="67"/>
      <c r="F49" s="67"/>
      <c r="G49" s="36"/>
      <c r="H49" s="29"/>
      <c r="I49" s="78"/>
      <c r="J49" s="29"/>
      <c r="K49" s="29"/>
      <c r="L49" s="33"/>
      <c r="M49" s="33"/>
      <c r="N49" s="131"/>
      <c r="O49" s="71"/>
      <c r="P49" s="71"/>
      <c r="Q49" s="33"/>
      <c r="R49" s="31"/>
      <c r="S49" s="31"/>
      <c r="T49" s="59"/>
      <c r="U49" s="59"/>
      <c r="V49" s="59"/>
      <c r="W49" s="57"/>
      <c r="X49" s="126"/>
      <c r="Y49" s="28"/>
      <c r="Z49" s="33"/>
      <c r="AA49" s="34"/>
      <c r="AB49" s="30"/>
      <c r="AC49" s="30"/>
      <c r="AD49" s="32"/>
      <c r="AE49" s="32"/>
      <c r="AF49" s="2"/>
      <c r="AG49" s="2"/>
      <c r="AH49" s="2"/>
      <c r="AI49" s="2"/>
      <c r="AK49" s="73"/>
      <c r="AL49" s="73"/>
      <c r="AM49" s="38"/>
      <c r="AN49" s="38"/>
      <c r="AO49" s="38"/>
      <c r="AP49" s="38"/>
      <c r="AQ49" s="38"/>
      <c r="AR49" s="38"/>
      <c r="AS49" s="38"/>
      <c r="AT49" s="38"/>
      <c r="AU49" s="38"/>
      <c r="AV49" s="38"/>
      <c r="AW49" s="38"/>
      <c r="AX49" s="38"/>
      <c r="AY49" s="38"/>
      <c r="AZ49" s="38"/>
      <c r="BA49" s="38"/>
      <c r="BB49" s="38"/>
      <c r="BC49" s="38"/>
      <c r="BD49" s="38"/>
      <c r="BE49" s="61"/>
      <c r="BF49" s="38"/>
    </row>
    <row r="50" spans="1:58" ht="12.75" customHeight="1">
      <c r="A50" s="35"/>
      <c r="B50" s="35"/>
      <c r="C50" s="35"/>
      <c r="D50" s="35"/>
      <c r="E50" s="67"/>
      <c r="F50" s="67"/>
      <c r="G50" s="36"/>
      <c r="H50" s="29"/>
      <c r="I50" s="78"/>
      <c r="J50" s="29"/>
      <c r="K50" s="29"/>
      <c r="L50" s="33"/>
      <c r="M50" s="33"/>
      <c r="N50" s="60"/>
      <c r="O50" s="71"/>
      <c r="P50" s="71"/>
      <c r="Q50" s="33"/>
      <c r="R50" s="31"/>
      <c r="S50" s="31"/>
      <c r="T50" s="59"/>
      <c r="U50" s="59"/>
      <c r="V50" s="59"/>
      <c r="W50" s="57"/>
      <c r="X50" s="126"/>
      <c r="Y50" s="28"/>
      <c r="Z50" s="33"/>
      <c r="AA50" s="34"/>
      <c r="AB50" s="30"/>
      <c r="AC50" s="30"/>
      <c r="AD50" s="32"/>
      <c r="AE50" s="32"/>
      <c r="AF50" s="2"/>
      <c r="AG50" s="2"/>
      <c r="AH50" s="2"/>
      <c r="AI50" s="2"/>
      <c r="AK50" s="73"/>
      <c r="AL50" s="73"/>
      <c r="AM50" s="38"/>
      <c r="AN50" s="38"/>
      <c r="AO50" s="38"/>
      <c r="AP50" s="38"/>
      <c r="AQ50" s="38"/>
      <c r="AR50" s="38"/>
      <c r="AS50" s="38"/>
      <c r="AT50" s="38"/>
      <c r="AU50" s="38"/>
      <c r="AV50" s="38"/>
      <c r="AW50" s="38"/>
      <c r="AX50" s="38"/>
      <c r="AY50" s="38"/>
      <c r="AZ50" s="38"/>
      <c r="BA50" s="38"/>
      <c r="BB50" s="38"/>
      <c r="BC50" s="38"/>
      <c r="BD50" s="38"/>
      <c r="BE50" s="61"/>
      <c r="BF50" s="38"/>
    </row>
    <row r="51" spans="1:58" ht="12.75" customHeight="1">
      <c r="A51" s="35"/>
      <c r="B51" s="35"/>
      <c r="C51" s="35"/>
      <c r="D51" s="35"/>
      <c r="E51" s="67"/>
      <c r="F51" s="67"/>
      <c r="G51" s="36"/>
      <c r="H51" s="29"/>
      <c r="I51" s="78"/>
      <c r="J51" s="29"/>
      <c r="K51" s="29"/>
      <c r="L51" s="33"/>
      <c r="M51" s="33"/>
      <c r="N51" s="60"/>
      <c r="O51" s="71"/>
      <c r="P51" s="71"/>
      <c r="Q51" s="33"/>
      <c r="R51" s="31"/>
      <c r="S51" s="31"/>
      <c r="T51" s="59"/>
      <c r="U51" s="59"/>
      <c r="V51" s="59"/>
      <c r="W51" s="57"/>
      <c r="X51" s="126"/>
      <c r="Y51" s="28"/>
      <c r="Z51" s="33"/>
      <c r="AA51" s="34"/>
      <c r="AB51" s="30"/>
      <c r="AC51" s="30"/>
      <c r="AD51" s="32"/>
      <c r="AE51" s="32"/>
      <c r="AF51" s="2"/>
      <c r="AG51" s="2"/>
      <c r="AH51" s="2"/>
      <c r="AI51" s="2"/>
      <c r="AK51" s="73"/>
      <c r="AL51" s="73"/>
      <c r="AM51" s="38"/>
      <c r="AN51" s="38"/>
      <c r="AO51" s="38"/>
      <c r="AP51" s="38"/>
      <c r="AQ51" s="38"/>
      <c r="AR51" s="38"/>
      <c r="AS51" s="38"/>
      <c r="AT51" s="38"/>
      <c r="AU51" s="38"/>
      <c r="AV51" s="38"/>
      <c r="AW51" s="38"/>
      <c r="AX51" s="38"/>
      <c r="AY51" s="38"/>
      <c r="AZ51" s="38"/>
      <c r="BA51" s="38"/>
      <c r="BB51" s="38"/>
      <c r="BC51" s="38"/>
      <c r="BD51" s="38"/>
      <c r="BE51" s="61"/>
      <c r="BF51" s="38"/>
    </row>
    <row r="52" spans="1:58" ht="12.75" customHeight="1">
      <c r="A52" s="35"/>
      <c r="B52" s="35"/>
      <c r="C52" s="35"/>
      <c r="D52" s="35"/>
      <c r="E52" s="67"/>
      <c r="F52" s="67"/>
      <c r="G52" s="36"/>
      <c r="H52" s="29"/>
      <c r="I52" s="78"/>
      <c r="J52" s="29"/>
      <c r="K52" s="29"/>
      <c r="L52" s="33"/>
      <c r="M52" s="33"/>
      <c r="N52" s="60"/>
      <c r="O52" s="71"/>
      <c r="P52" s="71"/>
      <c r="Q52" s="33"/>
      <c r="R52" s="31"/>
      <c r="S52" s="31"/>
      <c r="T52" s="59"/>
      <c r="U52" s="59"/>
      <c r="V52" s="59"/>
      <c r="W52" s="57"/>
      <c r="X52" s="126"/>
      <c r="Y52" s="28"/>
      <c r="Z52" s="33"/>
      <c r="AA52" s="34"/>
      <c r="AB52" s="30"/>
      <c r="AC52" s="30"/>
      <c r="AD52" s="32"/>
      <c r="AE52" s="32"/>
      <c r="AF52" s="2"/>
      <c r="AG52" s="2"/>
      <c r="AH52" s="2"/>
      <c r="AI52" s="2"/>
      <c r="AK52" s="73"/>
      <c r="AL52" s="73"/>
      <c r="AM52" s="38"/>
      <c r="AN52" s="38"/>
      <c r="AO52" s="38"/>
      <c r="AP52" s="38"/>
      <c r="AQ52" s="38"/>
      <c r="AR52" s="38"/>
      <c r="AS52" s="38"/>
      <c r="AT52" s="38"/>
      <c r="AU52" s="38"/>
      <c r="AV52" s="38"/>
      <c r="AW52" s="38"/>
      <c r="AX52" s="38"/>
      <c r="AY52" s="38"/>
      <c r="AZ52" s="38"/>
      <c r="BA52" s="38"/>
      <c r="BB52" s="38"/>
      <c r="BC52" s="38"/>
      <c r="BD52" s="38"/>
      <c r="BE52" s="61"/>
      <c r="BF52" s="38"/>
    </row>
    <row r="53" spans="1:58" ht="12.75" customHeight="1">
      <c r="A53" s="35"/>
      <c r="B53" s="35"/>
      <c r="C53" s="35"/>
      <c r="D53" s="35"/>
      <c r="E53" s="67"/>
      <c r="F53" s="67"/>
      <c r="G53" s="36"/>
      <c r="H53" s="29"/>
      <c r="I53" s="78"/>
      <c r="J53" s="29"/>
      <c r="K53" s="29"/>
      <c r="L53" s="33"/>
      <c r="M53" s="33"/>
      <c r="N53" s="60"/>
      <c r="O53" s="71"/>
      <c r="P53" s="71"/>
      <c r="Q53" s="33"/>
      <c r="R53" s="31"/>
      <c r="S53" s="31"/>
      <c r="T53" s="59"/>
      <c r="U53" s="59"/>
      <c r="V53" s="59"/>
      <c r="W53" s="57"/>
      <c r="X53" s="126"/>
      <c r="Y53" s="28"/>
      <c r="Z53" s="33"/>
      <c r="AA53" s="34"/>
      <c r="AB53" s="30"/>
      <c r="AC53" s="30"/>
      <c r="AD53" s="32"/>
      <c r="AE53" s="32"/>
      <c r="AF53" s="2"/>
      <c r="AG53" s="2"/>
      <c r="AH53" s="2"/>
      <c r="AI53" s="2"/>
      <c r="AK53" s="73"/>
      <c r="AL53" s="73"/>
      <c r="AM53" s="38"/>
      <c r="AN53" s="38"/>
      <c r="AO53" s="38"/>
      <c r="AP53" s="38"/>
      <c r="AQ53" s="38"/>
      <c r="AR53" s="38"/>
      <c r="AS53" s="38"/>
      <c r="AT53" s="38"/>
      <c r="AU53" s="38"/>
      <c r="AV53" s="38"/>
      <c r="AW53" s="38"/>
      <c r="AX53" s="38"/>
      <c r="AY53" s="38"/>
      <c r="AZ53" s="38"/>
      <c r="BA53" s="38"/>
      <c r="BB53" s="38"/>
      <c r="BC53" s="38"/>
      <c r="BD53" s="38"/>
      <c r="BE53" s="61"/>
      <c r="BF53" s="38"/>
    </row>
    <row r="54" spans="1:58" ht="12.75" customHeight="1">
      <c r="A54" s="35"/>
      <c r="B54" s="35"/>
      <c r="C54" s="35"/>
      <c r="D54" s="35"/>
      <c r="E54" s="67"/>
      <c r="F54" s="67"/>
      <c r="G54" s="36"/>
      <c r="H54" s="29"/>
      <c r="I54" s="78"/>
      <c r="J54" s="29"/>
      <c r="K54" s="29"/>
      <c r="L54" s="33"/>
      <c r="M54" s="33"/>
      <c r="N54" s="60"/>
      <c r="O54" s="71"/>
      <c r="P54" s="71"/>
      <c r="Q54" s="33"/>
      <c r="R54" s="31"/>
      <c r="S54" s="31"/>
      <c r="T54" s="59"/>
      <c r="U54" s="59"/>
      <c r="V54" s="59"/>
      <c r="W54" s="57"/>
      <c r="X54" s="126"/>
      <c r="Y54" s="28"/>
      <c r="Z54" s="33"/>
      <c r="AA54" s="34"/>
      <c r="AB54" s="30"/>
      <c r="AC54" s="30"/>
      <c r="AD54" s="32"/>
      <c r="AE54" s="32"/>
      <c r="AF54" s="2"/>
      <c r="AG54" s="2"/>
      <c r="AH54" s="2"/>
      <c r="AI54" s="2"/>
      <c r="AK54" s="73"/>
      <c r="AL54" s="73"/>
      <c r="AM54" s="38"/>
      <c r="AN54" s="38"/>
      <c r="AO54" s="38"/>
      <c r="AP54" s="38"/>
      <c r="AQ54" s="38"/>
      <c r="AR54" s="38"/>
      <c r="AS54" s="38"/>
      <c r="AT54" s="38"/>
      <c r="AU54" s="38"/>
      <c r="AV54" s="38"/>
      <c r="AW54" s="38"/>
      <c r="AX54" s="38"/>
      <c r="AY54" s="38"/>
      <c r="AZ54" s="38"/>
      <c r="BA54" s="38"/>
      <c r="BB54" s="38"/>
      <c r="BC54" s="38"/>
      <c r="BD54" s="38"/>
      <c r="BE54" s="61"/>
      <c r="BF54" s="38"/>
    </row>
    <row r="55" spans="1:58" ht="12.75" customHeight="1">
      <c r="A55" s="35"/>
      <c r="B55" s="35"/>
      <c r="C55" s="35"/>
      <c r="D55" s="35"/>
      <c r="E55" s="67"/>
      <c r="F55" s="67"/>
      <c r="G55" s="36"/>
      <c r="H55" s="29"/>
      <c r="I55" s="78"/>
      <c r="J55" s="29"/>
      <c r="K55" s="29"/>
      <c r="L55" s="33"/>
      <c r="M55" s="33"/>
      <c r="N55" s="60"/>
      <c r="O55" s="71"/>
      <c r="P55" s="71"/>
      <c r="Q55" s="33"/>
      <c r="R55" s="31"/>
      <c r="S55" s="31"/>
      <c r="T55" s="59"/>
      <c r="U55" s="59"/>
      <c r="V55" s="59"/>
      <c r="W55" s="57"/>
      <c r="X55" s="126"/>
      <c r="Y55" s="28"/>
      <c r="Z55" s="33"/>
      <c r="AA55" s="34"/>
      <c r="AB55" s="30"/>
      <c r="AC55" s="30"/>
      <c r="AD55" s="32"/>
      <c r="AE55" s="32"/>
      <c r="AF55" s="2"/>
      <c r="AG55" s="2"/>
      <c r="AH55" s="2"/>
      <c r="AI55" s="2"/>
      <c r="AK55" s="73"/>
      <c r="AL55" s="73"/>
      <c r="AM55" s="38"/>
      <c r="AN55" s="38"/>
      <c r="AO55" s="38"/>
      <c r="AP55" s="38"/>
      <c r="AQ55" s="38"/>
      <c r="AR55" s="38"/>
      <c r="AS55" s="38"/>
      <c r="AT55" s="38"/>
      <c r="AU55" s="38"/>
      <c r="AV55" s="38"/>
      <c r="AW55" s="38"/>
      <c r="AX55" s="38"/>
      <c r="AY55" s="38"/>
      <c r="AZ55" s="38"/>
      <c r="BA55" s="38"/>
      <c r="BB55" s="38"/>
      <c r="BC55" s="38"/>
      <c r="BD55" s="38"/>
      <c r="BE55" s="61"/>
      <c r="BF55" s="38"/>
    </row>
    <row r="56" spans="1:58" ht="12.75" customHeight="1">
      <c r="A56" s="35"/>
      <c r="B56" s="35"/>
      <c r="C56" s="35"/>
      <c r="D56" s="35"/>
      <c r="E56" s="67"/>
      <c r="F56" s="67"/>
      <c r="G56" s="36"/>
      <c r="H56" s="29"/>
      <c r="I56" s="78"/>
      <c r="J56" s="29"/>
      <c r="K56" s="29"/>
      <c r="L56" s="33"/>
      <c r="M56" s="33"/>
      <c r="N56" s="60"/>
      <c r="O56" s="71"/>
      <c r="P56" s="71"/>
      <c r="Q56" s="33"/>
      <c r="R56" s="31"/>
      <c r="S56" s="31"/>
      <c r="T56" s="59"/>
      <c r="U56" s="59"/>
      <c r="V56" s="59"/>
      <c r="W56" s="57"/>
      <c r="X56" s="126"/>
      <c r="Y56" s="28"/>
      <c r="Z56" s="33"/>
      <c r="AA56" s="34"/>
      <c r="AB56" s="30"/>
      <c r="AC56" s="30"/>
      <c r="AD56" s="32"/>
      <c r="AE56" s="32"/>
      <c r="AF56" s="2"/>
      <c r="AG56" s="2"/>
      <c r="AH56" s="2"/>
      <c r="AI56" s="2"/>
      <c r="AK56" s="73"/>
      <c r="AL56" s="73"/>
      <c r="AM56" s="38"/>
      <c r="AN56" s="38"/>
      <c r="AO56" s="38"/>
      <c r="AP56" s="38"/>
      <c r="AQ56" s="38"/>
      <c r="AR56" s="38"/>
      <c r="AS56" s="38"/>
      <c r="AT56" s="38"/>
      <c r="AU56" s="38"/>
      <c r="AV56" s="38"/>
      <c r="AW56" s="38"/>
      <c r="AX56" s="38"/>
      <c r="AY56" s="38"/>
      <c r="AZ56" s="38"/>
      <c r="BA56" s="38"/>
      <c r="BB56" s="38"/>
      <c r="BC56" s="38"/>
      <c r="BD56" s="38"/>
      <c r="BE56" s="61"/>
      <c r="BF56" s="38"/>
    </row>
    <row r="57" spans="1:58" ht="12.75" customHeight="1">
      <c r="A57" s="35"/>
      <c r="B57" s="35"/>
      <c r="C57" s="35"/>
      <c r="D57" s="35"/>
      <c r="E57" s="67"/>
      <c r="F57" s="67"/>
      <c r="G57" s="36"/>
      <c r="H57" s="29"/>
      <c r="I57" s="78"/>
      <c r="J57" s="29"/>
      <c r="K57" s="29"/>
      <c r="L57" s="33"/>
      <c r="M57" s="33"/>
      <c r="N57" s="60"/>
      <c r="O57" s="71"/>
      <c r="P57" s="71"/>
      <c r="Q57" s="33"/>
      <c r="R57" s="31"/>
      <c r="S57" s="31"/>
      <c r="T57" s="59"/>
      <c r="U57" s="59"/>
      <c r="V57" s="59"/>
      <c r="W57" s="57"/>
      <c r="X57" s="126"/>
      <c r="Y57" s="28"/>
      <c r="Z57" s="33"/>
      <c r="AA57" s="34"/>
      <c r="AB57" s="30"/>
      <c r="AC57" s="30"/>
      <c r="AD57" s="32"/>
      <c r="AE57" s="32"/>
      <c r="AF57" s="2"/>
      <c r="AG57" s="2"/>
      <c r="AH57" s="2"/>
      <c r="AI57" s="2"/>
      <c r="AK57" s="73"/>
      <c r="AL57" s="73"/>
      <c r="AM57" s="38"/>
      <c r="AN57" s="38"/>
      <c r="AO57" s="38"/>
      <c r="AP57" s="38"/>
      <c r="AQ57" s="38"/>
      <c r="AR57" s="38"/>
      <c r="AS57" s="38"/>
      <c r="AT57" s="38"/>
      <c r="AU57" s="38"/>
      <c r="AV57" s="38"/>
      <c r="AW57" s="38"/>
      <c r="AX57" s="38"/>
      <c r="AY57" s="38"/>
      <c r="AZ57" s="38"/>
      <c r="BA57" s="38"/>
      <c r="BB57" s="38"/>
      <c r="BC57" s="38"/>
      <c r="BD57" s="38"/>
      <c r="BE57" s="61"/>
      <c r="BF57" s="38"/>
    </row>
    <row r="58" spans="1:58" ht="12.75" customHeight="1">
      <c r="A58" s="35"/>
      <c r="B58" s="35"/>
      <c r="C58" s="35"/>
      <c r="D58" s="35"/>
      <c r="E58" s="67"/>
      <c r="F58" s="67"/>
      <c r="G58" s="36"/>
      <c r="H58" s="29"/>
      <c r="I58" s="78"/>
      <c r="J58" s="29"/>
      <c r="K58" s="29"/>
      <c r="L58" s="33"/>
      <c r="M58" s="33"/>
      <c r="N58" s="60"/>
      <c r="O58" s="71"/>
      <c r="P58" s="71"/>
      <c r="Q58" s="33"/>
      <c r="R58" s="31"/>
      <c r="S58" s="31"/>
      <c r="T58" s="59"/>
      <c r="U58" s="59"/>
      <c r="V58" s="59"/>
      <c r="W58" s="57"/>
      <c r="X58" s="126"/>
      <c r="Y58" s="28"/>
      <c r="Z58" s="33"/>
      <c r="AA58" s="34"/>
      <c r="AB58" s="30"/>
      <c r="AC58" s="30"/>
      <c r="AD58" s="32"/>
      <c r="AE58" s="32"/>
      <c r="AF58" s="2"/>
      <c r="AG58" s="2"/>
      <c r="AH58" s="2"/>
      <c r="AI58" s="2"/>
      <c r="AK58" s="73"/>
      <c r="AL58" s="73"/>
      <c r="AM58" s="38"/>
      <c r="AN58" s="38"/>
      <c r="AO58" s="38"/>
      <c r="AP58" s="38"/>
      <c r="AQ58" s="38"/>
      <c r="AR58" s="38"/>
      <c r="AS58" s="38"/>
      <c r="AT58" s="38"/>
      <c r="AU58" s="38"/>
      <c r="AV58" s="38"/>
      <c r="AW58" s="38"/>
      <c r="AX58" s="38"/>
      <c r="AY58" s="38"/>
      <c r="AZ58" s="38"/>
      <c r="BA58" s="38"/>
      <c r="BB58" s="38"/>
      <c r="BC58" s="38"/>
      <c r="BD58" s="38"/>
      <c r="BE58" s="61"/>
      <c r="BF58" s="38"/>
    </row>
    <row r="59" spans="1:58" ht="12.75" customHeight="1">
      <c r="A59" s="35"/>
      <c r="B59" s="35"/>
      <c r="C59" s="35"/>
      <c r="D59" s="35"/>
      <c r="E59" s="67"/>
      <c r="F59" s="67"/>
      <c r="G59" s="36"/>
      <c r="H59" s="29"/>
      <c r="I59" s="78"/>
      <c r="J59" s="29"/>
      <c r="K59" s="29"/>
      <c r="L59" s="33"/>
      <c r="M59" s="33"/>
      <c r="N59" s="60"/>
      <c r="O59" s="71"/>
      <c r="P59" s="71"/>
      <c r="Q59" s="33"/>
      <c r="R59" s="31"/>
      <c r="S59" s="31"/>
      <c r="T59" s="59"/>
      <c r="U59" s="59"/>
      <c r="V59" s="59"/>
      <c r="W59" s="57"/>
      <c r="X59" s="126"/>
      <c r="Y59" s="28"/>
      <c r="Z59" s="33"/>
      <c r="AA59" s="34"/>
      <c r="AB59" s="30"/>
      <c r="AC59" s="30"/>
      <c r="AD59" s="32"/>
      <c r="AE59" s="32"/>
      <c r="AF59" s="2"/>
      <c r="AG59" s="2"/>
      <c r="AH59" s="2"/>
      <c r="AI59" s="2"/>
      <c r="AK59" s="73"/>
      <c r="AL59" s="73"/>
      <c r="AM59" s="38"/>
      <c r="AN59" s="38"/>
      <c r="AO59" s="38"/>
      <c r="AP59" s="38"/>
      <c r="AQ59" s="38"/>
      <c r="AR59" s="38"/>
      <c r="AS59" s="38"/>
      <c r="AT59" s="38"/>
      <c r="AU59" s="38"/>
      <c r="AV59" s="38"/>
      <c r="AW59" s="38"/>
      <c r="AX59" s="38"/>
      <c r="AY59" s="38"/>
      <c r="AZ59" s="38"/>
      <c r="BA59" s="38"/>
      <c r="BB59" s="38"/>
      <c r="BC59" s="38"/>
      <c r="BD59" s="38"/>
      <c r="BE59" s="61"/>
      <c r="BF59" s="38"/>
    </row>
    <row r="60" spans="1:58" ht="12.75" customHeight="1">
      <c r="A60" s="35"/>
      <c r="B60" s="35"/>
      <c r="C60" s="35"/>
      <c r="D60" s="35"/>
      <c r="E60" s="67"/>
      <c r="F60" s="67"/>
      <c r="G60" s="36"/>
      <c r="H60" s="29"/>
      <c r="I60" s="78"/>
      <c r="J60" s="29"/>
      <c r="K60" s="29"/>
      <c r="L60" s="33"/>
      <c r="M60" s="33"/>
      <c r="N60" s="60"/>
      <c r="O60" s="71"/>
      <c r="P60" s="71"/>
      <c r="Q60" s="33"/>
      <c r="R60" s="31"/>
      <c r="S60" s="31"/>
      <c r="T60" s="59"/>
      <c r="U60" s="59"/>
      <c r="V60" s="59"/>
      <c r="W60" s="57"/>
      <c r="X60" s="126"/>
      <c r="Y60" s="28"/>
      <c r="Z60" s="33"/>
      <c r="AA60" s="34"/>
      <c r="AB60" s="30"/>
      <c r="AC60" s="30"/>
      <c r="AD60" s="32"/>
      <c r="AE60" s="32"/>
      <c r="AF60" s="2"/>
      <c r="AG60" s="2"/>
      <c r="AH60" s="2"/>
      <c r="AI60" s="2"/>
      <c r="AK60" s="73"/>
      <c r="AL60" s="73"/>
      <c r="AM60" s="38"/>
      <c r="AN60" s="38"/>
      <c r="AO60" s="38"/>
      <c r="AP60" s="38"/>
      <c r="AQ60" s="38"/>
      <c r="AR60" s="38"/>
      <c r="AS60" s="38"/>
      <c r="AT60" s="38"/>
      <c r="AU60" s="38"/>
      <c r="AV60" s="38"/>
      <c r="AW60" s="38"/>
      <c r="AX60" s="38"/>
      <c r="AY60" s="38"/>
      <c r="AZ60" s="38"/>
      <c r="BA60" s="38"/>
      <c r="BB60" s="38"/>
      <c r="BC60" s="38"/>
      <c r="BD60" s="38"/>
      <c r="BE60" s="61"/>
      <c r="BF60" s="38"/>
    </row>
    <row r="61" spans="1:58" ht="12.75" customHeight="1">
      <c r="A61" s="35"/>
      <c r="B61" s="35"/>
      <c r="C61" s="35"/>
      <c r="D61" s="35"/>
      <c r="E61" s="67"/>
      <c r="F61" s="67"/>
      <c r="G61" s="36"/>
      <c r="H61" s="29"/>
      <c r="I61" s="78"/>
      <c r="J61" s="29"/>
      <c r="K61" s="29"/>
      <c r="L61" s="33"/>
      <c r="M61" s="33"/>
      <c r="N61" s="60"/>
      <c r="O61" s="71"/>
      <c r="P61" s="71"/>
      <c r="Q61" s="33"/>
      <c r="R61" s="31"/>
      <c r="S61" s="31"/>
      <c r="T61" s="59"/>
      <c r="U61" s="59"/>
      <c r="V61" s="59"/>
      <c r="W61" s="57"/>
      <c r="X61" s="126"/>
      <c r="Y61" s="28"/>
      <c r="Z61" s="33"/>
      <c r="AA61" s="34"/>
      <c r="AB61" s="30"/>
      <c r="AC61" s="30"/>
      <c r="AD61" s="32"/>
      <c r="AE61" s="32"/>
      <c r="AF61" s="2"/>
      <c r="AG61" s="2"/>
      <c r="AH61" s="2"/>
      <c r="AI61" s="2"/>
      <c r="AK61" s="73"/>
      <c r="AL61" s="73"/>
      <c r="AM61" s="38"/>
      <c r="AN61" s="38"/>
      <c r="AO61" s="38"/>
      <c r="AP61" s="38"/>
      <c r="AQ61" s="38"/>
      <c r="AR61" s="38"/>
      <c r="AS61" s="38"/>
      <c r="AT61" s="38"/>
      <c r="AU61" s="38"/>
      <c r="AV61" s="38"/>
      <c r="AW61" s="38"/>
      <c r="AX61" s="38"/>
      <c r="AY61" s="38"/>
      <c r="AZ61" s="38"/>
      <c r="BA61" s="38"/>
      <c r="BB61" s="38"/>
      <c r="BC61" s="38"/>
      <c r="BD61" s="38"/>
      <c r="BE61" s="61"/>
      <c r="BF61" s="38"/>
    </row>
    <row r="62" spans="1:58" ht="12.75" customHeight="1">
      <c r="A62" s="35"/>
      <c r="B62" s="35"/>
      <c r="C62" s="35"/>
      <c r="D62" s="35"/>
      <c r="E62" s="67"/>
      <c r="F62" s="67"/>
      <c r="G62" s="36"/>
      <c r="H62" s="29"/>
      <c r="I62" s="78"/>
      <c r="J62" s="29"/>
      <c r="K62" s="29"/>
      <c r="L62" s="33"/>
      <c r="M62" s="33"/>
      <c r="N62" s="60"/>
      <c r="O62" s="71"/>
      <c r="P62" s="71"/>
      <c r="Q62" s="33"/>
      <c r="R62" s="31"/>
      <c r="S62" s="31"/>
      <c r="T62" s="59"/>
      <c r="U62" s="59"/>
      <c r="V62" s="59"/>
      <c r="W62" s="57"/>
      <c r="X62" s="126"/>
      <c r="Y62" s="28"/>
      <c r="Z62" s="33"/>
      <c r="AA62" s="34"/>
      <c r="AB62" s="30"/>
      <c r="AC62" s="30"/>
      <c r="AD62" s="32"/>
      <c r="AE62" s="32"/>
      <c r="AF62" s="2"/>
      <c r="AG62" s="2"/>
      <c r="AH62" s="2"/>
      <c r="AI62" s="2"/>
      <c r="AK62" s="73"/>
      <c r="AL62" s="73"/>
      <c r="AM62" s="38"/>
      <c r="AN62" s="38"/>
      <c r="AO62" s="38"/>
      <c r="AP62" s="38"/>
      <c r="AQ62" s="38"/>
      <c r="AR62" s="38"/>
      <c r="AS62" s="38"/>
      <c r="AT62" s="38"/>
      <c r="AU62" s="38"/>
      <c r="AV62" s="38"/>
      <c r="AW62" s="38"/>
      <c r="AX62" s="38"/>
      <c r="AY62" s="38"/>
      <c r="AZ62" s="38"/>
      <c r="BA62" s="38"/>
      <c r="BB62" s="38"/>
      <c r="BC62" s="38"/>
      <c r="BD62" s="38"/>
      <c r="BE62" s="61"/>
      <c r="BF62" s="38"/>
    </row>
    <row r="63" spans="1:58" ht="12.75" customHeight="1">
      <c r="A63" s="35"/>
      <c r="B63" s="35"/>
      <c r="C63" s="35"/>
      <c r="D63" s="35"/>
      <c r="E63" s="67"/>
      <c r="F63" s="67"/>
      <c r="G63" s="36"/>
      <c r="H63" s="29"/>
      <c r="I63" s="78"/>
      <c r="J63" s="29"/>
      <c r="K63" s="29"/>
      <c r="L63" s="33"/>
      <c r="M63" s="33"/>
      <c r="N63" s="60"/>
      <c r="O63" s="71"/>
      <c r="P63" s="71"/>
      <c r="Q63" s="33"/>
      <c r="R63" s="31"/>
      <c r="S63" s="31"/>
      <c r="T63" s="59"/>
      <c r="U63" s="59"/>
      <c r="V63" s="59"/>
      <c r="W63" s="57"/>
      <c r="X63" s="126"/>
      <c r="Y63" s="28"/>
      <c r="Z63" s="33"/>
      <c r="AA63" s="34"/>
      <c r="AB63" s="30"/>
      <c r="AC63" s="30"/>
      <c r="AD63" s="32"/>
      <c r="AE63" s="32"/>
      <c r="AF63" s="2"/>
      <c r="AG63" s="2"/>
      <c r="AH63" s="2"/>
      <c r="AI63" s="2"/>
      <c r="AK63" s="73"/>
      <c r="AL63" s="73"/>
      <c r="AM63" s="38"/>
      <c r="AN63" s="38"/>
      <c r="AO63" s="38"/>
      <c r="AP63" s="38"/>
      <c r="AQ63" s="38"/>
      <c r="AR63" s="38"/>
      <c r="AS63" s="38"/>
      <c r="AT63" s="38"/>
      <c r="AU63" s="38"/>
      <c r="AV63" s="38"/>
      <c r="AW63" s="38"/>
      <c r="AX63" s="38"/>
      <c r="AY63" s="38"/>
      <c r="AZ63" s="38"/>
      <c r="BA63" s="38"/>
      <c r="BB63" s="38"/>
      <c r="BC63" s="38"/>
      <c r="BD63" s="38"/>
      <c r="BE63" s="61"/>
      <c r="BF63" s="38"/>
    </row>
    <row r="64" spans="1:58" ht="12.75" customHeight="1">
      <c r="A64" s="35"/>
      <c r="B64" s="35"/>
      <c r="C64" s="35"/>
      <c r="D64" s="35"/>
      <c r="E64" s="67"/>
      <c r="F64" s="67"/>
      <c r="G64" s="36"/>
      <c r="H64" s="29"/>
      <c r="I64" s="78"/>
      <c r="J64" s="29"/>
      <c r="K64" s="29"/>
      <c r="L64" s="33"/>
      <c r="M64" s="33"/>
      <c r="N64" s="60"/>
      <c r="O64" s="71"/>
      <c r="P64" s="71"/>
      <c r="Q64" s="33"/>
      <c r="R64" s="31"/>
      <c r="S64" s="31"/>
      <c r="T64" s="59"/>
      <c r="U64" s="59"/>
      <c r="V64" s="59"/>
      <c r="W64" s="57"/>
      <c r="X64" s="126"/>
      <c r="Y64" s="28"/>
      <c r="Z64" s="33"/>
      <c r="AA64" s="34"/>
      <c r="AB64" s="30"/>
      <c r="AC64" s="30"/>
      <c r="AD64" s="32"/>
      <c r="AE64" s="32"/>
      <c r="AF64" s="2"/>
      <c r="AG64" s="2"/>
      <c r="AH64" s="2"/>
      <c r="AI64" s="2"/>
      <c r="AK64" s="73"/>
      <c r="AL64" s="73"/>
      <c r="AM64" s="38"/>
      <c r="AN64" s="38"/>
      <c r="AO64" s="38"/>
      <c r="AP64" s="38"/>
      <c r="AQ64" s="38"/>
      <c r="AR64" s="38"/>
      <c r="AS64" s="38"/>
      <c r="AT64" s="38"/>
      <c r="AU64" s="38"/>
      <c r="AV64" s="38"/>
      <c r="AW64" s="38"/>
      <c r="AX64" s="38"/>
      <c r="AY64" s="38"/>
      <c r="AZ64" s="38"/>
      <c r="BA64" s="38"/>
      <c r="BB64" s="38"/>
      <c r="BC64" s="38"/>
      <c r="BD64" s="38"/>
      <c r="BE64" s="61"/>
      <c r="BF64" s="38"/>
    </row>
    <row r="65" spans="1:58" ht="12.75" customHeight="1">
      <c r="A65" s="35"/>
      <c r="B65" s="35"/>
      <c r="C65" s="35"/>
      <c r="D65" s="35"/>
      <c r="E65" s="67"/>
      <c r="F65" s="67"/>
      <c r="G65" s="36"/>
      <c r="H65" s="29"/>
      <c r="I65" s="78"/>
      <c r="J65" s="29"/>
      <c r="K65" s="29"/>
      <c r="L65" s="33"/>
      <c r="M65" s="33"/>
      <c r="N65" s="60"/>
      <c r="O65" s="71"/>
      <c r="P65" s="71"/>
      <c r="Q65" s="33"/>
      <c r="R65" s="31"/>
      <c r="S65" s="31"/>
      <c r="T65" s="59"/>
      <c r="U65" s="59"/>
      <c r="V65" s="59"/>
      <c r="W65" s="57"/>
      <c r="X65" s="126"/>
      <c r="Y65" s="28"/>
      <c r="Z65" s="33"/>
      <c r="AA65" s="34"/>
      <c r="AB65" s="30"/>
      <c r="AC65" s="30"/>
      <c r="AD65" s="32"/>
      <c r="AE65" s="32"/>
      <c r="AF65" s="2"/>
      <c r="AG65" s="2"/>
      <c r="AH65" s="2"/>
      <c r="AI65" s="2"/>
      <c r="AK65" s="73"/>
      <c r="AL65" s="73"/>
      <c r="AM65" s="38"/>
      <c r="AN65" s="38"/>
      <c r="AO65" s="38"/>
      <c r="AP65" s="38"/>
      <c r="AQ65" s="38"/>
      <c r="AR65" s="38"/>
      <c r="AS65" s="38"/>
      <c r="AT65" s="38"/>
      <c r="AU65" s="38"/>
      <c r="AV65" s="38"/>
      <c r="AW65" s="38"/>
      <c r="AX65" s="38"/>
      <c r="AY65" s="38"/>
      <c r="AZ65" s="38"/>
      <c r="BA65" s="38"/>
      <c r="BB65" s="38"/>
      <c r="BC65" s="38"/>
      <c r="BD65" s="38"/>
      <c r="BE65" s="61"/>
      <c r="BF65" s="38"/>
    </row>
    <row r="66" spans="1:58" ht="12.75" customHeight="1">
      <c r="A66" s="35"/>
      <c r="B66" s="35"/>
      <c r="C66" s="35"/>
      <c r="D66" s="35"/>
      <c r="E66" s="67"/>
      <c r="F66" s="67"/>
      <c r="G66" s="36"/>
      <c r="H66" s="29"/>
      <c r="I66" s="78"/>
      <c r="J66" s="29"/>
      <c r="K66" s="29"/>
      <c r="L66" s="33"/>
      <c r="M66" s="33"/>
      <c r="N66" s="60"/>
      <c r="O66" s="71"/>
      <c r="P66" s="71"/>
      <c r="Q66" s="33"/>
      <c r="R66" s="31"/>
      <c r="S66" s="31"/>
      <c r="T66" s="59"/>
      <c r="U66" s="59"/>
      <c r="V66" s="59"/>
      <c r="W66" s="57"/>
      <c r="X66" s="126"/>
      <c r="Y66" s="28"/>
      <c r="Z66" s="33"/>
      <c r="AA66" s="34"/>
      <c r="AB66" s="30"/>
      <c r="AC66" s="30"/>
      <c r="AD66" s="32"/>
      <c r="AE66" s="32"/>
      <c r="AF66" s="2"/>
      <c r="AG66" s="2"/>
      <c r="AH66" s="2"/>
      <c r="AI66" s="2"/>
      <c r="AK66" s="73"/>
      <c r="AL66" s="73"/>
      <c r="AM66" s="38"/>
      <c r="AN66" s="38"/>
      <c r="AO66" s="38"/>
      <c r="AP66" s="38"/>
      <c r="AQ66" s="38"/>
      <c r="AR66" s="38"/>
      <c r="AS66" s="38"/>
      <c r="AT66" s="38"/>
      <c r="AU66" s="38"/>
      <c r="AV66" s="38"/>
      <c r="AW66" s="38"/>
      <c r="AX66" s="38"/>
      <c r="AY66" s="38"/>
      <c r="AZ66" s="38"/>
      <c r="BA66" s="38"/>
      <c r="BB66" s="38"/>
      <c r="BC66" s="38"/>
      <c r="BD66" s="38"/>
      <c r="BE66" s="61"/>
      <c r="BF66" s="38"/>
    </row>
    <row r="67" spans="1:58" ht="12.75" customHeight="1">
      <c r="A67" s="35"/>
      <c r="B67" s="35"/>
      <c r="C67" s="35"/>
      <c r="D67" s="35"/>
      <c r="E67" s="67"/>
      <c r="F67" s="67"/>
      <c r="G67" s="36"/>
      <c r="H67" s="29"/>
      <c r="I67" s="78"/>
      <c r="J67" s="29"/>
      <c r="K67" s="29"/>
      <c r="L67" s="33"/>
      <c r="M67" s="33"/>
      <c r="N67" s="60"/>
      <c r="O67" s="71"/>
      <c r="P67" s="71"/>
      <c r="Q67" s="33"/>
      <c r="R67" s="31"/>
      <c r="S67" s="31"/>
      <c r="T67" s="59"/>
      <c r="U67" s="59"/>
      <c r="V67" s="59"/>
      <c r="W67" s="57"/>
      <c r="X67" s="126"/>
      <c r="Y67" s="28"/>
      <c r="Z67" s="33"/>
      <c r="AA67" s="34"/>
      <c r="AB67" s="30"/>
      <c r="AC67" s="30"/>
      <c r="AD67" s="32"/>
      <c r="AE67" s="32"/>
      <c r="AF67" s="2"/>
      <c r="AG67" s="2"/>
      <c r="AH67" s="2"/>
      <c r="AI67" s="2"/>
      <c r="AK67" s="73"/>
      <c r="AL67" s="73"/>
      <c r="AM67" s="38"/>
      <c r="AN67" s="38"/>
      <c r="AO67" s="38"/>
      <c r="AP67" s="38"/>
      <c r="AQ67" s="38"/>
      <c r="AR67" s="38"/>
      <c r="AS67" s="38"/>
      <c r="AT67" s="38"/>
      <c r="AU67" s="38"/>
      <c r="AV67" s="38"/>
      <c r="AW67" s="38"/>
      <c r="AX67" s="38"/>
      <c r="AY67" s="38"/>
      <c r="AZ67" s="38"/>
      <c r="BA67" s="38"/>
      <c r="BB67" s="38"/>
      <c r="BC67" s="38"/>
      <c r="BD67" s="38"/>
      <c r="BE67" s="61"/>
      <c r="BF67" s="38"/>
    </row>
    <row r="68" spans="1:58" ht="12.75" customHeight="1">
      <c r="A68" s="35"/>
      <c r="B68" s="35"/>
      <c r="C68" s="35"/>
      <c r="D68" s="35"/>
      <c r="E68" s="67"/>
      <c r="F68" s="67"/>
      <c r="G68" s="36"/>
      <c r="H68" s="29"/>
      <c r="I68" s="78"/>
      <c r="J68" s="29"/>
      <c r="K68" s="29"/>
      <c r="L68" s="33"/>
      <c r="M68" s="33"/>
      <c r="N68" s="60"/>
      <c r="O68" s="71"/>
      <c r="P68" s="71"/>
      <c r="Q68" s="33"/>
      <c r="R68" s="31"/>
      <c r="S68" s="31"/>
      <c r="T68" s="59"/>
      <c r="U68" s="59"/>
      <c r="V68" s="59"/>
      <c r="W68" s="57"/>
      <c r="X68" s="126"/>
      <c r="Y68" s="28"/>
      <c r="Z68" s="33"/>
      <c r="AA68" s="34"/>
      <c r="AB68" s="30"/>
      <c r="AC68" s="30"/>
      <c r="AD68" s="32"/>
      <c r="AE68" s="32"/>
      <c r="AF68" s="2"/>
      <c r="AG68" s="2"/>
      <c r="AH68" s="2"/>
      <c r="AI68" s="2"/>
      <c r="AK68" s="73"/>
      <c r="AL68" s="73"/>
      <c r="AM68" s="38"/>
      <c r="AN68" s="38"/>
      <c r="AO68" s="38"/>
      <c r="AP68" s="38"/>
      <c r="AQ68" s="38"/>
      <c r="AR68" s="38"/>
      <c r="AS68" s="38"/>
      <c r="AT68" s="38"/>
      <c r="AU68" s="38"/>
      <c r="AV68" s="38"/>
      <c r="AW68" s="38"/>
      <c r="AX68" s="38"/>
      <c r="AY68" s="38"/>
      <c r="AZ68" s="38"/>
      <c r="BA68" s="38"/>
      <c r="BB68" s="38"/>
      <c r="BC68" s="38"/>
      <c r="BD68" s="38"/>
      <c r="BE68" s="61"/>
      <c r="BF68" s="38"/>
    </row>
    <row r="69" spans="1:58" ht="12.75" customHeight="1">
      <c r="A69" s="35"/>
      <c r="B69" s="35"/>
      <c r="C69" s="35"/>
      <c r="D69" s="35"/>
      <c r="E69" s="67"/>
      <c r="F69" s="67"/>
      <c r="G69" s="36"/>
      <c r="H69" s="29"/>
      <c r="I69" s="78"/>
      <c r="J69" s="29"/>
      <c r="K69" s="29"/>
      <c r="L69" s="33"/>
      <c r="M69" s="33"/>
      <c r="N69" s="60"/>
      <c r="O69" s="71"/>
      <c r="P69" s="71"/>
      <c r="Q69" s="33"/>
      <c r="R69" s="31"/>
      <c r="S69" s="31"/>
      <c r="T69" s="59"/>
      <c r="U69" s="59"/>
      <c r="V69" s="59"/>
      <c r="W69" s="57"/>
      <c r="X69" s="126"/>
      <c r="Y69" s="28"/>
      <c r="Z69" s="33"/>
      <c r="AA69" s="34"/>
      <c r="AB69" s="30"/>
      <c r="AC69" s="30"/>
      <c r="AD69" s="32"/>
      <c r="AE69" s="32"/>
      <c r="AF69" s="2"/>
      <c r="AG69" s="2"/>
      <c r="AH69" s="2"/>
      <c r="AI69" s="2"/>
      <c r="AK69" s="73"/>
      <c r="AL69" s="73"/>
      <c r="AM69" s="38"/>
      <c r="AN69" s="38"/>
      <c r="AO69" s="38"/>
      <c r="AP69" s="38"/>
      <c r="AQ69" s="38"/>
      <c r="AR69" s="38"/>
      <c r="AS69" s="38"/>
      <c r="AT69" s="38"/>
      <c r="AU69" s="38"/>
      <c r="AV69" s="38"/>
      <c r="AW69" s="38"/>
      <c r="AX69" s="38"/>
      <c r="AY69" s="38"/>
      <c r="AZ69" s="38"/>
      <c r="BA69" s="38"/>
      <c r="BB69" s="38"/>
      <c r="BC69" s="38"/>
      <c r="BD69" s="38"/>
      <c r="BE69" s="61"/>
      <c r="BF69" s="38"/>
    </row>
    <row r="70" spans="1:58" ht="12.75" customHeight="1">
      <c r="A70" s="35"/>
      <c r="B70" s="35"/>
      <c r="C70" s="35"/>
      <c r="D70" s="35"/>
      <c r="E70" s="67"/>
      <c r="F70" s="67"/>
      <c r="G70" s="36"/>
      <c r="H70" s="29"/>
      <c r="I70" s="78"/>
      <c r="J70" s="29"/>
      <c r="K70" s="29"/>
      <c r="L70" s="33"/>
      <c r="M70" s="33"/>
      <c r="N70" s="60"/>
      <c r="O70" s="71"/>
      <c r="P70" s="71"/>
      <c r="Q70" s="33"/>
      <c r="R70" s="31"/>
      <c r="S70" s="31"/>
      <c r="T70" s="59"/>
      <c r="U70" s="59"/>
      <c r="V70" s="59"/>
      <c r="W70" s="57"/>
      <c r="X70" s="126"/>
      <c r="Y70" s="28"/>
      <c r="Z70" s="33"/>
      <c r="AA70" s="34"/>
      <c r="AB70" s="30"/>
      <c r="AC70" s="30"/>
      <c r="AD70" s="32"/>
      <c r="AE70" s="32"/>
      <c r="AF70" s="2"/>
      <c r="AG70" s="2"/>
      <c r="AH70" s="2"/>
      <c r="AI70" s="2"/>
      <c r="AK70" s="73"/>
      <c r="AL70" s="73"/>
      <c r="AM70" s="38"/>
      <c r="AN70" s="38"/>
      <c r="AO70" s="38"/>
      <c r="AP70" s="38"/>
      <c r="AQ70" s="38"/>
      <c r="AR70" s="38"/>
      <c r="AS70" s="38"/>
      <c r="AT70" s="38"/>
      <c r="AU70" s="38"/>
      <c r="AV70" s="38"/>
      <c r="AW70" s="38"/>
      <c r="AX70" s="38"/>
      <c r="AY70" s="38"/>
      <c r="AZ70" s="38"/>
      <c r="BA70" s="38"/>
      <c r="BB70" s="38"/>
      <c r="BC70" s="38"/>
      <c r="BD70" s="38"/>
      <c r="BE70" s="61"/>
      <c r="BF70" s="38"/>
    </row>
    <row r="71" spans="1:58" ht="12.75" customHeight="1">
      <c r="A71" s="35"/>
      <c r="B71" s="35"/>
      <c r="C71" s="35"/>
      <c r="D71" s="35"/>
      <c r="E71" s="67"/>
      <c r="F71" s="67"/>
      <c r="G71" s="36"/>
      <c r="H71" s="29"/>
      <c r="I71" s="78"/>
      <c r="J71" s="29"/>
      <c r="K71" s="29"/>
      <c r="L71" s="33"/>
      <c r="M71" s="33"/>
      <c r="N71" s="60"/>
      <c r="O71" s="71"/>
      <c r="P71" s="71"/>
      <c r="Q71" s="33"/>
      <c r="R71" s="31"/>
      <c r="S71" s="31"/>
      <c r="T71" s="59"/>
      <c r="U71" s="59"/>
      <c r="V71" s="59"/>
      <c r="W71" s="57"/>
      <c r="X71" s="126"/>
      <c r="Y71" s="28"/>
      <c r="Z71" s="33"/>
      <c r="AA71" s="34"/>
      <c r="AB71" s="30"/>
      <c r="AC71" s="30"/>
      <c r="AD71" s="32"/>
      <c r="AE71" s="32"/>
      <c r="AF71" s="2"/>
      <c r="AG71" s="2"/>
      <c r="AH71" s="2"/>
      <c r="AI71" s="2"/>
      <c r="AK71" s="73"/>
      <c r="AL71" s="73"/>
      <c r="AM71" s="38"/>
      <c r="AN71" s="38"/>
      <c r="AO71" s="38"/>
      <c r="AP71" s="38"/>
      <c r="AQ71" s="38"/>
      <c r="AR71" s="38"/>
      <c r="AS71" s="38"/>
      <c r="AT71" s="38"/>
      <c r="AU71" s="38"/>
      <c r="AV71" s="38"/>
      <c r="AW71" s="38"/>
      <c r="AX71" s="38"/>
      <c r="AY71" s="38"/>
      <c r="AZ71" s="38"/>
      <c r="BA71" s="38"/>
      <c r="BB71" s="38"/>
      <c r="BC71" s="38"/>
      <c r="BD71" s="38"/>
      <c r="BE71" s="61"/>
      <c r="BF71" s="38"/>
    </row>
    <row r="72" spans="1:58" ht="12.75" customHeight="1">
      <c r="A72" s="35"/>
      <c r="B72" s="35"/>
      <c r="C72" s="35"/>
      <c r="D72" s="35"/>
      <c r="E72" s="67"/>
      <c r="F72" s="67"/>
      <c r="G72" s="36"/>
      <c r="H72" s="29"/>
      <c r="I72" s="78"/>
      <c r="J72" s="29"/>
      <c r="K72" s="29"/>
      <c r="L72" s="33"/>
      <c r="M72" s="33"/>
      <c r="N72" s="60"/>
      <c r="O72" s="71"/>
      <c r="P72" s="71"/>
      <c r="Q72" s="33"/>
      <c r="R72" s="31"/>
      <c r="S72" s="31"/>
      <c r="T72" s="59"/>
      <c r="U72" s="59"/>
      <c r="V72" s="59"/>
      <c r="W72" s="57"/>
      <c r="X72" s="126"/>
      <c r="Y72" s="28"/>
      <c r="Z72" s="33"/>
      <c r="AA72" s="34"/>
      <c r="AB72" s="30"/>
      <c r="AC72" s="30"/>
      <c r="AD72" s="32"/>
      <c r="AE72" s="32"/>
      <c r="AF72" s="2"/>
      <c r="AG72" s="2"/>
      <c r="AH72" s="2"/>
      <c r="AI72" s="2"/>
      <c r="AK72" s="73"/>
      <c r="AL72" s="73"/>
      <c r="AM72" s="38"/>
      <c r="AN72" s="38"/>
      <c r="AO72" s="38"/>
      <c r="AP72" s="38"/>
      <c r="AQ72" s="38"/>
      <c r="AR72" s="38"/>
      <c r="AS72" s="38"/>
      <c r="AT72" s="38"/>
      <c r="AU72" s="38"/>
      <c r="AV72" s="38"/>
      <c r="AW72" s="38"/>
      <c r="AX72" s="38"/>
      <c r="AY72" s="38"/>
      <c r="AZ72" s="38"/>
      <c r="BA72" s="38"/>
      <c r="BB72" s="38"/>
      <c r="BC72" s="38"/>
      <c r="BD72" s="38"/>
      <c r="BE72" s="61"/>
      <c r="BF72" s="38"/>
    </row>
    <row r="73" spans="1:58" ht="12.75" customHeight="1">
      <c r="A73" s="35"/>
      <c r="B73" s="35"/>
      <c r="C73" s="35"/>
      <c r="D73" s="35"/>
      <c r="E73" s="67"/>
      <c r="F73" s="67"/>
      <c r="G73" s="36"/>
      <c r="H73" s="29"/>
      <c r="I73" s="78"/>
      <c r="J73" s="29"/>
      <c r="K73" s="29"/>
      <c r="L73" s="33"/>
      <c r="M73" s="33"/>
      <c r="N73" s="60"/>
      <c r="O73" s="71"/>
      <c r="P73" s="71"/>
      <c r="Q73" s="33"/>
      <c r="R73" s="31"/>
      <c r="S73" s="31"/>
      <c r="T73" s="59"/>
      <c r="U73" s="59"/>
      <c r="V73" s="59"/>
      <c r="W73" s="57"/>
      <c r="X73" s="126"/>
      <c r="Y73" s="28"/>
      <c r="Z73" s="33"/>
      <c r="AA73" s="34"/>
      <c r="AB73" s="30"/>
      <c r="AC73" s="30"/>
      <c r="AD73" s="32"/>
      <c r="AE73" s="32"/>
      <c r="AF73" s="2"/>
      <c r="AG73" s="2"/>
      <c r="AH73" s="2"/>
      <c r="AI73" s="2"/>
      <c r="AK73" s="73"/>
      <c r="AL73" s="73"/>
      <c r="AM73" s="38"/>
      <c r="AN73" s="38"/>
      <c r="AO73" s="38"/>
      <c r="AP73" s="38"/>
      <c r="AQ73" s="38"/>
      <c r="AR73" s="38"/>
      <c r="AS73" s="38"/>
      <c r="AT73" s="38"/>
      <c r="AU73" s="38"/>
      <c r="AV73" s="38"/>
      <c r="AW73" s="38"/>
      <c r="AX73" s="38"/>
      <c r="AY73" s="38"/>
      <c r="AZ73" s="38"/>
      <c r="BA73" s="38"/>
      <c r="BB73" s="38"/>
      <c r="BC73" s="38"/>
      <c r="BD73" s="38"/>
      <c r="BE73" s="61"/>
      <c r="BF73" s="38"/>
    </row>
    <row r="74" spans="1:58" ht="12.75" customHeight="1">
      <c r="A74" s="35"/>
      <c r="B74" s="35"/>
      <c r="C74" s="35"/>
      <c r="D74" s="35"/>
      <c r="E74" s="67"/>
      <c r="F74" s="67"/>
      <c r="G74" s="36"/>
      <c r="H74" s="29"/>
      <c r="I74" s="78"/>
      <c r="J74" s="29"/>
      <c r="K74" s="29"/>
      <c r="L74" s="33"/>
      <c r="M74" s="33"/>
      <c r="N74" s="60"/>
      <c r="O74" s="71"/>
      <c r="P74" s="71"/>
      <c r="Q74" s="33"/>
      <c r="R74" s="31"/>
      <c r="S74" s="31"/>
      <c r="T74" s="59"/>
      <c r="U74" s="59"/>
      <c r="V74" s="59"/>
      <c r="W74" s="57"/>
      <c r="X74" s="126"/>
      <c r="Y74" s="28"/>
      <c r="Z74" s="33"/>
      <c r="AA74" s="34"/>
      <c r="AB74" s="30"/>
      <c r="AC74" s="30"/>
      <c r="AD74" s="32"/>
      <c r="AE74" s="32"/>
      <c r="AF74" s="2"/>
      <c r="AG74" s="2"/>
      <c r="AH74" s="2"/>
      <c r="AI74" s="2"/>
      <c r="AK74" s="73"/>
      <c r="AL74" s="73"/>
      <c r="AM74" s="38"/>
      <c r="AN74" s="38"/>
      <c r="AO74" s="38"/>
      <c r="AP74" s="38"/>
      <c r="AQ74" s="38"/>
      <c r="AR74" s="38"/>
      <c r="AS74" s="38"/>
      <c r="AT74" s="38"/>
      <c r="AU74" s="38"/>
      <c r="AV74" s="38"/>
      <c r="AW74" s="38"/>
      <c r="AX74" s="38"/>
      <c r="AY74" s="38"/>
      <c r="AZ74" s="38"/>
      <c r="BA74" s="38"/>
      <c r="BB74" s="38"/>
      <c r="BC74" s="38"/>
      <c r="BD74" s="38"/>
      <c r="BE74" s="61"/>
      <c r="BF74" s="38"/>
    </row>
    <row r="75" spans="1:58" ht="12.75" customHeight="1">
      <c r="A75" s="35"/>
      <c r="B75" s="35"/>
      <c r="C75" s="35"/>
      <c r="D75" s="35"/>
      <c r="E75" s="67"/>
      <c r="F75" s="67"/>
      <c r="G75" s="36"/>
      <c r="H75" s="29"/>
      <c r="I75" s="78"/>
      <c r="J75" s="29"/>
      <c r="K75" s="29"/>
      <c r="L75" s="33"/>
      <c r="M75" s="33"/>
      <c r="N75" s="60"/>
      <c r="O75" s="71"/>
      <c r="P75" s="71"/>
      <c r="Q75" s="33"/>
      <c r="R75" s="31"/>
      <c r="S75" s="31"/>
      <c r="T75" s="59"/>
      <c r="U75" s="59"/>
      <c r="V75" s="59"/>
      <c r="W75" s="57"/>
      <c r="X75" s="126"/>
      <c r="Y75" s="28"/>
      <c r="Z75" s="33"/>
      <c r="AA75" s="34"/>
      <c r="AB75" s="30"/>
      <c r="AC75" s="30"/>
      <c r="AD75" s="32"/>
      <c r="AE75" s="32"/>
      <c r="AF75" s="2"/>
      <c r="AG75" s="2"/>
      <c r="AH75" s="2"/>
      <c r="AI75" s="2"/>
      <c r="AK75" s="73"/>
      <c r="AL75" s="73"/>
      <c r="AM75" s="38"/>
      <c r="AN75" s="38"/>
      <c r="AO75" s="38"/>
      <c r="AP75" s="38"/>
      <c r="AQ75" s="38"/>
      <c r="AR75" s="38"/>
      <c r="AS75" s="38"/>
      <c r="AT75" s="38"/>
      <c r="AU75" s="38"/>
      <c r="AV75" s="38"/>
      <c r="AW75" s="38"/>
      <c r="AX75" s="38"/>
      <c r="AY75" s="38"/>
      <c r="AZ75" s="38"/>
      <c r="BA75" s="38"/>
      <c r="BB75" s="38"/>
      <c r="BC75" s="38"/>
      <c r="BD75" s="38"/>
      <c r="BE75" s="61"/>
      <c r="BF75" s="38"/>
    </row>
    <row r="76" spans="1:58" ht="12.75" customHeight="1">
      <c r="A76" s="35"/>
      <c r="B76" s="35"/>
      <c r="C76" s="35"/>
      <c r="D76" s="35"/>
      <c r="E76" s="67"/>
      <c r="F76" s="67"/>
      <c r="G76" s="36"/>
      <c r="H76" s="29"/>
      <c r="I76" s="78"/>
      <c r="J76" s="29"/>
      <c r="K76" s="29"/>
      <c r="L76" s="33"/>
      <c r="M76" s="33"/>
      <c r="N76" s="60"/>
      <c r="O76" s="71"/>
      <c r="P76" s="71"/>
      <c r="Q76" s="33"/>
      <c r="R76" s="31"/>
      <c r="S76" s="31"/>
      <c r="T76" s="59"/>
      <c r="U76" s="59"/>
      <c r="V76" s="59"/>
      <c r="W76" s="57"/>
      <c r="X76" s="126"/>
      <c r="Y76" s="28"/>
      <c r="Z76" s="33"/>
      <c r="AA76" s="34"/>
      <c r="AB76" s="30"/>
      <c r="AC76" s="30"/>
      <c r="AD76" s="32"/>
      <c r="AE76" s="32"/>
      <c r="AF76" s="2"/>
      <c r="AG76" s="2"/>
      <c r="AH76" s="2"/>
      <c r="AI76" s="2"/>
      <c r="AK76" s="73"/>
      <c r="AL76" s="73"/>
      <c r="AM76" s="38"/>
      <c r="AN76" s="38"/>
      <c r="AO76" s="38"/>
      <c r="AP76" s="38"/>
      <c r="AQ76" s="38"/>
      <c r="AR76" s="38"/>
      <c r="AS76" s="38"/>
      <c r="AT76" s="38"/>
      <c r="AU76" s="38"/>
      <c r="AV76" s="38"/>
      <c r="AW76" s="38"/>
      <c r="AX76" s="38"/>
      <c r="AY76" s="38"/>
      <c r="AZ76" s="38"/>
      <c r="BA76" s="38"/>
      <c r="BB76" s="38"/>
      <c r="BC76" s="38"/>
      <c r="BD76" s="38"/>
      <c r="BE76" s="61"/>
      <c r="BF76" s="38"/>
    </row>
    <row r="77" spans="1:58" ht="12.75" customHeight="1">
      <c r="A77" s="35"/>
      <c r="B77" s="35"/>
      <c r="C77" s="35"/>
      <c r="D77" s="35"/>
      <c r="E77" s="67"/>
      <c r="F77" s="67"/>
      <c r="G77" s="36"/>
      <c r="H77" s="29"/>
      <c r="I77" s="78"/>
      <c r="J77" s="29"/>
      <c r="K77" s="29"/>
      <c r="L77" s="33"/>
      <c r="M77" s="33"/>
      <c r="N77" s="60"/>
      <c r="O77" s="71"/>
      <c r="P77" s="71"/>
      <c r="Q77" s="33"/>
      <c r="R77" s="31"/>
      <c r="S77" s="31"/>
      <c r="T77" s="59"/>
      <c r="U77" s="59"/>
      <c r="V77" s="59"/>
      <c r="W77" s="57"/>
      <c r="X77" s="126"/>
      <c r="Y77" s="28"/>
      <c r="Z77" s="33"/>
      <c r="AA77" s="34"/>
      <c r="AB77" s="30"/>
      <c r="AC77" s="30"/>
      <c r="AD77" s="32"/>
      <c r="AE77" s="32"/>
      <c r="AF77" s="2"/>
      <c r="AG77" s="2"/>
      <c r="AH77" s="2"/>
      <c r="AI77" s="2"/>
      <c r="AK77" s="73"/>
      <c r="AL77" s="73"/>
      <c r="AM77" s="38"/>
      <c r="AN77" s="38"/>
      <c r="AO77" s="38"/>
      <c r="AP77" s="38"/>
      <c r="AQ77" s="38"/>
      <c r="AR77" s="38"/>
      <c r="AS77" s="38"/>
      <c r="AT77" s="38"/>
      <c r="AU77" s="38"/>
      <c r="AV77" s="38"/>
      <c r="AW77" s="38"/>
      <c r="AX77" s="38"/>
      <c r="AY77" s="38"/>
      <c r="AZ77" s="38"/>
      <c r="BA77" s="38"/>
      <c r="BB77" s="38"/>
      <c r="BC77" s="38"/>
      <c r="BD77" s="38"/>
      <c r="BE77" s="61"/>
      <c r="BF77" s="38"/>
    </row>
    <row r="78" spans="1:58" ht="12.75" customHeight="1">
      <c r="A78" s="35"/>
      <c r="B78" s="35"/>
      <c r="C78" s="35"/>
      <c r="D78" s="35"/>
      <c r="E78" s="67"/>
      <c r="F78" s="67"/>
      <c r="G78" s="36"/>
      <c r="H78" s="29"/>
      <c r="I78" s="78"/>
      <c r="J78" s="29"/>
      <c r="K78" s="29"/>
      <c r="L78" s="33"/>
      <c r="M78" s="33"/>
      <c r="N78" s="60"/>
      <c r="O78" s="71"/>
      <c r="P78" s="71"/>
      <c r="Q78" s="33"/>
      <c r="R78" s="31"/>
      <c r="S78" s="31"/>
      <c r="T78" s="59"/>
      <c r="U78" s="59"/>
      <c r="V78" s="59"/>
      <c r="W78" s="57"/>
      <c r="X78" s="126"/>
      <c r="Y78" s="28"/>
      <c r="Z78" s="33"/>
      <c r="AA78" s="34"/>
      <c r="AB78" s="30"/>
      <c r="AC78" s="30"/>
      <c r="AD78" s="32"/>
      <c r="AE78" s="32"/>
      <c r="AF78" s="2"/>
      <c r="AG78" s="2"/>
      <c r="AH78" s="2"/>
      <c r="AI78" s="2"/>
      <c r="AK78" s="73"/>
      <c r="AL78" s="73"/>
      <c r="AM78" s="38"/>
      <c r="AN78" s="38"/>
      <c r="AO78" s="38"/>
      <c r="AP78" s="38"/>
      <c r="AQ78" s="38"/>
      <c r="AR78" s="38"/>
      <c r="AS78" s="38"/>
      <c r="AT78" s="38"/>
      <c r="AU78" s="38"/>
      <c r="AV78" s="38"/>
      <c r="AW78" s="38"/>
      <c r="AX78" s="38"/>
      <c r="AY78" s="38"/>
      <c r="AZ78" s="38"/>
      <c r="BA78" s="38"/>
      <c r="BB78" s="38"/>
      <c r="BC78" s="38"/>
      <c r="BD78" s="38"/>
      <c r="BE78" s="61"/>
      <c r="BF78" s="38"/>
    </row>
    <row r="79" spans="1:58" ht="12.75" customHeight="1">
      <c r="A79" s="35"/>
      <c r="B79" s="35"/>
      <c r="C79" s="35"/>
      <c r="D79" s="35"/>
      <c r="E79" s="67"/>
      <c r="F79" s="67"/>
      <c r="G79" s="36"/>
      <c r="H79" s="29"/>
      <c r="I79" s="78"/>
      <c r="J79" s="29"/>
      <c r="K79" s="29"/>
      <c r="L79" s="33"/>
      <c r="M79" s="33"/>
      <c r="N79" s="60"/>
      <c r="O79" s="71"/>
      <c r="P79" s="71"/>
      <c r="Q79" s="33"/>
      <c r="R79" s="31"/>
      <c r="S79" s="31"/>
      <c r="T79" s="59"/>
      <c r="U79" s="59"/>
      <c r="V79" s="59"/>
      <c r="W79" s="57"/>
      <c r="X79" s="126"/>
      <c r="Y79" s="28"/>
      <c r="Z79" s="33"/>
      <c r="AA79" s="34"/>
      <c r="AB79" s="30"/>
      <c r="AC79" s="30"/>
      <c r="AD79" s="32"/>
      <c r="AE79" s="32"/>
      <c r="AF79" s="2"/>
      <c r="AG79" s="2"/>
      <c r="AH79" s="2"/>
      <c r="AI79" s="2"/>
      <c r="AK79" s="73"/>
      <c r="AL79" s="73"/>
      <c r="AM79" s="38"/>
      <c r="AN79" s="38"/>
      <c r="AO79" s="38"/>
      <c r="AP79" s="38"/>
      <c r="AQ79" s="38"/>
      <c r="AR79" s="38"/>
      <c r="AS79" s="38"/>
      <c r="AT79" s="38"/>
      <c r="AU79" s="38"/>
      <c r="AV79" s="38"/>
      <c r="AW79" s="38"/>
      <c r="AX79" s="38"/>
      <c r="AY79" s="38"/>
      <c r="AZ79" s="38"/>
      <c r="BA79" s="38"/>
      <c r="BB79" s="38"/>
      <c r="BC79" s="38"/>
      <c r="BD79" s="38"/>
      <c r="BE79" s="61"/>
      <c r="BF79" s="38"/>
    </row>
    <row r="80" spans="1:58" ht="12.75" customHeight="1">
      <c r="A80" s="35"/>
      <c r="B80" s="35"/>
      <c r="C80" s="35"/>
      <c r="D80" s="35"/>
      <c r="E80" s="67"/>
      <c r="F80" s="67"/>
      <c r="G80" s="36"/>
      <c r="H80" s="29"/>
      <c r="I80" s="78"/>
      <c r="J80" s="29"/>
      <c r="K80" s="29"/>
      <c r="L80" s="33"/>
      <c r="M80" s="33"/>
      <c r="N80" s="60"/>
      <c r="O80" s="71"/>
      <c r="P80" s="71"/>
      <c r="Q80" s="33"/>
      <c r="R80" s="31"/>
      <c r="S80" s="31"/>
      <c r="T80" s="59"/>
      <c r="U80" s="59"/>
      <c r="V80" s="59"/>
      <c r="W80" s="57"/>
      <c r="X80" s="126"/>
      <c r="Y80" s="28"/>
      <c r="Z80" s="33"/>
      <c r="AA80" s="34"/>
      <c r="AB80" s="30"/>
      <c r="AC80" s="30"/>
      <c r="AD80" s="32"/>
      <c r="AE80" s="32"/>
      <c r="AF80" s="2"/>
      <c r="AG80" s="2"/>
      <c r="AH80" s="2"/>
      <c r="AI80" s="2"/>
      <c r="AK80" s="73"/>
      <c r="AL80" s="73"/>
      <c r="AM80" s="38"/>
      <c r="AN80" s="38"/>
      <c r="AO80" s="38"/>
      <c r="AP80" s="38"/>
      <c r="AQ80" s="38"/>
      <c r="AR80" s="38"/>
      <c r="AS80" s="38"/>
      <c r="AT80" s="38"/>
      <c r="AU80" s="38"/>
      <c r="AV80" s="38"/>
      <c r="AW80" s="38"/>
      <c r="AX80" s="38"/>
      <c r="AY80" s="38"/>
      <c r="AZ80" s="38"/>
      <c r="BA80" s="38"/>
      <c r="BB80" s="38"/>
      <c r="BC80" s="38"/>
      <c r="BD80" s="38"/>
      <c r="BE80" s="61"/>
      <c r="BF80" s="38"/>
    </row>
    <row r="81" spans="1:58" ht="12.75" customHeight="1">
      <c r="A81" s="35"/>
      <c r="B81" s="35"/>
      <c r="C81" s="35"/>
      <c r="D81" s="35"/>
      <c r="E81" s="67"/>
      <c r="F81" s="67"/>
      <c r="G81" s="36"/>
      <c r="H81" s="29"/>
      <c r="I81" s="78"/>
      <c r="J81" s="29"/>
      <c r="K81" s="29"/>
      <c r="L81" s="33"/>
      <c r="M81" s="33"/>
      <c r="N81" s="60"/>
      <c r="O81" s="71"/>
      <c r="P81" s="71"/>
      <c r="Q81" s="33"/>
      <c r="R81" s="31"/>
      <c r="S81" s="31"/>
      <c r="T81" s="59"/>
      <c r="U81" s="59"/>
      <c r="V81" s="59"/>
      <c r="W81" s="57"/>
      <c r="X81" s="126"/>
      <c r="Y81" s="28"/>
      <c r="Z81" s="33"/>
      <c r="AA81" s="34"/>
      <c r="AB81" s="30"/>
      <c r="AC81" s="30"/>
      <c r="AD81" s="32"/>
      <c r="AE81" s="32"/>
      <c r="AF81" s="2"/>
      <c r="AG81" s="2"/>
      <c r="AH81" s="2"/>
      <c r="AI81" s="2"/>
      <c r="AK81" s="73"/>
      <c r="AL81" s="73"/>
      <c r="AM81" s="38"/>
      <c r="AN81" s="38"/>
      <c r="AO81" s="38"/>
      <c r="AP81" s="38"/>
      <c r="AQ81" s="38"/>
      <c r="AR81" s="38"/>
      <c r="AS81" s="38"/>
      <c r="AT81" s="38"/>
      <c r="AU81" s="38"/>
      <c r="AV81" s="38"/>
      <c r="AW81" s="38"/>
      <c r="AX81" s="38"/>
      <c r="AY81" s="38"/>
      <c r="AZ81" s="38"/>
      <c r="BA81" s="38"/>
      <c r="BB81" s="38"/>
      <c r="BC81" s="38"/>
      <c r="BD81" s="38"/>
      <c r="BE81" s="61"/>
      <c r="BF81" s="38"/>
    </row>
    <row r="82" spans="1:58" ht="12.75" customHeight="1">
      <c r="A82" s="35"/>
      <c r="B82" s="35"/>
      <c r="C82" s="35"/>
      <c r="D82" s="35"/>
      <c r="E82" s="67"/>
      <c r="F82" s="67"/>
      <c r="G82" s="36"/>
      <c r="H82" s="29"/>
      <c r="I82" s="78"/>
      <c r="J82" s="29"/>
      <c r="K82" s="29"/>
      <c r="L82" s="33"/>
      <c r="M82" s="33"/>
      <c r="N82" s="60"/>
      <c r="O82" s="71"/>
      <c r="P82" s="71"/>
      <c r="Q82" s="33"/>
      <c r="R82" s="31"/>
      <c r="S82" s="31"/>
      <c r="T82" s="59"/>
      <c r="U82" s="59"/>
      <c r="V82" s="59"/>
      <c r="W82" s="57"/>
      <c r="X82" s="126"/>
      <c r="Y82" s="28"/>
      <c r="Z82" s="33"/>
      <c r="AA82" s="34"/>
      <c r="AB82" s="30"/>
      <c r="AC82" s="30"/>
      <c r="AD82" s="32"/>
      <c r="AE82" s="32"/>
      <c r="AF82" s="2"/>
      <c r="AG82" s="2"/>
      <c r="AH82" s="2"/>
      <c r="AI82" s="2"/>
      <c r="AK82" s="73"/>
      <c r="AL82" s="73"/>
      <c r="AM82" s="38"/>
      <c r="AN82" s="38"/>
      <c r="AO82" s="38"/>
      <c r="AP82" s="38"/>
      <c r="AQ82" s="38"/>
      <c r="AR82" s="38"/>
      <c r="AS82" s="38"/>
      <c r="AT82" s="38"/>
      <c r="AU82" s="38"/>
      <c r="AV82" s="38"/>
      <c r="AW82" s="38"/>
      <c r="AX82" s="38"/>
      <c r="AY82" s="38"/>
      <c r="AZ82" s="38"/>
      <c r="BA82" s="38"/>
      <c r="BB82" s="38"/>
      <c r="BC82" s="38"/>
      <c r="BD82" s="38"/>
      <c r="BE82" s="61"/>
      <c r="BF82" s="38"/>
    </row>
    <row r="83" spans="1:58" ht="12.75" customHeight="1">
      <c r="A83" s="35"/>
      <c r="B83" s="35"/>
      <c r="C83" s="35"/>
      <c r="D83" s="35"/>
      <c r="E83" s="67"/>
      <c r="F83" s="67"/>
      <c r="G83" s="36"/>
      <c r="H83" s="29"/>
      <c r="I83" s="78"/>
      <c r="J83" s="29"/>
      <c r="K83" s="29"/>
      <c r="L83" s="33"/>
      <c r="M83" s="33"/>
      <c r="N83" s="60"/>
      <c r="O83" s="71"/>
      <c r="P83" s="71"/>
      <c r="Q83" s="33"/>
      <c r="R83" s="31"/>
      <c r="S83" s="31"/>
      <c r="T83" s="59"/>
      <c r="U83" s="59"/>
      <c r="V83" s="59"/>
      <c r="W83" s="57"/>
      <c r="X83" s="126"/>
      <c r="Y83" s="28"/>
      <c r="Z83" s="33"/>
      <c r="AA83" s="34"/>
      <c r="AB83" s="30"/>
      <c r="AC83" s="30"/>
      <c r="AD83" s="32"/>
      <c r="AE83" s="32"/>
      <c r="AF83" s="2"/>
      <c r="AG83" s="2"/>
      <c r="AH83" s="2"/>
      <c r="AI83" s="2"/>
      <c r="AK83" s="73"/>
      <c r="AL83" s="73"/>
      <c r="AM83" s="38"/>
      <c r="AN83" s="38"/>
      <c r="AO83" s="38"/>
      <c r="AP83" s="38"/>
      <c r="AQ83" s="38"/>
      <c r="AR83" s="38"/>
      <c r="AS83" s="38"/>
      <c r="AT83" s="38"/>
      <c r="AU83" s="38"/>
      <c r="AV83" s="38"/>
      <c r="AW83" s="38"/>
      <c r="AX83" s="38"/>
      <c r="AY83" s="38"/>
      <c r="AZ83" s="38"/>
      <c r="BA83" s="38"/>
      <c r="BB83" s="38"/>
      <c r="BC83" s="38"/>
      <c r="BD83" s="38"/>
      <c r="BE83" s="61"/>
      <c r="BF83" s="38"/>
    </row>
    <row r="84" spans="1:58" ht="12.75" customHeight="1">
      <c r="A84" s="35"/>
      <c r="B84" s="35"/>
      <c r="C84" s="35"/>
      <c r="D84" s="35"/>
      <c r="E84" s="67"/>
      <c r="F84" s="67"/>
      <c r="G84" s="36"/>
      <c r="H84" s="29"/>
      <c r="I84" s="78"/>
      <c r="J84" s="29"/>
      <c r="K84" s="29"/>
      <c r="L84" s="33"/>
      <c r="M84" s="33"/>
      <c r="N84" s="60"/>
      <c r="O84" s="71"/>
      <c r="P84" s="71"/>
      <c r="Q84" s="33"/>
      <c r="R84" s="31"/>
      <c r="S84" s="31"/>
      <c r="T84" s="59"/>
      <c r="U84" s="59"/>
      <c r="V84" s="59"/>
      <c r="W84" s="57"/>
      <c r="X84" s="126"/>
      <c r="Y84" s="28"/>
      <c r="Z84" s="33"/>
      <c r="AA84" s="34"/>
      <c r="AB84" s="30"/>
      <c r="AC84" s="30"/>
      <c r="AD84" s="32"/>
      <c r="AE84" s="32"/>
      <c r="AF84" s="2"/>
      <c r="AG84" s="2"/>
      <c r="AH84" s="2"/>
      <c r="AI84" s="2"/>
      <c r="AK84" s="73"/>
      <c r="AL84" s="73"/>
      <c r="AM84" s="38"/>
      <c r="AN84" s="38"/>
      <c r="AO84" s="38"/>
      <c r="AP84" s="38"/>
      <c r="AQ84" s="38"/>
      <c r="AR84" s="38"/>
      <c r="AS84" s="38"/>
      <c r="AT84" s="38"/>
      <c r="AU84" s="38"/>
      <c r="AV84" s="38"/>
      <c r="AW84" s="38"/>
      <c r="AX84" s="38"/>
      <c r="AY84" s="38"/>
      <c r="AZ84" s="38"/>
      <c r="BA84" s="38"/>
      <c r="BB84" s="38"/>
      <c r="BC84" s="38"/>
      <c r="BD84" s="38"/>
      <c r="BE84" s="61"/>
      <c r="BF84" s="38"/>
    </row>
    <row r="85" spans="1:58" ht="12.75" customHeight="1">
      <c r="A85" s="35"/>
      <c r="B85" s="35"/>
      <c r="C85" s="35"/>
      <c r="D85" s="35"/>
      <c r="E85" s="67"/>
      <c r="F85" s="67"/>
      <c r="G85" s="36"/>
      <c r="H85" s="29"/>
      <c r="I85" s="78"/>
      <c r="J85" s="29"/>
      <c r="K85" s="29"/>
      <c r="L85" s="33"/>
      <c r="M85" s="33"/>
      <c r="N85" s="60"/>
      <c r="O85" s="71"/>
      <c r="P85" s="71"/>
      <c r="Q85" s="33"/>
      <c r="R85" s="31"/>
      <c r="S85" s="31"/>
      <c r="T85" s="59"/>
      <c r="U85" s="59"/>
      <c r="V85" s="59"/>
      <c r="W85" s="57"/>
      <c r="X85" s="126"/>
      <c r="Y85" s="28"/>
      <c r="Z85" s="33"/>
      <c r="AA85" s="34"/>
      <c r="AB85" s="30"/>
      <c r="AC85" s="30"/>
      <c r="AD85" s="32"/>
      <c r="AE85" s="32"/>
      <c r="AF85" s="2"/>
      <c r="AG85" s="2"/>
      <c r="AH85" s="2"/>
      <c r="AI85" s="2"/>
      <c r="AK85" s="73"/>
      <c r="AL85" s="73"/>
      <c r="AM85" s="38"/>
      <c r="AN85" s="38"/>
      <c r="AO85" s="38"/>
      <c r="AP85" s="38"/>
      <c r="AQ85" s="38"/>
      <c r="AR85" s="38"/>
      <c r="AS85" s="38"/>
      <c r="AT85" s="38"/>
      <c r="AU85" s="38"/>
      <c r="AV85" s="38"/>
      <c r="AW85" s="38"/>
      <c r="AX85" s="38"/>
      <c r="AY85" s="38"/>
      <c r="AZ85" s="38"/>
      <c r="BA85" s="38"/>
      <c r="BB85" s="38"/>
      <c r="BC85" s="38"/>
      <c r="BD85" s="38"/>
      <c r="BE85" s="61"/>
      <c r="BF85" s="38"/>
    </row>
    <row r="86" spans="1:58" ht="12.75" customHeight="1">
      <c r="A86" s="35"/>
      <c r="B86" s="35"/>
      <c r="C86" s="35"/>
      <c r="D86" s="35"/>
      <c r="E86" s="67"/>
      <c r="F86" s="67"/>
      <c r="G86" s="36"/>
      <c r="H86" s="29"/>
      <c r="I86" s="78"/>
      <c r="J86" s="29"/>
      <c r="K86" s="29"/>
      <c r="L86" s="33"/>
      <c r="M86" s="33"/>
      <c r="N86" s="60"/>
      <c r="O86" s="71"/>
      <c r="P86" s="71"/>
      <c r="Q86" s="33"/>
      <c r="R86" s="31"/>
      <c r="S86" s="31"/>
      <c r="T86" s="59"/>
      <c r="U86" s="59"/>
      <c r="V86" s="59"/>
      <c r="W86" s="57"/>
      <c r="X86" s="126"/>
      <c r="Y86" s="28"/>
      <c r="Z86" s="33"/>
      <c r="AA86" s="34"/>
      <c r="AB86" s="30"/>
      <c r="AC86" s="30"/>
      <c r="AD86" s="32"/>
      <c r="AE86" s="32"/>
      <c r="AF86" s="2"/>
      <c r="AG86" s="2"/>
      <c r="AH86" s="2"/>
      <c r="AI86" s="2"/>
      <c r="AK86" s="73"/>
      <c r="AL86" s="73"/>
      <c r="AM86" s="38"/>
      <c r="AN86" s="38"/>
      <c r="AO86" s="38"/>
      <c r="AP86" s="38"/>
      <c r="AQ86" s="38"/>
      <c r="AR86" s="38"/>
      <c r="AS86" s="38"/>
      <c r="AT86" s="38"/>
      <c r="AU86" s="38"/>
      <c r="AV86" s="38"/>
      <c r="AW86" s="38"/>
      <c r="AX86" s="38"/>
      <c r="AY86" s="38"/>
      <c r="AZ86" s="38"/>
      <c r="BA86" s="38"/>
      <c r="BB86" s="38"/>
      <c r="BC86" s="38"/>
      <c r="BD86" s="38"/>
      <c r="BE86" s="61"/>
      <c r="BF86" s="38"/>
    </row>
    <row r="87" spans="1:58" ht="12.75" customHeight="1">
      <c r="A87" s="35"/>
      <c r="B87" s="35"/>
      <c r="C87" s="35"/>
      <c r="D87" s="35"/>
      <c r="E87" s="67"/>
      <c r="F87" s="67"/>
      <c r="G87" s="36"/>
      <c r="H87" s="29"/>
      <c r="I87" s="78"/>
      <c r="J87" s="29"/>
      <c r="K87" s="29"/>
      <c r="L87" s="33"/>
      <c r="M87" s="33"/>
      <c r="N87" s="60"/>
      <c r="O87" s="71"/>
      <c r="P87" s="71"/>
      <c r="Q87" s="33"/>
      <c r="R87" s="31"/>
      <c r="S87" s="31"/>
      <c r="T87" s="59"/>
      <c r="U87" s="59"/>
      <c r="V87" s="59"/>
      <c r="W87" s="57"/>
      <c r="X87" s="126"/>
      <c r="Y87" s="28"/>
      <c r="Z87" s="33"/>
      <c r="AA87" s="34"/>
      <c r="AB87" s="30"/>
      <c r="AC87" s="30"/>
      <c r="AD87" s="32"/>
      <c r="AE87" s="32"/>
      <c r="AF87" s="2"/>
      <c r="AG87" s="2"/>
      <c r="AH87" s="2"/>
      <c r="AI87" s="2"/>
      <c r="AK87" s="73"/>
      <c r="AL87" s="73"/>
      <c r="AM87" s="38"/>
      <c r="AN87" s="38"/>
      <c r="AO87" s="38"/>
      <c r="AP87" s="38"/>
      <c r="AQ87" s="38"/>
      <c r="AR87" s="38"/>
      <c r="AS87" s="38"/>
      <c r="AT87" s="38"/>
      <c r="AU87" s="38"/>
      <c r="AV87" s="38"/>
      <c r="AW87" s="38"/>
      <c r="AX87" s="38"/>
      <c r="AY87" s="38"/>
      <c r="AZ87" s="38"/>
      <c r="BA87" s="38"/>
      <c r="BB87" s="38"/>
      <c r="BC87" s="38"/>
      <c r="BD87" s="38"/>
      <c r="BE87" s="61"/>
      <c r="BF87" s="38"/>
    </row>
    <row r="88" spans="1:58" ht="12.75" customHeight="1">
      <c r="A88" s="35"/>
      <c r="B88" s="35"/>
      <c r="C88" s="35"/>
      <c r="D88" s="35"/>
      <c r="E88" s="67"/>
      <c r="F88" s="67"/>
      <c r="G88" s="36"/>
      <c r="H88" s="29"/>
      <c r="I88" s="78"/>
      <c r="J88" s="29"/>
      <c r="K88" s="29"/>
      <c r="L88" s="33"/>
      <c r="M88" s="33"/>
      <c r="N88" s="60"/>
      <c r="O88" s="71"/>
      <c r="P88" s="71"/>
      <c r="Q88" s="33"/>
      <c r="R88" s="31"/>
      <c r="S88" s="31"/>
      <c r="T88" s="59"/>
      <c r="U88" s="59"/>
      <c r="V88" s="59"/>
      <c r="W88" s="57"/>
      <c r="X88" s="126"/>
      <c r="Y88" s="28"/>
      <c r="Z88" s="33"/>
      <c r="AA88" s="34"/>
      <c r="AB88" s="30"/>
      <c r="AC88" s="30"/>
      <c r="AD88" s="32"/>
      <c r="AE88" s="32"/>
      <c r="AF88" s="2"/>
      <c r="AG88" s="2"/>
      <c r="AH88" s="2"/>
      <c r="AI88" s="2"/>
      <c r="AK88" s="73"/>
      <c r="AL88" s="73"/>
      <c r="AM88" s="38"/>
      <c r="AN88" s="38"/>
      <c r="AO88" s="38"/>
      <c r="AP88" s="38"/>
      <c r="AQ88" s="38"/>
      <c r="AR88" s="38"/>
      <c r="AS88" s="38"/>
      <c r="AT88" s="38"/>
      <c r="AU88" s="38"/>
      <c r="AV88" s="38"/>
      <c r="AW88" s="38"/>
      <c r="AX88" s="38"/>
      <c r="AY88" s="38"/>
      <c r="AZ88" s="38"/>
      <c r="BA88" s="38"/>
      <c r="BB88" s="38"/>
      <c r="BC88" s="38"/>
      <c r="BD88" s="38"/>
      <c r="BE88" s="61"/>
      <c r="BF88" s="38"/>
    </row>
    <row r="89" spans="1:58" ht="12.75" customHeight="1">
      <c r="A89" s="35"/>
      <c r="B89" s="35"/>
      <c r="C89" s="35"/>
      <c r="D89" s="35"/>
      <c r="E89" s="67"/>
      <c r="F89" s="67"/>
      <c r="G89" s="36"/>
      <c r="H89" s="29"/>
      <c r="I89" s="78"/>
      <c r="J89" s="29"/>
      <c r="K89" s="29"/>
      <c r="L89" s="33"/>
      <c r="M89" s="33"/>
      <c r="N89" s="60"/>
      <c r="O89" s="71"/>
      <c r="P89" s="71"/>
      <c r="Q89" s="33"/>
      <c r="R89" s="31"/>
      <c r="S89" s="31"/>
      <c r="T89" s="59"/>
      <c r="U89" s="59"/>
      <c r="V89" s="59"/>
      <c r="W89" s="57"/>
      <c r="X89" s="126"/>
      <c r="Y89" s="28"/>
      <c r="Z89" s="33"/>
      <c r="AA89" s="34"/>
      <c r="AB89" s="30"/>
      <c r="AC89" s="30"/>
      <c r="AD89" s="32"/>
      <c r="AE89" s="32"/>
      <c r="AF89" s="2"/>
      <c r="AG89" s="2"/>
      <c r="AH89" s="2"/>
      <c r="AI89" s="2"/>
      <c r="AK89" s="73"/>
      <c r="AL89" s="73"/>
      <c r="AM89" s="38"/>
      <c r="AN89" s="38"/>
      <c r="AO89" s="38"/>
      <c r="AP89" s="38"/>
      <c r="AQ89" s="38"/>
      <c r="AR89" s="38"/>
      <c r="AS89" s="38"/>
      <c r="AT89" s="38"/>
      <c r="AU89" s="38"/>
      <c r="AV89" s="38"/>
      <c r="AW89" s="38"/>
      <c r="AX89" s="38"/>
      <c r="AY89" s="38"/>
      <c r="AZ89" s="38"/>
      <c r="BA89" s="38"/>
      <c r="BB89" s="38"/>
      <c r="BC89" s="38"/>
      <c r="BD89" s="38"/>
      <c r="BE89" s="61"/>
      <c r="BF89" s="38"/>
    </row>
    <row r="90" spans="1:58" ht="12.75" customHeight="1">
      <c r="A90" s="35"/>
      <c r="B90" s="35"/>
      <c r="C90" s="35"/>
      <c r="D90" s="35"/>
      <c r="E90" s="67"/>
      <c r="F90" s="67"/>
      <c r="G90" s="36"/>
      <c r="H90" s="29"/>
      <c r="I90" s="78"/>
      <c r="J90" s="29"/>
      <c r="K90" s="29"/>
      <c r="L90" s="33"/>
      <c r="M90" s="33"/>
      <c r="N90" s="60"/>
      <c r="O90" s="71"/>
      <c r="P90" s="71"/>
      <c r="Q90" s="33"/>
      <c r="R90" s="31"/>
      <c r="S90" s="31"/>
      <c r="T90" s="59"/>
      <c r="U90" s="59"/>
      <c r="V90" s="59"/>
      <c r="W90" s="57"/>
      <c r="X90" s="126"/>
      <c r="Y90" s="28"/>
      <c r="Z90" s="33"/>
      <c r="AA90" s="34"/>
      <c r="AB90" s="30"/>
      <c r="AC90" s="30"/>
      <c r="AD90" s="32"/>
      <c r="AE90" s="32"/>
      <c r="AF90" s="2"/>
      <c r="AG90" s="2"/>
      <c r="AH90" s="2"/>
      <c r="AI90" s="2"/>
      <c r="AK90" s="73"/>
      <c r="AL90" s="73"/>
      <c r="AM90" s="38"/>
      <c r="AN90" s="38"/>
      <c r="AO90" s="38"/>
      <c r="AP90" s="38"/>
      <c r="AQ90" s="38"/>
      <c r="AR90" s="38"/>
      <c r="AS90" s="38"/>
      <c r="AT90" s="38"/>
      <c r="AU90" s="38"/>
      <c r="AV90" s="38"/>
      <c r="AW90" s="38"/>
      <c r="AX90" s="38"/>
      <c r="AY90" s="38"/>
      <c r="AZ90" s="38"/>
      <c r="BA90" s="38"/>
      <c r="BB90" s="38"/>
      <c r="BC90" s="38"/>
      <c r="BD90" s="38"/>
      <c r="BE90" s="61"/>
      <c r="BF90" s="38"/>
    </row>
    <row r="91" spans="1:58" ht="12.75" customHeight="1">
      <c r="A91" s="35"/>
      <c r="B91" s="35"/>
      <c r="C91" s="35"/>
      <c r="D91" s="35"/>
      <c r="E91" s="67"/>
      <c r="F91" s="67"/>
      <c r="G91" s="36"/>
      <c r="H91" s="29"/>
      <c r="I91" s="78"/>
      <c r="J91" s="29"/>
      <c r="K91" s="29"/>
      <c r="L91" s="33"/>
      <c r="M91" s="33"/>
      <c r="N91" s="60"/>
      <c r="O91" s="71"/>
      <c r="P91" s="71"/>
      <c r="Q91" s="33"/>
      <c r="R91" s="31"/>
      <c r="S91" s="31"/>
      <c r="T91" s="59"/>
      <c r="U91" s="59"/>
      <c r="V91" s="59"/>
      <c r="W91" s="57"/>
      <c r="X91" s="126"/>
      <c r="Y91" s="28"/>
      <c r="Z91" s="33"/>
      <c r="AA91" s="34"/>
      <c r="AB91" s="30"/>
      <c r="AC91" s="30"/>
      <c r="AD91" s="32"/>
      <c r="AE91" s="32"/>
      <c r="AF91" s="2"/>
      <c r="AG91" s="2"/>
      <c r="AH91" s="2"/>
      <c r="AI91" s="2"/>
      <c r="AK91" s="73"/>
      <c r="AL91" s="73"/>
      <c r="AM91" s="38"/>
      <c r="AN91" s="38"/>
      <c r="AO91" s="38"/>
      <c r="AP91" s="38"/>
      <c r="AQ91" s="38"/>
      <c r="AR91" s="38"/>
      <c r="AS91" s="38"/>
      <c r="AT91" s="38"/>
      <c r="AU91" s="38"/>
      <c r="AV91" s="38"/>
      <c r="AW91" s="38"/>
      <c r="AX91" s="38"/>
      <c r="AY91" s="38"/>
      <c r="AZ91" s="38"/>
      <c r="BA91" s="38"/>
      <c r="BB91" s="38"/>
      <c r="BC91" s="38"/>
      <c r="BD91" s="38"/>
      <c r="BE91" s="61"/>
      <c r="BF91" s="38"/>
    </row>
    <row r="92" spans="1:58" ht="12.75" customHeight="1">
      <c r="A92" s="35"/>
      <c r="B92" s="35"/>
      <c r="C92" s="35"/>
      <c r="D92" s="35"/>
      <c r="E92" s="67"/>
      <c r="F92" s="67"/>
      <c r="G92" s="36"/>
      <c r="H92" s="29"/>
      <c r="I92" s="78"/>
      <c r="J92" s="29"/>
      <c r="K92" s="29"/>
      <c r="L92" s="33"/>
      <c r="M92" s="33"/>
      <c r="N92" s="60"/>
      <c r="O92" s="71"/>
      <c r="P92" s="71"/>
      <c r="Q92" s="33"/>
      <c r="R92" s="31"/>
      <c r="S92" s="31"/>
      <c r="T92" s="59"/>
      <c r="U92" s="59"/>
      <c r="V92" s="59"/>
      <c r="W92" s="57"/>
      <c r="X92" s="126"/>
      <c r="Y92" s="28"/>
      <c r="Z92" s="33"/>
      <c r="AA92" s="34"/>
      <c r="AB92" s="30"/>
      <c r="AC92" s="30"/>
      <c r="AD92" s="32"/>
      <c r="AE92" s="32"/>
      <c r="AF92" s="2"/>
      <c r="AG92" s="2"/>
      <c r="AH92" s="2"/>
      <c r="AI92" s="2"/>
      <c r="AK92" s="73"/>
      <c r="AL92" s="73"/>
      <c r="AM92" s="38"/>
      <c r="AN92" s="38"/>
      <c r="AO92" s="38"/>
      <c r="AP92" s="38"/>
      <c r="AQ92" s="38"/>
      <c r="AR92" s="38"/>
      <c r="AS92" s="38"/>
      <c r="AT92" s="38"/>
      <c r="AU92" s="38"/>
      <c r="AV92" s="38"/>
      <c r="AW92" s="38"/>
      <c r="AX92" s="38"/>
      <c r="AY92" s="38"/>
      <c r="AZ92" s="38"/>
      <c r="BA92" s="38"/>
      <c r="BB92" s="38"/>
      <c r="BC92" s="38"/>
      <c r="BD92" s="38"/>
      <c r="BE92" s="61"/>
      <c r="BF92" s="38"/>
    </row>
    <row r="93" spans="1:58" ht="12.75" customHeight="1">
      <c r="A93" s="35"/>
      <c r="B93" s="35"/>
      <c r="C93" s="35"/>
      <c r="D93" s="35"/>
      <c r="E93" s="67"/>
      <c r="F93" s="67"/>
      <c r="G93" s="36"/>
      <c r="H93" s="29"/>
      <c r="I93" s="78"/>
      <c r="J93" s="29"/>
      <c r="K93" s="29"/>
      <c r="L93" s="33"/>
      <c r="M93" s="33"/>
      <c r="N93" s="60"/>
      <c r="O93" s="71"/>
      <c r="P93" s="71"/>
      <c r="Q93" s="33"/>
      <c r="R93" s="31"/>
      <c r="S93" s="31"/>
      <c r="T93" s="59"/>
      <c r="U93" s="59"/>
      <c r="V93" s="59"/>
      <c r="W93" s="57"/>
      <c r="X93" s="126"/>
      <c r="Y93" s="28"/>
      <c r="Z93" s="33"/>
      <c r="AA93" s="34"/>
      <c r="AB93" s="30"/>
      <c r="AC93" s="30"/>
      <c r="AD93" s="32"/>
      <c r="AE93" s="32"/>
      <c r="AF93" s="2"/>
      <c r="AG93" s="2"/>
      <c r="AH93" s="2"/>
      <c r="AI93" s="2"/>
      <c r="AK93" s="73"/>
      <c r="AL93" s="73"/>
      <c r="AM93" s="38"/>
      <c r="AN93" s="38"/>
      <c r="AO93" s="38"/>
      <c r="AP93" s="38"/>
      <c r="AQ93" s="38"/>
      <c r="AR93" s="38"/>
      <c r="AS93" s="38"/>
      <c r="AT93" s="38"/>
      <c r="AU93" s="38"/>
      <c r="AV93" s="38"/>
      <c r="AW93" s="38"/>
      <c r="AX93" s="38"/>
      <c r="AY93" s="38"/>
      <c r="AZ93" s="38"/>
      <c r="BA93" s="38"/>
      <c r="BB93" s="38"/>
      <c r="BC93" s="38"/>
      <c r="BD93" s="38"/>
      <c r="BE93" s="61"/>
      <c r="BF93" s="38"/>
    </row>
    <row r="94" spans="1:58" ht="12.75" customHeight="1">
      <c r="A94" s="35"/>
      <c r="B94" s="35"/>
      <c r="C94" s="35"/>
      <c r="D94" s="35"/>
      <c r="E94" s="67"/>
      <c r="F94" s="67"/>
      <c r="G94" s="36"/>
      <c r="H94" s="29"/>
      <c r="I94" s="78"/>
      <c r="J94" s="29"/>
      <c r="K94" s="29"/>
      <c r="L94" s="33"/>
      <c r="M94" s="33"/>
      <c r="N94" s="60"/>
      <c r="O94" s="71"/>
      <c r="P94" s="71"/>
      <c r="Q94" s="33"/>
      <c r="R94" s="31"/>
      <c r="S94" s="31"/>
      <c r="T94" s="59"/>
      <c r="U94" s="59"/>
      <c r="V94" s="59"/>
      <c r="W94" s="57"/>
      <c r="X94" s="126"/>
      <c r="Y94" s="28"/>
      <c r="Z94" s="33"/>
      <c r="AA94" s="34"/>
      <c r="AB94" s="30"/>
      <c r="AC94" s="30"/>
      <c r="AD94" s="32"/>
      <c r="AE94" s="32"/>
      <c r="AF94" s="2"/>
      <c r="AG94" s="2"/>
      <c r="AH94" s="2"/>
      <c r="AI94" s="2"/>
      <c r="AK94" s="73"/>
      <c r="AL94" s="73"/>
      <c r="AM94" s="38"/>
      <c r="AN94" s="38"/>
      <c r="AO94" s="38"/>
      <c r="AP94" s="38"/>
      <c r="AQ94" s="38"/>
      <c r="AR94" s="38"/>
      <c r="AS94" s="38"/>
      <c r="AT94" s="38"/>
      <c r="AU94" s="38"/>
      <c r="AV94" s="38"/>
      <c r="AW94" s="38"/>
      <c r="AX94" s="38"/>
      <c r="AY94" s="38"/>
      <c r="AZ94" s="38"/>
      <c r="BA94" s="38"/>
      <c r="BB94" s="38"/>
      <c r="BC94" s="38"/>
      <c r="BD94" s="38"/>
      <c r="BE94" s="61"/>
      <c r="BF94" s="38"/>
    </row>
    <row r="95" spans="1:58" ht="12.75" customHeight="1">
      <c r="A95" s="35"/>
      <c r="B95" s="35"/>
      <c r="C95" s="35"/>
      <c r="D95" s="35"/>
      <c r="E95" s="67"/>
      <c r="F95" s="67"/>
      <c r="G95" s="36"/>
      <c r="H95" s="29"/>
      <c r="I95" s="78"/>
      <c r="J95" s="29"/>
      <c r="K95" s="29"/>
      <c r="L95" s="33"/>
      <c r="M95" s="33"/>
      <c r="N95" s="60"/>
      <c r="O95" s="71"/>
      <c r="P95" s="71"/>
      <c r="Q95" s="33"/>
      <c r="R95" s="31"/>
      <c r="S95" s="31"/>
      <c r="T95" s="59"/>
      <c r="U95" s="59"/>
      <c r="V95" s="59"/>
      <c r="W95" s="57"/>
      <c r="X95" s="126"/>
      <c r="Y95" s="28"/>
      <c r="Z95" s="33"/>
      <c r="AA95" s="34"/>
      <c r="AB95" s="30"/>
      <c r="AC95" s="30"/>
      <c r="AD95" s="32"/>
      <c r="AE95" s="32"/>
      <c r="AF95" s="2"/>
      <c r="AG95" s="2"/>
      <c r="AH95" s="2"/>
      <c r="AI95" s="2"/>
      <c r="AK95" s="73"/>
      <c r="AL95" s="73"/>
      <c r="AM95" s="38"/>
      <c r="AN95" s="38"/>
      <c r="AO95" s="38"/>
      <c r="AP95" s="38"/>
      <c r="AQ95" s="38"/>
      <c r="AR95" s="38"/>
      <c r="AS95" s="38"/>
      <c r="AT95" s="38"/>
      <c r="AU95" s="38"/>
      <c r="AV95" s="38"/>
      <c r="AW95" s="38"/>
      <c r="AX95" s="38"/>
      <c r="AY95" s="38"/>
      <c r="AZ95" s="38"/>
      <c r="BA95" s="38"/>
      <c r="BB95" s="38"/>
      <c r="BC95" s="38"/>
      <c r="BD95" s="38"/>
      <c r="BE95" s="61"/>
      <c r="BF95" s="38"/>
    </row>
    <row r="96" spans="1:58" ht="12.75" customHeight="1">
      <c r="A96" s="35"/>
      <c r="B96" s="35"/>
      <c r="C96" s="35"/>
      <c r="D96" s="35"/>
      <c r="E96" s="67"/>
      <c r="F96" s="67"/>
      <c r="G96" s="36"/>
      <c r="H96" s="29"/>
      <c r="I96" s="78"/>
      <c r="J96" s="29"/>
      <c r="K96" s="29"/>
      <c r="L96" s="33"/>
      <c r="M96" s="33"/>
      <c r="N96" s="60"/>
      <c r="O96" s="71"/>
      <c r="P96" s="71"/>
      <c r="Q96" s="33"/>
      <c r="R96" s="31"/>
      <c r="S96" s="31"/>
      <c r="T96" s="59"/>
      <c r="U96" s="59"/>
      <c r="V96" s="59"/>
      <c r="W96" s="57"/>
      <c r="X96" s="126"/>
      <c r="Y96" s="28"/>
      <c r="Z96" s="33"/>
      <c r="AA96" s="34"/>
      <c r="AB96" s="30"/>
      <c r="AC96" s="30"/>
      <c r="AD96" s="32"/>
      <c r="AE96" s="32"/>
      <c r="AF96" s="2"/>
      <c r="AG96" s="2"/>
      <c r="AH96" s="2"/>
      <c r="AI96" s="2"/>
      <c r="AK96" s="73"/>
      <c r="AL96" s="73"/>
      <c r="AM96" s="38"/>
      <c r="AN96" s="38"/>
      <c r="AO96" s="38"/>
      <c r="AP96" s="38"/>
      <c r="AQ96" s="38"/>
      <c r="AR96" s="38"/>
      <c r="AS96" s="38"/>
      <c r="AT96" s="38"/>
      <c r="AU96" s="38"/>
      <c r="AV96" s="38"/>
      <c r="AW96" s="38"/>
      <c r="AX96" s="38"/>
      <c r="AY96" s="38"/>
      <c r="AZ96" s="38"/>
      <c r="BA96" s="38"/>
      <c r="BB96" s="38"/>
      <c r="BC96" s="38"/>
      <c r="BD96" s="38"/>
      <c r="BE96" s="61"/>
      <c r="BF96" s="38"/>
    </row>
    <row r="97" spans="1:58" ht="12.75" customHeight="1">
      <c r="A97" s="35"/>
      <c r="B97" s="35"/>
      <c r="C97" s="35"/>
      <c r="D97" s="35"/>
      <c r="E97" s="67"/>
      <c r="F97" s="67"/>
      <c r="G97" s="36"/>
      <c r="H97" s="29"/>
      <c r="I97" s="78"/>
      <c r="J97" s="29"/>
      <c r="K97" s="29"/>
      <c r="L97" s="33"/>
      <c r="M97" s="33"/>
      <c r="N97" s="60"/>
      <c r="O97" s="71"/>
      <c r="P97" s="71"/>
      <c r="Q97" s="33"/>
      <c r="R97" s="31"/>
      <c r="S97" s="31"/>
      <c r="T97" s="59"/>
      <c r="U97" s="59"/>
      <c r="V97" s="59"/>
      <c r="W97" s="57"/>
      <c r="X97" s="126"/>
      <c r="Y97" s="28"/>
      <c r="Z97" s="33"/>
      <c r="AA97" s="34"/>
      <c r="AB97" s="30"/>
      <c r="AC97" s="30"/>
      <c r="AD97" s="32"/>
      <c r="AE97" s="32"/>
      <c r="AF97" s="2"/>
      <c r="AG97" s="2"/>
      <c r="AH97" s="2"/>
      <c r="AI97" s="2"/>
      <c r="AK97" s="73"/>
      <c r="AL97" s="73"/>
      <c r="AM97" s="38"/>
      <c r="AN97" s="38"/>
      <c r="AO97" s="38"/>
      <c r="AP97" s="38"/>
      <c r="AQ97" s="38"/>
      <c r="AR97" s="38"/>
      <c r="AS97" s="38"/>
      <c r="AT97" s="38"/>
      <c r="AU97" s="38"/>
      <c r="AV97" s="38"/>
      <c r="AW97" s="38"/>
      <c r="AX97" s="38"/>
      <c r="AY97" s="38"/>
      <c r="AZ97" s="38"/>
      <c r="BA97" s="38"/>
      <c r="BB97" s="38"/>
      <c r="BC97" s="38"/>
      <c r="BD97" s="38"/>
      <c r="BE97" s="61"/>
      <c r="BF97" s="38"/>
    </row>
    <row r="98" spans="1:58" ht="12.75" customHeight="1">
      <c r="A98" s="35"/>
      <c r="B98" s="35"/>
      <c r="C98" s="35"/>
      <c r="D98" s="35"/>
      <c r="E98" s="67"/>
      <c r="F98" s="67"/>
      <c r="G98" s="36"/>
      <c r="H98" s="29"/>
      <c r="I98" s="78"/>
      <c r="J98" s="29"/>
      <c r="K98" s="29"/>
      <c r="L98" s="33"/>
      <c r="M98" s="33"/>
      <c r="N98" s="60"/>
      <c r="O98" s="71"/>
      <c r="P98" s="71"/>
      <c r="Q98" s="33"/>
      <c r="R98" s="31"/>
      <c r="S98" s="31"/>
      <c r="T98" s="59"/>
      <c r="U98" s="59"/>
      <c r="V98" s="59"/>
      <c r="W98" s="57"/>
      <c r="X98" s="126"/>
      <c r="Y98" s="28"/>
      <c r="Z98" s="33"/>
      <c r="AA98" s="34"/>
      <c r="AB98" s="30"/>
      <c r="AC98" s="30"/>
      <c r="AD98" s="32"/>
      <c r="AE98" s="32"/>
      <c r="AF98" s="2"/>
      <c r="AG98" s="2"/>
      <c r="AH98" s="2"/>
      <c r="AI98" s="2"/>
      <c r="AK98" s="73"/>
      <c r="AL98" s="73"/>
      <c r="AM98" s="38"/>
      <c r="AN98" s="38"/>
      <c r="AO98" s="38"/>
      <c r="AP98" s="38"/>
      <c r="AQ98" s="38"/>
      <c r="AR98" s="38"/>
      <c r="AS98" s="38"/>
      <c r="AT98" s="38"/>
      <c r="AU98" s="38"/>
      <c r="AV98" s="38"/>
      <c r="AW98" s="38"/>
      <c r="AX98" s="38"/>
      <c r="AY98" s="38"/>
      <c r="AZ98" s="38"/>
      <c r="BA98" s="38"/>
      <c r="BB98" s="38"/>
      <c r="BC98" s="38"/>
      <c r="BD98" s="38"/>
      <c r="BE98" s="61"/>
      <c r="BF98" s="38"/>
    </row>
    <row r="99" spans="1:58" ht="12.75" customHeight="1">
      <c r="A99" s="35"/>
      <c r="B99" s="35"/>
      <c r="C99" s="35"/>
      <c r="D99" s="35"/>
      <c r="E99" s="67"/>
      <c r="F99" s="67"/>
      <c r="G99" s="36"/>
      <c r="H99" s="29"/>
      <c r="I99" s="78"/>
      <c r="J99" s="29"/>
      <c r="K99" s="29"/>
      <c r="L99" s="33"/>
      <c r="M99" s="33"/>
      <c r="N99" s="60"/>
      <c r="O99" s="71"/>
      <c r="P99" s="71"/>
      <c r="Q99" s="33"/>
      <c r="R99" s="31"/>
      <c r="S99" s="31"/>
      <c r="T99" s="59"/>
      <c r="U99" s="59"/>
      <c r="V99" s="59"/>
      <c r="W99" s="57"/>
      <c r="X99" s="126"/>
      <c r="Y99" s="28"/>
      <c r="Z99" s="33"/>
      <c r="AA99" s="34"/>
      <c r="AB99" s="30"/>
      <c r="AC99" s="30"/>
      <c r="AD99" s="32"/>
      <c r="AE99" s="32"/>
      <c r="AF99" s="2"/>
      <c r="AG99" s="2"/>
      <c r="AH99" s="2"/>
      <c r="AI99" s="2"/>
      <c r="AK99" s="73"/>
      <c r="AL99" s="73"/>
      <c r="AM99" s="38"/>
      <c r="AN99" s="38"/>
      <c r="AO99" s="38"/>
      <c r="AP99" s="38"/>
      <c r="AQ99" s="38"/>
      <c r="AR99" s="38"/>
      <c r="AS99" s="38"/>
      <c r="AT99" s="38"/>
      <c r="AU99" s="38"/>
      <c r="AV99" s="38"/>
      <c r="AW99" s="38"/>
      <c r="AX99" s="38"/>
      <c r="AY99" s="38"/>
      <c r="AZ99" s="38"/>
      <c r="BA99" s="38"/>
      <c r="BB99" s="38"/>
      <c r="BC99" s="38"/>
      <c r="BD99" s="38"/>
      <c r="BE99" s="61"/>
      <c r="BF99" s="38"/>
    </row>
    <row r="100" spans="1:58" ht="12.75" customHeight="1">
      <c r="A100" s="35"/>
      <c r="B100" s="35"/>
      <c r="C100" s="35"/>
      <c r="D100" s="35"/>
      <c r="E100" s="67"/>
      <c r="F100" s="67"/>
      <c r="G100" s="36"/>
      <c r="H100" s="29"/>
      <c r="I100" s="78"/>
      <c r="J100" s="29"/>
      <c r="K100" s="29"/>
      <c r="L100" s="33"/>
      <c r="M100" s="33"/>
      <c r="N100" s="60"/>
      <c r="O100" s="71"/>
      <c r="P100" s="71"/>
      <c r="Q100" s="33"/>
      <c r="R100" s="31"/>
      <c r="S100" s="31"/>
      <c r="T100" s="59"/>
      <c r="U100" s="59"/>
      <c r="V100" s="59"/>
      <c r="W100" s="57"/>
      <c r="X100" s="126"/>
      <c r="Y100" s="28"/>
      <c r="Z100" s="33"/>
      <c r="AA100" s="34"/>
      <c r="AB100" s="30"/>
      <c r="AC100" s="30"/>
      <c r="AD100" s="32"/>
      <c r="AE100" s="32"/>
      <c r="AF100" s="2"/>
      <c r="AG100" s="2"/>
      <c r="AH100" s="2"/>
      <c r="AI100" s="2"/>
      <c r="AK100" s="73"/>
      <c r="AL100" s="73"/>
      <c r="AM100" s="38"/>
      <c r="AN100" s="38"/>
      <c r="AO100" s="38"/>
      <c r="AP100" s="38"/>
      <c r="AQ100" s="38"/>
      <c r="AR100" s="38"/>
      <c r="AS100" s="38"/>
      <c r="AT100" s="38"/>
      <c r="AU100" s="38"/>
      <c r="AV100" s="38"/>
      <c r="AW100" s="38"/>
      <c r="AX100" s="38"/>
      <c r="AY100" s="38"/>
      <c r="AZ100" s="38"/>
      <c r="BA100" s="38"/>
      <c r="BB100" s="38"/>
      <c r="BC100" s="38"/>
      <c r="BD100" s="38"/>
      <c r="BE100" s="61"/>
      <c r="BF100" s="38"/>
    </row>
    <row r="101" spans="1:58" ht="12.75" customHeight="1">
      <c r="A101" s="35"/>
      <c r="B101" s="35"/>
      <c r="C101" s="35"/>
      <c r="D101" s="35"/>
      <c r="E101" s="67"/>
      <c r="F101" s="67"/>
      <c r="G101" s="36"/>
      <c r="H101" s="29"/>
      <c r="I101" s="78"/>
      <c r="J101" s="29"/>
      <c r="K101" s="29"/>
      <c r="L101" s="33"/>
      <c r="M101" s="33"/>
      <c r="N101" s="60"/>
      <c r="O101" s="71"/>
      <c r="P101" s="71"/>
      <c r="Q101" s="33"/>
      <c r="R101" s="31"/>
      <c r="S101" s="31"/>
      <c r="T101" s="59"/>
      <c r="U101" s="59"/>
      <c r="V101" s="59"/>
      <c r="W101" s="57"/>
      <c r="X101" s="126"/>
      <c r="Y101" s="28"/>
      <c r="Z101" s="33"/>
      <c r="AA101" s="34"/>
      <c r="AB101" s="30"/>
      <c r="AC101" s="30"/>
      <c r="AD101" s="32"/>
      <c r="AE101" s="32"/>
      <c r="AF101" s="2"/>
      <c r="AG101" s="2"/>
      <c r="AH101" s="2"/>
      <c r="AI101" s="2"/>
      <c r="AK101" s="73"/>
      <c r="AL101" s="73"/>
      <c r="AM101" s="38"/>
      <c r="AN101" s="38"/>
      <c r="AO101" s="38"/>
      <c r="AP101" s="38"/>
      <c r="AQ101" s="38"/>
      <c r="AR101" s="38"/>
      <c r="AS101" s="38"/>
      <c r="AT101" s="38"/>
      <c r="AU101" s="38"/>
      <c r="AV101" s="38"/>
      <c r="AW101" s="38"/>
      <c r="AX101" s="38"/>
      <c r="AY101" s="38"/>
      <c r="AZ101" s="38"/>
      <c r="BA101" s="38"/>
      <c r="BB101" s="38"/>
      <c r="BC101" s="38"/>
      <c r="BD101" s="38"/>
      <c r="BE101" s="61"/>
      <c r="BF101" s="38"/>
    </row>
    <row r="102" spans="1:58" ht="12.75" customHeight="1">
      <c r="A102" s="35"/>
      <c r="B102" s="35"/>
      <c r="C102" s="35"/>
      <c r="D102" s="35"/>
      <c r="E102" s="67"/>
      <c r="F102" s="67"/>
      <c r="G102" s="36"/>
      <c r="H102" s="29"/>
      <c r="I102" s="78"/>
      <c r="J102" s="29"/>
      <c r="K102" s="29"/>
      <c r="L102" s="33"/>
      <c r="M102" s="33"/>
      <c r="N102" s="60"/>
      <c r="O102" s="71"/>
      <c r="P102" s="71"/>
      <c r="Q102" s="33"/>
      <c r="R102" s="31"/>
      <c r="S102" s="31"/>
      <c r="T102" s="59"/>
      <c r="U102" s="59"/>
      <c r="V102" s="59"/>
      <c r="W102" s="57"/>
      <c r="X102" s="126"/>
      <c r="Y102" s="28"/>
      <c r="Z102" s="33"/>
      <c r="AA102" s="34"/>
      <c r="AB102" s="30"/>
      <c r="AC102" s="30"/>
      <c r="AD102" s="32"/>
      <c r="AE102" s="32"/>
      <c r="AF102" s="2"/>
      <c r="AG102" s="2"/>
      <c r="AH102" s="2"/>
      <c r="AI102" s="2"/>
      <c r="AK102" s="73"/>
      <c r="AL102" s="73"/>
      <c r="AM102" s="38"/>
      <c r="AN102" s="38"/>
      <c r="AO102" s="38"/>
      <c r="AP102" s="38"/>
      <c r="AQ102" s="38"/>
      <c r="AR102" s="38"/>
      <c r="AS102" s="38"/>
      <c r="AT102" s="38"/>
      <c r="AU102" s="38"/>
      <c r="AV102" s="38"/>
      <c r="AW102" s="38"/>
      <c r="AX102" s="38"/>
      <c r="AY102" s="38"/>
      <c r="AZ102" s="38"/>
      <c r="BA102" s="38"/>
      <c r="BB102" s="38"/>
      <c r="BC102" s="38"/>
      <c r="BD102" s="38"/>
      <c r="BE102" s="61"/>
      <c r="BF102" s="38"/>
    </row>
    <row r="103" spans="1:58" ht="12.75" customHeight="1">
      <c r="A103" s="35"/>
      <c r="B103" s="35"/>
      <c r="C103" s="35"/>
      <c r="D103" s="35"/>
      <c r="E103" s="67"/>
      <c r="F103" s="67"/>
      <c r="G103" s="36"/>
      <c r="H103" s="29"/>
      <c r="I103" s="78"/>
      <c r="J103" s="29"/>
      <c r="K103" s="29"/>
      <c r="L103" s="33"/>
      <c r="M103" s="33"/>
      <c r="N103" s="60"/>
      <c r="O103" s="71"/>
      <c r="P103" s="71"/>
      <c r="Q103" s="33"/>
      <c r="R103" s="31"/>
      <c r="S103" s="31"/>
      <c r="T103" s="59"/>
      <c r="U103" s="59"/>
      <c r="V103" s="59"/>
      <c r="W103" s="57"/>
      <c r="X103" s="126"/>
      <c r="Y103" s="28"/>
      <c r="Z103" s="33"/>
      <c r="AA103" s="34"/>
      <c r="AB103" s="30"/>
      <c r="AC103" s="30"/>
      <c r="AD103" s="32"/>
      <c r="AE103" s="32"/>
      <c r="AF103" s="2"/>
      <c r="AG103" s="2"/>
      <c r="AH103" s="2"/>
      <c r="AI103" s="2"/>
      <c r="AK103" s="73"/>
      <c r="AL103" s="73"/>
      <c r="AM103" s="38"/>
      <c r="AN103" s="38"/>
      <c r="AO103" s="38"/>
      <c r="AP103" s="38"/>
      <c r="AQ103" s="38"/>
      <c r="AR103" s="38"/>
      <c r="AS103" s="38"/>
      <c r="AT103" s="38"/>
      <c r="AU103" s="38"/>
      <c r="AV103" s="38"/>
      <c r="AW103" s="38"/>
      <c r="AX103" s="38"/>
      <c r="AY103" s="38"/>
      <c r="AZ103" s="38"/>
      <c r="BA103" s="38"/>
      <c r="BB103" s="38"/>
      <c r="BC103" s="38"/>
      <c r="BD103" s="38"/>
      <c r="BE103" s="61"/>
      <c r="BF103" s="38"/>
    </row>
    <row r="104" spans="1:58" ht="12.75" customHeight="1">
      <c r="A104" s="35"/>
      <c r="B104" s="35"/>
      <c r="C104" s="35"/>
      <c r="D104" s="35"/>
      <c r="E104" s="67"/>
      <c r="F104" s="67"/>
      <c r="G104" s="36"/>
      <c r="H104" s="29"/>
      <c r="I104" s="78"/>
      <c r="J104" s="29"/>
      <c r="K104" s="29"/>
      <c r="L104" s="33"/>
      <c r="M104" s="33"/>
      <c r="N104" s="60"/>
      <c r="O104" s="71"/>
      <c r="P104" s="71"/>
      <c r="Q104" s="33"/>
      <c r="R104" s="31"/>
      <c r="S104" s="31"/>
      <c r="T104" s="59"/>
      <c r="U104" s="59"/>
      <c r="V104" s="59"/>
      <c r="W104" s="57"/>
      <c r="X104" s="126"/>
      <c r="Y104" s="28"/>
      <c r="Z104" s="33"/>
      <c r="AA104" s="34"/>
      <c r="AB104" s="30"/>
      <c r="AC104" s="30"/>
      <c r="AD104" s="32"/>
      <c r="AE104" s="32"/>
      <c r="AF104" s="2"/>
      <c r="AG104" s="2"/>
      <c r="AH104" s="2"/>
      <c r="AI104" s="2"/>
      <c r="AK104" s="73"/>
      <c r="AL104" s="73"/>
      <c r="AM104" s="38"/>
      <c r="AN104" s="38"/>
      <c r="AO104" s="38"/>
      <c r="AP104" s="38"/>
      <c r="AQ104" s="38"/>
      <c r="AR104" s="38"/>
      <c r="AS104" s="38"/>
      <c r="AT104" s="38"/>
      <c r="AU104" s="38"/>
      <c r="AV104" s="38"/>
      <c r="AW104" s="38"/>
      <c r="AX104" s="38"/>
      <c r="AY104" s="38"/>
      <c r="AZ104" s="38"/>
      <c r="BA104" s="38"/>
      <c r="BB104" s="38"/>
      <c r="BC104" s="38"/>
      <c r="BD104" s="38"/>
      <c r="BE104" s="61"/>
      <c r="BF104" s="38"/>
    </row>
    <row r="105" spans="1:58" ht="12.75" customHeight="1">
      <c r="A105" s="35"/>
      <c r="B105" s="35"/>
      <c r="C105" s="35"/>
      <c r="D105" s="35"/>
      <c r="E105" s="67"/>
      <c r="F105" s="67"/>
      <c r="G105" s="36"/>
      <c r="H105" s="29"/>
      <c r="I105" s="78"/>
      <c r="J105" s="29"/>
      <c r="K105" s="29"/>
      <c r="L105" s="33"/>
      <c r="M105" s="33"/>
      <c r="N105" s="60"/>
      <c r="O105" s="71"/>
      <c r="P105" s="71"/>
      <c r="Q105" s="33"/>
      <c r="R105" s="31"/>
      <c r="S105" s="31"/>
      <c r="T105" s="59"/>
      <c r="U105" s="59"/>
      <c r="V105" s="59"/>
      <c r="W105" s="57"/>
      <c r="X105" s="126"/>
      <c r="Y105" s="28"/>
      <c r="Z105" s="33"/>
      <c r="AA105" s="34"/>
      <c r="AB105" s="30"/>
      <c r="AC105" s="30"/>
      <c r="AD105" s="32"/>
      <c r="AE105" s="32"/>
      <c r="AF105" s="2"/>
      <c r="AG105" s="2"/>
      <c r="AH105" s="2"/>
      <c r="AI105" s="2"/>
      <c r="AK105" s="73"/>
      <c r="AL105" s="73"/>
      <c r="AM105" s="38"/>
      <c r="AN105" s="38"/>
      <c r="AO105" s="38"/>
      <c r="AP105" s="38"/>
      <c r="AQ105" s="38"/>
      <c r="AR105" s="38"/>
      <c r="AS105" s="38"/>
      <c r="AT105" s="38"/>
      <c r="AU105" s="38"/>
      <c r="AV105" s="38"/>
      <c r="AW105" s="38"/>
      <c r="AX105" s="38"/>
      <c r="AY105" s="38"/>
      <c r="AZ105" s="38"/>
      <c r="BA105" s="38"/>
      <c r="BB105" s="38"/>
      <c r="BC105" s="38"/>
      <c r="BD105" s="38"/>
      <c r="BE105" s="61"/>
      <c r="BF105" s="38"/>
    </row>
    <row r="106" spans="1:58" ht="12.75" customHeight="1">
      <c r="A106" s="35"/>
      <c r="B106" s="35"/>
      <c r="C106" s="35"/>
      <c r="D106" s="35"/>
      <c r="E106" s="67"/>
      <c r="F106" s="67"/>
      <c r="G106" s="36"/>
      <c r="H106" s="29"/>
      <c r="I106" s="78"/>
      <c r="J106" s="29"/>
      <c r="K106" s="29"/>
      <c r="L106" s="33"/>
      <c r="M106" s="33"/>
      <c r="N106" s="60"/>
      <c r="O106" s="71"/>
      <c r="P106" s="71"/>
      <c r="Q106" s="33"/>
      <c r="R106" s="31"/>
      <c r="S106" s="31"/>
      <c r="T106" s="59"/>
      <c r="U106" s="59"/>
      <c r="V106" s="59"/>
      <c r="W106" s="57"/>
      <c r="X106" s="126"/>
      <c r="Y106" s="28"/>
      <c r="Z106" s="33"/>
      <c r="AA106" s="34"/>
      <c r="AB106" s="30"/>
      <c r="AC106" s="30"/>
      <c r="AD106" s="32"/>
      <c r="AE106" s="32"/>
      <c r="AF106" s="2"/>
      <c r="AG106" s="2"/>
      <c r="AH106" s="2"/>
      <c r="AI106" s="2"/>
      <c r="AK106" s="73"/>
      <c r="AL106" s="73"/>
      <c r="AM106" s="38"/>
      <c r="AN106" s="38"/>
      <c r="AO106" s="38"/>
      <c r="AP106" s="38"/>
      <c r="AQ106" s="38"/>
      <c r="AR106" s="38"/>
      <c r="AS106" s="38"/>
      <c r="AT106" s="38"/>
      <c r="AU106" s="38"/>
      <c r="AV106" s="38"/>
      <c r="AW106" s="38"/>
      <c r="AX106" s="38"/>
      <c r="AY106" s="38"/>
      <c r="AZ106" s="38"/>
      <c r="BA106" s="38"/>
      <c r="BB106" s="38"/>
      <c r="BC106" s="38"/>
      <c r="BD106" s="38"/>
      <c r="BE106" s="61"/>
      <c r="BF106" s="38"/>
    </row>
    <row r="107" spans="1:58" ht="12.75" customHeight="1">
      <c r="A107" s="35"/>
      <c r="B107" s="35"/>
      <c r="C107" s="35"/>
      <c r="D107" s="35"/>
      <c r="E107" s="67"/>
      <c r="F107" s="67"/>
      <c r="G107" s="36"/>
      <c r="H107" s="29"/>
      <c r="I107" s="78"/>
      <c r="J107" s="29"/>
      <c r="K107" s="29"/>
      <c r="L107" s="33"/>
      <c r="M107" s="33"/>
      <c r="N107" s="60"/>
      <c r="O107" s="71"/>
      <c r="P107" s="71"/>
      <c r="Q107" s="33"/>
      <c r="R107" s="31"/>
      <c r="S107" s="31"/>
      <c r="T107" s="59"/>
      <c r="U107" s="59"/>
      <c r="V107" s="59"/>
      <c r="W107" s="57"/>
      <c r="X107" s="126"/>
      <c r="Y107" s="28"/>
      <c r="Z107" s="33"/>
      <c r="AA107" s="34"/>
      <c r="AB107" s="30"/>
      <c r="AC107" s="30"/>
      <c r="AD107" s="32"/>
      <c r="AE107" s="32"/>
      <c r="AF107" s="2"/>
      <c r="AG107" s="2"/>
      <c r="AH107" s="2"/>
      <c r="AI107" s="2"/>
      <c r="AK107" s="73"/>
      <c r="AL107" s="73"/>
      <c r="AM107" s="38"/>
      <c r="AN107" s="38"/>
      <c r="AO107" s="38"/>
      <c r="AP107" s="38"/>
      <c r="AQ107" s="38"/>
      <c r="AR107" s="38"/>
      <c r="AS107" s="38"/>
      <c r="AT107" s="38"/>
      <c r="AU107" s="38"/>
      <c r="AV107" s="38"/>
      <c r="AW107" s="38"/>
      <c r="AX107" s="38"/>
      <c r="AY107" s="38"/>
      <c r="AZ107" s="38"/>
      <c r="BA107" s="38"/>
      <c r="BB107" s="38"/>
      <c r="BC107" s="38"/>
      <c r="BD107" s="38"/>
      <c r="BE107" s="61"/>
      <c r="BF107" s="38"/>
    </row>
    <row r="108" spans="1:58" ht="12.75" customHeight="1">
      <c r="A108" s="35"/>
      <c r="B108" s="35"/>
      <c r="C108" s="35"/>
      <c r="D108" s="35"/>
      <c r="E108" s="67"/>
      <c r="F108" s="67"/>
      <c r="G108" s="36"/>
      <c r="H108" s="29"/>
      <c r="I108" s="78"/>
      <c r="J108" s="29"/>
      <c r="K108" s="29"/>
      <c r="L108" s="33"/>
      <c r="M108" s="33"/>
      <c r="N108" s="60"/>
      <c r="O108" s="71"/>
      <c r="P108" s="71"/>
      <c r="Q108" s="33"/>
      <c r="R108" s="31"/>
      <c r="S108" s="31"/>
      <c r="T108" s="59"/>
      <c r="U108" s="59"/>
      <c r="V108" s="59"/>
      <c r="W108" s="57"/>
      <c r="X108" s="126"/>
      <c r="Y108" s="28"/>
      <c r="Z108" s="33"/>
      <c r="AA108" s="34"/>
      <c r="AB108" s="30"/>
      <c r="AC108" s="30"/>
      <c r="AD108" s="32"/>
      <c r="AE108" s="32"/>
      <c r="AF108" s="2"/>
      <c r="AG108" s="2"/>
      <c r="AH108" s="2"/>
      <c r="AI108" s="2"/>
      <c r="AK108" s="73"/>
      <c r="AL108" s="73"/>
      <c r="AM108" s="38"/>
      <c r="AN108" s="38"/>
      <c r="AO108" s="38"/>
      <c r="AP108" s="38"/>
      <c r="AQ108" s="38"/>
      <c r="AR108" s="38"/>
      <c r="AS108" s="38"/>
      <c r="AT108" s="38"/>
      <c r="AU108" s="38"/>
      <c r="AV108" s="38"/>
      <c r="AW108" s="38"/>
      <c r="AX108" s="38"/>
      <c r="AY108" s="38"/>
      <c r="AZ108" s="38"/>
      <c r="BA108" s="38"/>
      <c r="BB108" s="38"/>
      <c r="BC108" s="38"/>
      <c r="BD108" s="38"/>
      <c r="BE108" s="61"/>
      <c r="BF108" s="38"/>
    </row>
    <row r="109" spans="1:58" ht="12.75" customHeight="1">
      <c r="A109" s="35"/>
      <c r="B109" s="35"/>
      <c r="C109" s="35"/>
      <c r="D109" s="35"/>
      <c r="E109" s="67"/>
      <c r="F109" s="67"/>
      <c r="G109" s="36"/>
      <c r="H109" s="29"/>
      <c r="I109" s="78"/>
      <c r="J109" s="29"/>
      <c r="K109" s="29"/>
      <c r="L109" s="33"/>
      <c r="M109" s="33"/>
      <c r="N109" s="60"/>
      <c r="O109" s="71"/>
      <c r="P109" s="71"/>
      <c r="Q109" s="33"/>
      <c r="R109" s="31"/>
      <c r="S109" s="31"/>
      <c r="T109" s="59"/>
      <c r="U109" s="59"/>
      <c r="V109" s="59"/>
      <c r="W109" s="57"/>
      <c r="X109" s="126"/>
      <c r="Y109" s="28"/>
      <c r="Z109" s="33"/>
      <c r="AA109" s="34"/>
      <c r="AB109" s="30"/>
      <c r="AC109" s="30"/>
      <c r="AD109" s="32"/>
      <c r="AE109" s="32"/>
      <c r="AF109" s="2"/>
      <c r="AG109" s="2"/>
      <c r="AH109" s="2"/>
      <c r="AI109" s="2"/>
      <c r="AK109" s="73"/>
      <c r="AL109" s="73"/>
      <c r="AM109" s="38"/>
      <c r="AN109" s="38"/>
      <c r="AO109" s="38"/>
      <c r="AP109" s="38"/>
      <c r="AQ109" s="38"/>
      <c r="AR109" s="38"/>
      <c r="AS109" s="38"/>
      <c r="AT109" s="38"/>
      <c r="AU109" s="38"/>
      <c r="AV109" s="38"/>
      <c r="AW109" s="38"/>
      <c r="AX109" s="38"/>
      <c r="AY109" s="38"/>
      <c r="AZ109" s="38"/>
      <c r="BA109" s="38"/>
      <c r="BB109" s="38"/>
      <c r="BC109" s="38"/>
      <c r="BD109" s="38"/>
      <c r="BE109" s="61"/>
      <c r="BF109" s="38"/>
    </row>
    <row r="110" spans="1:58" ht="12.75" customHeight="1">
      <c r="A110" s="35"/>
      <c r="B110" s="35"/>
      <c r="C110" s="35"/>
      <c r="D110" s="35"/>
      <c r="E110" s="67"/>
      <c r="F110" s="67"/>
      <c r="G110" s="36"/>
      <c r="H110" s="29"/>
      <c r="I110" s="78"/>
      <c r="J110" s="29"/>
      <c r="K110" s="29"/>
      <c r="L110" s="33"/>
      <c r="M110" s="33"/>
      <c r="N110" s="60"/>
      <c r="O110" s="71"/>
      <c r="P110" s="71"/>
      <c r="Q110" s="33"/>
      <c r="R110" s="31"/>
      <c r="S110" s="31"/>
      <c r="T110" s="59"/>
      <c r="U110" s="59"/>
      <c r="V110" s="59"/>
      <c r="W110" s="57"/>
      <c r="X110" s="126"/>
      <c r="Y110" s="28"/>
      <c r="Z110" s="33"/>
      <c r="AA110" s="34"/>
      <c r="AB110" s="30"/>
      <c r="AC110" s="30"/>
      <c r="AD110" s="32"/>
      <c r="AE110" s="32"/>
      <c r="AF110" s="2"/>
      <c r="AG110" s="2"/>
      <c r="AH110" s="2"/>
      <c r="AI110" s="2"/>
      <c r="AK110" s="73"/>
      <c r="AL110" s="73"/>
      <c r="AM110" s="38"/>
      <c r="AN110" s="38"/>
      <c r="AO110" s="38"/>
      <c r="AP110" s="38"/>
      <c r="AQ110" s="38"/>
      <c r="AR110" s="38"/>
      <c r="AS110" s="38"/>
      <c r="AT110" s="38"/>
      <c r="AU110" s="38"/>
      <c r="AV110" s="38"/>
      <c r="AW110" s="38"/>
      <c r="AX110" s="38"/>
      <c r="AY110" s="38"/>
      <c r="AZ110" s="38"/>
      <c r="BA110" s="38"/>
      <c r="BB110" s="38"/>
      <c r="BC110" s="38"/>
      <c r="BD110" s="38"/>
      <c r="BE110" s="61"/>
      <c r="BF110" s="38"/>
    </row>
    <row r="111" spans="1:58" ht="12.75" customHeight="1">
      <c r="A111" s="35"/>
      <c r="B111" s="35"/>
      <c r="C111" s="35"/>
      <c r="D111" s="35"/>
      <c r="E111" s="67"/>
      <c r="F111" s="67"/>
      <c r="G111" s="36"/>
      <c r="H111" s="29"/>
      <c r="I111" s="78"/>
      <c r="J111" s="29"/>
      <c r="K111" s="29"/>
      <c r="L111" s="33"/>
      <c r="M111" s="33"/>
      <c r="N111" s="60"/>
      <c r="O111" s="71"/>
      <c r="P111" s="71"/>
      <c r="Q111" s="33"/>
      <c r="R111" s="31"/>
      <c r="S111" s="31"/>
      <c r="T111" s="59"/>
      <c r="U111" s="59"/>
      <c r="V111" s="59"/>
      <c r="W111" s="57"/>
      <c r="X111" s="126"/>
      <c r="Y111" s="28"/>
      <c r="Z111" s="33"/>
      <c r="AA111" s="34"/>
      <c r="AB111" s="30"/>
      <c r="AC111" s="30"/>
      <c r="AD111" s="32"/>
      <c r="AE111" s="32"/>
      <c r="AF111" s="2"/>
      <c r="AG111" s="2"/>
      <c r="AH111" s="2"/>
      <c r="AI111" s="2"/>
      <c r="AK111" s="73"/>
      <c r="AL111" s="73"/>
      <c r="AM111" s="38"/>
      <c r="AN111" s="38"/>
      <c r="AO111" s="38"/>
      <c r="AP111" s="38"/>
      <c r="AQ111" s="38"/>
      <c r="AR111" s="38"/>
      <c r="AS111" s="38"/>
      <c r="AT111" s="38"/>
      <c r="AU111" s="38"/>
      <c r="AV111" s="38"/>
      <c r="AW111" s="38"/>
      <c r="AX111" s="38"/>
      <c r="AY111" s="38"/>
      <c r="AZ111" s="38"/>
      <c r="BA111" s="38"/>
      <c r="BB111" s="38"/>
      <c r="BC111" s="38"/>
      <c r="BD111" s="38"/>
      <c r="BE111" s="61"/>
      <c r="BF111" s="38"/>
    </row>
    <row r="112" spans="1:58" ht="12.75" customHeight="1">
      <c r="A112" s="35"/>
      <c r="B112" s="35"/>
      <c r="C112" s="35"/>
      <c r="D112" s="35"/>
      <c r="E112" s="67"/>
      <c r="F112" s="67"/>
      <c r="G112" s="36"/>
      <c r="H112" s="29"/>
      <c r="I112" s="78"/>
      <c r="J112" s="29"/>
      <c r="K112" s="29"/>
      <c r="L112" s="33"/>
      <c r="M112" s="33"/>
      <c r="N112" s="60"/>
      <c r="O112" s="71"/>
      <c r="P112" s="71"/>
      <c r="Q112" s="33"/>
      <c r="R112" s="31"/>
      <c r="S112" s="31"/>
      <c r="T112" s="59"/>
      <c r="U112" s="59"/>
      <c r="V112" s="59"/>
      <c r="W112" s="57"/>
      <c r="X112" s="126"/>
      <c r="Y112" s="28"/>
      <c r="Z112" s="33"/>
      <c r="AA112" s="34"/>
      <c r="AB112" s="30"/>
      <c r="AC112" s="30"/>
      <c r="AD112" s="32"/>
      <c r="AE112" s="32"/>
      <c r="AF112" s="2"/>
      <c r="AG112" s="2"/>
      <c r="AH112" s="2"/>
      <c r="AI112" s="2"/>
      <c r="AK112" s="73"/>
      <c r="AL112" s="73"/>
      <c r="AM112" s="38"/>
      <c r="AN112" s="38"/>
      <c r="AO112" s="38"/>
      <c r="AP112" s="38"/>
      <c r="AQ112" s="38"/>
      <c r="AR112" s="38"/>
      <c r="AS112" s="38"/>
      <c r="AT112" s="38"/>
      <c r="AU112" s="38"/>
      <c r="AV112" s="38"/>
      <c r="AW112" s="38"/>
      <c r="AX112" s="38"/>
      <c r="AY112" s="38"/>
      <c r="AZ112" s="38"/>
      <c r="BA112" s="38"/>
      <c r="BB112" s="38"/>
      <c r="BC112" s="38"/>
      <c r="BD112" s="38"/>
      <c r="BE112" s="61"/>
      <c r="BF112" s="38"/>
    </row>
    <row r="113" spans="1:58" ht="12.75" customHeight="1">
      <c r="A113" s="35"/>
      <c r="B113" s="35"/>
      <c r="C113" s="35"/>
      <c r="D113" s="35"/>
      <c r="E113" s="67"/>
      <c r="F113" s="67"/>
      <c r="G113" s="36"/>
      <c r="H113" s="29"/>
      <c r="I113" s="78"/>
      <c r="J113" s="29"/>
      <c r="K113" s="29"/>
      <c r="L113" s="33"/>
      <c r="M113" s="33"/>
      <c r="N113" s="60"/>
      <c r="O113" s="71"/>
      <c r="P113" s="71"/>
      <c r="Q113" s="33"/>
      <c r="R113" s="31"/>
      <c r="S113" s="31"/>
      <c r="T113" s="59"/>
      <c r="U113" s="59"/>
      <c r="V113" s="59"/>
      <c r="W113" s="57"/>
      <c r="X113" s="126"/>
      <c r="Y113" s="28"/>
      <c r="Z113" s="33"/>
      <c r="AA113" s="34"/>
      <c r="AB113" s="30"/>
      <c r="AC113" s="30"/>
      <c r="AD113" s="32"/>
      <c r="AE113" s="32"/>
      <c r="AF113" s="2"/>
      <c r="AG113" s="2"/>
      <c r="AH113" s="2"/>
      <c r="AI113" s="2"/>
      <c r="AK113" s="73"/>
      <c r="AL113" s="73"/>
      <c r="AM113" s="38"/>
      <c r="AN113" s="38"/>
      <c r="AO113" s="38"/>
      <c r="AP113" s="38"/>
      <c r="AQ113" s="38"/>
      <c r="AR113" s="38"/>
      <c r="AS113" s="38"/>
      <c r="AT113" s="38"/>
      <c r="AU113" s="38"/>
      <c r="AV113" s="38"/>
      <c r="AW113" s="38"/>
      <c r="AX113" s="38"/>
      <c r="AY113" s="38"/>
      <c r="AZ113" s="38"/>
      <c r="BA113" s="38"/>
      <c r="BB113" s="38"/>
      <c r="BC113" s="38"/>
      <c r="BD113" s="38"/>
      <c r="BE113" s="61"/>
      <c r="BF113" s="38"/>
    </row>
    <row r="114" spans="1:58" ht="12.75" customHeight="1">
      <c r="A114" s="35"/>
      <c r="B114" s="35"/>
      <c r="C114" s="35"/>
      <c r="D114" s="35"/>
      <c r="E114" s="67"/>
      <c r="F114" s="67"/>
      <c r="G114" s="36"/>
      <c r="H114" s="29"/>
      <c r="I114" s="78"/>
      <c r="J114" s="29"/>
      <c r="K114" s="29"/>
      <c r="L114" s="33"/>
      <c r="M114" s="33"/>
      <c r="N114" s="60"/>
      <c r="O114" s="71"/>
      <c r="P114" s="71"/>
      <c r="Q114" s="33"/>
      <c r="R114" s="31"/>
      <c r="S114" s="31"/>
      <c r="T114" s="59"/>
      <c r="U114" s="59"/>
      <c r="V114" s="59"/>
      <c r="W114" s="57"/>
      <c r="X114" s="126"/>
      <c r="Y114" s="28"/>
      <c r="Z114" s="33"/>
      <c r="AA114" s="34"/>
      <c r="AB114" s="30"/>
      <c r="AC114" s="30"/>
      <c r="AD114" s="32"/>
      <c r="AE114" s="32"/>
      <c r="AF114" s="2"/>
      <c r="AG114" s="2"/>
      <c r="AH114" s="2"/>
      <c r="AI114" s="2"/>
      <c r="AK114" s="73"/>
      <c r="AL114" s="73"/>
      <c r="AM114" s="38"/>
      <c r="AN114" s="38"/>
      <c r="AO114" s="38"/>
      <c r="AP114" s="38"/>
      <c r="AQ114" s="38"/>
      <c r="AR114" s="38"/>
      <c r="AS114" s="38"/>
      <c r="AT114" s="38"/>
      <c r="AU114" s="38"/>
      <c r="AV114" s="38"/>
      <c r="AW114" s="38"/>
      <c r="AX114" s="38"/>
      <c r="AY114" s="38"/>
      <c r="AZ114" s="38"/>
      <c r="BA114" s="38"/>
      <c r="BB114" s="38"/>
      <c r="BC114" s="38"/>
      <c r="BD114" s="38"/>
      <c r="BE114" s="61"/>
      <c r="BF114" s="38"/>
    </row>
    <row r="115" spans="1:58" ht="12.75" customHeight="1">
      <c r="A115" s="35"/>
      <c r="B115" s="35"/>
      <c r="C115" s="35"/>
      <c r="D115" s="35"/>
      <c r="E115" s="67"/>
      <c r="F115" s="67"/>
      <c r="G115" s="36"/>
      <c r="H115" s="29"/>
      <c r="I115" s="78"/>
      <c r="J115" s="29"/>
      <c r="K115" s="29"/>
      <c r="L115" s="33"/>
      <c r="M115" s="33"/>
      <c r="N115" s="60"/>
      <c r="O115" s="71"/>
      <c r="P115" s="71"/>
      <c r="Q115" s="33"/>
      <c r="R115" s="31"/>
      <c r="S115" s="31"/>
      <c r="T115" s="59"/>
      <c r="U115" s="59"/>
      <c r="V115" s="59"/>
      <c r="W115" s="57"/>
      <c r="X115" s="126"/>
      <c r="Y115" s="28"/>
      <c r="Z115" s="33"/>
      <c r="AA115" s="34"/>
      <c r="AB115" s="30"/>
      <c r="AC115" s="30"/>
      <c r="AD115" s="32"/>
      <c r="AE115" s="32"/>
      <c r="AF115" s="2"/>
      <c r="AG115" s="2"/>
      <c r="AH115" s="2"/>
      <c r="AI115" s="2"/>
      <c r="AK115" s="73"/>
      <c r="AL115" s="73"/>
      <c r="AM115" s="38"/>
      <c r="AN115" s="38"/>
      <c r="AO115" s="38"/>
      <c r="AP115" s="38"/>
      <c r="AQ115" s="38"/>
      <c r="AR115" s="38"/>
      <c r="AS115" s="38"/>
      <c r="AT115" s="38"/>
      <c r="AU115" s="38"/>
      <c r="AV115" s="38"/>
      <c r="AW115" s="38"/>
      <c r="AX115" s="38"/>
      <c r="AY115" s="38"/>
      <c r="AZ115" s="38"/>
      <c r="BA115" s="38"/>
      <c r="BB115" s="38"/>
      <c r="BC115" s="38"/>
      <c r="BD115" s="38"/>
      <c r="BE115" s="61"/>
      <c r="BF115" s="38"/>
    </row>
    <row r="116" spans="1:58" ht="12.75" customHeight="1">
      <c r="A116" s="35"/>
      <c r="B116" s="35"/>
      <c r="C116" s="35"/>
      <c r="D116" s="35"/>
      <c r="E116" s="67"/>
      <c r="F116" s="67"/>
      <c r="G116" s="36"/>
      <c r="H116" s="29"/>
      <c r="I116" s="78"/>
      <c r="J116" s="29"/>
      <c r="K116" s="29"/>
      <c r="L116" s="33"/>
      <c r="M116" s="33"/>
      <c r="N116" s="60"/>
      <c r="O116" s="71"/>
      <c r="P116" s="71"/>
      <c r="Q116" s="33"/>
      <c r="R116" s="31"/>
      <c r="S116" s="31"/>
      <c r="T116" s="59"/>
      <c r="U116" s="59"/>
      <c r="V116" s="59"/>
      <c r="W116" s="57"/>
      <c r="X116" s="126"/>
      <c r="Y116" s="28"/>
      <c r="Z116" s="33"/>
      <c r="AA116" s="34"/>
      <c r="AB116" s="30"/>
      <c r="AC116" s="30"/>
      <c r="AD116" s="32"/>
      <c r="AE116" s="32"/>
      <c r="AF116" s="2"/>
      <c r="AG116" s="2"/>
      <c r="AH116" s="2"/>
      <c r="AI116" s="2"/>
      <c r="AK116" s="73"/>
      <c r="AL116" s="73"/>
      <c r="AM116" s="38"/>
      <c r="AN116" s="38"/>
      <c r="AO116" s="38"/>
      <c r="AP116" s="38"/>
      <c r="AQ116" s="38"/>
      <c r="AR116" s="38"/>
      <c r="AS116" s="38"/>
      <c r="AT116" s="38"/>
      <c r="AU116" s="38"/>
      <c r="AV116" s="38"/>
      <c r="AW116" s="38"/>
      <c r="AX116" s="38"/>
      <c r="AY116" s="38"/>
      <c r="AZ116" s="38"/>
      <c r="BA116" s="38"/>
      <c r="BB116" s="38"/>
      <c r="BC116" s="38"/>
      <c r="BD116" s="38"/>
      <c r="BE116" s="61"/>
      <c r="BF116" s="38"/>
    </row>
    <row r="117" spans="1:58" ht="12.75" customHeight="1">
      <c r="A117" s="35"/>
      <c r="B117" s="35"/>
      <c r="C117" s="35"/>
      <c r="D117" s="35"/>
      <c r="E117" s="67"/>
      <c r="F117" s="67"/>
      <c r="G117" s="36"/>
      <c r="H117" s="29"/>
      <c r="I117" s="78"/>
      <c r="J117" s="29"/>
      <c r="K117" s="29"/>
      <c r="L117" s="33"/>
      <c r="M117" s="33"/>
      <c r="N117" s="60"/>
      <c r="O117" s="71"/>
      <c r="P117" s="71"/>
      <c r="Q117" s="33"/>
      <c r="R117" s="31"/>
      <c r="S117" s="31"/>
      <c r="T117" s="59"/>
      <c r="U117" s="59"/>
      <c r="V117" s="59"/>
      <c r="W117" s="57"/>
      <c r="X117" s="126"/>
      <c r="Y117" s="28"/>
      <c r="Z117" s="33"/>
      <c r="AA117" s="34"/>
      <c r="AB117" s="30"/>
      <c r="AC117" s="30"/>
      <c r="AD117" s="32"/>
      <c r="AE117" s="32"/>
      <c r="AF117" s="2"/>
      <c r="AG117" s="2"/>
      <c r="AH117" s="2"/>
      <c r="AI117" s="2"/>
      <c r="AK117" s="73"/>
      <c r="AL117" s="73"/>
      <c r="AM117" s="38"/>
      <c r="AN117" s="38"/>
      <c r="AO117" s="38"/>
      <c r="AP117" s="38"/>
      <c r="AQ117" s="38"/>
      <c r="AR117" s="38"/>
      <c r="AS117" s="38"/>
      <c r="AT117" s="38"/>
      <c r="AU117" s="38"/>
      <c r="AV117" s="38"/>
      <c r="AW117" s="38"/>
      <c r="AX117" s="38"/>
      <c r="AY117" s="38"/>
      <c r="AZ117" s="38"/>
      <c r="BA117" s="38"/>
      <c r="BB117" s="38"/>
      <c r="BC117" s="38"/>
      <c r="BD117" s="38"/>
      <c r="BE117" s="61"/>
      <c r="BF117" s="38"/>
    </row>
    <row r="118" spans="1:58" ht="12.75" customHeight="1">
      <c r="A118" s="35"/>
      <c r="B118" s="35"/>
      <c r="C118" s="35"/>
      <c r="D118" s="35"/>
      <c r="E118" s="67"/>
      <c r="F118" s="67"/>
      <c r="G118" s="36"/>
      <c r="H118" s="29"/>
      <c r="I118" s="78"/>
      <c r="J118" s="29"/>
      <c r="K118" s="29"/>
      <c r="L118" s="33"/>
      <c r="M118" s="33"/>
      <c r="N118" s="60"/>
      <c r="O118" s="71"/>
      <c r="P118" s="71"/>
      <c r="Q118" s="33"/>
      <c r="R118" s="31"/>
      <c r="S118" s="31"/>
      <c r="T118" s="59"/>
      <c r="U118" s="59"/>
      <c r="V118" s="59"/>
      <c r="W118" s="57"/>
      <c r="X118" s="126"/>
      <c r="Y118" s="28"/>
      <c r="Z118" s="33"/>
      <c r="AA118" s="34"/>
      <c r="AB118" s="30"/>
      <c r="AC118" s="30"/>
      <c r="AD118" s="32"/>
      <c r="AE118" s="32"/>
      <c r="AF118" s="2"/>
      <c r="AG118" s="2"/>
      <c r="AH118" s="2"/>
      <c r="AI118" s="2"/>
      <c r="AK118" s="73"/>
      <c r="AL118" s="73"/>
      <c r="AM118" s="38"/>
      <c r="AN118" s="38"/>
      <c r="AO118" s="38"/>
      <c r="AP118" s="38"/>
      <c r="AQ118" s="38"/>
      <c r="AR118" s="38"/>
      <c r="AS118" s="38"/>
      <c r="AT118" s="38"/>
      <c r="AU118" s="38"/>
      <c r="AV118" s="38"/>
      <c r="AW118" s="38"/>
      <c r="AX118" s="38"/>
      <c r="AY118" s="38"/>
      <c r="AZ118" s="38"/>
      <c r="BA118" s="38"/>
      <c r="BB118" s="38"/>
      <c r="BC118" s="38"/>
      <c r="BD118" s="38"/>
      <c r="BE118" s="61"/>
      <c r="BF118" s="38"/>
    </row>
    <row r="119" spans="1:58" ht="12.75" customHeight="1">
      <c r="A119" s="35"/>
      <c r="B119" s="35"/>
      <c r="C119" s="35"/>
      <c r="D119" s="35"/>
      <c r="E119" s="67"/>
      <c r="F119" s="67"/>
      <c r="G119" s="36"/>
      <c r="H119" s="29"/>
      <c r="I119" s="78"/>
      <c r="J119" s="29"/>
      <c r="K119" s="29"/>
      <c r="L119" s="33"/>
      <c r="M119" s="33"/>
      <c r="N119" s="60"/>
      <c r="O119" s="71"/>
      <c r="P119" s="71"/>
      <c r="Q119" s="33"/>
      <c r="R119" s="31"/>
      <c r="S119" s="31"/>
      <c r="T119" s="59"/>
      <c r="U119" s="59"/>
      <c r="V119" s="59"/>
      <c r="W119" s="57"/>
      <c r="X119" s="126"/>
      <c r="Y119" s="28"/>
      <c r="Z119" s="33"/>
      <c r="AA119" s="34"/>
      <c r="AB119" s="30"/>
      <c r="AC119" s="30"/>
      <c r="AD119" s="32"/>
      <c r="AE119" s="32"/>
      <c r="AF119" s="2"/>
      <c r="AG119" s="2"/>
      <c r="AH119" s="2"/>
      <c r="AI119" s="2"/>
      <c r="AK119" s="73"/>
      <c r="AL119" s="73"/>
      <c r="AM119" s="38"/>
      <c r="AN119" s="38"/>
      <c r="AO119" s="38"/>
      <c r="AP119" s="38"/>
      <c r="AQ119" s="38"/>
      <c r="AR119" s="38"/>
      <c r="AS119" s="38"/>
      <c r="AT119" s="38"/>
      <c r="AU119" s="38"/>
      <c r="AV119" s="38"/>
      <c r="AW119" s="38"/>
      <c r="AX119" s="38"/>
      <c r="AY119" s="38"/>
      <c r="AZ119" s="38"/>
      <c r="BA119" s="38"/>
      <c r="BB119" s="38"/>
      <c r="BC119" s="38"/>
      <c r="BD119" s="38"/>
      <c r="BE119" s="61"/>
      <c r="BF119" s="38"/>
    </row>
    <row r="120" spans="1:58" ht="12.75" customHeight="1">
      <c r="A120" s="35"/>
      <c r="B120" s="35"/>
      <c r="C120" s="35"/>
      <c r="D120" s="35"/>
      <c r="E120" s="67"/>
      <c r="F120" s="67"/>
      <c r="G120" s="36"/>
      <c r="H120" s="29"/>
      <c r="I120" s="78"/>
      <c r="J120" s="29"/>
      <c r="K120" s="29"/>
      <c r="L120" s="33"/>
      <c r="M120" s="33"/>
      <c r="N120" s="60"/>
      <c r="O120" s="71"/>
      <c r="P120" s="71"/>
      <c r="Q120" s="33"/>
      <c r="R120" s="31"/>
      <c r="S120" s="31"/>
      <c r="T120" s="59"/>
      <c r="U120" s="59"/>
      <c r="V120" s="59"/>
      <c r="W120" s="57"/>
      <c r="X120" s="126"/>
      <c r="Y120" s="28"/>
      <c r="Z120" s="33"/>
      <c r="AA120" s="34"/>
      <c r="AB120" s="30"/>
      <c r="AC120" s="30"/>
      <c r="AD120" s="32"/>
      <c r="AE120" s="32"/>
      <c r="AF120" s="2"/>
      <c r="AG120" s="2"/>
      <c r="AH120" s="2"/>
      <c r="AI120" s="2"/>
      <c r="AK120" s="73"/>
      <c r="AL120" s="73"/>
      <c r="AM120" s="38"/>
      <c r="AN120" s="38"/>
      <c r="AO120" s="38"/>
      <c r="AP120" s="38"/>
      <c r="AQ120" s="38"/>
      <c r="AR120" s="38"/>
      <c r="AS120" s="38"/>
      <c r="AT120" s="38"/>
      <c r="AU120" s="38"/>
      <c r="AV120" s="38"/>
      <c r="AW120" s="38"/>
      <c r="AX120" s="38"/>
      <c r="AY120" s="38"/>
      <c r="AZ120" s="38"/>
      <c r="BA120" s="38"/>
      <c r="BB120" s="38"/>
      <c r="BC120" s="38"/>
      <c r="BD120" s="38"/>
      <c r="BE120" s="61"/>
      <c r="BF120" s="38"/>
    </row>
    <row r="121" spans="1:58" ht="12.75" customHeight="1">
      <c r="A121" s="35"/>
      <c r="B121" s="35"/>
      <c r="C121" s="35"/>
      <c r="D121" s="35"/>
      <c r="E121" s="67"/>
      <c r="F121" s="67"/>
      <c r="G121" s="36"/>
      <c r="H121" s="29"/>
      <c r="I121" s="78"/>
      <c r="J121" s="29"/>
      <c r="K121" s="29"/>
      <c r="L121" s="33"/>
      <c r="M121" s="33"/>
      <c r="N121" s="60"/>
      <c r="O121" s="71"/>
      <c r="P121" s="71"/>
      <c r="Q121" s="33"/>
      <c r="R121" s="31"/>
      <c r="S121" s="31"/>
      <c r="T121" s="59"/>
      <c r="U121" s="59"/>
      <c r="V121" s="59"/>
      <c r="W121" s="57"/>
      <c r="X121" s="126"/>
      <c r="Y121" s="28"/>
      <c r="Z121" s="33"/>
      <c r="AA121" s="34"/>
      <c r="AB121" s="30"/>
      <c r="AC121" s="30"/>
      <c r="AD121" s="32"/>
      <c r="AE121" s="32"/>
      <c r="AF121" s="2"/>
      <c r="AG121" s="2"/>
      <c r="AH121" s="2"/>
      <c r="AI121" s="2"/>
      <c r="AK121" s="73"/>
      <c r="AL121" s="73"/>
      <c r="AM121" s="38"/>
      <c r="AN121" s="38"/>
      <c r="AO121" s="38"/>
      <c r="AP121" s="38"/>
      <c r="AQ121" s="38"/>
      <c r="AR121" s="38"/>
      <c r="AS121" s="38"/>
      <c r="AT121" s="38"/>
      <c r="AU121" s="38"/>
      <c r="AV121" s="38"/>
      <c r="AW121" s="38"/>
      <c r="AX121" s="38"/>
      <c r="AY121" s="38"/>
      <c r="AZ121" s="38"/>
      <c r="BA121" s="38"/>
      <c r="BB121" s="38"/>
      <c r="BC121" s="38"/>
      <c r="BD121" s="38"/>
      <c r="BE121" s="61"/>
      <c r="BF121" s="38"/>
    </row>
    <row r="122" spans="1:58" ht="12.75" customHeight="1">
      <c r="A122" s="35"/>
      <c r="B122" s="35"/>
      <c r="C122" s="35"/>
      <c r="D122" s="35"/>
      <c r="E122" s="67"/>
      <c r="F122" s="67"/>
      <c r="G122" s="36"/>
      <c r="H122" s="29"/>
      <c r="I122" s="78"/>
      <c r="J122" s="29"/>
      <c r="K122" s="29"/>
      <c r="L122" s="33"/>
      <c r="M122" s="33"/>
      <c r="N122" s="60"/>
      <c r="O122" s="71"/>
      <c r="P122" s="71"/>
      <c r="Q122" s="33"/>
      <c r="R122" s="31"/>
      <c r="S122" s="31"/>
      <c r="T122" s="59"/>
      <c r="U122" s="59"/>
      <c r="V122" s="59"/>
      <c r="W122" s="57"/>
      <c r="X122" s="126"/>
      <c r="Y122" s="28"/>
      <c r="Z122" s="33"/>
      <c r="AA122" s="34"/>
      <c r="AB122" s="30"/>
      <c r="AC122" s="30"/>
      <c r="AD122" s="32"/>
      <c r="AE122" s="32"/>
      <c r="AF122" s="2"/>
      <c r="AG122" s="2"/>
      <c r="AH122" s="2"/>
      <c r="AI122" s="2"/>
      <c r="AK122" s="73"/>
      <c r="AL122" s="73"/>
      <c r="AM122" s="38"/>
      <c r="AN122" s="38"/>
      <c r="AO122" s="38"/>
      <c r="AP122" s="38"/>
      <c r="AQ122" s="38"/>
      <c r="AR122" s="38"/>
      <c r="AS122" s="38"/>
      <c r="AT122" s="38"/>
      <c r="AU122" s="38"/>
      <c r="AV122" s="38"/>
      <c r="AW122" s="38"/>
      <c r="AX122" s="38"/>
      <c r="AY122" s="38"/>
      <c r="AZ122" s="38"/>
      <c r="BA122" s="38"/>
      <c r="BB122" s="38"/>
      <c r="BC122" s="38"/>
      <c r="BD122" s="38"/>
      <c r="BE122" s="61"/>
      <c r="BF122" s="38"/>
    </row>
    <row r="123" spans="1:58" ht="12.75" customHeight="1">
      <c r="A123" s="35"/>
      <c r="B123" s="35"/>
      <c r="C123" s="35"/>
      <c r="D123" s="35"/>
      <c r="E123" s="67"/>
      <c r="F123" s="67"/>
      <c r="G123" s="36"/>
      <c r="H123" s="29"/>
      <c r="I123" s="78"/>
      <c r="J123" s="29"/>
      <c r="K123" s="29"/>
      <c r="L123" s="33"/>
      <c r="M123" s="33"/>
      <c r="N123" s="60"/>
      <c r="O123" s="71"/>
      <c r="P123" s="71"/>
      <c r="Q123" s="33"/>
      <c r="R123" s="31"/>
      <c r="S123" s="31"/>
      <c r="T123" s="59"/>
      <c r="U123" s="59"/>
      <c r="V123" s="59"/>
      <c r="W123" s="57"/>
      <c r="X123" s="126"/>
      <c r="Y123" s="28"/>
      <c r="Z123" s="33"/>
      <c r="AA123" s="34"/>
      <c r="AB123" s="30"/>
      <c r="AC123" s="30"/>
      <c r="AD123" s="32"/>
      <c r="AE123" s="32"/>
      <c r="AF123" s="2"/>
      <c r="AG123" s="2"/>
      <c r="AH123" s="2"/>
      <c r="AI123" s="2"/>
      <c r="AK123" s="73"/>
      <c r="AL123" s="73"/>
      <c r="AM123" s="38"/>
      <c r="AN123" s="38"/>
      <c r="AO123" s="38"/>
      <c r="AP123" s="38"/>
      <c r="AQ123" s="38"/>
      <c r="AR123" s="38"/>
      <c r="AS123" s="38"/>
      <c r="AT123" s="38"/>
      <c r="AU123" s="38"/>
      <c r="AV123" s="38"/>
      <c r="AW123" s="38"/>
      <c r="AX123" s="38"/>
      <c r="AY123" s="38"/>
      <c r="AZ123" s="38"/>
      <c r="BA123" s="38"/>
      <c r="BB123" s="38"/>
      <c r="BC123" s="38"/>
      <c r="BD123" s="38"/>
      <c r="BE123" s="61"/>
      <c r="BF123" s="38"/>
    </row>
    <row r="124" spans="1:58" ht="12.75" customHeight="1">
      <c r="A124" s="35"/>
      <c r="B124" s="35"/>
      <c r="C124" s="35"/>
      <c r="D124" s="35"/>
      <c r="E124" s="67"/>
      <c r="F124" s="67"/>
      <c r="G124" s="36"/>
      <c r="H124" s="29"/>
      <c r="I124" s="78"/>
      <c r="J124" s="29"/>
      <c r="K124" s="29"/>
      <c r="L124" s="33"/>
      <c r="M124" s="33"/>
      <c r="N124" s="60"/>
      <c r="O124" s="71"/>
      <c r="P124" s="71"/>
      <c r="Q124" s="33"/>
      <c r="R124" s="31"/>
      <c r="S124" s="31"/>
      <c r="T124" s="59"/>
      <c r="U124" s="59"/>
      <c r="V124" s="59"/>
      <c r="W124" s="57"/>
      <c r="X124" s="126"/>
      <c r="Y124" s="28"/>
      <c r="Z124" s="33"/>
      <c r="AA124" s="34"/>
      <c r="AB124" s="30"/>
      <c r="AC124" s="30"/>
      <c r="AD124" s="32"/>
      <c r="AE124" s="32"/>
      <c r="AF124" s="2"/>
      <c r="AG124" s="2"/>
      <c r="AH124" s="2"/>
      <c r="AI124" s="2"/>
      <c r="AK124" s="73"/>
      <c r="AL124" s="73"/>
      <c r="AM124" s="38"/>
      <c r="AN124" s="38"/>
      <c r="AO124" s="38"/>
      <c r="AP124" s="38"/>
      <c r="AQ124" s="38"/>
      <c r="AR124" s="38"/>
      <c r="AS124" s="38"/>
      <c r="AT124" s="38"/>
      <c r="AU124" s="38"/>
      <c r="AV124" s="38"/>
      <c r="AW124" s="38"/>
      <c r="AX124" s="38"/>
      <c r="AY124" s="38"/>
      <c r="AZ124" s="38"/>
      <c r="BA124" s="38"/>
      <c r="BB124" s="38"/>
      <c r="BC124" s="38"/>
      <c r="BD124" s="38"/>
      <c r="BE124" s="61"/>
      <c r="BF124" s="38"/>
    </row>
    <row r="125" spans="1:58" ht="12.75" customHeight="1">
      <c r="A125" s="35"/>
      <c r="B125" s="35"/>
      <c r="C125" s="35"/>
      <c r="D125" s="35"/>
      <c r="E125" s="67"/>
      <c r="F125" s="67"/>
      <c r="G125" s="36"/>
      <c r="H125" s="29"/>
      <c r="I125" s="78"/>
      <c r="J125" s="29"/>
      <c r="K125" s="29"/>
      <c r="L125" s="33"/>
      <c r="M125" s="33"/>
      <c r="N125" s="60"/>
      <c r="O125" s="71"/>
      <c r="P125" s="71"/>
      <c r="Q125" s="33"/>
      <c r="R125" s="31"/>
      <c r="S125" s="31"/>
      <c r="T125" s="59"/>
      <c r="U125" s="59"/>
      <c r="V125" s="59"/>
      <c r="W125" s="57"/>
      <c r="X125" s="126"/>
      <c r="Y125" s="28"/>
      <c r="Z125" s="33"/>
      <c r="AA125" s="34"/>
      <c r="AB125" s="30"/>
      <c r="AC125" s="30"/>
      <c r="AD125" s="32"/>
      <c r="AE125" s="32"/>
      <c r="AF125" s="2"/>
      <c r="AG125" s="2"/>
      <c r="AH125" s="2"/>
      <c r="AI125" s="2"/>
      <c r="AK125" s="73"/>
      <c r="AL125" s="73"/>
      <c r="AM125" s="38"/>
      <c r="AN125" s="38"/>
      <c r="AO125" s="38"/>
      <c r="AP125" s="38"/>
      <c r="AQ125" s="38"/>
      <c r="AR125" s="38"/>
      <c r="AS125" s="38"/>
      <c r="AT125" s="38"/>
      <c r="AU125" s="38"/>
      <c r="AV125" s="38"/>
      <c r="AW125" s="38"/>
      <c r="AX125" s="38"/>
      <c r="AY125" s="38"/>
      <c r="AZ125" s="38"/>
      <c r="BA125" s="38"/>
      <c r="BB125" s="38"/>
      <c r="BC125" s="38"/>
      <c r="BD125" s="38"/>
      <c r="BE125" s="61"/>
      <c r="BF125" s="38"/>
    </row>
    <row r="126" spans="1:58" ht="12.75" customHeight="1">
      <c r="A126" s="35"/>
      <c r="B126" s="35"/>
      <c r="C126" s="35"/>
      <c r="D126" s="35"/>
      <c r="E126" s="67"/>
      <c r="F126" s="67"/>
      <c r="G126" s="36"/>
      <c r="H126" s="29"/>
      <c r="I126" s="78"/>
      <c r="J126" s="29"/>
      <c r="K126" s="29"/>
      <c r="L126" s="33"/>
      <c r="M126" s="33"/>
      <c r="N126" s="60"/>
      <c r="O126" s="71"/>
      <c r="P126" s="71"/>
      <c r="Q126" s="33"/>
      <c r="R126" s="31"/>
      <c r="S126" s="31"/>
      <c r="T126" s="59"/>
      <c r="U126" s="59"/>
      <c r="V126" s="59"/>
      <c r="W126" s="57"/>
      <c r="X126" s="126"/>
      <c r="Y126" s="28"/>
      <c r="Z126" s="33"/>
      <c r="AA126" s="34"/>
      <c r="AB126" s="30"/>
      <c r="AC126" s="30"/>
      <c r="AD126" s="32"/>
      <c r="AE126" s="32"/>
      <c r="AF126" s="2"/>
      <c r="AG126" s="2"/>
      <c r="AH126" s="2"/>
      <c r="AI126" s="2"/>
      <c r="AK126" s="73"/>
      <c r="AL126" s="73"/>
      <c r="AM126" s="38"/>
      <c r="AN126" s="38"/>
      <c r="AO126" s="38"/>
      <c r="AP126" s="38"/>
      <c r="AQ126" s="38"/>
      <c r="AR126" s="38"/>
      <c r="AS126" s="38"/>
      <c r="AT126" s="38"/>
      <c r="AU126" s="38"/>
      <c r="AV126" s="38"/>
      <c r="AW126" s="38"/>
      <c r="AX126" s="38"/>
      <c r="AY126" s="38"/>
      <c r="AZ126" s="38"/>
      <c r="BA126" s="38"/>
      <c r="BB126" s="38"/>
      <c r="BC126" s="38"/>
      <c r="BD126" s="38"/>
      <c r="BE126" s="61"/>
      <c r="BF126" s="38"/>
    </row>
    <row r="127" spans="1:58" ht="12.75" customHeight="1">
      <c r="A127" s="35"/>
      <c r="B127" s="35"/>
      <c r="C127" s="35"/>
      <c r="D127" s="35"/>
      <c r="E127" s="67"/>
      <c r="F127" s="67"/>
      <c r="G127" s="36"/>
      <c r="H127" s="29"/>
      <c r="I127" s="78"/>
      <c r="J127" s="29"/>
      <c r="K127" s="29"/>
      <c r="L127" s="33"/>
      <c r="M127" s="33"/>
      <c r="N127" s="60"/>
      <c r="O127" s="71"/>
      <c r="P127" s="71"/>
      <c r="Q127" s="33"/>
      <c r="R127" s="31"/>
      <c r="S127" s="31"/>
      <c r="T127" s="59"/>
      <c r="U127" s="59"/>
      <c r="V127" s="59"/>
      <c r="W127" s="57"/>
      <c r="X127" s="126"/>
      <c r="Y127" s="28"/>
      <c r="Z127" s="33"/>
      <c r="AA127" s="34"/>
      <c r="AB127" s="30"/>
      <c r="AC127" s="30"/>
      <c r="AD127" s="32"/>
      <c r="AE127" s="32"/>
      <c r="AF127" s="2"/>
      <c r="AG127" s="2"/>
      <c r="AH127" s="2"/>
      <c r="AI127" s="2"/>
      <c r="AK127" s="73"/>
      <c r="AL127" s="73"/>
      <c r="AM127" s="38"/>
      <c r="AN127" s="38"/>
      <c r="AO127" s="38"/>
      <c r="AP127" s="38"/>
      <c r="AQ127" s="38"/>
      <c r="AR127" s="38"/>
      <c r="AS127" s="38"/>
      <c r="AT127" s="38"/>
      <c r="AU127" s="38"/>
      <c r="AV127" s="38"/>
      <c r="AW127" s="38"/>
      <c r="AX127" s="38"/>
      <c r="AY127" s="38"/>
      <c r="AZ127" s="38"/>
      <c r="BA127" s="38"/>
      <c r="BB127" s="38"/>
      <c r="BC127" s="38"/>
      <c r="BD127" s="38"/>
      <c r="BE127" s="61"/>
      <c r="BF127" s="38"/>
    </row>
    <row r="128" spans="1:58" ht="12.75" customHeight="1">
      <c r="A128" s="35"/>
      <c r="B128" s="35"/>
      <c r="C128" s="35"/>
      <c r="D128" s="35"/>
      <c r="E128" s="67"/>
      <c r="F128" s="67"/>
      <c r="G128" s="36"/>
      <c r="H128" s="29"/>
      <c r="I128" s="78"/>
      <c r="J128" s="29"/>
      <c r="K128" s="29"/>
      <c r="L128" s="33"/>
      <c r="M128" s="33"/>
      <c r="N128" s="60"/>
      <c r="O128" s="71"/>
      <c r="P128" s="71"/>
      <c r="Q128" s="33"/>
      <c r="R128" s="31"/>
      <c r="S128" s="31"/>
      <c r="T128" s="59"/>
      <c r="U128" s="59"/>
      <c r="V128" s="59"/>
      <c r="W128" s="57"/>
      <c r="X128" s="126"/>
      <c r="Y128" s="28"/>
      <c r="Z128" s="33"/>
      <c r="AA128" s="34"/>
      <c r="AB128" s="30"/>
      <c r="AC128" s="30"/>
      <c r="AD128" s="32"/>
      <c r="AE128" s="32"/>
      <c r="AF128" s="2"/>
      <c r="AG128" s="2"/>
      <c r="AH128" s="2"/>
      <c r="AI128" s="2"/>
      <c r="AK128" s="73"/>
      <c r="AL128" s="73"/>
      <c r="AM128" s="38"/>
      <c r="AN128" s="38"/>
      <c r="AO128" s="38"/>
      <c r="AP128" s="38"/>
      <c r="AQ128" s="38"/>
      <c r="AR128" s="38"/>
      <c r="AS128" s="38"/>
      <c r="AT128" s="38"/>
      <c r="AU128" s="38"/>
      <c r="AV128" s="38"/>
      <c r="AW128" s="38"/>
      <c r="AX128" s="38"/>
      <c r="AY128" s="38"/>
      <c r="AZ128" s="38"/>
      <c r="BA128" s="38"/>
      <c r="BB128" s="38"/>
      <c r="BC128" s="38"/>
      <c r="BD128" s="38"/>
      <c r="BE128" s="61"/>
      <c r="BF128" s="38"/>
    </row>
    <row r="129" spans="1:58" ht="12.75" customHeight="1">
      <c r="A129" s="35"/>
      <c r="B129" s="35"/>
      <c r="C129" s="35"/>
      <c r="D129" s="35"/>
      <c r="E129" s="67"/>
      <c r="F129" s="67"/>
      <c r="G129" s="36"/>
      <c r="H129" s="29"/>
      <c r="I129" s="78"/>
      <c r="J129" s="29"/>
      <c r="K129" s="29"/>
      <c r="L129" s="33"/>
      <c r="M129" s="33"/>
      <c r="N129" s="60"/>
      <c r="O129" s="71"/>
      <c r="P129" s="71"/>
      <c r="Q129" s="33"/>
      <c r="R129" s="31"/>
      <c r="S129" s="31"/>
      <c r="T129" s="59"/>
      <c r="U129" s="59"/>
      <c r="V129" s="59"/>
      <c r="W129" s="57"/>
      <c r="X129" s="126"/>
      <c r="Y129" s="28"/>
      <c r="Z129" s="33"/>
      <c r="AA129" s="34"/>
      <c r="AB129" s="30"/>
      <c r="AC129" s="30"/>
      <c r="AD129" s="32"/>
      <c r="AE129" s="32"/>
      <c r="AF129" s="2"/>
      <c r="AG129" s="2"/>
      <c r="AH129" s="2"/>
      <c r="AI129" s="2"/>
      <c r="AK129" s="73"/>
      <c r="AL129" s="73"/>
      <c r="AM129" s="38"/>
      <c r="AN129" s="38"/>
      <c r="AO129" s="38"/>
      <c r="AP129" s="38"/>
      <c r="AQ129" s="38"/>
      <c r="AR129" s="38"/>
      <c r="AS129" s="38"/>
      <c r="AT129" s="38"/>
      <c r="AU129" s="38"/>
      <c r="AV129" s="38"/>
      <c r="AW129" s="38"/>
      <c r="AX129" s="38"/>
      <c r="AY129" s="38"/>
      <c r="AZ129" s="38"/>
      <c r="BA129" s="38"/>
      <c r="BB129" s="38"/>
      <c r="BC129" s="38"/>
      <c r="BD129" s="38"/>
      <c r="BE129" s="61"/>
      <c r="BF129" s="38"/>
    </row>
    <row r="130" spans="1:58" ht="12.75" customHeight="1">
      <c r="A130" s="35"/>
      <c r="B130" s="35"/>
      <c r="C130" s="35"/>
      <c r="D130" s="35"/>
      <c r="E130" s="67"/>
      <c r="F130" s="67"/>
      <c r="G130" s="36"/>
      <c r="H130" s="29"/>
      <c r="I130" s="78"/>
      <c r="J130" s="29"/>
      <c r="K130" s="29"/>
      <c r="L130" s="33"/>
      <c r="M130" s="33"/>
      <c r="N130" s="60"/>
      <c r="O130" s="71"/>
      <c r="P130" s="71"/>
      <c r="Q130" s="33"/>
      <c r="R130" s="31"/>
      <c r="S130" s="31"/>
      <c r="T130" s="59"/>
      <c r="U130" s="59"/>
      <c r="V130" s="59"/>
      <c r="W130" s="57"/>
      <c r="X130" s="126"/>
      <c r="Y130" s="28"/>
      <c r="Z130" s="33"/>
      <c r="AA130" s="34"/>
      <c r="AB130" s="30"/>
      <c r="AC130" s="30"/>
      <c r="AD130" s="32"/>
      <c r="AE130" s="32"/>
      <c r="AF130" s="2"/>
      <c r="AG130" s="2"/>
      <c r="AH130" s="2"/>
      <c r="AI130" s="2"/>
      <c r="AK130" s="73"/>
      <c r="AL130" s="73"/>
      <c r="AM130" s="38"/>
      <c r="AN130" s="38"/>
      <c r="AO130" s="38"/>
      <c r="AP130" s="38"/>
      <c r="AQ130" s="38"/>
      <c r="AR130" s="38"/>
      <c r="AS130" s="38"/>
      <c r="AT130" s="38"/>
      <c r="AU130" s="38"/>
      <c r="AV130" s="38"/>
      <c r="AW130" s="38"/>
      <c r="AX130" s="38"/>
      <c r="AY130" s="38"/>
      <c r="AZ130" s="38"/>
      <c r="BA130" s="38"/>
      <c r="BB130" s="38"/>
      <c r="BC130" s="38"/>
      <c r="BD130" s="38"/>
      <c r="BE130" s="61"/>
      <c r="BF130" s="38"/>
    </row>
    <row r="131" spans="1:58" ht="12.75" customHeight="1">
      <c r="A131" s="35"/>
      <c r="B131" s="35"/>
      <c r="C131" s="35"/>
      <c r="D131" s="35"/>
      <c r="E131" s="67"/>
      <c r="F131" s="67"/>
      <c r="G131" s="36"/>
      <c r="H131" s="29"/>
      <c r="I131" s="78"/>
      <c r="J131" s="29"/>
      <c r="K131" s="29"/>
      <c r="L131" s="33"/>
      <c r="M131" s="33"/>
      <c r="N131" s="60"/>
      <c r="O131" s="71"/>
      <c r="P131" s="71"/>
      <c r="Q131" s="33"/>
      <c r="R131" s="31"/>
      <c r="S131" s="31"/>
      <c r="T131" s="59"/>
      <c r="U131" s="59"/>
      <c r="V131" s="59"/>
      <c r="W131" s="57"/>
      <c r="X131" s="126"/>
      <c r="Y131" s="28"/>
      <c r="Z131" s="33"/>
      <c r="AA131" s="34"/>
      <c r="AB131" s="30"/>
      <c r="AC131" s="30"/>
      <c r="AD131" s="32"/>
      <c r="AE131" s="32"/>
      <c r="AF131" s="2"/>
      <c r="AG131" s="2"/>
      <c r="AH131" s="2"/>
      <c r="AI131" s="2"/>
      <c r="AK131" s="73"/>
      <c r="AL131" s="73"/>
      <c r="AM131" s="38"/>
      <c r="AN131" s="38"/>
      <c r="AO131" s="38"/>
      <c r="AP131" s="38"/>
      <c r="AQ131" s="38"/>
      <c r="AR131" s="38"/>
      <c r="AS131" s="38"/>
      <c r="AT131" s="38"/>
      <c r="AU131" s="38"/>
      <c r="AV131" s="38"/>
      <c r="AW131" s="38"/>
      <c r="AX131" s="38"/>
      <c r="AY131" s="38"/>
      <c r="AZ131" s="38"/>
      <c r="BA131" s="38"/>
      <c r="BB131" s="38"/>
      <c r="BC131" s="38"/>
      <c r="BD131" s="38"/>
      <c r="BE131" s="61"/>
      <c r="BF131" s="38"/>
    </row>
    <row r="132" spans="1:58" ht="12.75" customHeight="1">
      <c r="A132" s="35"/>
      <c r="B132" s="35"/>
      <c r="C132" s="35"/>
      <c r="D132" s="35"/>
      <c r="E132" s="67"/>
      <c r="F132" s="67"/>
      <c r="G132" s="36"/>
      <c r="H132" s="29"/>
      <c r="I132" s="78"/>
      <c r="J132" s="29"/>
      <c r="K132" s="29"/>
      <c r="L132" s="33"/>
      <c r="M132" s="33"/>
      <c r="N132" s="60"/>
      <c r="O132" s="71"/>
      <c r="P132" s="71"/>
      <c r="Q132" s="33"/>
      <c r="R132" s="31"/>
      <c r="S132" s="31"/>
      <c r="T132" s="59"/>
      <c r="U132" s="59"/>
      <c r="V132" s="59"/>
      <c r="W132" s="57"/>
      <c r="X132" s="126"/>
      <c r="Y132" s="28"/>
      <c r="Z132" s="33"/>
      <c r="AA132" s="34"/>
      <c r="AB132" s="30"/>
      <c r="AC132" s="30"/>
      <c r="AD132" s="32"/>
      <c r="AE132" s="32"/>
      <c r="AF132" s="2"/>
      <c r="AG132" s="2"/>
      <c r="AH132" s="2"/>
      <c r="AI132" s="2"/>
      <c r="AK132" s="73"/>
      <c r="AL132" s="73"/>
      <c r="AM132" s="38"/>
      <c r="AN132" s="38"/>
      <c r="AO132" s="38"/>
      <c r="AP132" s="38"/>
      <c r="AQ132" s="38"/>
      <c r="AR132" s="38"/>
      <c r="AS132" s="38"/>
      <c r="AT132" s="38"/>
      <c r="AU132" s="38"/>
      <c r="AV132" s="38"/>
      <c r="AW132" s="38"/>
      <c r="AX132" s="38"/>
      <c r="AY132" s="38"/>
      <c r="AZ132" s="38"/>
      <c r="BA132" s="38"/>
      <c r="BB132" s="38"/>
      <c r="BC132" s="38"/>
      <c r="BD132" s="38"/>
      <c r="BE132" s="61"/>
      <c r="BF132" s="38"/>
    </row>
    <row r="133" spans="1:58" ht="12.75" customHeight="1">
      <c r="A133" s="35"/>
      <c r="B133" s="35"/>
      <c r="C133" s="35"/>
      <c r="D133" s="35"/>
      <c r="E133" s="67"/>
      <c r="F133" s="67"/>
      <c r="G133" s="36"/>
      <c r="H133" s="29"/>
      <c r="I133" s="78"/>
      <c r="J133" s="29"/>
      <c r="K133" s="29"/>
      <c r="L133" s="33"/>
      <c r="M133" s="33"/>
      <c r="N133" s="60"/>
      <c r="O133" s="71"/>
      <c r="P133" s="71"/>
      <c r="Q133" s="33"/>
      <c r="R133" s="31"/>
      <c r="S133" s="31"/>
      <c r="T133" s="59"/>
      <c r="U133" s="59"/>
      <c r="V133" s="59"/>
      <c r="W133" s="57"/>
      <c r="X133" s="126"/>
      <c r="Y133" s="28"/>
      <c r="Z133" s="33"/>
      <c r="AA133" s="34"/>
      <c r="AB133" s="30"/>
      <c r="AC133" s="30"/>
      <c r="AD133" s="32"/>
      <c r="AE133" s="32"/>
      <c r="AF133" s="2"/>
      <c r="AG133" s="2"/>
      <c r="AH133" s="2"/>
      <c r="AI133" s="2"/>
      <c r="AK133" s="73"/>
      <c r="AL133" s="73"/>
      <c r="AM133" s="38"/>
      <c r="AN133" s="38"/>
      <c r="AO133" s="38"/>
      <c r="AP133" s="38"/>
      <c r="AQ133" s="38"/>
      <c r="AR133" s="38"/>
      <c r="AS133" s="38"/>
      <c r="AT133" s="38"/>
      <c r="AU133" s="38"/>
      <c r="AV133" s="38"/>
      <c r="AW133" s="38"/>
      <c r="AX133" s="38"/>
      <c r="AY133" s="38"/>
      <c r="AZ133" s="38"/>
      <c r="BA133" s="38"/>
      <c r="BB133" s="38"/>
      <c r="BC133" s="38"/>
      <c r="BD133" s="38"/>
      <c r="BE133" s="61"/>
      <c r="BF133" s="38"/>
    </row>
    <row r="134" spans="1:58" ht="12.75" customHeight="1">
      <c r="A134" s="35"/>
      <c r="B134" s="35"/>
      <c r="C134" s="35"/>
      <c r="D134" s="35"/>
      <c r="E134" s="67"/>
      <c r="F134" s="67"/>
      <c r="G134" s="36"/>
      <c r="H134" s="29"/>
      <c r="I134" s="78"/>
      <c r="J134" s="29"/>
      <c r="K134" s="29"/>
      <c r="L134" s="33"/>
      <c r="M134" s="33"/>
      <c r="N134" s="60"/>
      <c r="O134" s="71"/>
      <c r="P134" s="71"/>
      <c r="Q134" s="33"/>
      <c r="R134" s="31"/>
      <c r="S134" s="31"/>
      <c r="T134" s="59"/>
      <c r="U134" s="59"/>
      <c r="V134" s="59"/>
      <c r="W134" s="57"/>
      <c r="X134" s="126"/>
      <c r="Y134" s="28"/>
      <c r="Z134" s="33"/>
      <c r="AA134" s="34"/>
      <c r="AB134" s="30"/>
      <c r="AC134" s="30"/>
      <c r="AD134" s="32"/>
      <c r="AE134" s="32"/>
      <c r="AF134" s="2"/>
      <c r="AG134" s="2"/>
      <c r="AH134" s="2"/>
      <c r="AI134" s="2"/>
      <c r="AK134" s="73"/>
      <c r="AL134" s="73"/>
      <c r="AM134" s="38"/>
      <c r="AN134" s="38"/>
      <c r="AO134" s="38"/>
      <c r="AP134" s="38"/>
      <c r="AQ134" s="38"/>
      <c r="AR134" s="38"/>
      <c r="AS134" s="38"/>
      <c r="AT134" s="38"/>
      <c r="AU134" s="38"/>
      <c r="AV134" s="38"/>
      <c r="AW134" s="38"/>
      <c r="AX134" s="38"/>
      <c r="AY134" s="38"/>
      <c r="AZ134" s="38"/>
      <c r="BA134" s="38"/>
      <c r="BB134" s="38"/>
      <c r="BC134" s="38"/>
      <c r="BD134" s="38"/>
      <c r="BE134" s="61"/>
      <c r="BF134" s="38"/>
    </row>
    <row r="135" spans="1:58" ht="12.75" customHeight="1">
      <c r="A135" s="35"/>
      <c r="B135" s="35"/>
      <c r="C135" s="35"/>
      <c r="D135" s="35"/>
      <c r="E135" s="67"/>
      <c r="F135" s="67"/>
      <c r="G135" s="36"/>
      <c r="H135" s="29"/>
      <c r="I135" s="78"/>
      <c r="J135" s="29"/>
      <c r="K135" s="29"/>
      <c r="L135" s="33"/>
      <c r="M135" s="33"/>
      <c r="N135" s="60"/>
      <c r="O135" s="71"/>
      <c r="P135" s="71"/>
      <c r="Q135" s="33"/>
      <c r="R135" s="31"/>
      <c r="S135" s="31"/>
      <c r="T135" s="59"/>
      <c r="U135" s="59"/>
      <c r="V135" s="59"/>
      <c r="W135" s="57"/>
      <c r="X135" s="126"/>
      <c r="Y135" s="28"/>
      <c r="Z135" s="33"/>
      <c r="AA135" s="34"/>
      <c r="AB135" s="30"/>
      <c r="AC135" s="30"/>
      <c r="AD135" s="32"/>
      <c r="AE135" s="32"/>
      <c r="AF135" s="2"/>
      <c r="AG135" s="2"/>
      <c r="AH135" s="2"/>
      <c r="AI135" s="2"/>
      <c r="AK135" s="73"/>
      <c r="AL135" s="73"/>
      <c r="AM135" s="38"/>
      <c r="AN135" s="38"/>
      <c r="AO135" s="38"/>
      <c r="AP135" s="38"/>
      <c r="AQ135" s="38"/>
      <c r="AR135" s="38"/>
      <c r="AS135" s="38"/>
      <c r="AT135" s="38"/>
      <c r="AU135" s="38"/>
      <c r="AV135" s="38"/>
      <c r="AW135" s="38"/>
      <c r="AX135" s="38"/>
      <c r="AY135" s="38"/>
      <c r="AZ135" s="38"/>
      <c r="BA135" s="38"/>
      <c r="BB135" s="38"/>
      <c r="BC135" s="38"/>
      <c r="BD135" s="38"/>
      <c r="BE135" s="61"/>
      <c r="BF135" s="38"/>
    </row>
    <row r="136" spans="1:58" ht="12.75" customHeight="1">
      <c r="A136" s="35"/>
      <c r="B136" s="35"/>
      <c r="C136" s="35"/>
      <c r="D136" s="35"/>
      <c r="E136" s="67"/>
      <c r="F136" s="67"/>
      <c r="G136" s="36"/>
      <c r="H136" s="29"/>
      <c r="I136" s="78"/>
      <c r="J136" s="29"/>
      <c r="K136" s="29"/>
      <c r="L136" s="33"/>
      <c r="M136" s="33"/>
      <c r="N136" s="60"/>
      <c r="O136" s="71"/>
      <c r="P136" s="71"/>
      <c r="Q136" s="33"/>
      <c r="R136" s="31"/>
      <c r="S136" s="31"/>
      <c r="T136" s="59"/>
      <c r="U136" s="59"/>
      <c r="V136" s="59"/>
      <c r="W136" s="57"/>
      <c r="X136" s="126"/>
      <c r="Y136" s="28"/>
      <c r="Z136" s="33"/>
      <c r="AA136" s="34"/>
      <c r="AB136" s="30"/>
      <c r="AC136" s="30"/>
      <c r="AD136" s="32"/>
      <c r="AE136" s="32"/>
      <c r="AF136" s="2"/>
      <c r="AG136" s="2"/>
      <c r="AH136" s="2"/>
      <c r="AI136" s="2"/>
      <c r="AK136" s="73"/>
      <c r="AL136" s="73"/>
      <c r="AM136" s="38"/>
      <c r="AN136" s="38"/>
      <c r="AO136" s="38"/>
      <c r="AP136" s="38"/>
      <c r="AQ136" s="38"/>
      <c r="AR136" s="38"/>
      <c r="AS136" s="38"/>
      <c r="AT136" s="38"/>
      <c r="AU136" s="38"/>
      <c r="AV136" s="38"/>
      <c r="AW136" s="38"/>
      <c r="AX136" s="38"/>
      <c r="AY136" s="38"/>
      <c r="AZ136" s="38"/>
      <c r="BA136" s="38"/>
      <c r="BB136" s="38"/>
      <c r="BC136" s="38"/>
      <c r="BD136" s="38"/>
      <c r="BE136" s="61"/>
      <c r="BF136" s="38"/>
    </row>
    <row r="137" spans="1:58" ht="12.75" customHeight="1">
      <c r="A137" s="35"/>
      <c r="B137" s="35"/>
      <c r="C137" s="35"/>
      <c r="D137" s="35"/>
      <c r="E137" s="67"/>
      <c r="F137" s="67"/>
      <c r="G137" s="36"/>
      <c r="H137" s="29"/>
      <c r="I137" s="78"/>
      <c r="J137" s="29"/>
      <c r="K137" s="29"/>
      <c r="L137" s="33"/>
      <c r="M137" s="33"/>
      <c r="N137" s="60"/>
      <c r="O137" s="71"/>
      <c r="P137" s="71"/>
      <c r="Q137" s="33"/>
      <c r="R137" s="31"/>
      <c r="S137" s="31"/>
      <c r="T137" s="59"/>
      <c r="U137" s="59"/>
      <c r="V137" s="59"/>
      <c r="W137" s="57"/>
      <c r="X137" s="126"/>
      <c r="Y137" s="28"/>
      <c r="Z137" s="33"/>
      <c r="AA137" s="34"/>
      <c r="AB137" s="30"/>
      <c r="AC137" s="30"/>
      <c r="AD137" s="32"/>
      <c r="AE137" s="32"/>
      <c r="AF137" s="2"/>
      <c r="AG137" s="2"/>
      <c r="AH137" s="2"/>
      <c r="AI137" s="2"/>
      <c r="AK137" s="73"/>
      <c r="AL137" s="73"/>
      <c r="AM137" s="38"/>
      <c r="AN137" s="38"/>
      <c r="AO137" s="38"/>
      <c r="AP137" s="38"/>
      <c r="AQ137" s="38"/>
      <c r="AR137" s="38"/>
      <c r="AS137" s="38"/>
      <c r="AT137" s="38"/>
      <c r="AU137" s="38"/>
      <c r="AV137" s="38"/>
      <c r="AW137" s="38"/>
      <c r="AX137" s="38"/>
      <c r="AY137" s="38"/>
      <c r="AZ137" s="38"/>
      <c r="BA137" s="38"/>
      <c r="BB137" s="38"/>
      <c r="BC137" s="38"/>
      <c r="BD137" s="38"/>
      <c r="BE137" s="61"/>
      <c r="BF137" s="38"/>
    </row>
    <row r="138" spans="1:58" ht="12.75" customHeight="1">
      <c r="A138" s="35"/>
      <c r="B138" s="35"/>
      <c r="C138" s="35"/>
      <c r="D138" s="35"/>
      <c r="E138" s="67"/>
      <c r="F138" s="67"/>
      <c r="G138" s="36"/>
      <c r="H138" s="29"/>
      <c r="I138" s="78"/>
      <c r="J138" s="29"/>
      <c r="K138" s="29"/>
      <c r="L138" s="33"/>
      <c r="M138" s="33"/>
      <c r="N138" s="60"/>
      <c r="O138" s="71"/>
      <c r="P138" s="71"/>
      <c r="Q138" s="33"/>
      <c r="R138" s="31"/>
      <c r="S138" s="31"/>
      <c r="T138" s="59"/>
      <c r="U138" s="59"/>
      <c r="V138" s="59"/>
      <c r="W138" s="57"/>
      <c r="X138" s="126"/>
      <c r="Y138" s="28"/>
      <c r="Z138" s="33"/>
      <c r="AA138" s="34"/>
      <c r="AB138" s="30"/>
      <c r="AC138" s="30"/>
      <c r="AD138" s="32"/>
      <c r="AE138" s="32"/>
      <c r="AF138" s="2"/>
      <c r="AG138" s="2"/>
      <c r="AH138" s="2"/>
      <c r="AI138" s="2"/>
      <c r="AK138" s="73"/>
      <c r="AL138" s="73"/>
      <c r="AM138" s="38"/>
      <c r="AN138" s="38"/>
      <c r="AO138" s="38"/>
      <c r="AP138" s="38"/>
      <c r="AQ138" s="38"/>
      <c r="AR138" s="38"/>
      <c r="AS138" s="38"/>
      <c r="AT138" s="38"/>
      <c r="AU138" s="38"/>
      <c r="AV138" s="38"/>
      <c r="AW138" s="38"/>
      <c r="AX138" s="38"/>
      <c r="AY138" s="38"/>
      <c r="AZ138" s="38"/>
      <c r="BA138" s="38"/>
      <c r="BB138" s="38"/>
      <c r="BC138" s="38"/>
      <c r="BD138" s="38"/>
      <c r="BE138" s="61"/>
      <c r="BF138" s="38"/>
    </row>
    <row r="139" spans="1:58" ht="12.75" customHeight="1">
      <c r="A139" s="35"/>
      <c r="B139" s="35"/>
      <c r="C139" s="35"/>
      <c r="D139" s="35"/>
      <c r="E139" s="67"/>
      <c r="F139" s="67"/>
      <c r="G139" s="36"/>
      <c r="H139" s="29"/>
      <c r="I139" s="78"/>
      <c r="J139" s="29"/>
      <c r="K139" s="29"/>
      <c r="L139" s="33"/>
      <c r="M139" s="33"/>
      <c r="N139" s="60"/>
      <c r="O139" s="71"/>
      <c r="P139" s="71"/>
      <c r="Q139" s="33"/>
      <c r="R139" s="31"/>
      <c r="S139" s="31"/>
      <c r="T139" s="59"/>
      <c r="U139" s="59"/>
      <c r="V139" s="59"/>
      <c r="W139" s="57"/>
      <c r="X139" s="126"/>
      <c r="Y139" s="28"/>
      <c r="Z139" s="33"/>
      <c r="AA139" s="34"/>
      <c r="AB139" s="30"/>
      <c r="AC139" s="30"/>
      <c r="AD139" s="32"/>
      <c r="AE139" s="32"/>
      <c r="AF139" s="2"/>
      <c r="AG139" s="2"/>
      <c r="AH139" s="2"/>
      <c r="AI139" s="2"/>
      <c r="AK139" s="73"/>
      <c r="AL139" s="73"/>
      <c r="AM139" s="38"/>
      <c r="AN139" s="38"/>
      <c r="AO139" s="38"/>
      <c r="AP139" s="38"/>
      <c r="AQ139" s="38"/>
      <c r="AR139" s="38"/>
      <c r="AS139" s="38"/>
      <c r="AT139" s="38"/>
      <c r="AU139" s="38"/>
      <c r="AV139" s="38"/>
      <c r="AW139" s="38"/>
      <c r="AX139" s="38"/>
      <c r="AY139" s="38"/>
      <c r="AZ139" s="38"/>
      <c r="BA139" s="38"/>
      <c r="BB139" s="38"/>
      <c r="BC139" s="38"/>
      <c r="BD139" s="38"/>
      <c r="BE139" s="61"/>
      <c r="BF139" s="38"/>
    </row>
    <row r="140" spans="1:58" ht="12.75" customHeight="1">
      <c r="A140" s="35"/>
      <c r="B140" s="35"/>
      <c r="C140" s="35"/>
      <c r="D140" s="35"/>
      <c r="E140" s="67"/>
      <c r="F140" s="67"/>
      <c r="G140" s="36"/>
      <c r="H140" s="29"/>
      <c r="I140" s="78"/>
      <c r="J140" s="29"/>
      <c r="K140" s="29"/>
      <c r="L140" s="33"/>
      <c r="M140" s="33"/>
      <c r="N140" s="60"/>
      <c r="O140" s="71"/>
      <c r="P140" s="71"/>
      <c r="Q140" s="33"/>
      <c r="R140" s="31"/>
      <c r="S140" s="31"/>
      <c r="T140" s="59"/>
      <c r="U140" s="59"/>
      <c r="V140" s="59"/>
      <c r="W140" s="57"/>
      <c r="X140" s="126"/>
      <c r="Y140" s="28"/>
      <c r="Z140" s="33"/>
      <c r="AA140" s="34"/>
      <c r="AB140" s="30"/>
      <c r="AC140" s="30"/>
      <c r="AD140" s="32"/>
      <c r="AE140" s="32"/>
      <c r="AF140" s="2"/>
      <c r="AG140" s="2"/>
      <c r="AH140" s="2"/>
      <c r="AI140" s="2"/>
      <c r="AK140" s="73"/>
      <c r="AL140" s="73"/>
      <c r="AM140" s="38"/>
      <c r="AN140" s="38"/>
      <c r="AO140" s="38"/>
      <c r="AP140" s="38"/>
      <c r="AQ140" s="38"/>
      <c r="AR140" s="38"/>
      <c r="AS140" s="38"/>
      <c r="AT140" s="38"/>
      <c r="AU140" s="38"/>
      <c r="AV140" s="38"/>
      <c r="AW140" s="38"/>
      <c r="AX140" s="38"/>
      <c r="AY140" s="38"/>
      <c r="AZ140" s="38"/>
      <c r="BA140" s="38"/>
      <c r="BB140" s="38"/>
      <c r="BC140" s="38"/>
      <c r="BD140" s="38"/>
      <c r="BE140" s="61"/>
      <c r="BF140" s="38"/>
    </row>
    <row r="141" spans="1:58" ht="12.75" customHeight="1">
      <c r="A141" s="35"/>
      <c r="B141" s="35"/>
      <c r="C141" s="35"/>
      <c r="D141" s="35"/>
      <c r="E141" s="67"/>
      <c r="F141" s="67"/>
      <c r="G141" s="36"/>
      <c r="H141" s="29"/>
      <c r="I141" s="78"/>
      <c r="J141" s="29"/>
      <c r="K141" s="29"/>
      <c r="L141" s="33"/>
      <c r="M141" s="33"/>
      <c r="N141" s="60"/>
      <c r="O141" s="71"/>
      <c r="P141" s="71"/>
      <c r="Q141" s="33"/>
      <c r="R141" s="31"/>
      <c r="S141" s="31"/>
      <c r="T141" s="59"/>
      <c r="U141" s="59"/>
      <c r="V141" s="59"/>
      <c r="W141" s="57"/>
      <c r="X141" s="126"/>
      <c r="Y141" s="28"/>
      <c r="Z141" s="33"/>
      <c r="AA141" s="34"/>
      <c r="AB141" s="30"/>
      <c r="AC141" s="30"/>
      <c r="AD141" s="32"/>
      <c r="AE141" s="32"/>
      <c r="AF141" s="2"/>
      <c r="AG141" s="2"/>
      <c r="AH141" s="2"/>
      <c r="AI141" s="2"/>
      <c r="AK141" s="73"/>
      <c r="AL141" s="73"/>
      <c r="AM141" s="38"/>
      <c r="AN141" s="38"/>
      <c r="AO141" s="38"/>
      <c r="AP141" s="38"/>
      <c r="AQ141" s="38"/>
      <c r="AR141" s="38"/>
      <c r="AS141" s="38"/>
      <c r="AT141" s="38"/>
      <c r="AU141" s="38"/>
      <c r="AV141" s="38"/>
      <c r="AW141" s="38"/>
      <c r="AX141" s="38"/>
      <c r="AY141" s="38"/>
      <c r="AZ141" s="38"/>
      <c r="BA141" s="38"/>
      <c r="BB141" s="38"/>
      <c r="BC141" s="38"/>
      <c r="BD141" s="38"/>
      <c r="BE141" s="61"/>
      <c r="BF141" s="38"/>
    </row>
    <row r="142" spans="1:58" ht="12.75" customHeight="1">
      <c r="A142" s="35"/>
      <c r="B142" s="35"/>
      <c r="C142" s="35"/>
      <c r="D142" s="35"/>
      <c r="E142" s="67"/>
      <c r="F142" s="67"/>
      <c r="G142" s="36"/>
      <c r="H142" s="29"/>
      <c r="I142" s="78"/>
      <c r="J142" s="29"/>
      <c r="K142" s="29"/>
      <c r="L142" s="33"/>
      <c r="M142" s="33"/>
      <c r="N142" s="60"/>
      <c r="O142" s="71"/>
      <c r="P142" s="71"/>
      <c r="Q142" s="33"/>
      <c r="R142" s="31"/>
      <c r="S142" s="31"/>
      <c r="T142" s="59"/>
      <c r="U142" s="59"/>
      <c r="V142" s="59"/>
      <c r="W142" s="57"/>
      <c r="X142" s="126"/>
      <c r="Y142" s="28"/>
      <c r="Z142" s="33"/>
      <c r="AA142" s="34"/>
      <c r="AB142" s="30"/>
      <c r="AC142" s="30"/>
      <c r="AD142" s="32"/>
      <c r="AE142" s="32"/>
      <c r="AF142" s="2"/>
      <c r="AG142" s="2"/>
      <c r="AH142" s="2"/>
      <c r="AI142" s="2"/>
      <c r="AK142" s="73"/>
      <c r="AL142" s="73"/>
      <c r="AM142" s="38"/>
      <c r="AN142" s="38"/>
      <c r="AO142" s="38"/>
      <c r="AP142" s="38"/>
      <c r="AQ142" s="38"/>
      <c r="AR142" s="38"/>
      <c r="AS142" s="38"/>
      <c r="AT142" s="38"/>
      <c r="AU142" s="38"/>
      <c r="AV142" s="38"/>
      <c r="AW142" s="38"/>
      <c r="AX142" s="38"/>
      <c r="AY142" s="38"/>
      <c r="AZ142" s="38"/>
      <c r="BA142" s="38"/>
      <c r="BB142" s="38"/>
      <c r="BC142" s="38"/>
      <c r="BD142" s="38"/>
      <c r="BE142" s="61"/>
      <c r="BF142" s="38"/>
    </row>
    <row r="143" spans="1:58" ht="12.75" customHeight="1">
      <c r="A143" s="35"/>
      <c r="B143" s="35"/>
      <c r="C143" s="35"/>
      <c r="D143" s="35"/>
      <c r="E143" s="67"/>
      <c r="F143" s="67"/>
      <c r="G143" s="36"/>
      <c r="H143" s="29"/>
      <c r="I143" s="78"/>
      <c r="J143" s="29"/>
      <c r="K143" s="29"/>
      <c r="L143" s="33"/>
      <c r="M143" s="33"/>
      <c r="N143" s="60"/>
      <c r="O143" s="71"/>
      <c r="P143" s="71"/>
      <c r="Q143" s="33"/>
      <c r="R143" s="31"/>
      <c r="S143" s="31"/>
      <c r="T143" s="59"/>
      <c r="U143" s="59"/>
      <c r="V143" s="59"/>
      <c r="W143" s="57"/>
      <c r="X143" s="126"/>
      <c r="Y143" s="28"/>
      <c r="Z143" s="33"/>
      <c r="AA143" s="34"/>
      <c r="AB143" s="30"/>
      <c r="AC143" s="30"/>
      <c r="AD143" s="32"/>
      <c r="AE143" s="32"/>
      <c r="AF143" s="2"/>
      <c r="AG143" s="2"/>
      <c r="AH143" s="2"/>
      <c r="AI143" s="2"/>
      <c r="AK143" s="73"/>
      <c r="AL143" s="73"/>
      <c r="AM143" s="38"/>
      <c r="AN143" s="38"/>
      <c r="AO143" s="38"/>
      <c r="AP143" s="38"/>
      <c r="AQ143" s="38"/>
      <c r="AR143" s="38"/>
      <c r="AS143" s="38"/>
      <c r="AT143" s="38"/>
      <c r="AU143" s="38"/>
      <c r="AV143" s="38"/>
      <c r="AW143" s="38"/>
      <c r="AX143" s="38"/>
      <c r="AY143" s="38"/>
      <c r="AZ143" s="38"/>
      <c r="BA143" s="38"/>
      <c r="BB143" s="38"/>
      <c r="BC143" s="38"/>
      <c r="BD143" s="38"/>
      <c r="BE143" s="61"/>
      <c r="BF143" s="38"/>
    </row>
    <row r="144" spans="1:58" ht="12.75" customHeight="1">
      <c r="A144" s="35"/>
      <c r="B144" s="35"/>
      <c r="C144" s="35"/>
      <c r="D144" s="35"/>
      <c r="E144" s="67"/>
      <c r="F144" s="67"/>
      <c r="G144" s="36"/>
      <c r="H144" s="29"/>
      <c r="I144" s="78"/>
      <c r="J144" s="29"/>
      <c r="K144" s="29"/>
      <c r="L144" s="33"/>
      <c r="M144" s="33"/>
      <c r="N144" s="60"/>
      <c r="O144" s="71"/>
      <c r="P144" s="71"/>
      <c r="Q144" s="33"/>
      <c r="R144" s="31"/>
      <c r="S144" s="31"/>
      <c r="T144" s="59"/>
      <c r="U144" s="59"/>
      <c r="V144" s="59"/>
      <c r="W144" s="57"/>
      <c r="X144" s="126"/>
      <c r="Y144" s="28"/>
      <c r="Z144" s="33"/>
      <c r="AA144" s="34"/>
      <c r="AB144" s="30"/>
      <c r="AC144" s="30"/>
      <c r="AD144" s="32"/>
      <c r="AE144" s="32"/>
      <c r="AF144" s="2"/>
      <c r="AG144" s="2"/>
      <c r="AH144" s="2"/>
      <c r="AI144" s="2"/>
      <c r="AK144" s="73"/>
      <c r="AL144" s="73"/>
      <c r="AM144" s="38"/>
      <c r="AN144" s="38"/>
      <c r="AO144" s="38"/>
      <c r="AP144" s="38"/>
      <c r="AQ144" s="38"/>
      <c r="AR144" s="38"/>
      <c r="AS144" s="38"/>
      <c r="AT144" s="38"/>
      <c r="AU144" s="38"/>
      <c r="AV144" s="38"/>
      <c r="AW144" s="38"/>
      <c r="AX144" s="38"/>
      <c r="AY144" s="38"/>
      <c r="AZ144" s="38"/>
      <c r="BA144" s="38"/>
      <c r="BB144" s="38"/>
      <c r="BC144" s="38"/>
      <c r="BD144" s="38"/>
      <c r="BE144" s="61"/>
      <c r="BF144" s="38"/>
    </row>
    <row r="145" spans="1:58" ht="12.75" customHeight="1">
      <c r="A145" s="35"/>
      <c r="B145" s="35"/>
      <c r="C145" s="35"/>
      <c r="D145" s="35"/>
      <c r="E145" s="67"/>
      <c r="F145" s="67"/>
      <c r="G145" s="36"/>
      <c r="H145" s="29"/>
      <c r="I145" s="78"/>
      <c r="J145" s="29"/>
      <c r="K145" s="29"/>
      <c r="L145" s="33"/>
      <c r="M145" s="33"/>
      <c r="N145" s="60"/>
      <c r="O145" s="71"/>
      <c r="P145" s="71"/>
      <c r="Q145" s="33"/>
      <c r="R145" s="31"/>
      <c r="S145" s="31"/>
      <c r="T145" s="59"/>
      <c r="U145" s="59"/>
      <c r="V145" s="59"/>
      <c r="W145" s="57"/>
      <c r="X145" s="126"/>
      <c r="Y145" s="28"/>
      <c r="Z145" s="33"/>
      <c r="AA145" s="34"/>
      <c r="AB145" s="30"/>
      <c r="AC145" s="30"/>
      <c r="AD145" s="32"/>
      <c r="AE145" s="32"/>
      <c r="AF145" s="2"/>
      <c r="AG145" s="2"/>
      <c r="AH145" s="2"/>
      <c r="AI145" s="2"/>
      <c r="AK145" s="73"/>
      <c r="AL145" s="73"/>
      <c r="AM145" s="38"/>
      <c r="AN145" s="38"/>
      <c r="AO145" s="38"/>
      <c r="AP145" s="38"/>
      <c r="AQ145" s="38"/>
      <c r="AR145" s="38"/>
      <c r="AS145" s="38"/>
      <c r="AT145" s="38"/>
      <c r="AU145" s="38"/>
      <c r="AV145" s="38"/>
      <c r="AW145" s="38"/>
      <c r="AX145" s="38"/>
      <c r="AY145" s="38"/>
      <c r="AZ145" s="38"/>
      <c r="BA145" s="38"/>
      <c r="BB145" s="38"/>
      <c r="BC145" s="38"/>
      <c r="BD145" s="38"/>
      <c r="BE145" s="61"/>
      <c r="BF145" s="38"/>
    </row>
    <row r="146" spans="1:58" ht="12.75" customHeight="1">
      <c r="A146" s="35"/>
      <c r="B146" s="35"/>
      <c r="C146" s="35"/>
      <c r="D146" s="35"/>
      <c r="E146" s="67"/>
      <c r="F146" s="67"/>
      <c r="G146" s="36"/>
      <c r="H146" s="29"/>
      <c r="I146" s="78"/>
      <c r="J146" s="29"/>
      <c r="K146" s="29"/>
      <c r="L146" s="33"/>
      <c r="M146" s="33"/>
      <c r="N146" s="60"/>
      <c r="O146" s="71"/>
      <c r="P146" s="71"/>
      <c r="Q146" s="33"/>
      <c r="R146" s="31"/>
      <c r="S146" s="31"/>
      <c r="T146" s="59"/>
      <c r="U146" s="59"/>
      <c r="V146" s="59"/>
      <c r="W146" s="57"/>
      <c r="X146" s="126"/>
      <c r="Y146" s="28"/>
      <c r="Z146" s="33"/>
      <c r="AA146" s="34"/>
      <c r="AB146" s="30"/>
      <c r="AC146" s="30"/>
      <c r="AD146" s="32"/>
      <c r="AE146" s="32"/>
      <c r="AF146" s="2"/>
      <c r="AG146" s="2"/>
      <c r="AH146" s="2"/>
      <c r="AI146" s="2"/>
      <c r="AK146" s="73"/>
      <c r="AL146" s="73"/>
      <c r="AM146" s="38"/>
      <c r="AN146" s="38"/>
      <c r="AO146" s="38"/>
      <c r="AP146" s="38"/>
      <c r="AQ146" s="38"/>
      <c r="AR146" s="38"/>
      <c r="AS146" s="38"/>
      <c r="AT146" s="38"/>
      <c r="AU146" s="38"/>
      <c r="AV146" s="38"/>
      <c r="AW146" s="38"/>
      <c r="AX146" s="38"/>
      <c r="AY146" s="38"/>
      <c r="AZ146" s="38"/>
      <c r="BA146" s="38"/>
      <c r="BB146" s="38"/>
      <c r="BC146" s="38"/>
      <c r="BD146" s="38"/>
      <c r="BE146" s="61"/>
      <c r="BF146" s="38"/>
    </row>
    <row r="147" spans="1:58" ht="12.75" customHeight="1">
      <c r="A147" s="35"/>
      <c r="B147" s="35"/>
      <c r="C147" s="35"/>
      <c r="D147" s="35"/>
      <c r="E147" s="67"/>
      <c r="F147" s="67"/>
      <c r="G147" s="36"/>
      <c r="H147" s="29"/>
      <c r="I147" s="78"/>
      <c r="J147" s="29"/>
      <c r="K147" s="29"/>
      <c r="L147" s="33"/>
      <c r="M147" s="33"/>
      <c r="N147" s="60"/>
      <c r="O147" s="71"/>
      <c r="P147" s="71"/>
      <c r="Q147" s="33"/>
      <c r="R147" s="31"/>
      <c r="S147" s="31"/>
      <c r="T147" s="59"/>
      <c r="U147" s="59"/>
      <c r="V147" s="59"/>
      <c r="W147" s="57"/>
      <c r="X147" s="126"/>
      <c r="Y147" s="28"/>
      <c r="Z147" s="33"/>
      <c r="AA147" s="34"/>
      <c r="AB147" s="30"/>
      <c r="AC147" s="30"/>
      <c r="AD147" s="32"/>
      <c r="AE147" s="32"/>
      <c r="AF147" s="2"/>
      <c r="AG147" s="2"/>
      <c r="AH147" s="2"/>
      <c r="AI147" s="2"/>
      <c r="AK147" s="73"/>
      <c r="AL147" s="73"/>
      <c r="AM147" s="38"/>
      <c r="AN147" s="38"/>
      <c r="AO147" s="38"/>
      <c r="AP147" s="38"/>
      <c r="AQ147" s="38"/>
      <c r="AR147" s="38"/>
      <c r="AS147" s="38"/>
      <c r="AT147" s="38"/>
      <c r="AU147" s="38"/>
      <c r="AV147" s="38"/>
      <c r="AW147" s="38"/>
      <c r="AX147" s="38"/>
      <c r="AY147" s="38"/>
      <c r="AZ147" s="38"/>
      <c r="BA147" s="38"/>
      <c r="BB147" s="38"/>
      <c r="BC147" s="38"/>
      <c r="BD147" s="38"/>
      <c r="BE147" s="61"/>
      <c r="BF147" s="38"/>
    </row>
    <row r="148" spans="1:58" ht="12.75" customHeight="1">
      <c r="A148" s="35"/>
      <c r="B148" s="35"/>
      <c r="C148" s="35"/>
      <c r="D148" s="35"/>
      <c r="E148" s="67"/>
      <c r="F148" s="67"/>
      <c r="G148" s="36"/>
      <c r="H148" s="29"/>
      <c r="I148" s="78"/>
      <c r="J148" s="29"/>
      <c r="K148" s="29"/>
      <c r="L148" s="33"/>
      <c r="M148" s="33"/>
      <c r="N148" s="60"/>
      <c r="O148" s="71"/>
      <c r="P148" s="71"/>
      <c r="Q148" s="33"/>
      <c r="R148" s="31"/>
      <c r="S148" s="31"/>
      <c r="T148" s="59"/>
      <c r="U148" s="59"/>
      <c r="V148" s="59"/>
      <c r="W148" s="57"/>
      <c r="X148" s="126"/>
      <c r="Y148" s="28"/>
      <c r="Z148" s="33"/>
      <c r="AA148" s="34"/>
      <c r="AB148" s="30"/>
      <c r="AC148" s="30"/>
      <c r="AD148" s="32"/>
      <c r="AE148" s="32"/>
      <c r="AF148" s="2"/>
      <c r="AG148" s="2"/>
      <c r="AH148" s="2"/>
      <c r="AI148" s="2"/>
      <c r="AK148" s="73"/>
      <c r="AL148" s="73"/>
      <c r="AM148" s="38"/>
      <c r="AN148" s="38"/>
      <c r="AO148" s="38"/>
      <c r="AP148" s="38"/>
      <c r="AQ148" s="38"/>
      <c r="AR148" s="38"/>
      <c r="AS148" s="38"/>
      <c r="AT148" s="38"/>
      <c r="AU148" s="38"/>
      <c r="AV148" s="38"/>
      <c r="AW148" s="38"/>
      <c r="AX148" s="38"/>
      <c r="AY148" s="38"/>
      <c r="AZ148" s="38"/>
      <c r="BA148" s="38"/>
      <c r="BB148" s="38"/>
      <c r="BC148" s="38"/>
      <c r="BD148" s="38"/>
      <c r="BE148" s="61"/>
      <c r="BF148" s="38"/>
    </row>
    <row r="149" spans="1:58" ht="12.75" customHeight="1">
      <c r="A149" s="35"/>
      <c r="B149" s="35"/>
      <c r="C149" s="35"/>
      <c r="D149" s="35"/>
      <c r="E149" s="67"/>
      <c r="F149" s="67"/>
      <c r="G149" s="36"/>
      <c r="H149" s="29"/>
      <c r="I149" s="78"/>
      <c r="J149" s="29"/>
      <c r="K149" s="29"/>
      <c r="L149" s="33"/>
      <c r="M149" s="33"/>
      <c r="N149" s="60"/>
      <c r="O149" s="71"/>
      <c r="P149" s="71"/>
      <c r="Q149" s="33"/>
      <c r="R149" s="31"/>
      <c r="S149" s="31"/>
      <c r="T149" s="59"/>
      <c r="U149" s="59"/>
      <c r="V149" s="59"/>
      <c r="W149" s="57"/>
      <c r="X149" s="126"/>
      <c r="Y149" s="28"/>
      <c r="Z149" s="33"/>
      <c r="AA149" s="34"/>
      <c r="AB149" s="30"/>
      <c r="AC149" s="30"/>
      <c r="AD149" s="32"/>
      <c r="AE149" s="32"/>
      <c r="AF149" s="2"/>
      <c r="AG149" s="2"/>
      <c r="AH149" s="2"/>
      <c r="AI149" s="2"/>
      <c r="AK149" s="73"/>
      <c r="AL149" s="73"/>
      <c r="AM149" s="38"/>
      <c r="AN149" s="38"/>
      <c r="AO149" s="38"/>
      <c r="AP149" s="38"/>
      <c r="AQ149" s="38"/>
      <c r="AR149" s="38"/>
      <c r="AS149" s="38"/>
      <c r="AT149" s="38"/>
      <c r="AU149" s="38"/>
      <c r="AV149" s="38"/>
      <c r="AW149" s="38"/>
      <c r="AX149" s="38"/>
      <c r="AY149" s="38"/>
      <c r="AZ149" s="38"/>
      <c r="BA149" s="38"/>
      <c r="BB149" s="38"/>
      <c r="BC149" s="38"/>
      <c r="BD149" s="38"/>
      <c r="BE149" s="61"/>
      <c r="BF149" s="38"/>
    </row>
    <row r="150" spans="1:58" ht="12.75" customHeight="1">
      <c r="A150" s="35"/>
      <c r="B150" s="35"/>
      <c r="C150" s="35"/>
      <c r="D150" s="35"/>
      <c r="E150" s="67"/>
      <c r="F150" s="67"/>
      <c r="G150" s="36"/>
      <c r="H150" s="29"/>
      <c r="I150" s="78"/>
      <c r="J150" s="29"/>
      <c r="K150" s="29"/>
      <c r="L150" s="33"/>
      <c r="M150" s="33"/>
      <c r="N150" s="60"/>
      <c r="O150" s="71"/>
      <c r="P150" s="71"/>
      <c r="Q150" s="33"/>
      <c r="R150" s="31"/>
      <c r="S150" s="31"/>
      <c r="T150" s="59"/>
      <c r="U150" s="59"/>
      <c r="V150" s="59"/>
      <c r="W150" s="57"/>
      <c r="X150" s="126"/>
      <c r="Y150" s="28"/>
      <c r="Z150" s="33"/>
      <c r="AA150" s="34"/>
      <c r="AB150" s="30"/>
      <c r="AC150" s="30"/>
      <c r="AD150" s="32"/>
      <c r="AE150" s="32"/>
      <c r="AF150" s="2"/>
      <c r="AG150" s="2"/>
      <c r="AH150" s="2"/>
      <c r="AI150" s="2"/>
      <c r="AK150" s="73"/>
      <c r="AL150" s="73"/>
      <c r="AM150" s="38"/>
      <c r="AN150" s="38"/>
      <c r="AO150" s="38"/>
      <c r="AP150" s="38"/>
      <c r="AQ150" s="38"/>
      <c r="AR150" s="38"/>
      <c r="AS150" s="38"/>
      <c r="AT150" s="38"/>
      <c r="AU150" s="38"/>
      <c r="AV150" s="38"/>
      <c r="AW150" s="38"/>
      <c r="AX150" s="38"/>
      <c r="AY150" s="38"/>
      <c r="AZ150" s="38"/>
      <c r="BA150" s="38"/>
      <c r="BB150" s="38"/>
      <c r="BC150" s="38"/>
      <c r="BD150" s="38"/>
      <c r="BE150" s="61"/>
      <c r="BF150" s="38"/>
    </row>
    <row r="151" spans="1:58" ht="12.75" customHeight="1">
      <c r="A151" s="35"/>
      <c r="B151" s="35"/>
      <c r="C151" s="35"/>
      <c r="D151" s="35"/>
      <c r="E151" s="67"/>
      <c r="F151" s="67"/>
      <c r="G151" s="36"/>
      <c r="H151" s="29"/>
      <c r="I151" s="78"/>
      <c r="J151" s="29"/>
      <c r="K151" s="29"/>
      <c r="L151" s="33"/>
      <c r="M151" s="33"/>
      <c r="N151" s="60"/>
      <c r="O151" s="71"/>
      <c r="P151" s="71"/>
      <c r="Q151" s="33"/>
      <c r="R151" s="31"/>
      <c r="S151" s="31"/>
      <c r="T151" s="59"/>
      <c r="U151" s="59"/>
      <c r="V151" s="59"/>
      <c r="W151" s="57"/>
      <c r="X151" s="126"/>
      <c r="Y151" s="28"/>
      <c r="Z151" s="33"/>
      <c r="AA151" s="34"/>
      <c r="AB151" s="30"/>
      <c r="AC151" s="30"/>
      <c r="AD151" s="32"/>
      <c r="AE151" s="32"/>
      <c r="AF151" s="2"/>
      <c r="AG151" s="2"/>
      <c r="AH151" s="2"/>
      <c r="AI151" s="2"/>
      <c r="AK151" s="73"/>
      <c r="AL151" s="73"/>
      <c r="AM151" s="38"/>
      <c r="AN151" s="38"/>
      <c r="AO151" s="38"/>
      <c r="AP151" s="38"/>
      <c r="AQ151" s="38"/>
      <c r="AR151" s="38"/>
      <c r="AS151" s="38"/>
      <c r="AT151" s="38"/>
      <c r="AU151" s="38"/>
      <c r="AV151" s="38"/>
      <c r="AW151" s="38"/>
      <c r="AX151" s="38"/>
      <c r="AY151" s="38"/>
      <c r="AZ151" s="38"/>
      <c r="BA151" s="38"/>
      <c r="BB151" s="38"/>
      <c r="BC151" s="38"/>
      <c r="BD151" s="38"/>
      <c r="BE151" s="61"/>
      <c r="BF151" s="38"/>
    </row>
    <row r="152" spans="1:58" ht="12.75" customHeight="1">
      <c r="A152" s="35"/>
      <c r="B152" s="35"/>
      <c r="C152" s="35"/>
      <c r="D152" s="35"/>
      <c r="E152" s="67"/>
      <c r="F152" s="67"/>
      <c r="G152" s="36"/>
      <c r="H152" s="29"/>
      <c r="I152" s="78"/>
      <c r="J152" s="29"/>
      <c r="K152" s="29"/>
      <c r="L152" s="33"/>
      <c r="M152" s="33"/>
      <c r="N152" s="60"/>
      <c r="O152" s="71"/>
      <c r="P152" s="71"/>
      <c r="Q152" s="33"/>
      <c r="R152" s="31"/>
      <c r="S152" s="31"/>
      <c r="T152" s="59"/>
      <c r="U152" s="59"/>
      <c r="V152" s="59"/>
      <c r="W152" s="57"/>
      <c r="X152" s="126"/>
      <c r="Y152" s="28"/>
      <c r="Z152" s="33"/>
      <c r="AA152" s="34"/>
      <c r="AB152" s="30"/>
      <c r="AC152" s="30"/>
      <c r="AD152" s="32"/>
      <c r="AE152" s="32"/>
      <c r="AF152" s="2"/>
      <c r="AG152" s="2"/>
      <c r="AH152" s="2"/>
      <c r="AI152" s="2"/>
      <c r="AK152" s="73"/>
      <c r="AL152" s="73"/>
      <c r="AM152" s="38"/>
      <c r="AN152" s="38"/>
      <c r="AO152" s="38"/>
      <c r="AP152" s="38"/>
      <c r="AQ152" s="38"/>
      <c r="AR152" s="38"/>
      <c r="AS152" s="38"/>
      <c r="AT152" s="38"/>
      <c r="AU152" s="38"/>
      <c r="AV152" s="38"/>
      <c r="AW152" s="38"/>
      <c r="AX152" s="38"/>
      <c r="AY152" s="38"/>
      <c r="AZ152" s="38"/>
      <c r="BA152" s="38"/>
      <c r="BB152" s="38"/>
      <c r="BC152" s="38"/>
      <c r="BD152" s="38"/>
      <c r="BE152" s="61"/>
      <c r="BF152" s="38"/>
    </row>
    <row r="153" spans="1:58" ht="12.75" customHeight="1">
      <c r="A153" s="35"/>
      <c r="B153" s="35"/>
      <c r="C153" s="35"/>
      <c r="D153" s="35"/>
      <c r="E153" s="67"/>
      <c r="F153" s="67"/>
      <c r="G153" s="36"/>
      <c r="H153" s="29"/>
      <c r="I153" s="78"/>
      <c r="J153" s="29"/>
      <c r="K153" s="29"/>
      <c r="L153" s="33"/>
      <c r="M153" s="33"/>
      <c r="N153" s="60"/>
      <c r="O153" s="71"/>
      <c r="P153" s="71"/>
      <c r="Q153" s="33"/>
      <c r="R153" s="31"/>
      <c r="S153" s="31"/>
      <c r="T153" s="59"/>
      <c r="U153" s="59"/>
      <c r="V153" s="59"/>
      <c r="W153" s="57"/>
      <c r="X153" s="126"/>
      <c r="Y153" s="28"/>
      <c r="Z153" s="33"/>
      <c r="AA153" s="34"/>
      <c r="AB153" s="30"/>
      <c r="AC153" s="30"/>
      <c r="AD153" s="32"/>
      <c r="AE153" s="32"/>
      <c r="AF153" s="2"/>
      <c r="AG153" s="2"/>
      <c r="AH153" s="2"/>
      <c r="AI153" s="2"/>
      <c r="AK153" s="73"/>
      <c r="AL153" s="73"/>
      <c r="AM153" s="38"/>
      <c r="AN153" s="38"/>
      <c r="AO153" s="38"/>
      <c r="AP153" s="38"/>
      <c r="AQ153" s="38"/>
      <c r="AR153" s="38"/>
      <c r="AS153" s="38"/>
      <c r="AT153" s="38"/>
      <c r="AU153" s="38"/>
      <c r="AV153" s="38"/>
      <c r="AW153" s="38"/>
      <c r="AX153" s="38"/>
      <c r="AY153" s="38"/>
      <c r="AZ153" s="38"/>
      <c r="BA153" s="38"/>
      <c r="BB153" s="38"/>
      <c r="BC153" s="38"/>
      <c r="BD153" s="38"/>
      <c r="BE153" s="61"/>
      <c r="BF153" s="38"/>
    </row>
    <row r="154" spans="1:58" ht="12.75" customHeight="1">
      <c r="A154" s="35"/>
      <c r="B154" s="35"/>
      <c r="C154" s="35"/>
      <c r="D154" s="35"/>
      <c r="E154" s="67"/>
      <c r="F154" s="67"/>
      <c r="G154" s="36"/>
      <c r="H154" s="29"/>
      <c r="I154" s="78"/>
      <c r="J154" s="29"/>
      <c r="K154" s="29"/>
      <c r="L154" s="33"/>
      <c r="M154" s="33"/>
      <c r="N154" s="60"/>
      <c r="O154" s="71"/>
      <c r="P154" s="71"/>
      <c r="Q154" s="33"/>
      <c r="R154" s="31"/>
      <c r="S154" s="31"/>
      <c r="T154" s="59"/>
      <c r="U154" s="59"/>
      <c r="V154" s="59"/>
      <c r="W154" s="57"/>
      <c r="X154" s="126"/>
      <c r="Y154" s="28"/>
      <c r="Z154" s="33"/>
      <c r="AA154" s="34"/>
      <c r="AB154" s="30"/>
      <c r="AC154" s="30"/>
      <c r="AD154" s="32"/>
      <c r="AE154" s="32"/>
      <c r="AF154" s="2"/>
      <c r="AG154" s="2"/>
      <c r="AH154" s="2"/>
      <c r="AI154" s="2"/>
      <c r="AK154" s="73"/>
      <c r="AL154" s="73"/>
      <c r="AM154" s="38"/>
      <c r="AN154" s="38"/>
      <c r="AO154" s="38"/>
      <c r="AP154" s="38"/>
      <c r="AQ154" s="38"/>
      <c r="AR154" s="38"/>
      <c r="AS154" s="38"/>
      <c r="AT154" s="38"/>
      <c r="AU154" s="38"/>
      <c r="AV154" s="38"/>
      <c r="AW154" s="38"/>
      <c r="AX154" s="38"/>
      <c r="AY154" s="38"/>
      <c r="AZ154" s="38"/>
      <c r="BA154" s="38"/>
      <c r="BB154" s="38"/>
      <c r="BC154" s="38"/>
      <c r="BD154" s="38"/>
      <c r="BE154" s="61"/>
      <c r="BF154" s="38"/>
    </row>
    <row r="155" spans="1:58" ht="12.75" customHeight="1">
      <c r="A155" s="35"/>
      <c r="B155" s="35"/>
      <c r="C155" s="35"/>
      <c r="D155" s="35"/>
      <c r="E155" s="67"/>
      <c r="F155" s="67"/>
      <c r="G155" s="36"/>
      <c r="H155" s="29"/>
      <c r="I155" s="78"/>
      <c r="J155" s="29"/>
      <c r="K155" s="29"/>
      <c r="L155" s="33"/>
      <c r="M155" s="33"/>
      <c r="N155" s="60"/>
      <c r="O155" s="71"/>
      <c r="P155" s="71"/>
      <c r="Q155" s="33"/>
      <c r="R155" s="31"/>
      <c r="S155" s="31"/>
      <c r="T155" s="59"/>
      <c r="U155" s="59"/>
      <c r="V155" s="59"/>
      <c r="W155" s="57"/>
      <c r="X155" s="126"/>
      <c r="Y155" s="28"/>
      <c r="Z155" s="33"/>
      <c r="AA155" s="34"/>
      <c r="AB155" s="30"/>
      <c r="AC155" s="30"/>
      <c r="AD155" s="32"/>
      <c r="AE155" s="32"/>
      <c r="AF155" s="2"/>
      <c r="AG155" s="2"/>
      <c r="AH155" s="2"/>
      <c r="AI155" s="2"/>
      <c r="AK155" s="73"/>
      <c r="AL155" s="73"/>
      <c r="AM155" s="38"/>
      <c r="AN155" s="38"/>
      <c r="AO155" s="38"/>
      <c r="AP155" s="38"/>
      <c r="AQ155" s="38"/>
      <c r="AR155" s="38"/>
      <c r="AS155" s="38"/>
      <c r="AT155" s="38"/>
      <c r="AU155" s="38"/>
      <c r="AV155" s="38"/>
      <c r="AW155" s="38"/>
      <c r="AX155" s="38"/>
      <c r="AY155" s="38"/>
      <c r="AZ155" s="38"/>
      <c r="BA155" s="38"/>
      <c r="BB155" s="38"/>
      <c r="BC155" s="38"/>
      <c r="BD155" s="38"/>
      <c r="BE155" s="61"/>
      <c r="BF155" s="38"/>
    </row>
    <row r="156" spans="1:58" ht="12.75" customHeight="1">
      <c r="A156" s="35"/>
      <c r="B156" s="35"/>
      <c r="C156" s="35"/>
      <c r="D156" s="35"/>
      <c r="E156" s="67"/>
      <c r="F156" s="67"/>
      <c r="G156" s="36"/>
      <c r="H156" s="29"/>
      <c r="I156" s="78"/>
      <c r="J156" s="29"/>
      <c r="K156" s="29"/>
      <c r="L156" s="33"/>
      <c r="M156" s="33"/>
      <c r="N156" s="60"/>
      <c r="O156" s="71"/>
      <c r="P156" s="71"/>
      <c r="Q156" s="33"/>
      <c r="R156" s="31"/>
      <c r="S156" s="31"/>
      <c r="T156" s="59"/>
      <c r="U156" s="59"/>
      <c r="V156" s="59"/>
      <c r="W156" s="57"/>
      <c r="X156" s="126"/>
      <c r="Y156" s="28"/>
      <c r="Z156" s="33"/>
      <c r="AA156" s="34"/>
      <c r="AB156" s="30"/>
      <c r="AC156" s="30"/>
      <c r="AD156" s="32"/>
      <c r="AE156" s="32"/>
      <c r="AF156" s="2"/>
      <c r="AG156" s="2"/>
      <c r="AH156" s="2"/>
      <c r="AI156" s="2"/>
      <c r="AK156" s="73"/>
      <c r="AL156" s="73"/>
      <c r="AM156" s="38"/>
      <c r="AN156" s="38"/>
      <c r="AO156" s="38"/>
      <c r="AP156" s="38"/>
      <c r="AQ156" s="38"/>
      <c r="AR156" s="38"/>
      <c r="AS156" s="38"/>
      <c r="AT156" s="38"/>
      <c r="AU156" s="38"/>
      <c r="AV156" s="38"/>
      <c r="AW156" s="38"/>
      <c r="AX156" s="38"/>
      <c r="AY156" s="38"/>
      <c r="AZ156" s="38"/>
      <c r="BA156" s="38"/>
      <c r="BB156" s="38"/>
      <c r="BC156" s="38"/>
      <c r="BD156" s="38"/>
      <c r="BE156" s="61"/>
      <c r="BF156" s="38"/>
    </row>
    <row r="157" spans="1:58" ht="12.75" customHeight="1">
      <c r="A157" s="35"/>
      <c r="B157" s="35"/>
      <c r="C157" s="35"/>
      <c r="D157" s="35"/>
      <c r="E157" s="67"/>
      <c r="F157" s="67"/>
      <c r="G157" s="36"/>
      <c r="H157" s="29"/>
      <c r="I157" s="78"/>
      <c r="J157" s="29"/>
      <c r="K157" s="29"/>
      <c r="L157" s="33"/>
      <c r="M157" s="33"/>
      <c r="N157" s="60"/>
      <c r="O157" s="71"/>
      <c r="P157" s="71"/>
      <c r="Q157" s="33"/>
      <c r="R157" s="31"/>
      <c r="S157" s="31"/>
      <c r="T157" s="59"/>
      <c r="U157" s="59"/>
      <c r="V157" s="59"/>
      <c r="W157" s="57"/>
      <c r="X157" s="126"/>
      <c r="Y157" s="28"/>
      <c r="Z157" s="33"/>
      <c r="AA157" s="34"/>
      <c r="AB157" s="30"/>
      <c r="AC157" s="30"/>
      <c r="AD157" s="32"/>
      <c r="AE157" s="32"/>
      <c r="AF157" s="2"/>
      <c r="AG157" s="2"/>
      <c r="AH157" s="2"/>
      <c r="AI157" s="2"/>
      <c r="AK157" s="73"/>
      <c r="AL157" s="73"/>
      <c r="AM157" s="38"/>
      <c r="AN157" s="38"/>
      <c r="AO157" s="38"/>
      <c r="AP157" s="38"/>
      <c r="AQ157" s="38"/>
      <c r="AR157" s="38"/>
      <c r="AS157" s="38"/>
      <c r="AT157" s="38"/>
      <c r="AU157" s="38"/>
      <c r="AV157" s="38"/>
      <c r="AW157" s="38"/>
      <c r="AX157" s="38"/>
      <c r="AY157" s="38"/>
      <c r="AZ157" s="38"/>
      <c r="BA157" s="38"/>
      <c r="BB157" s="38"/>
      <c r="BC157" s="38"/>
      <c r="BD157" s="38"/>
      <c r="BE157" s="61"/>
      <c r="BF157" s="38"/>
    </row>
    <row r="158" spans="1:58" ht="12.75" customHeight="1">
      <c r="A158" s="35"/>
      <c r="B158" s="35"/>
      <c r="C158" s="35"/>
      <c r="D158" s="35"/>
      <c r="E158" s="67"/>
      <c r="F158" s="67"/>
      <c r="G158" s="36"/>
      <c r="H158" s="29"/>
      <c r="I158" s="78"/>
      <c r="J158" s="29"/>
      <c r="K158" s="29"/>
      <c r="L158" s="33"/>
      <c r="M158" s="33"/>
      <c r="N158" s="60"/>
      <c r="O158" s="71"/>
      <c r="P158" s="71"/>
      <c r="Q158" s="33"/>
      <c r="R158" s="31"/>
      <c r="S158" s="31"/>
      <c r="T158" s="59"/>
      <c r="U158" s="59"/>
      <c r="V158" s="59"/>
      <c r="W158" s="57"/>
      <c r="X158" s="126"/>
      <c r="Y158" s="28"/>
      <c r="Z158" s="33"/>
      <c r="AA158" s="34"/>
      <c r="AB158" s="30"/>
      <c r="AC158" s="30"/>
      <c r="AD158" s="32"/>
      <c r="AE158" s="32"/>
      <c r="AF158" s="2"/>
      <c r="AG158" s="2"/>
      <c r="AH158" s="2"/>
      <c r="AI158" s="2"/>
      <c r="AK158" s="73"/>
      <c r="AL158" s="73"/>
      <c r="AM158" s="38"/>
      <c r="AN158" s="38"/>
      <c r="AO158" s="38"/>
      <c r="AP158" s="38"/>
      <c r="AQ158" s="38"/>
      <c r="AR158" s="38"/>
      <c r="AS158" s="38"/>
      <c r="AT158" s="38"/>
      <c r="AU158" s="38"/>
      <c r="AV158" s="38"/>
      <c r="AW158" s="38"/>
      <c r="AX158" s="38"/>
      <c r="AY158" s="38"/>
      <c r="AZ158" s="38"/>
      <c r="BA158" s="38"/>
      <c r="BB158" s="38"/>
      <c r="BC158" s="38"/>
      <c r="BD158" s="38"/>
      <c r="BE158" s="61"/>
      <c r="BF158" s="38"/>
    </row>
    <row r="159" spans="1:58" ht="12.75" customHeight="1">
      <c r="A159" s="35"/>
      <c r="B159" s="35"/>
      <c r="C159" s="35"/>
      <c r="D159" s="35"/>
      <c r="E159" s="67"/>
      <c r="F159" s="67"/>
      <c r="G159" s="36"/>
      <c r="H159" s="29"/>
      <c r="I159" s="78"/>
      <c r="J159" s="29"/>
      <c r="K159" s="29"/>
      <c r="L159" s="33"/>
      <c r="M159" s="33"/>
      <c r="N159" s="60"/>
      <c r="O159" s="71"/>
      <c r="P159" s="71"/>
      <c r="Q159" s="33"/>
      <c r="R159" s="31"/>
      <c r="S159" s="31"/>
      <c r="T159" s="59"/>
      <c r="U159" s="59"/>
      <c r="V159" s="59"/>
      <c r="W159" s="57"/>
      <c r="X159" s="126"/>
      <c r="Y159" s="28"/>
      <c r="Z159" s="33"/>
      <c r="AA159" s="34"/>
      <c r="AB159" s="30"/>
      <c r="AC159" s="30"/>
      <c r="AD159" s="32"/>
      <c r="AE159" s="32"/>
      <c r="AF159" s="2"/>
      <c r="AG159" s="2"/>
      <c r="AH159" s="2"/>
      <c r="AI159" s="2"/>
      <c r="AK159" s="73"/>
      <c r="AL159" s="73"/>
      <c r="AM159" s="38"/>
      <c r="AN159" s="38"/>
      <c r="AO159" s="38"/>
      <c r="AP159" s="38"/>
      <c r="AQ159" s="38"/>
      <c r="AR159" s="38"/>
      <c r="AS159" s="38"/>
      <c r="AT159" s="38"/>
      <c r="AU159" s="38"/>
      <c r="AV159" s="38"/>
      <c r="AW159" s="38"/>
      <c r="AX159" s="38"/>
      <c r="AY159" s="38"/>
      <c r="AZ159" s="38"/>
      <c r="BA159" s="38"/>
      <c r="BB159" s="38"/>
      <c r="BC159" s="38"/>
      <c r="BD159" s="38"/>
      <c r="BE159" s="61"/>
      <c r="BF159" s="38"/>
    </row>
    <row r="160" spans="1:58" ht="12.75" customHeight="1">
      <c r="A160" s="35"/>
      <c r="B160" s="35"/>
      <c r="C160" s="35"/>
      <c r="D160" s="35"/>
      <c r="E160" s="67"/>
      <c r="F160" s="67"/>
      <c r="G160" s="36"/>
      <c r="H160" s="29"/>
      <c r="I160" s="78"/>
      <c r="J160" s="29"/>
      <c r="K160" s="29"/>
      <c r="L160" s="33"/>
      <c r="M160" s="33"/>
      <c r="N160" s="60"/>
      <c r="O160" s="71"/>
      <c r="P160" s="71"/>
      <c r="Q160" s="33"/>
      <c r="R160" s="31"/>
      <c r="S160" s="31"/>
      <c r="T160" s="59"/>
      <c r="U160" s="59"/>
      <c r="V160" s="59"/>
      <c r="W160" s="57"/>
      <c r="X160" s="126"/>
      <c r="Y160" s="28"/>
      <c r="Z160" s="33"/>
      <c r="AA160" s="34"/>
      <c r="AB160" s="30"/>
      <c r="AC160" s="30"/>
      <c r="AD160" s="32"/>
      <c r="AE160" s="32"/>
      <c r="AF160" s="2"/>
      <c r="AG160" s="2"/>
      <c r="AH160" s="2"/>
      <c r="AI160" s="2"/>
      <c r="AK160" s="73"/>
      <c r="AL160" s="73"/>
      <c r="AM160" s="38"/>
      <c r="AN160" s="38"/>
      <c r="AO160" s="38"/>
      <c r="AP160" s="38"/>
      <c r="AQ160" s="38"/>
      <c r="AR160" s="38"/>
      <c r="AS160" s="38"/>
      <c r="AT160" s="38"/>
      <c r="AU160" s="38"/>
      <c r="AV160" s="38"/>
      <c r="AW160" s="38"/>
      <c r="AX160" s="38"/>
      <c r="AY160" s="38"/>
      <c r="AZ160" s="38"/>
      <c r="BA160" s="38"/>
      <c r="BB160" s="38"/>
      <c r="BC160" s="38"/>
      <c r="BD160" s="38"/>
      <c r="BE160" s="61"/>
      <c r="BF160" s="38"/>
    </row>
    <row r="161" spans="1:58" ht="12.75" customHeight="1">
      <c r="A161" s="35"/>
      <c r="B161" s="35"/>
      <c r="C161" s="35"/>
      <c r="D161" s="35"/>
      <c r="E161" s="67"/>
      <c r="F161" s="67"/>
      <c r="G161" s="36"/>
      <c r="H161" s="29"/>
      <c r="I161" s="78"/>
      <c r="J161" s="29"/>
      <c r="K161" s="29"/>
      <c r="L161" s="33"/>
      <c r="M161" s="33"/>
      <c r="N161" s="60"/>
      <c r="O161" s="71"/>
      <c r="P161" s="71"/>
      <c r="Q161" s="33"/>
      <c r="R161" s="31"/>
      <c r="S161" s="31"/>
      <c r="T161" s="59"/>
      <c r="U161" s="59"/>
      <c r="V161" s="59"/>
      <c r="W161" s="57"/>
      <c r="X161" s="126"/>
      <c r="Y161" s="28"/>
      <c r="Z161" s="33"/>
      <c r="AA161" s="34"/>
      <c r="AB161" s="30"/>
      <c r="AC161" s="30"/>
      <c r="AD161" s="32"/>
      <c r="AE161" s="32"/>
      <c r="AF161" s="2"/>
      <c r="AG161" s="2"/>
      <c r="AH161" s="2"/>
      <c r="AI161" s="2"/>
      <c r="AK161" s="73"/>
      <c r="AL161" s="73"/>
      <c r="AM161" s="38"/>
      <c r="AN161" s="38"/>
      <c r="AO161" s="38"/>
      <c r="AP161" s="38"/>
      <c r="AQ161" s="38"/>
      <c r="AR161" s="38"/>
      <c r="AS161" s="38"/>
      <c r="AT161" s="38"/>
      <c r="AU161" s="38"/>
      <c r="AV161" s="38"/>
      <c r="AW161" s="38"/>
      <c r="AX161" s="38"/>
      <c r="AY161" s="38"/>
      <c r="AZ161" s="38"/>
      <c r="BA161" s="38"/>
      <c r="BB161" s="38"/>
      <c r="BC161" s="38"/>
      <c r="BD161" s="38"/>
      <c r="BE161" s="61"/>
      <c r="BF161" s="38"/>
    </row>
    <row r="162" spans="1:58" ht="12.75" customHeight="1">
      <c r="A162" s="35"/>
      <c r="B162" s="35"/>
      <c r="C162" s="35"/>
      <c r="D162" s="35"/>
      <c r="E162" s="67"/>
      <c r="F162" s="67"/>
      <c r="G162" s="36"/>
      <c r="H162" s="29"/>
      <c r="I162" s="78"/>
      <c r="J162" s="29"/>
      <c r="K162" s="29"/>
      <c r="L162" s="33"/>
      <c r="M162" s="33"/>
      <c r="N162" s="60"/>
      <c r="O162" s="71"/>
      <c r="P162" s="71"/>
      <c r="Q162" s="33"/>
      <c r="R162" s="31"/>
      <c r="S162" s="31"/>
      <c r="T162" s="59"/>
      <c r="U162" s="59"/>
      <c r="V162" s="59"/>
      <c r="W162" s="57"/>
      <c r="X162" s="126"/>
      <c r="Y162" s="28"/>
      <c r="Z162" s="33"/>
      <c r="AA162" s="34"/>
      <c r="AB162" s="30"/>
      <c r="AC162" s="30"/>
      <c r="AD162" s="32"/>
      <c r="AE162" s="32"/>
      <c r="AF162" s="2"/>
      <c r="AG162" s="2"/>
      <c r="AH162" s="2"/>
      <c r="AI162" s="2"/>
      <c r="AK162" s="73"/>
      <c r="AL162" s="73"/>
      <c r="AM162" s="38"/>
      <c r="AN162" s="38"/>
      <c r="AO162" s="38"/>
      <c r="AP162" s="38"/>
      <c r="AQ162" s="38"/>
      <c r="AR162" s="38"/>
      <c r="AS162" s="38"/>
      <c r="AT162" s="38"/>
      <c r="AU162" s="38"/>
      <c r="AV162" s="38"/>
      <c r="AW162" s="38"/>
      <c r="AX162" s="38"/>
      <c r="AY162" s="38"/>
      <c r="AZ162" s="38"/>
      <c r="BA162" s="38"/>
      <c r="BB162" s="38"/>
      <c r="BC162" s="38"/>
      <c r="BD162" s="38"/>
      <c r="BE162" s="61"/>
      <c r="BF162" s="38"/>
    </row>
    <row r="163" spans="1:58" ht="12.75" customHeight="1">
      <c r="A163" s="35"/>
      <c r="B163" s="35"/>
      <c r="C163" s="35"/>
      <c r="D163" s="35"/>
      <c r="E163" s="67"/>
      <c r="F163" s="67"/>
      <c r="G163" s="36"/>
      <c r="H163" s="29"/>
      <c r="I163" s="78"/>
      <c r="J163" s="29"/>
      <c r="K163" s="29"/>
      <c r="L163" s="33"/>
      <c r="M163" s="33"/>
      <c r="N163" s="60"/>
      <c r="O163" s="71"/>
      <c r="P163" s="71"/>
      <c r="Q163" s="33"/>
      <c r="R163" s="31"/>
      <c r="S163" s="31"/>
      <c r="T163" s="59"/>
      <c r="U163" s="59"/>
      <c r="V163" s="59"/>
      <c r="W163" s="57"/>
      <c r="X163" s="126"/>
      <c r="Y163" s="28"/>
      <c r="Z163" s="33"/>
      <c r="AA163" s="34"/>
      <c r="AB163" s="30"/>
      <c r="AC163" s="30"/>
      <c r="AD163" s="32"/>
      <c r="AE163" s="32"/>
      <c r="AF163" s="2"/>
      <c r="AG163" s="2"/>
      <c r="AH163" s="2"/>
      <c r="AI163" s="2"/>
      <c r="AK163" s="73"/>
      <c r="AL163" s="73"/>
      <c r="AM163" s="38"/>
      <c r="AN163" s="38"/>
      <c r="AO163" s="38"/>
      <c r="AP163" s="38"/>
      <c r="AQ163" s="38"/>
      <c r="AR163" s="38"/>
      <c r="AS163" s="38"/>
      <c r="AT163" s="38"/>
      <c r="AU163" s="38"/>
      <c r="AV163" s="38"/>
      <c r="AW163" s="38"/>
      <c r="AX163" s="38"/>
      <c r="AY163" s="38"/>
      <c r="AZ163" s="38"/>
      <c r="BA163" s="38"/>
      <c r="BB163" s="38"/>
      <c r="BC163" s="38"/>
      <c r="BD163" s="38"/>
      <c r="BE163" s="61"/>
      <c r="BF163" s="38"/>
    </row>
    <row r="164" spans="1:58" ht="12.75" customHeight="1">
      <c r="A164" s="35"/>
      <c r="B164" s="35"/>
      <c r="C164" s="35"/>
      <c r="D164" s="35"/>
      <c r="E164" s="67"/>
      <c r="F164" s="67"/>
      <c r="G164" s="36"/>
      <c r="H164" s="29"/>
      <c r="I164" s="78"/>
      <c r="J164" s="29"/>
      <c r="K164" s="29"/>
      <c r="L164" s="33"/>
      <c r="M164" s="33"/>
      <c r="N164" s="60"/>
      <c r="O164" s="71"/>
      <c r="P164" s="71"/>
      <c r="Q164" s="33"/>
      <c r="R164" s="31"/>
      <c r="S164" s="31"/>
      <c r="T164" s="59"/>
      <c r="U164" s="59"/>
      <c r="V164" s="59"/>
      <c r="W164" s="57"/>
      <c r="X164" s="126"/>
      <c r="Y164" s="28"/>
      <c r="Z164" s="33"/>
      <c r="AA164" s="34"/>
      <c r="AB164" s="30"/>
      <c r="AC164" s="30"/>
      <c r="AD164" s="32"/>
      <c r="AE164" s="32"/>
      <c r="AF164" s="2"/>
      <c r="AG164" s="2"/>
      <c r="AH164" s="2"/>
      <c r="AI164" s="2"/>
      <c r="AK164" s="73"/>
      <c r="AL164" s="73"/>
      <c r="AM164" s="38"/>
      <c r="AN164" s="38"/>
      <c r="AO164" s="38"/>
      <c r="AP164" s="38"/>
      <c r="AQ164" s="38"/>
      <c r="AR164" s="38"/>
      <c r="AS164" s="38"/>
      <c r="AT164" s="38"/>
      <c r="AU164" s="38"/>
      <c r="AV164" s="38"/>
      <c r="AW164" s="38"/>
      <c r="AX164" s="38"/>
      <c r="AY164" s="38"/>
      <c r="AZ164" s="38"/>
      <c r="BA164" s="38"/>
      <c r="BB164" s="38"/>
      <c r="BC164" s="38"/>
      <c r="BD164" s="38"/>
      <c r="BE164" s="61"/>
      <c r="BF164" s="38"/>
    </row>
    <row r="165" spans="1:58" ht="12.75" customHeight="1">
      <c r="A165" s="35"/>
      <c r="B165" s="35"/>
      <c r="C165" s="35"/>
      <c r="D165" s="35"/>
      <c r="E165" s="67"/>
      <c r="F165" s="67"/>
      <c r="G165" s="36"/>
      <c r="H165" s="29"/>
      <c r="I165" s="78"/>
      <c r="J165" s="29"/>
      <c r="K165" s="29"/>
      <c r="L165" s="33"/>
      <c r="M165" s="33"/>
      <c r="N165" s="60"/>
      <c r="O165" s="71"/>
      <c r="P165" s="71"/>
      <c r="Q165" s="33"/>
      <c r="R165" s="31"/>
      <c r="S165" s="31"/>
      <c r="T165" s="59"/>
      <c r="U165" s="59"/>
      <c r="V165" s="59"/>
      <c r="W165" s="57"/>
      <c r="X165" s="126"/>
      <c r="Y165" s="28"/>
      <c r="Z165" s="33"/>
      <c r="AA165" s="34"/>
      <c r="AB165" s="30"/>
      <c r="AC165" s="30"/>
      <c r="AD165" s="32"/>
      <c r="AE165" s="32"/>
      <c r="AF165" s="2"/>
      <c r="AG165" s="2"/>
      <c r="AH165" s="2"/>
      <c r="AI165" s="2"/>
      <c r="AK165" s="73"/>
      <c r="AL165" s="73"/>
      <c r="AM165" s="38"/>
      <c r="AN165" s="38"/>
      <c r="AO165" s="38"/>
      <c r="AP165" s="38"/>
      <c r="AQ165" s="38"/>
      <c r="AR165" s="38"/>
      <c r="AS165" s="38"/>
      <c r="AT165" s="38"/>
      <c r="AU165" s="38"/>
      <c r="AV165" s="38"/>
      <c r="AW165" s="38"/>
      <c r="AX165" s="38"/>
      <c r="AY165" s="38"/>
      <c r="AZ165" s="38"/>
      <c r="BA165" s="38"/>
      <c r="BB165" s="38"/>
      <c r="BC165" s="38"/>
      <c r="BD165" s="38"/>
      <c r="BE165" s="61"/>
      <c r="BF165" s="38"/>
    </row>
    <row r="166" spans="1:58" ht="12.75" customHeight="1">
      <c r="A166" s="35"/>
      <c r="B166" s="35"/>
      <c r="C166" s="35"/>
      <c r="D166" s="35"/>
      <c r="E166" s="67"/>
      <c r="F166" s="67"/>
      <c r="G166" s="36"/>
      <c r="H166" s="29"/>
      <c r="I166" s="78"/>
      <c r="J166" s="29"/>
      <c r="K166" s="29"/>
      <c r="L166" s="33"/>
      <c r="M166" s="33"/>
      <c r="N166" s="60"/>
      <c r="O166" s="71"/>
      <c r="P166" s="71"/>
      <c r="Q166" s="33"/>
      <c r="R166" s="31"/>
      <c r="S166" s="31"/>
      <c r="T166" s="59"/>
      <c r="U166" s="59"/>
      <c r="V166" s="59"/>
      <c r="W166" s="57"/>
      <c r="X166" s="126"/>
      <c r="Y166" s="28"/>
      <c r="Z166" s="33"/>
      <c r="AA166" s="34"/>
      <c r="AB166" s="30"/>
      <c r="AC166" s="30"/>
      <c r="AD166" s="32"/>
      <c r="AE166" s="32"/>
      <c r="AF166" s="2"/>
      <c r="AG166" s="2"/>
      <c r="AH166" s="2"/>
      <c r="AI166" s="2"/>
      <c r="AK166" s="73"/>
      <c r="AL166" s="73"/>
      <c r="AM166" s="38"/>
      <c r="AN166" s="38"/>
      <c r="AO166" s="38"/>
      <c r="AP166" s="38"/>
      <c r="AQ166" s="38"/>
      <c r="AR166" s="38"/>
      <c r="AS166" s="38"/>
      <c r="AT166" s="38"/>
      <c r="AU166" s="38"/>
      <c r="AV166" s="38"/>
      <c r="AW166" s="38"/>
      <c r="AX166" s="38"/>
      <c r="AY166" s="38"/>
      <c r="AZ166" s="38"/>
      <c r="BA166" s="38"/>
      <c r="BB166" s="38"/>
      <c r="BC166" s="38"/>
      <c r="BD166" s="38"/>
      <c r="BE166" s="61"/>
      <c r="BF166" s="38"/>
    </row>
    <row r="167" spans="1:58" ht="12.75" customHeight="1">
      <c r="A167" s="35"/>
      <c r="B167" s="35"/>
      <c r="C167" s="35"/>
      <c r="D167" s="35"/>
      <c r="E167" s="67"/>
      <c r="F167" s="67"/>
      <c r="G167" s="36"/>
      <c r="H167" s="29"/>
      <c r="I167" s="78"/>
      <c r="J167" s="29"/>
      <c r="K167" s="29"/>
      <c r="L167" s="33"/>
      <c r="M167" s="33"/>
      <c r="N167" s="60"/>
      <c r="O167" s="71"/>
      <c r="P167" s="71"/>
      <c r="Q167" s="33"/>
      <c r="R167" s="31"/>
      <c r="S167" s="31"/>
      <c r="T167" s="59"/>
      <c r="U167" s="59"/>
      <c r="V167" s="59"/>
      <c r="W167" s="57"/>
      <c r="X167" s="126"/>
      <c r="Y167" s="28"/>
      <c r="Z167" s="33"/>
      <c r="AA167" s="34"/>
      <c r="AB167" s="30"/>
      <c r="AC167" s="30"/>
      <c r="AD167" s="32"/>
      <c r="AE167" s="32"/>
      <c r="AF167" s="2"/>
      <c r="AG167" s="2"/>
      <c r="AH167" s="2"/>
      <c r="AI167" s="2"/>
      <c r="AK167" s="73"/>
      <c r="AL167" s="73"/>
      <c r="AM167" s="38"/>
      <c r="AN167" s="38"/>
      <c r="AO167" s="38"/>
      <c r="AP167" s="38"/>
      <c r="AQ167" s="38"/>
      <c r="AR167" s="38"/>
      <c r="AS167" s="38"/>
      <c r="AT167" s="38"/>
      <c r="AU167" s="38"/>
      <c r="AV167" s="38"/>
      <c r="AW167" s="38"/>
      <c r="AX167" s="38"/>
      <c r="AY167" s="38"/>
      <c r="AZ167" s="38"/>
      <c r="BA167" s="38"/>
      <c r="BB167" s="38"/>
      <c r="BC167" s="38"/>
      <c r="BD167" s="38"/>
      <c r="BE167" s="61"/>
      <c r="BF167" s="38"/>
    </row>
    <row r="168" spans="1:58" ht="12.75" customHeight="1">
      <c r="A168" s="35"/>
      <c r="B168" s="35"/>
      <c r="C168" s="35"/>
      <c r="D168" s="35"/>
      <c r="E168" s="67"/>
      <c r="F168" s="67"/>
      <c r="G168" s="36"/>
      <c r="H168" s="29"/>
      <c r="I168" s="78"/>
      <c r="J168" s="29"/>
      <c r="K168" s="29"/>
      <c r="L168" s="33"/>
      <c r="M168" s="33"/>
      <c r="N168" s="60"/>
      <c r="O168" s="71"/>
      <c r="P168" s="71"/>
      <c r="Q168" s="33"/>
      <c r="R168" s="31"/>
      <c r="S168" s="31"/>
      <c r="T168" s="59"/>
      <c r="U168" s="59"/>
      <c r="V168" s="59"/>
      <c r="W168" s="57"/>
      <c r="X168" s="126"/>
      <c r="Y168" s="28"/>
      <c r="Z168" s="33"/>
      <c r="AA168" s="34"/>
      <c r="AB168" s="30"/>
      <c r="AC168" s="30"/>
      <c r="AD168" s="32"/>
      <c r="AE168" s="32"/>
      <c r="AF168" s="2"/>
      <c r="AG168" s="2"/>
      <c r="AH168" s="2"/>
      <c r="AI168" s="2"/>
      <c r="AK168" s="73"/>
      <c r="AL168" s="73"/>
      <c r="AM168" s="38"/>
      <c r="AN168" s="38"/>
      <c r="AO168" s="38"/>
      <c r="AP168" s="38"/>
      <c r="AQ168" s="38"/>
      <c r="AR168" s="38"/>
      <c r="AS168" s="38"/>
      <c r="AT168" s="38"/>
      <c r="AU168" s="38"/>
      <c r="AV168" s="38"/>
      <c r="AW168" s="38"/>
      <c r="AX168" s="38"/>
      <c r="AY168" s="38"/>
      <c r="AZ168" s="38"/>
      <c r="BA168" s="38"/>
      <c r="BB168" s="38"/>
      <c r="BC168" s="38"/>
      <c r="BD168" s="38"/>
      <c r="BE168" s="61"/>
      <c r="BF168" s="38"/>
    </row>
    <row r="169" spans="1:58" ht="12.75" customHeight="1">
      <c r="A169" s="35"/>
      <c r="B169" s="35"/>
      <c r="C169" s="35"/>
      <c r="D169" s="35"/>
      <c r="E169" s="67"/>
      <c r="F169" s="67"/>
      <c r="G169" s="36"/>
      <c r="H169" s="29"/>
      <c r="I169" s="78"/>
      <c r="J169" s="29"/>
      <c r="K169" s="29"/>
      <c r="L169" s="33"/>
      <c r="M169" s="33"/>
      <c r="N169" s="60"/>
      <c r="O169" s="71"/>
      <c r="P169" s="71"/>
      <c r="Q169" s="33"/>
      <c r="R169" s="31"/>
      <c r="S169" s="31"/>
      <c r="T169" s="59"/>
      <c r="U169" s="59"/>
      <c r="V169" s="59"/>
      <c r="W169" s="57"/>
      <c r="X169" s="126"/>
      <c r="Y169" s="28"/>
      <c r="Z169" s="33"/>
      <c r="AA169" s="34"/>
      <c r="AB169" s="30"/>
      <c r="AC169" s="30"/>
      <c r="AD169" s="32"/>
      <c r="AE169" s="32"/>
      <c r="AF169" s="2"/>
      <c r="AG169" s="2"/>
      <c r="AH169" s="2"/>
      <c r="AI169" s="2"/>
      <c r="AK169" s="73"/>
      <c r="AL169" s="73"/>
      <c r="AM169" s="38"/>
      <c r="AN169" s="38"/>
      <c r="AO169" s="38"/>
      <c r="AP169" s="38"/>
      <c r="AQ169" s="38"/>
      <c r="AR169" s="38"/>
      <c r="AS169" s="38"/>
      <c r="AT169" s="38"/>
      <c r="AU169" s="38"/>
      <c r="AV169" s="38"/>
      <c r="AW169" s="38"/>
      <c r="AX169" s="38"/>
      <c r="AY169" s="38"/>
      <c r="AZ169" s="38"/>
      <c r="BA169" s="38"/>
      <c r="BB169" s="38"/>
      <c r="BC169" s="38"/>
      <c r="BD169" s="38"/>
      <c r="BE169" s="61"/>
      <c r="BF169" s="38"/>
    </row>
    <row r="170" spans="1:58" ht="12.75" customHeight="1">
      <c r="A170" s="35"/>
      <c r="B170" s="35"/>
      <c r="C170" s="35"/>
      <c r="D170" s="35"/>
      <c r="E170" s="67"/>
      <c r="F170" s="67"/>
      <c r="G170" s="36"/>
      <c r="H170" s="29"/>
      <c r="I170" s="78"/>
      <c r="J170" s="29"/>
      <c r="K170" s="29"/>
      <c r="L170" s="33"/>
      <c r="M170" s="33"/>
      <c r="N170" s="60"/>
      <c r="O170" s="71"/>
      <c r="P170" s="71"/>
      <c r="Q170" s="33"/>
      <c r="R170" s="31"/>
      <c r="S170" s="31"/>
      <c r="T170" s="59"/>
      <c r="U170" s="59"/>
      <c r="V170" s="59"/>
      <c r="W170" s="57"/>
      <c r="X170" s="126"/>
      <c r="Y170" s="28"/>
      <c r="Z170" s="33"/>
      <c r="AA170" s="34"/>
      <c r="AB170" s="30"/>
      <c r="AC170" s="30"/>
      <c r="AD170" s="32"/>
      <c r="AE170" s="32"/>
      <c r="AF170" s="2"/>
      <c r="AG170" s="2"/>
      <c r="AH170" s="2"/>
      <c r="AI170" s="2"/>
      <c r="AK170" s="73"/>
      <c r="AL170" s="73"/>
      <c r="AM170" s="38"/>
      <c r="AN170" s="38"/>
      <c r="AO170" s="38"/>
      <c r="AP170" s="38"/>
      <c r="AQ170" s="38"/>
      <c r="AR170" s="38"/>
      <c r="AS170" s="38"/>
      <c r="AT170" s="38"/>
      <c r="AU170" s="38"/>
      <c r="AV170" s="38"/>
      <c r="AW170" s="38"/>
      <c r="AX170" s="38"/>
      <c r="AY170" s="38"/>
      <c r="AZ170" s="38"/>
      <c r="BA170" s="38"/>
      <c r="BB170" s="38"/>
      <c r="BC170" s="38"/>
      <c r="BD170" s="38"/>
      <c r="BE170" s="61"/>
      <c r="BF170" s="38"/>
    </row>
    <row r="171" spans="1:58" ht="12.75" customHeight="1">
      <c r="A171" s="35"/>
      <c r="B171" s="35"/>
      <c r="C171" s="35"/>
      <c r="D171" s="35"/>
      <c r="E171" s="67"/>
      <c r="F171" s="67"/>
      <c r="G171" s="36"/>
      <c r="H171" s="29"/>
      <c r="I171" s="78"/>
      <c r="J171" s="29"/>
      <c r="K171" s="29"/>
      <c r="L171" s="33"/>
      <c r="M171" s="33"/>
      <c r="N171" s="60"/>
      <c r="O171" s="71"/>
      <c r="P171" s="71"/>
      <c r="Q171" s="33"/>
      <c r="R171" s="31"/>
      <c r="S171" s="31"/>
      <c r="T171" s="59"/>
      <c r="U171" s="59"/>
      <c r="V171" s="59"/>
      <c r="W171" s="57"/>
      <c r="X171" s="126"/>
      <c r="Y171" s="28"/>
      <c r="Z171" s="33"/>
      <c r="AA171" s="34"/>
      <c r="AB171" s="30"/>
      <c r="AC171" s="30"/>
      <c r="AD171" s="32"/>
      <c r="AE171" s="32"/>
      <c r="AF171" s="2"/>
      <c r="AG171" s="2"/>
      <c r="AH171" s="2"/>
      <c r="AI171" s="2"/>
      <c r="AK171" s="73"/>
      <c r="AL171" s="73"/>
      <c r="AM171" s="38"/>
      <c r="AN171" s="38"/>
      <c r="AO171" s="38"/>
      <c r="AP171" s="38"/>
      <c r="AQ171" s="38"/>
      <c r="AR171" s="38"/>
      <c r="AS171" s="38"/>
      <c r="AT171" s="38"/>
      <c r="AU171" s="38"/>
      <c r="AV171" s="38"/>
      <c r="AW171" s="38"/>
      <c r="AX171" s="38"/>
      <c r="AY171" s="38"/>
      <c r="AZ171" s="38"/>
      <c r="BA171" s="38"/>
      <c r="BB171" s="38"/>
      <c r="BC171" s="38"/>
      <c r="BD171" s="38"/>
      <c r="BE171" s="61"/>
      <c r="BF171" s="38"/>
    </row>
    <row r="172" spans="1:58" ht="12.75" customHeight="1">
      <c r="A172" s="35"/>
      <c r="B172" s="35"/>
      <c r="C172" s="35"/>
      <c r="D172" s="35"/>
      <c r="E172" s="67"/>
      <c r="F172" s="67"/>
      <c r="G172" s="36"/>
      <c r="H172" s="29"/>
      <c r="I172" s="78"/>
      <c r="J172" s="29"/>
      <c r="K172" s="29"/>
      <c r="L172" s="33"/>
      <c r="M172" s="33"/>
      <c r="N172" s="60"/>
      <c r="O172" s="71"/>
      <c r="P172" s="71"/>
      <c r="Q172" s="33"/>
      <c r="R172" s="31"/>
      <c r="S172" s="31"/>
      <c r="T172" s="59"/>
      <c r="U172" s="59"/>
      <c r="V172" s="59"/>
      <c r="W172" s="57"/>
      <c r="X172" s="126"/>
      <c r="Y172" s="28"/>
      <c r="Z172" s="33"/>
      <c r="AA172" s="34"/>
      <c r="AB172" s="30"/>
      <c r="AC172" s="30"/>
      <c r="AD172" s="32"/>
      <c r="AE172" s="32"/>
      <c r="AF172" s="2"/>
      <c r="AG172" s="2"/>
      <c r="AH172" s="2"/>
      <c r="AI172" s="2"/>
      <c r="AK172" s="73"/>
      <c r="AL172" s="73"/>
      <c r="AM172" s="38"/>
      <c r="AN172" s="38"/>
      <c r="AO172" s="38"/>
      <c r="AP172" s="38"/>
      <c r="AQ172" s="38"/>
      <c r="AR172" s="38"/>
      <c r="AS172" s="38"/>
      <c r="AT172" s="38"/>
      <c r="AU172" s="38"/>
      <c r="AV172" s="38"/>
      <c r="AW172" s="38"/>
      <c r="AX172" s="38"/>
      <c r="AY172" s="38"/>
      <c r="AZ172" s="38"/>
      <c r="BA172" s="38"/>
      <c r="BB172" s="38"/>
      <c r="BC172" s="38"/>
      <c r="BD172" s="38"/>
      <c r="BE172" s="61"/>
      <c r="BF172" s="38"/>
    </row>
    <row r="173" spans="1:58" ht="12.75" customHeight="1">
      <c r="A173" s="35"/>
      <c r="B173" s="35"/>
      <c r="C173" s="35"/>
      <c r="D173" s="35"/>
      <c r="E173" s="67"/>
      <c r="F173" s="67"/>
      <c r="G173" s="36"/>
      <c r="H173" s="29"/>
      <c r="I173" s="78"/>
      <c r="J173" s="29"/>
      <c r="K173" s="29"/>
      <c r="L173" s="33"/>
      <c r="M173" s="33"/>
      <c r="N173" s="60"/>
      <c r="O173" s="71"/>
      <c r="P173" s="71"/>
      <c r="Q173" s="33"/>
      <c r="R173" s="31"/>
      <c r="S173" s="31"/>
      <c r="T173" s="59"/>
      <c r="U173" s="59"/>
      <c r="V173" s="59"/>
      <c r="W173" s="57"/>
      <c r="X173" s="126"/>
      <c r="Y173" s="28"/>
      <c r="Z173" s="33"/>
      <c r="AA173" s="34"/>
      <c r="AB173" s="30"/>
      <c r="AC173" s="30"/>
      <c r="AD173" s="32"/>
      <c r="AE173" s="32"/>
      <c r="AF173" s="2"/>
      <c r="AG173" s="2"/>
      <c r="AH173" s="2"/>
      <c r="AI173" s="2"/>
      <c r="AK173" s="73"/>
      <c r="AL173" s="73"/>
      <c r="AM173" s="38"/>
      <c r="AN173" s="38"/>
      <c r="AO173" s="38"/>
      <c r="AP173" s="38"/>
      <c r="AQ173" s="38"/>
      <c r="AR173" s="38"/>
      <c r="AS173" s="38"/>
      <c r="AT173" s="38"/>
      <c r="AU173" s="38"/>
      <c r="AV173" s="38"/>
      <c r="AW173" s="38"/>
      <c r="AX173" s="38"/>
      <c r="AY173" s="38"/>
      <c r="AZ173" s="38"/>
      <c r="BA173" s="38"/>
      <c r="BB173" s="38"/>
      <c r="BC173" s="38"/>
      <c r="BD173" s="38"/>
      <c r="BE173" s="61"/>
      <c r="BF173" s="38"/>
    </row>
    <row r="174" spans="1:58" ht="12.75" customHeight="1">
      <c r="A174" s="35"/>
      <c r="B174" s="35"/>
      <c r="C174" s="35"/>
      <c r="D174" s="35"/>
      <c r="E174" s="67"/>
      <c r="F174" s="67"/>
      <c r="G174" s="36"/>
      <c r="H174" s="29"/>
      <c r="I174" s="78"/>
      <c r="J174" s="29"/>
      <c r="K174" s="29"/>
      <c r="L174" s="33"/>
      <c r="M174" s="33"/>
      <c r="N174" s="60"/>
      <c r="O174" s="71"/>
      <c r="P174" s="71"/>
      <c r="Q174" s="33"/>
      <c r="R174" s="31"/>
      <c r="S174" s="31"/>
      <c r="T174" s="59"/>
      <c r="U174" s="59"/>
      <c r="V174" s="59"/>
      <c r="W174" s="57"/>
      <c r="X174" s="126"/>
      <c r="Y174" s="28"/>
      <c r="Z174" s="33"/>
      <c r="AA174" s="34"/>
      <c r="AB174" s="30"/>
      <c r="AC174" s="30"/>
      <c r="AD174" s="32"/>
      <c r="AE174" s="32"/>
      <c r="AF174" s="2"/>
      <c r="AG174" s="2"/>
      <c r="AH174" s="2"/>
      <c r="AI174" s="2"/>
      <c r="AK174" s="73"/>
      <c r="AL174" s="73"/>
      <c r="AM174" s="38"/>
      <c r="AN174" s="38"/>
      <c r="AO174" s="38"/>
      <c r="AP174" s="38"/>
      <c r="AQ174" s="38"/>
      <c r="AR174" s="38"/>
      <c r="AS174" s="38"/>
      <c r="AT174" s="38"/>
      <c r="AU174" s="38"/>
      <c r="AV174" s="38"/>
      <c r="AW174" s="38"/>
      <c r="AX174" s="38"/>
      <c r="AY174" s="38"/>
      <c r="AZ174" s="38"/>
      <c r="BA174" s="38"/>
      <c r="BB174" s="38"/>
      <c r="BC174" s="38"/>
      <c r="BD174" s="38"/>
      <c r="BE174" s="61"/>
      <c r="BF174" s="38"/>
    </row>
    <row r="175" spans="1:58" ht="12.75" customHeight="1">
      <c r="A175" s="35"/>
      <c r="B175" s="35"/>
      <c r="C175" s="35"/>
      <c r="D175" s="35"/>
      <c r="E175" s="67"/>
      <c r="F175" s="67"/>
      <c r="G175" s="36"/>
      <c r="H175" s="29"/>
      <c r="I175" s="78"/>
      <c r="J175" s="29"/>
      <c r="K175" s="29"/>
      <c r="L175" s="33"/>
      <c r="M175" s="33"/>
      <c r="N175" s="60"/>
      <c r="O175" s="71"/>
      <c r="P175" s="71"/>
      <c r="Q175" s="33"/>
      <c r="R175" s="31"/>
      <c r="S175" s="31"/>
      <c r="T175" s="59"/>
      <c r="U175" s="59"/>
      <c r="V175" s="59"/>
      <c r="W175" s="57"/>
      <c r="X175" s="126"/>
      <c r="Y175" s="28"/>
      <c r="Z175" s="33"/>
      <c r="AA175" s="34"/>
      <c r="AB175" s="30"/>
      <c r="AC175" s="30"/>
      <c r="AD175" s="32"/>
      <c r="AE175" s="32"/>
      <c r="AF175" s="2"/>
      <c r="AG175" s="2"/>
      <c r="AH175" s="2"/>
      <c r="AI175" s="2"/>
      <c r="AK175" s="73"/>
      <c r="AL175" s="73"/>
      <c r="AM175" s="38"/>
      <c r="AN175" s="38"/>
      <c r="AO175" s="38"/>
      <c r="AP175" s="38"/>
      <c r="AQ175" s="38"/>
      <c r="AR175" s="38"/>
      <c r="AS175" s="38"/>
      <c r="AT175" s="38"/>
      <c r="AU175" s="38"/>
      <c r="AV175" s="38"/>
      <c r="AW175" s="38"/>
      <c r="AX175" s="38"/>
      <c r="AY175" s="38"/>
      <c r="AZ175" s="38"/>
      <c r="BA175" s="38"/>
      <c r="BB175" s="38"/>
      <c r="BC175" s="38"/>
      <c r="BD175" s="38"/>
      <c r="BE175" s="61"/>
      <c r="BF175" s="38"/>
    </row>
    <row r="176" spans="1:58" ht="12.75" customHeight="1">
      <c r="A176" s="35"/>
      <c r="B176" s="35"/>
      <c r="C176" s="35"/>
      <c r="D176" s="35"/>
      <c r="E176" s="67"/>
      <c r="F176" s="67"/>
      <c r="G176" s="36"/>
      <c r="H176" s="29"/>
      <c r="I176" s="78"/>
      <c r="J176" s="29"/>
      <c r="K176" s="29"/>
      <c r="L176" s="33"/>
      <c r="M176" s="33"/>
      <c r="N176" s="60"/>
      <c r="O176" s="71"/>
      <c r="P176" s="71"/>
      <c r="Q176" s="33"/>
      <c r="R176" s="31"/>
      <c r="S176" s="31"/>
      <c r="T176" s="59"/>
      <c r="U176" s="59"/>
      <c r="V176" s="59"/>
      <c r="W176" s="57"/>
      <c r="X176" s="126"/>
      <c r="Y176" s="28"/>
      <c r="Z176" s="33"/>
      <c r="AA176" s="34"/>
      <c r="AB176" s="30"/>
      <c r="AC176" s="30"/>
      <c r="AD176" s="32"/>
      <c r="AE176" s="32"/>
      <c r="AF176" s="2"/>
      <c r="AG176" s="2"/>
      <c r="AH176" s="2"/>
      <c r="AI176" s="2"/>
      <c r="AK176" s="73"/>
      <c r="AL176" s="73"/>
      <c r="AM176" s="38"/>
      <c r="AN176" s="38"/>
      <c r="AO176" s="38"/>
      <c r="AP176" s="38"/>
      <c r="AQ176" s="38"/>
      <c r="AR176" s="38"/>
      <c r="AS176" s="38"/>
      <c r="AT176" s="38"/>
      <c r="AU176" s="38"/>
      <c r="AV176" s="38"/>
      <c r="AW176" s="38"/>
      <c r="AX176" s="38"/>
      <c r="AY176" s="38"/>
      <c r="AZ176" s="38"/>
      <c r="BA176" s="38"/>
      <c r="BB176" s="38"/>
      <c r="BC176" s="38"/>
      <c r="BD176" s="38"/>
      <c r="BE176" s="61"/>
      <c r="BF176" s="38"/>
    </row>
    <row r="177" spans="1:58" ht="12.75" customHeight="1">
      <c r="A177" s="35"/>
      <c r="B177" s="35"/>
      <c r="C177" s="35"/>
      <c r="D177" s="35"/>
      <c r="E177" s="67"/>
      <c r="F177" s="67"/>
      <c r="G177" s="36"/>
      <c r="H177" s="29"/>
      <c r="I177" s="78"/>
      <c r="J177" s="29"/>
      <c r="K177" s="29"/>
      <c r="L177" s="33"/>
      <c r="M177" s="33"/>
      <c r="N177" s="60"/>
      <c r="O177" s="71"/>
      <c r="P177" s="71"/>
      <c r="Q177" s="33"/>
      <c r="R177" s="31"/>
      <c r="S177" s="31"/>
      <c r="T177" s="59"/>
      <c r="U177" s="59"/>
      <c r="V177" s="59"/>
      <c r="W177" s="57"/>
      <c r="X177" s="126"/>
      <c r="Y177" s="28"/>
      <c r="Z177" s="33"/>
      <c r="AA177" s="34"/>
      <c r="AB177" s="30"/>
      <c r="AC177" s="30"/>
      <c r="AD177" s="32"/>
      <c r="AE177" s="32"/>
      <c r="AF177" s="2"/>
      <c r="AG177" s="2"/>
      <c r="AH177" s="2"/>
      <c r="AI177" s="2"/>
      <c r="AK177" s="73"/>
      <c r="AL177" s="73"/>
      <c r="AM177" s="38"/>
      <c r="AN177" s="38"/>
      <c r="AO177" s="38"/>
      <c r="AP177" s="38"/>
      <c r="AQ177" s="38"/>
      <c r="AR177" s="38"/>
      <c r="AS177" s="38"/>
      <c r="AT177" s="38"/>
      <c r="AU177" s="38"/>
      <c r="AV177" s="38"/>
      <c r="AW177" s="38"/>
      <c r="AX177" s="38"/>
      <c r="AY177" s="38"/>
      <c r="AZ177" s="38"/>
      <c r="BA177" s="38"/>
      <c r="BB177" s="38"/>
      <c r="BC177" s="38"/>
      <c r="BD177" s="38"/>
      <c r="BE177" s="61"/>
      <c r="BF177" s="38"/>
    </row>
    <row r="178" spans="1:58" ht="12.75" customHeight="1">
      <c r="A178" s="35"/>
      <c r="B178" s="35"/>
      <c r="C178" s="35"/>
      <c r="D178" s="35"/>
      <c r="E178" s="67"/>
      <c r="F178" s="67"/>
      <c r="G178" s="36"/>
      <c r="H178" s="29"/>
      <c r="I178" s="78"/>
      <c r="J178" s="29"/>
      <c r="K178" s="29"/>
      <c r="L178" s="33"/>
      <c r="M178" s="33"/>
      <c r="N178" s="60"/>
      <c r="O178" s="71"/>
      <c r="P178" s="71"/>
      <c r="Q178" s="33"/>
      <c r="R178" s="31"/>
      <c r="S178" s="31"/>
      <c r="T178" s="59"/>
      <c r="U178" s="59"/>
      <c r="V178" s="59"/>
      <c r="W178" s="57"/>
      <c r="X178" s="126"/>
      <c r="Y178" s="28"/>
      <c r="Z178" s="33"/>
      <c r="AA178" s="34"/>
      <c r="AB178" s="30"/>
      <c r="AC178" s="30"/>
      <c r="AD178" s="32"/>
      <c r="AE178" s="32"/>
      <c r="AF178" s="2"/>
      <c r="AG178" s="2"/>
      <c r="AH178" s="2"/>
      <c r="AI178" s="2"/>
      <c r="AK178" s="73"/>
      <c r="AL178" s="73"/>
      <c r="AM178" s="38"/>
      <c r="AN178" s="38"/>
      <c r="AO178" s="38"/>
      <c r="AP178" s="38"/>
      <c r="AQ178" s="38"/>
      <c r="AR178" s="38"/>
      <c r="AS178" s="38"/>
      <c r="AT178" s="38"/>
      <c r="AU178" s="38"/>
      <c r="AV178" s="38"/>
      <c r="AW178" s="38"/>
      <c r="AX178" s="38"/>
      <c r="AY178" s="38"/>
      <c r="AZ178" s="38"/>
      <c r="BA178" s="38"/>
      <c r="BB178" s="38"/>
      <c r="BC178" s="38"/>
      <c r="BD178" s="38"/>
      <c r="BE178" s="61"/>
      <c r="BF178" s="38"/>
    </row>
    <row r="179" spans="1:58" ht="12.75" customHeight="1">
      <c r="A179" s="35"/>
      <c r="B179" s="35"/>
      <c r="C179" s="35"/>
      <c r="D179" s="35"/>
      <c r="E179" s="67"/>
      <c r="F179" s="67"/>
      <c r="G179" s="36"/>
      <c r="H179" s="29"/>
      <c r="I179" s="78"/>
      <c r="J179" s="29"/>
      <c r="K179" s="29"/>
      <c r="L179" s="33"/>
      <c r="M179" s="33"/>
      <c r="N179" s="60"/>
      <c r="O179" s="71"/>
      <c r="P179" s="71"/>
      <c r="Q179" s="33"/>
      <c r="R179" s="31"/>
      <c r="S179" s="31"/>
      <c r="T179" s="59"/>
      <c r="U179" s="59"/>
      <c r="V179" s="59"/>
      <c r="W179" s="57"/>
      <c r="X179" s="126"/>
      <c r="Y179" s="28"/>
      <c r="Z179" s="33"/>
      <c r="AA179" s="34"/>
      <c r="AB179" s="30"/>
      <c r="AC179" s="30"/>
      <c r="AD179" s="32"/>
      <c r="AE179" s="32"/>
      <c r="AF179" s="2"/>
      <c r="AG179" s="2"/>
      <c r="AH179" s="2"/>
      <c r="AI179" s="2"/>
      <c r="AK179" s="73"/>
      <c r="AL179" s="73"/>
      <c r="AM179" s="38"/>
      <c r="AN179" s="38"/>
      <c r="AO179" s="38"/>
      <c r="AP179" s="38"/>
      <c r="AQ179" s="38"/>
      <c r="AR179" s="38"/>
      <c r="AS179" s="38"/>
      <c r="AT179" s="38"/>
      <c r="AU179" s="38"/>
      <c r="AV179" s="38"/>
      <c r="AW179" s="38"/>
      <c r="AX179" s="38"/>
      <c r="AY179" s="38"/>
      <c r="AZ179" s="38"/>
      <c r="BA179" s="38"/>
      <c r="BB179" s="38"/>
      <c r="BC179" s="38"/>
      <c r="BD179" s="38"/>
      <c r="BE179" s="61"/>
      <c r="BF179" s="38"/>
    </row>
    <row r="180" spans="1:58" ht="12.75" customHeight="1">
      <c r="A180" s="35"/>
      <c r="B180" s="35"/>
      <c r="C180" s="35"/>
      <c r="D180" s="35"/>
      <c r="E180" s="67"/>
      <c r="F180" s="67"/>
      <c r="G180" s="36"/>
      <c r="H180" s="29"/>
      <c r="I180" s="78"/>
      <c r="J180" s="29"/>
      <c r="K180" s="29"/>
      <c r="L180" s="33"/>
      <c r="M180" s="33"/>
      <c r="N180" s="60"/>
      <c r="O180" s="71"/>
      <c r="P180" s="71"/>
      <c r="Q180" s="33"/>
      <c r="R180" s="31"/>
      <c r="S180" s="31"/>
      <c r="T180" s="59"/>
      <c r="U180" s="59"/>
      <c r="V180" s="59"/>
      <c r="W180" s="57"/>
      <c r="X180" s="126"/>
      <c r="Y180" s="28"/>
      <c r="Z180" s="33"/>
      <c r="AA180" s="34"/>
      <c r="AB180" s="30"/>
      <c r="AC180" s="30"/>
      <c r="AD180" s="32"/>
      <c r="AE180" s="32"/>
      <c r="AF180" s="2"/>
      <c r="AG180" s="2"/>
      <c r="AH180" s="2"/>
      <c r="AI180" s="2"/>
      <c r="AK180" s="73"/>
      <c r="AL180" s="73"/>
      <c r="AM180" s="38"/>
      <c r="AN180" s="38"/>
      <c r="AO180" s="38"/>
      <c r="AP180" s="38"/>
      <c r="AQ180" s="38"/>
      <c r="AR180" s="38"/>
      <c r="AS180" s="38"/>
      <c r="AT180" s="38"/>
      <c r="AU180" s="38"/>
      <c r="AV180" s="38"/>
      <c r="AW180" s="38"/>
      <c r="AX180" s="38"/>
      <c r="AY180" s="38"/>
      <c r="AZ180" s="38"/>
      <c r="BA180" s="38"/>
      <c r="BB180" s="38"/>
      <c r="BC180" s="38"/>
      <c r="BD180" s="38"/>
      <c r="BE180" s="61"/>
      <c r="BF180" s="38"/>
    </row>
    <row r="181" spans="1:58" ht="12.75" customHeight="1">
      <c r="A181" s="35"/>
      <c r="B181" s="35"/>
      <c r="C181" s="35"/>
      <c r="D181" s="35"/>
      <c r="E181" s="67"/>
      <c r="F181" s="67"/>
      <c r="G181" s="36"/>
      <c r="H181" s="29"/>
      <c r="I181" s="78"/>
      <c r="J181" s="29"/>
      <c r="K181" s="29"/>
      <c r="L181" s="33"/>
      <c r="M181" s="33"/>
      <c r="N181" s="60"/>
      <c r="O181" s="71"/>
      <c r="P181" s="71"/>
      <c r="Q181" s="33"/>
      <c r="R181" s="31"/>
      <c r="S181" s="31"/>
      <c r="T181" s="59"/>
      <c r="U181" s="59"/>
      <c r="V181" s="59"/>
      <c r="W181" s="57"/>
      <c r="X181" s="126"/>
      <c r="Y181" s="28"/>
      <c r="Z181" s="33"/>
      <c r="AA181" s="34"/>
      <c r="AB181" s="30"/>
      <c r="AC181" s="30"/>
      <c r="AD181" s="32"/>
      <c r="AE181" s="32"/>
      <c r="AF181" s="2"/>
      <c r="AG181" s="2"/>
      <c r="AH181" s="2"/>
      <c r="AI181" s="2"/>
      <c r="AK181" s="73"/>
      <c r="AL181" s="73"/>
      <c r="AM181" s="38"/>
      <c r="AN181" s="38"/>
      <c r="AO181" s="38"/>
      <c r="AP181" s="38"/>
      <c r="AQ181" s="38"/>
      <c r="AR181" s="38"/>
      <c r="AS181" s="38"/>
      <c r="AT181" s="38"/>
      <c r="AU181" s="38"/>
      <c r="AV181" s="38"/>
      <c r="AW181" s="38"/>
      <c r="AX181" s="38"/>
      <c r="AY181" s="38"/>
      <c r="AZ181" s="38"/>
      <c r="BA181" s="38"/>
      <c r="BB181" s="38"/>
      <c r="BC181" s="38"/>
      <c r="BD181" s="38"/>
      <c r="BE181" s="61"/>
      <c r="BF181" s="38"/>
    </row>
    <row r="182" spans="1:58" ht="12.75" customHeight="1">
      <c r="A182" s="35"/>
      <c r="B182" s="35"/>
      <c r="C182" s="35"/>
      <c r="D182" s="35"/>
      <c r="E182" s="67"/>
      <c r="F182" s="67"/>
      <c r="G182" s="36"/>
      <c r="H182" s="29"/>
      <c r="I182" s="78"/>
      <c r="J182" s="29"/>
      <c r="K182" s="29"/>
      <c r="L182" s="33"/>
      <c r="M182" s="33"/>
      <c r="N182" s="60"/>
      <c r="O182" s="71"/>
      <c r="P182" s="71"/>
      <c r="Q182" s="33"/>
      <c r="R182" s="31"/>
      <c r="S182" s="31"/>
      <c r="T182" s="59"/>
      <c r="U182" s="59"/>
      <c r="V182" s="59"/>
      <c r="W182" s="57"/>
      <c r="X182" s="126"/>
      <c r="Y182" s="28"/>
      <c r="Z182" s="33"/>
      <c r="AA182" s="34"/>
      <c r="AB182" s="30"/>
      <c r="AC182" s="30"/>
      <c r="AD182" s="32"/>
      <c r="AE182" s="32"/>
      <c r="AF182" s="2"/>
      <c r="AG182" s="2"/>
      <c r="AH182" s="2"/>
      <c r="AI182" s="2"/>
      <c r="AK182" s="73"/>
      <c r="AL182" s="73"/>
      <c r="AM182" s="38"/>
      <c r="AN182" s="38"/>
      <c r="AO182" s="38"/>
      <c r="AP182" s="38"/>
      <c r="AQ182" s="38"/>
      <c r="AR182" s="38"/>
      <c r="AS182" s="38"/>
      <c r="AT182" s="38"/>
      <c r="AU182" s="38"/>
      <c r="AV182" s="38"/>
      <c r="AW182" s="38"/>
      <c r="AX182" s="38"/>
      <c r="AY182" s="38"/>
      <c r="AZ182" s="38"/>
      <c r="BA182" s="38"/>
      <c r="BB182" s="38"/>
      <c r="BC182" s="38"/>
      <c r="BD182" s="38"/>
      <c r="BE182" s="61"/>
      <c r="BF182" s="38"/>
    </row>
    <row r="183" spans="1:58" ht="12.75" customHeight="1">
      <c r="A183" s="35"/>
      <c r="B183" s="35"/>
      <c r="C183" s="35"/>
      <c r="D183" s="35"/>
      <c r="E183" s="67"/>
      <c r="F183" s="67"/>
      <c r="G183" s="36"/>
      <c r="H183" s="29"/>
      <c r="I183" s="78"/>
      <c r="J183" s="29"/>
      <c r="K183" s="29"/>
      <c r="L183" s="33"/>
      <c r="M183" s="33"/>
      <c r="N183" s="60"/>
      <c r="O183" s="71"/>
      <c r="P183" s="71"/>
      <c r="Q183" s="33"/>
      <c r="R183" s="31"/>
      <c r="S183" s="31"/>
      <c r="T183" s="59"/>
      <c r="U183" s="59"/>
      <c r="V183" s="59"/>
      <c r="W183" s="57"/>
      <c r="X183" s="126"/>
      <c r="Y183" s="28"/>
      <c r="Z183" s="33"/>
      <c r="AA183" s="34"/>
      <c r="AB183" s="30"/>
      <c r="AC183" s="30"/>
      <c r="AD183" s="32"/>
      <c r="AE183" s="32"/>
      <c r="AF183" s="2"/>
      <c r="AG183" s="2"/>
      <c r="AH183" s="2"/>
      <c r="AI183" s="2"/>
      <c r="AK183" s="73"/>
      <c r="AL183" s="73"/>
      <c r="AM183" s="38"/>
      <c r="AN183" s="38"/>
      <c r="AO183" s="38"/>
      <c r="AP183" s="38"/>
      <c r="AQ183" s="38"/>
      <c r="AR183" s="38"/>
      <c r="AS183" s="38"/>
      <c r="AT183" s="38"/>
      <c r="AU183" s="38"/>
      <c r="AV183" s="38"/>
      <c r="AW183" s="38"/>
      <c r="AX183" s="38"/>
      <c r="AY183" s="38"/>
      <c r="AZ183" s="38"/>
      <c r="BA183" s="38"/>
      <c r="BB183" s="38"/>
      <c r="BC183" s="38"/>
      <c r="BD183" s="38"/>
      <c r="BE183" s="61"/>
      <c r="BF183" s="38"/>
    </row>
    <row r="184" spans="1:58" ht="12.75" customHeight="1">
      <c r="A184" s="35"/>
      <c r="B184" s="35"/>
      <c r="C184" s="35"/>
      <c r="D184" s="35"/>
      <c r="E184" s="67"/>
      <c r="F184" s="67"/>
      <c r="G184" s="36"/>
      <c r="H184" s="29"/>
      <c r="I184" s="78"/>
      <c r="J184" s="29"/>
      <c r="K184" s="29"/>
      <c r="L184" s="33"/>
      <c r="M184" s="33"/>
      <c r="N184" s="60"/>
      <c r="O184" s="71"/>
      <c r="P184" s="71"/>
      <c r="Q184" s="33"/>
      <c r="R184" s="31"/>
      <c r="S184" s="31"/>
      <c r="T184" s="59"/>
      <c r="U184" s="59"/>
      <c r="V184" s="59"/>
      <c r="W184" s="57"/>
      <c r="X184" s="126"/>
      <c r="Y184" s="28"/>
      <c r="Z184" s="33"/>
      <c r="AA184" s="34"/>
      <c r="AB184" s="30"/>
      <c r="AC184" s="30"/>
      <c r="AD184" s="32"/>
      <c r="AE184" s="32"/>
      <c r="AF184" s="2"/>
      <c r="AG184" s="2"/>
      <c r="AH184" s="2"/>
      <c r="AI184" s="2"/>
      <c r="AK184" s="73"/>
      <c r="AL184" s="73"/>
      <c r="AM184" s="38"/>
      <c r="AN184" s="38"/>
      <c r="AO184" s="38"/>
      <c r="AP184" s="38"/>
      <c r="AQ184" s="38"/>
      <c r="AR184" s="38"/>
      <c r="AS184" s="38"/>
      <c r="AT184" s="38"/>
      <c r="AU184" s="38"/>
      <c r="AV184" s="38"/>
      <c r="AW184" s="38"/>
      <c r="AX184" s="38"/>
      <c r="AY184" s="38"/>
      <c r="AZ184" s="38"/>
      <c r="BA184" s="38"/>
      <c r="BB184" s="38"/>
      <c r="BC184" s="38"/>
      <c r="BD184" s="38"/>
      <c r="BE184" s="61"/>
      <c r="BF184" s="38"/>
    </row>
    <row r="185" spans="1:58" ht="12.75" customHeight="1">
      <c r="A185" s="35"/>
      <c r="B185" s="35"/>
      <c r="C185" s="35"/>
      <c r="D185" s="35"/>
      <c r="E185" s="67"/>
      <c r="F185" s="67"/>
      <c r="G185" s="36"/>
      <c r="H185" s="29"/>
      <c r="I185" s="78"/>
      <c r="J185" s="29"/>
      <c r="K185" s="29"/>
      <c r="L185" s="33"/>
      <c r="M185" s="33"/>
      <c r="N185" s="60"/>
      <c r="O185" s="71"/>
      <c r="P185" s="71"/>
      <c r="Q185" s="33"/>
      <c r="R185" s="31"/>
      <c r="S185" s="31"/>
      <c r="T185" s="59"/>
      <c r="U185" s="59"/>
      <c r="V185" s="59"/>
      <c r="W185" s="57"/>
      <c r="X185" s="126"/>
      <c r="Y185" s="28"/>
      <c r="Z185" s="33"/>
      <c r="AA185" s="34"/>
      <c r="AB185" s="30"/>
      <c r="AC185" s="30"/>
      <c r="AD185" s="32"/>
      <c r="AE185" s="32"/>
      <c r="AF185" s="2"/>
      <c r="AG185" s="2"/>
      <c r="AH185" s="2"/>
      <c r="AI185" s="2"/>
      <c r="AK185" s="73"/>
      <c r="AL185" s="73"/>
      <c r="AM185" s="38"/>
      <c r="AN185" s="38"/>
      <c r="AO185" s="38"/>
      <c r="AP185" s="38"/>
      <c r="AQ185" s="38"/>
      <c r="AR185" s="38"/>
      <c r="AS185" s="38"/>
      <c r="AT185" s="38"/>
      <c r="AU185" s="38"/>
      <c r="AV185" s="38"/>
      <c r="AW185" s="38"/>
      <c r="AX185" s="38"/>
      <c r="AY185" s="38"/>
      <c r="AZ185" s="38"/>
      <c r="BA185" s="38"/>
      <c r="BB185" s="38"/>
      <c r="BC185" s="38"/>
      <c r="BD185" s="38"/>
      <c r="BE185" s="61"/>
      <c r="BF185" s="38"/>
    </row>
    <row r="186" spans="1:58" ht="12.75" customHeight="1">
      <c r="A186" s="35"/>
      <c r="B186" s="35"/>
      <c r="C186" s="35"/>
      <c r="D186" s="35"/>
      <c r="E186" s="67"/>
      <c r="F186" s="67"/>
      <c r="G186" s="36"/>
      <c r="H186" s="29"/>
      <c r="I186" s="78"/>
      <c r="J186" s="29"/>
      <c r="K186" s="29"/>
      <c r="L186" s="33"/>
      <c r="M186" s="33"/>
      <c r="N186" s="60"/>
      <c r="O186" s="71"/>
      <c r="P186" s="71"/>
      <c r="Q186" s="33"/>
      <c r="R186" s="31"/>
      <c r="S186" s="31"/>
      <c r="T186" s="59"/>
      <c r="U186" s="59"/>
      <c r="V186" s="59"/>
      <c r="W186" s="57"/>
      <c r="X186" s="126"/>
      <c r="Y186" s="28"/>
      <c r="Z186" s="33"/>
      <c r="AA186" s="34"/>
      <c r="AB186" s="30"/>
      <c r="AC186" s="30"/>
      <c r="AD186" s="32"/>
      <c r="AE186" s="32"/>
      <c r="AF186" s="2"/>
      <c r="AG186" s="2"/>
      <c r="AH186" s="2"/>
      <c r="AI186" s="2"/>
      <c r="AK186" s="73"/>
      <c r="AL186" s="73"/>
      <c r="AM186" s="38"/>
      <c r="AN186" s="38"/>
      <c r="AO186" s="38"/>
      <c r="AP186" s="38"/>
      <c r="AQ186" s="38"/>
      <c r="AR186" s="38"/>
      <c r="AS186" s="38"/>
      <c r="AT186" s="38"/>
      <c r="AU186" s="38"/>
      <c r="AV186" s="38"/>
      <c r="AW186" s="38"/>
      <c r="AX186" s="38"/>
      <c r="AY186" s="38"/>
      <c r="AZ186" s="38"/>
      <c r="BA186" s="38"/>
      <c r="BB186" s="38"/>
      <c r="BC186" s="38"/>
      <c r="BD186" s="38"/>
      <c r="BE186" s="61"/>
      <c r="BF186" s="38"/>
    </row>
    <row r="187" spans="1:58" ht="12.75" customHeight="1">
      <c r="A187" s="35"/>
      <c r="B187" s="35"/>
      <c r="C187" s="35"/>
      <c r="D187" s="35"/>
      <c r="E187" s="67"/>
      <c r="F187" s="67"/>
      <c r="G187" s="36"/>
      <c r="H187" s="29"/>
      <c r="I187" s="78"/>
      <c r="J187" s="29"/>
      <c r="K187" s="29"/>
      <c r="L187" s="33"/>
      <c r="M187" s="33"/>
      <c r="N187" s="60"/>
      <c r="O187" s="71"/>
      <c r="P187" s="71"/>
      <c r="Q187" s="33"/>
      <c r="R187" s="31"/>
      <c r="S187" s="31"/>
      <c r="T187" s="59"/>
      <c r="U187" s="59"/>
      <c r="V187" s="59"/>
      <c r="W187" s="57"/>
      <c r="X187" s="126"/>
      <c r="Y187" s="28"/>
      <c r="Z187" s="33"/>
      <c r="AA187" s="34"/>
      <c r="AB187" s="30"/>
      <c r="AC187" s="30"/>
      <c r="AD187" s="32"/>
      <c r="AE187" s="32"/>
      <c r="AF187" s="2"/>
      <c r="AG187" s="2"/>
      <c r="AH187" s="2"/>
      <c r="AI187" s="2"/>
      <c r="AK187" s="73"/>
      <c r="AL187" s="73"/>
      <c r="AM187" s="38"/>
      <c r="AN187" s="38"/>
      <c r="AO187" s="38"/>
      <c r="AP187" s="38"/>
      <c r="AQ187" s="38"/>
      <c r="AR187" s="38"/>
      <c r="AS187" s="38"/>
      <c r="AT187" s="38"/>
      <c r="AU187" s="38"/>
      <c r="AV187" s="38"/>
      <c r="AW187" s="38"/>
      <c r="AX187" s="38"/>
      <c r="AY187" s="38"/>
      <c r="AZ187" s="38"/>
      <c r="BA187" s="38"/>
      <c r="BB187" s="38"/>
      <c r="BC187" s="38"/>
      <c r="BD187" s="38"/>
      <c r="BE187" s="61"/>
      <c r="BF187" s="38"/>
    </row>
    <row r="188" spans="1:58" ht="12.75" customHeight="1">
      <c r="A188" s="35"/>
      <c r="B188" s="35"/>
      <c r="C188" s="35"/>
      <c r="D188" s="35"/>
      <c r="E188" s="67"/>
      <c r="F188" s="67"/>
      <c r="G188" s="36"/>
      <c r="H188" s="29"/>
      <c r="I188" s="78"/>
      <c r="J188" s="29"/>
      <c r="K188" s="29"/>
      <c r="L188" s="33"/>
      <c r="M188" s="33"/>
      <c r="N188" s="60"/>
      <c r="O188" s="71"/>
      <c r="P188" s="71"/>
      <c r="Q188" s="33"/>
      <c r="R188" s="31"/>
      <c r="S188" s="31"/>
      <c r="T188" s="59"/>
      <c r="U188" s="59"/>
      <c r="V188" s="59"/>
      <c r="W188" s="57"/>
      <c r="X188" s="126"/>
      <c r="Y188" s="28"/>
      <c r="Z188" s="33"/>
      <c r="AA188" s="34"/>
      <c r="AB188" s="30"/>
      <c r="AC188" s="30"/>
      <c r="AD188" s="32"/>
      <c r="AE188" s="32"/>
      <c r="AF188" s="2"/>
      <c r="AG188" s="2"/>
      <c r="AH188" s="2"/>
      <c r="AI188" s="2"/>
      <c r="AK188" s="73"/>
      <c r="AL188" s="73"/>
      <c r="AM188" s="38"/>
      <c r="AN188" s="38"/>
      <c r="AO188" s="38"/>
      <c r="AP188" s="38"/>
      <c r="AQ188" s="38"/>
      <c r="AR188" s="38"/>
      <c r="AS188" s="38"/>
      <c r="AT188" s="38"/>
      <c r="AU188" s="38"/>
      <c r="AV188" s="38"/>
      <c r="AW188" s="38"/>
      <c r="AX188" s="38"/>
      <c r="AY188" s="38"/>
      <c r="AZ188" s="38"/>
      <c r="BA188" s="38"/>
      <c r="BB188" s="38"/>
      <c r="BC188" s="38"/>
      <c r="BD188" s="38"/>
      <c r="BE188" s="61"/>
      <c r="BF188" s="38"/>
    </row>
    <row r="189" spans="1:58" ht="12.75" customHeight="1">
      <c r="A189" s="35"/>
      <c r="B189" s="35"/>
      <c r="C189" s="35"/>
      <c r="D189" s="35"/>
      <c r="E189" s="67"/>
      <c r="F189" s="67"/>
      <c r="G189" s="36"/>
      <c r="H189" s="29"/>
      <c r="I189" s="78"/>
      <c r="J189" s="29"/>
      <c r="K189" s="29"/>
      <c r="L189" s="33"/>
      <c r="M189" s="33"/>
      <c r="N189" s="60"/>
      <c r="O189" s="71"/>
      <c r="P189" s="71"/>
      <c r="Q189" s="33"/>
      <c r="R189" s="31"/>
      <c r="S189" s="31"/>
      <c r="T189" s="59"/>
      <c r="U189" s="59"/>
      <c r="V189" s="59"/>
      <c r="W189" s="57"/>
      <c r="X189" s="126"/>
      <c r="Y189" s="28"/>
      <c r="Z189" s="33"/>
      <c r="AA189" s="34"/>
      <c r="AB189" s="30"/>
      <c r="AC189" s="30"/>
      <c r="AD189" s="32"/>
      <c r="AE189" s="32"/>
      <c r="AF189" s="2"/>
      <c r="AG189" s="2"/>
      <c r="AH189" s="2"/>
      <c r="AI189" s="2"/>
      <c r="AK189" s="73"/>
      <c r="AL189" s="73"/>
      <c r="AM189" s="38"/>
      <c r="AN189" s="38"/>
      <c r="AO189" s="38"/>
      <c r="AP189" s="38"/>
      <c r="AQ189" s="38"/>
      <c r="AR189" s="38"/>
      <c r="AS189" s="38"/>
      <c r="AT189" s="38"/>
      <c r="AU189" s="38"/>
      <c r="AV189" s="38"/>
      <c r="AW189" s="38"/>
      <c r="AX189" s="38"/>
      <c r="AY189" s="38"/>
      <c r="AZ189" s="38"/>
      <c r="BA189" s="38"/>
      <c r="BB189" s="38"/>
      <c r="BC189" s="38"/>
      <c r="BD189" s="38"/>
      <c r="BE189" s="61"/>
      <c r="BF189" s="38"/>
    </row>
    <row r="190" spans="1:58" ht="12.75" customHeight="1">
      <c r="A190" s="35"/>
      <c r="B190" s="35"/>
      <c r="C190" s="35"/>
      <c r="D190" s="35"/>
      <c r="E190" s="67"/>
      <c r="F190" s="67"/>
      <c r="G190" s="36"/>
      <c r="H190" s="29"/>
      <c r="I190" s="78" t="str">
        <f t="shared" ref="I190:I199" si="0">IF(H190&lt;&gt;0,(H190-G190)/H190,"")</f>
        <v/>
      </c>
      <c r="J190" s="29"/>
      <c r="K190" s="29"/>
      <c r="L190" s="33"/>
      <c r="M190" s="33"/>
      <c r="N190" s="60"/>
      <c r="O190" s="71"/>
      <c r="P190" s="71"/>
      <c r="Q190" s="33"/>
      <c r="R190" s="31"/>
      <c r="S190" s="31"/>
      <c r="T190" s="59"/>
      <c r="U190" s="59"/>
      <c r="V190" s="59"/>
      <c r="W190" s="57">
        <f t="shared" ref="W190:W199" si="1">IF(ISERR(Q190*R190*S190),"",(Q190*R190*S190))</f>
        <v>0</v>
      </c>
      <c r="X190" s="126" t="str">
        <f>IF(Table1[[#This Row],[Shipping Weight Pounds]]&gt;150,"See LTL Form","No")</f>
        <v>No</v>
      </c>
      <c r="Y190" s="28"/>
      <c r="Z190" s="33"/>
      <c r="AA190" s="34"/>
      <c r="AB190" s="30"/>
      <c r="AC190" s="30"/>
      <c r="AD190" s="32"/>
      <c r="AE190" s="32"/>
      <c r="AF190" s="2"/>
      <c r="AG190" s="2"/>
      <c r="AH190" s="2"/>
      <c r="AI190" s="2"/>
      <c r="AK190" s="73" t="str">
        <f>IF(ISNA(MATCH($N190,[1]data!$A:$A,0)),"",INDEX([1]data!S:S,MATCH($N190,[1]data!$A:$A,0)))</f>
        <v/>
      </c>
      <c r="AL190" s="73" t="str">
        <f>IF(ISNA(MATCH($N190,[1]data!$A:$A,0)),"",INDEX([1]data!V:V,MATCH($N190,[1]data!$A:$A,0)))</f>
        <v/>
      </c>
      <c r="AM190" s="38" t="str">
        <f>IF(ISNA(MATCH($N190,data!$A:$A,0)),"",INDEX(data!B:B,MATCH($N190,data!$A:$A,0)))</f>
        <v/>
      </c>
      <c r="AN190" s="38" t="str">
        <f>IF(ISNA(MATCH($N190,data!$A:$A,0)),"",INDEX(data!C:C,MATCH($N190,data!$A:$A,0)))</f>
        <v/>
      </c>
      <c r="AO190" s="38" t="str">
        <f>IF(ISNA(MATCH($N190,data!$A:$A,0)),"",INDEX(data!D:D,MATCH($N190,data!$A:$A,0)))</f>
        <v/>
      </c>
      <c r="AP190" s="38" t="str">
        <f>IF(ISNA(MATCH($N190,data!$A:$A,0)),"",INDEX(data!E:E,MATCH($N190,data!$A:$A,0)))</f>
        <v/>
      </c>
      <c r="AQ190" s="38" t="str">
        <f>IF(ISNA(MATCH($N190,data!$A:$A,0)),"",INDEX(data!F:F,MATCH($N190,data!$A:$A,0)))</f>
        <v/>
      </c>
      <c r="AR190" s="38" t="str">
        <f>IF(ISNA(MATCH($N190,data!$A:$A,0)),"",INDEX(data!G:G,MATCH($N190,data!$A:$A,0)))</f>
        <v/>
      </c>
      <c r="AS190" s="38" t="str">
        <f>IF(ISNA(MATCH($N190,data!$A:$A,0)),"",INDEX(data!H:H,MATCH($N190,data!$A:$A,0)))</f>
        <v/>
      </c>
      <c r="AT190" s="38" t="str">
        <f>IF(ISNA(MATCH($N190,data!$A:$A,0)),"",INDEX(data!I:I,MATCH($N190,data!$A:$A,0)))</f>
        <v/>
      </c>
      <c r="AU190" s="38" t="str">
        <f>IF(ISNA(MATCH($N190,[1]data!$A:$A,0)),"",INDEX([1]data!L:L,MATCH($N190,[1]data!$A:$A,0)))</f>
        <v/>
      </c>
      <c r="AV190" s="38" t="str">
        <f>IF(ISNA(MATCH($N190,[1]data!$A:$A,0)),"",INDEX([1]data!M:M,MATCH($N190,[1]data!$A:$A,0)))</f>
        <v/>
      </c>
      <c r="AW190" s="38" t="str">
        <f>IF(ISNA(MATCH($N190,data!$A:$A,0)),"",INDEX(data!J:J,MATCH($N190,data!$A:$A,0)))</f>
        <v/>
      </c>
      <c r="AX190" s="38" t="str">
        <f>IF(ISNA(MATCH($N190,data!$A:$A,0)),"",INDEX(data!K:K,MATCH($N190,data!$A:$A,0)))</f>
        <v/>
      </c>
      <c r="AY190" s="38" t="str">
        <f>IF(ISNA(MATCH($N190,data!$A:$A,0)),"",INDEX(data!O:O,MATCH($N190,data!$A:$A,0)))</f>
        <v/>
      </c>
      <c r="AZ190" s="38" t="str">
        <f>IF(ISNA(MATCH($N190,data!$A:$A,0)),"",INDEX(data!N:N,MATCH($N190,data!$A:$A,0)))</f>
        <v/>
      </c>
      <c r="BA190" s="38" t="str">
        <f>IF(ISNA(MATCH($N190,data!$A:$A,0)),"",INDEX(data!P:P,MATCH($N190,data!$A:$A,0)))</f>
        <v/>
      </c>
      <c r="BB190" s="38" t="str">
        <f>IF(ISNA(MATCH($N190,data!$A:$A,0)),"",INDEX(data!Q:Q,MATCH($N190,data!$A:$A,0)))</f>
        <v/>
      </c>
      <c r="BC190" s="38" t="str">
        <f>IF(ISNA(MATCH($N190,data!$A:$A,0)),"",INDEX(data!R:R,MATCH($N190,data!$A:$A,0)))</f>
        <v/>
      </c>
      <c r="BD190" s="38" t="str">
        <f>IF(ISNA(MATCH($N190,[1]data!$A:$A,0)),"",INDEX([1]data!U:U,MATCH($N190,[1]data!$A:$A,0)))</f>
        <v/>
      </c>
      <c r="BE190" s="61" t="e">
        <f>IF(COUNTIF([1]data!A:A,[1]!Table1[[#This Row],[UPC]])&lt;2,"","DUP")</f>
        <v>#VALUE!</v>
      </c>
      <c r="BF190" s="38" t="str">
        <f>IF(ISNA(MATCH($N190,data!$A:$A,0)),"",INDEX(data!W:W,MATCH($N190,data!$A:$A,0)))</f>
        <v/>
      </c>
    </row>
    <row r="191" spans="1:58" ht="12.75" customHeight="1">
      <c r="A191" s="35"/>
      <c r="B191" s="35"/>
      <c r="C191" s="35"/>
      <c r="D191" s="35"/>
      <c r="E191" s="67"/>
      <c r="F191" s="67"/>
      <c r="G191" s="36"/>
      <c r="H191" s="29"/>
      <c r="I191" s="78" t="str">
        <f t="shared" si="0"/>
        <v/>
      </c>
      <c r="J191" s="29"/>
      <c r="K191" s="29"/>
      <c r="L191" s="33"/>
      <c r="M191" s="33"/>
      <c r="N191" s="60"/>
      <c r="O191" s="71"/>
      <c r="P191" s="71"/>
      <c r="Q191" s="33"/>
      <c r="R191" s="31"/>
      <c r="S191" s="31"/>
      <c r="T191" s="59"/>
      <c r="U191" s="59"/>
      <c r="V191" s="59"/>
      <c r="W191" s="57">
        <f t="shared" si="1"/>
        <v>0</v>
      </c>
      <c r="X191" s="126" t="str">
        <f>IF(Table1[[#This Row],[Shipping Weight Pounds]]&gt;150,"See LTL Form","No")</f>
        <v>No</v>
      </c>
      <c r="Y191" s="28"/>
      <c r="Z191" s="33"/>
      <c r="AA191" s="34"/>
      <c r="AB191" s="30"/>
      <c r="AC191" s="30"/>
      <c r="AD191" s="32"/>
      <c r="AE191" s="32"/>
      <c r="AF191" s="2"/>
      <c r="AG191" s="2"/>
      <c r="AH191" s="2"/>
      <c r="AI191" s="2"/>
      <c r="AK191" s="73" t="str">
        <f>IF(ISNA(MATCH($N191,[1]data!$A:$A,0)),"",INDEX([1]data!S:S,MATCH($N191,[1]data!$A:$A,0)))</f>
        <v/>
      </c>
      <c r="AL191" s="73" t="str">
        <f>IF(ISNA(MATCH($N191,[1]data!$A:$A,0)),"",INDEX([1]data!V:V,MATCH($N191,[1]data!$A:$A,0)))</f>
        <v/>
      </c>
      <c r="AM191" s="38" t="str">
        <f>IF(ISNA(MATCH($N191,data!$A:$A,0)),"",INDEX(data!B:B,MATCH($N191,data!$A:$A,0)))</f>
        <v/>
      </c>
      <c r="AN191" s="38" t="str">
        <f>IF(ISNA(MATCH($N191,data!$A:$A,0)),"",INDEX(data!C:C,MATCH($N191,data!$A:$A,0)))</f>
        <v/>
      </c>
      <c r="AO191" s="38" t="str">
        <f>IF(ISNA(MATCH($N191,data!$A:$A,0)),"",INDEX(data!D:D,MATCH($N191,data!$A:$A,0)))</f>
        <v/>
      </c>
      <c r="AP191" s="38" t="str">
        <f>IF(ISNA(MATCH($N191,data!$A:$A,0)),"",INDEX(data!E:E,MATCH($N191,data!$A:$A,0)))</f>
        <v/>
      </c>
      <c r="AQ191" s="38" t="str">
        <f>IF(ISNA(MATCH($N191,data!$A:$A,0)),"",INDEX(data!F:F,MATCH($N191,data!$A:$A,0)))</f>
        <v/>
      </c>
      <c r="AR191" s="38" t="str">
        <f>IF(ISNA(MATCH($N191,data!$A:$A,0)),"",INDEX(data!G:G,MATCH($N191,data!$A:$A,0)))</f>
        <v/>
      </c>
      <c r="AS191" s="38" t="str">
        <f>IF(ISNA(MATCH($N191,data!$A:$A,0)),"",INDEX(data!H:H,MATCH($N191,data!$A:$A,0)))</f>
        <v/>
      </c>
      <c r="AT191" s="38" t="str">
        <f>IF(ISNA(MATCH($N191,data!$A:$A,0)),"",INDEX(data!I:I,MATCH($N191,data!$A:$A,0)))</f>
        <v/>
      </c>
      <c r="AU191" s="38" t="str">
        <f>IF(ISNA(MATCH($N191,[1]data!$A:$A,0)),"",INDEX([1]data!L:L,MATCH($N191,[1]data!$A:$A,0)))</f>
        <v/>
      </c>
      <c r="AV191" s="38" t="str">
        <f>IF(ISNA(MATCH($N191,[1]data!$A:$A,0)),"",INDEX([1]data!M:M,MATCH($N191,[1]data!$A:$A,0)))</f>
        <v/>
      </c>
      <c r="AW191" s="38" t="str">
        <f>IF(ISNA(MATCH($N191,data!$A:$A,0)),"",INDEX(data!J:J,MATCH($N191,data!$A:$A,0)))</f>
        <v/>
      </c>
      <c r="AX191" s="38" t="str">
        <f>IF(ISNA(MATCH($N191,data!$A:$A,0)),"",INDEX(data!K:K,MATCH($N191,data!$A:$A,0)))</f>
        <v/>
      </c>
      <c r="AY191" s="38" t="str">
        <f>IF(ISNA(MATCH($N191,data!$A:$A,0)),"",INDEX(data!O:O,MATCH($N191,data!$A:$A,0)))</f>
        <v/>
      </c>
      <c r="AZ191" s="38" t="str">
        <f>IF(ISNA(MATCH($N191,data!$A:$A,0)),"",INDEX(data!N:N,MATCH($N191,data!$A:$A,0)))</f>
        <v/>
      </c>
      <c r="BA191" s="38" t="str">
        <f>IF(ISNA(MATCH($N191,data!$A:$A,0)),"",INDEX(data!P:P,MATCH($N191,data!$A:$A,0)))</f>
        <v/>
      </c>
      <c r="BB191" s="38" t="str">
        <f>IF(ISNA(MATCH($N191,data!$A:$A,0)),"",INDEX(data!Q:Q,MATCH($N191,data!$A:$A,0)))</f>
        <v/>
      </c>
      <c r="BC191" s="38" t="str">
        <f>IF(ISNA(MATCH($N191,data!$A:$A,0)),"",INDEX(data!R:R,MATCH($N191,data!$A:$A,0)))</f>
        <v/>
      </c>
      <c r="BD191" s="38" t="str">
        <f>IF(ISNA(MATCH($N191,[1]data!$A:$A,0)),"",INDEX([1]data!U:U,MATCH($N191,[1]data!$A:$A,0)))</f>
        <v/>
      </c>
      <c r="BE191" s="61" t="e">
        <f>IF(COUNTIF([1]data!A:A,[1]!Table1[[#This Row],[UPC]])&lt;2,"","DUP")</f>
        <v>#VALUE!</v>
      </c>
      <c r="BF191" s="38" t="str">
        <f>IF(ISNA(MATCH($N191,data!$A:$A,0)),"",INDEX(data!W:W,MATCH($N191,data!$A:$A,0)))</f>
        <v/>
      </c>
    </row>
    <row r="192" spans="1:58" ht="12.75" customHeight="1">
      <c r="A192" s="35"/>
      <c r="B192" s="35"/>
      <c r="C192" s="35"/>
      <c r="D192" s="35"/>
      <c r="E192" s="67"/>
      <c r="F192" s="67"/>
      <c r="G192" s="36"/>
      <c r="H192" s="29"/>
      <c r="I192" s="78" t="str">
        <f t="shared" si="0"/>
        <v/>
      </c>
      <c r="J192" s="29"/>
      <c r="K192" s="29"/>
      <c r="L192" s="33"/>
      <c r="M192" s="33"/>
      <c r="N192" s="60"/>
      <c r="O192" s="71"/>
      <c r="P192" s="71"/>
      <c r="Q192" s="33"/>
      <c r="R192" s="31"/>
      <c r="S192" s="31"/>
      <c r="T192" s="59"/>
      <c r="U192" s="59"/>
      <c r="V192" s="59"/>
      <c r="W192" s="57">
        <f t="shared" si="1"/>
        <v>0</v>
      </c>
      <c r="X192" s="126" t="str">
        <f>IF(Table1[[#This Row],[Shipping Weight Pounds]]&gt;150,"See LTL Form","No")</f>
        <v>No</v>
      </c>
      <c r="Y192" s="28"/>
      <c r="Z192" s="33"/>
      <c r="AA192" s="34"/>
      <c r="AB192" s="30"/>
      <c r="AC192" s="30"/>
      <c r="AD192" s="32"/>
      <c r="AE192" s="32"/>
      <c r="AF192" s="2"/>
      <c r="AG192" s="2"/>
      <c r="AH192" s="2"/>
      <c r="AI192" s="2"/>
      <c r="AK192" s="73" t="str">
        <f>IF(ISNA(MATCH($N192,[1]data!$A:$A,0)),"",INDEX([1]data!S:S,MATCH($N192,[1]data!$A:$A,0)))</f>
        <v/>
      </c>
      <c r="AL192" s="73" t="str">
        <f>IF(ISNA(MATCH($N192,[1]data!$A:$A,0)),"",INDEX([1]data!V:V,MATCH($N192,[1]data!$A:$A,0)))</f>
        <v/>
      </c>
      <c r="AM192" s="38" t="str">
        <f>IF(ISNA(MATCH($N192,data!$A:$A,0)),"",INDEX(data!B:B,MATCH($N192,data!$A:$A,0)))</f>
        <v/>
      </c>
      <c r="AN192" s="38" t="str">
        <f>IF(ISNA(MATCH($N192,data!$A:$A,0)),"",INDEX(data!C:C,MATCH($N192,data!$A:$A,0)))</f>
        <v/>
      </c>
      <c r="AO192" s="38" t="str">
        <f>IF(ISNA(MATCH($N192,data!$A:$A,0)),"",INDEX(data!D:D,MATCH($N192,data!$A:$A,0)))</f>
        <v/>
      </c>
      <c r="AP192" s="38" t="str">
        <f>IF(ISNA(MATCH($N192,data!$A:$A,0)),"",INDEX(data!E:E,MATCH($N192,data!$A:$A,0)))</f>
        <v/>
      </c>
      <c r="AQ192" s="38" t="str">
        <f>IF(ISNA(MATCH($N192,data!$A:$A,0)),"",INDEX(data!F:F,MATCH($N192,data!$A:$A,0)))</f>
        <v/>
      </c>
      <c r="AR192" s="38" t="str">
        <f>IF(ISNA(MATCH($N192,data!$A:$A,0)),"",INDEX(data!G:G,MATCH($N192,data!$A:$A,0)))</f>
        <v/>
      </c>
      <c r="AS192" s="38" t="str">
        <f>IF(ISNA(MATCH($N192,data!$A:$A,0)),"",INDEX(data!H:H,MATCH($N192,data!$A:$A,0)))</f>
        <v/>
      </c>
      <c r="AT192" s="38" t="str">
        <f>IF(ISNA(MATCH($N192,data!$A:$A,0)),"",INDEX(data!I:I,MATCH($N192,data!$A:$A,0)))</f>
        <v/>
      </c>
      <c r="AU192" s="38" t="str">
        <f>IF(ISNA(MATCH($N192,[1]data!$A:$A,0)),"",INDEX([1]data!L:L,MATCH($N192,[1]data!$A:$A,0)))</f>
        <v/>
      </c>
      <c r="AV192" s="38" t="str">
        <f>IF(ISNA(MATCH($N192,[1]data!$A:$A,0)),"",INDEX([1]data!M:M,MATCH($N192,[1]data!$A:$A,0)))</f>
        <v/>
      </c>
      <c r="AW192" s="38" t="str">
        <f>IF(ISNA(MATCH($N192,data!$A:$A,0)),"",INDEX(data!J:J,MATCH($N192,data!$A:$A,0)))</f>
        <v/>
      </c>
      <c r="AX192" s="38" t="str">
        <f>IF(ISNA(MATCH($N192,data!$A:$A,0)),"",INDEX(data!K:K,MATCH($N192,data!$A:$A,0)))</f>
        <v/>
      </c>
      <c r="AY192" s="38" t="str">
        <f>IF(ISNA(MATCH($N192,data!$A:$A,0)),"",INDEX(data!O:O,MATCH($N192,data!$A:$A,0)))</f>
        <v/>
      </c>
      <c r="AZ192" s="38" t="str">
        <f>IF(ISNA(MATCH($N192,data!$A:$A,0)),"",INDEX(data!N:N,MATCH($N192,data!$A:$A,0)))</f>
        <v/>
      </c>
      <c r="BA192" s="38" t="str">
        <f>IF(ISNA(MATCH($N192,data!$A:$A,0)),"",INDEX(data!P:P,MATCH($N192,data!$A:$A,0)))</f>
        <v/>
      </c>
      <c r="BB192" s="38" t="str">
        <f>IF(ISNA(MATCH($N192,data!$A:$A,0)),"",INDEX(data!Q:Q,MATCH($N192,data!$A:$A,0)))</f>
        <v/>
      </c>
      <c r="BC192" s="38" t="str">
        <f>IF(ISNA(MATCH($N192,data!$A:$A,0)),"",INDEX(data!R:R,MATCH($N192,data!$A:$A,0)))</f>
        <v/>
      </c>
      <c r="BD192" s="38" t="str">
        <f>IF(ISNA(MATCH($N192,[1]data!$A:$A,0)),"",INDEX([1]data!U:U,MATCH($N192,[1]data!$A:$A,0)))</f>
        <v/>
      </c>
      <c r="BE192" s="61" t="e">
        <f>IF(COUNTIF([1]data!A:A,[1]!Table1[[#This Row],[UPC]])&lt;2,"","DUP")</f>
        <v>#VALUE!</v>
      </c>
      <c r="BF192" s="38" t="str">
        <f>IF(ISNA(MATCH($N192,data!$A:$A,0)),"",INDEX(data!W:W,MATCH($N192,data!$A:$A,0)))</f>
        <v/>
      </c>
    </row>
    <row r="193" spans="1:58" ht="12.75" customHeight="1">
      <c r="A193" s="35"/>
      <c r="B193" s="35"/>
      <c r="C193" s="35"/>
      <c r="D193" s="35"/>
      <c r="E193" s="67"/>
      <c r="F193" s="67"/>
      <c r="G193" s="36"/>
      <c r="H193" s="29"/>
      <c r="I193" s="78" t="str">
        <f t="shared" si="0"/>
        <v/>
      </c>
      <c r="J193" s="29"/>
      <c r="K193" s="29"/>
      <c r="L193" s="33"/>
      <c r="M193" s="33"/>
      <c r="N193" s="60"/>
      <c r="O193" s="71"/>
      <c r="P193" s="71"/>
      <c r="Q193" s="33"/>
      <c r="R193" s="31"/>
      <c r="S193" s="31"/>
      <c r="T193" s="59"/>
      <c r="U193" s="59"/>
      <c r="V193" s="59"/>
      <c r="W193" s="57">
        <f t="shared" si="1"/>
        <v>0</v>
      </c>
      <c r="X193" s="126" t="str">
        <f>IF(Table1[[#This Row],[Shipping Weight Pounds]]&gt;150,"See LTL Form","No")</f>
        <v>No</v>
      </c>
      <c r="Y193" s="28"/>
      <c r="Z193" s="33"/>
      <c r="AA193" s="34"/>
      <c r="AB193" s="30"/>
      <c r="AC193" s="30"/>
      <c r="AD193" s="32"/>
      <c r="AE193" s="32"/>
      <c r="AF193" s="2"/>
      <c r="AG193" s="2"/>
      <c r="AH193" s="2"/>
      <c r="AI193" s="2"/>
      <c r="AK193" s="73" t="str">
        <f>IF(ISNA(MATCH($N193,[1]data!$A:$A,0)),"",INDEX([1]data!S:S,MATCH($N193,[1]data!$A:$A,0)))</f>
        <v/>
      </c>
      <c r="AL193" s="73" t="str">
        <f>IF(ISNA(MATCH($N193,[1]data!$A:$A,0)),"",INDEX([1]data!V:V,MATCH($N193,[1]data!$A:$A,0)))</f>
        <v/>
      </c>
      <c r="AM193" s="38" t="str">
        <f>IF(ISNA(MATCH($N193,data!$A:$A,0)),"",INDEX(data!B:B,MATCH($N193,data!$A:$A,0)))</f>
        <v/>
      </c>
      <c r="AN193" s="38" t="str">
        <f>IF(ISNA(MATCH($N193,data!$A:$A,0)),"",INDEX(data!C:C,MATCH($N193,data!$A:$A,0)))</f>
        <v/>
      </c>
      <c r="AO193" s="38" t="str">
        <f>IF(ISNA(MATCH($N193,data!$A:$A,0)),"",INDEX(data!D:D,MATCH($N193,data!$A:$A,0)))</f>
        <v/>
      </c>
      <c r="AP193" s="38" t="str">
        <f>IF(ISNA(MATCH($N193,data!$A:$A,0)),"",INDEX(data!E:E,MATCH($N193,data!$A:$A,0)))</f>
        <v/>
      </c>
      <c r="AQ193" s="38" t="str">
        <f>IF(ISNA(MATCH($N193,data!$A:$A,0)),"",INDEX(data!F:F,MATCH($N193,data!$A:$A,0)))</f>
        <v/>
      </c>
      <c r="AR193" s="38" t="str">
        <f>IF(ISNA(MATCH($N193,data!$A:$A,0)),"",INDEX(data!G:G,MATCH($N193,data!$A:$A,0)))</f>
        <v/>
      </c>
      <c r="AS193" s="38" t="str">
        <f>IF(ISNA(MATCH($N193,data!$A:$A,0)),"",INDEX(data!H:H,MATCH($N193,data!$A:$A,0)))</f>
        <v/>
      </c>
      <c r="AT193" s="38" t="str">
        <f>IF(ISNA(MATCH($N193,data!$A:$A,0)),"",INDEX(data!I:I,MATCH($N193,data!$A:$A,0)))</f>
        <v/>
      </c>
      <c r="AU193" s="38" t="str">
        <f>IF(ISNA(MATCH($N193,[1]data!$A:$A,0)),"",INDEX([1]data!L:L,MATCH($N193,[1]data!$A:$A,0)))</f>
        <v/>
      </c>
      <c r="AV193" s="38" t="str">
        <f>IF(ISNA(MATCH($N193,[1]data!$A:$A,0)),"",INDEX([1]data!M:M,MATCH($N193,[1]data!$A:$A,0)))</f>
        <v/>
      </c>
      <c r="AW193" s="38" t="str">
        <f>IF(ISNA(MATCH($N193,data!$A:$A,0)),"",INDEX(data!J:J,MATCH($N193,data!$A:$A,0)))</f>
        <v/>
      </c>
      <c r="AX193" s="38" t="str">
        <f>IF(ISNA(MATCH($N193,data!$A:$A,0)),"",INDEX(data!K:K,MATCH($N193,data!$A:$A,0)))</f>
        <v/>
      </c>
      <c r="AY193" s="38" t="str">
        <f>IF(ISNA(MATCH($N193,data!$A:$A,0)),"",INDEX(data!O:O,MATCH($N193,data!$A:$A,0)))</f>
        <v/>
      </c>
      <c r="AZ193" s="38" t="str">
        <f>IF(ISNA(MATCH($N193,data!$A:$A,0)),"",INDEX(data!N:N,MATCH($N193,data!$A:$A,0)))</f>
        <v/>
      </c>
      <c r="BA193" s="38" t="str">
        <f>IF(ISNA(MATCH($N193,data!$A:$A,0)),"",INDEX(data!P:P,MATCH($N193,data!$A:$A,0)))</f>
        <v/>
      </c>
      <c r="BB193" s="38" t="str">
        <f>IF(ISNA(MATCH($N193,data!$A:$A,0)),"",INDEX(data!Q:Q,MATCH($N193,data!$A:$A,0)))</f>
        <v/>
      </c>
      <c r="BC193" s="38" t="str">
        <f>IF(ISNA(MATCH($N193,data!$A:$A,0)),"",INDEX(data!R:R,MATCH($N193,data!$A:$A,0)))</f>
        <v/>
      </c>
      <c r="BD193" s="38" t="str">
        <f>IF(ISNA(MATCH($N193,[1]data!$A:$A,0)),"",INDEX([1]data!U:U,MATCH($N193,[1]data!$A:$A,0)))</f>
        <v/>
      </c>
      <c r="BE193" s="61" t="e">
        <f>IF(COUNTIF([1]data!A:A,[1]!Table1[[#This Row],[UPC]])&lt;2,"","DUP")</f>
        <v>#VALUE!</v>
      </c>
      <c r="BF193" s="38" t="str">
        <f>IF(ISNA(MATCH($N193,data!$A:$A,0)),"",INDEX(data!W:W,MATCH($N193,data!$A:$A,0)))</f>
        <v/>
      </c>
    </row>
    <row r="194" spans="1:58" s="37" customFormat="1" ht="12.75" customHeight="1">
      <c r="A194" s="35"/>
      <c r="B194" s="35"/>
      <c r="C194" s="35"/>
      <c r="D194" s="35"/>
      <c r="E194" s="67"/>
      <c r="F194" s="67"/>
      <c r="G194" s="36"/>
      <c r="H194" s="29"/>
      <c r="I194" s="78" t="str">
        <f t="shared" si="0"/>
        <v/>
      </c>
      <c r="J194" s="29"/>
      <c r="K194" s="29"/>
      <c r="L194" s="33"/>
      <c r="M194" s="33"/>
      <c r="N194" s="60"/>
      <c r="O194" s="71"/>
      <c r="P194" s="71"/>
      <c r="Q194" s="33"/>
      <c r="R194" s="31"/>
      <c r="S194" s="31"/>
      <c r="T194" s="59"/>
      <c r="U194" s="59"/>
      <c r="V194" s="59"/>
      <c r="W194" s="57">
        <f t="shared" si="1"/>
        <v>0</v>
      </c>
      <c r="X194" s="126" t="str">
        <f>IF(Table1[[#This Row],[Shipping Weight Pounds]]&gt;150,"See LTL Form","No")</f>
        <v>No</v>
      </c>
      <c r="Y194" s="28"/>
      <c r="Z194" s="33"/>
      <c r="AA194" s="34"/>
      <c r="AB194" s="30"/>
      <c r="AC194" s="30"/>
      <c r="AD194" s="32"/>
      <c r="AE194" s="32"/>
      <c r="AF194" s="2"/>
      <c r="AG194" s="2"/>
      <c r="AH194" s="2"/>
      <c r="AI194" s="2"/>
      <c r="AJ194" s="45"/>
      <c r="AK194" s="73" t="str">
        <f>IF(ISNA(MATCH($N194,[1]data!$A:$A,0)),"",INDEX([1]data!S:S,MATCH($N194,[1]data!$A:$A,0)))</f>
        <v/>
      </c>
      <c r="AL194" s="73" t="str">
        <f>IF(ISNA(MATCH($N194,[1]data!$A:$A,0)),"",INDEX([1]data!V:V,MATCH($N194,[1]data!$A:$A,0)))</f>
        <v/>
      </c>
      <c r="AM194" s="38" t="str">
        <f>IF(ISNA(MATCH($N194,data!$A:$A,0)),"",INDEX(data!B:B,MATCH($N194,data!$A:$A,0)))</f>
        <v/>
      </c>
      <c r="AN194" s="38" t="str">
        <f>IF(ISNA(MATCH($N194,data!$A:$A,0)),"",INDEX(data!C:C,MATCH($N194,data!$A:$A,0)))</f>
        <v/>
      </c>
      <c r="AO194" s="38" t="str">
        <f>IF(ISNA(MATCH($N194,data!$A:$A,0)),"",INDEX(data!D:D,MATCH($N194,data!$A:$A,0)))</f>
        <v/>
      </c>
      <c r="AP194" s="38" t="str">
        <f>IF(ISNA(MATCH($N194,data!$A:$A,0)),"",INDEX(data!E:E,MATCH($N194,data!$A:$A,0)))</f>
        <v/>
      </c>
      <c r="AQ194" s="38" t="str">
        <f>IF(ISNA(MATCH($N194,data!$A:$A,0)),"",INDEX(data!F:F,MATCH($N194,data!$A:$A,0)))</f>
        <v/>
      </c>
      <c r="AR194" s="38" t="str">
        <f>IF(ISNA(MATCH($N194,data!$A:$A,0)),"",INDEX(data!G:G,MATCH($N194,data!$A:$A,0)))</f>
        <v/>
      </c>
      <c r="AS194" s="38" t="str">
        <f>IF(ISNA(MATCH($N194,data!$A:$A,0)),"",INDEX(data!H:H,MATCH($N194,data!$A:$A,0)))</f>
        <v/>
      </c>
      <c r="AT194" s="38" t="str">
        <f>IF(ISNA(MATCH($N194,data!$A:$A,0)),"",INDEX(data!I:I,MATCH($N194,data!$A:$A,0)))</f>
        <v/>
      </c>
      <c r="AU194" s="38" t="str">
        <f>IF(ISNA(MATCH($N194,[1]data!$A:$A,0)),"",INDEX([1]data!L:L,MATCH($N194,[1]data!$A:$A,0)))</f>
        <v/>
      </c>
      <c r="AV194" s="38" t="str">
        <f>IF(ISNA(MATCH($N194,[1]data!$A:$A,0)),"",INDEX([1]data!M:M,MATCH($N194,[1]data!$A:$A,0)))</f>
        <v/>
      </c>
      <c r="AW194" s="38" t="str">
        <f>IF(ISNA(MATCH($N194,data!$A:$A,0)),"",INDEX(data!J:J,MATCH($N194,data!$A:$A,0)))</f>
        <v/>
      </c>
      <c r="AX194" s="38" t="str">
        <f>IF(ISNA(MATCH($N194,data!$A:$A,0)),"",INDEX(data!K:K,MATCH($N194,data!$A:$A,0)))</f>
        <v/>
      </c>
      <c r="AY194" s="38" t="str">
        <f>IF(ISNA(MATCH($N194,data!$A:$A,0)),"",INDEX(data!O:O,MATCH($N194,data!$A:$A,0)))</f>
        <v/>
      </c>
      <c r="AZ194" s="38" t="str">
        <f>IF(ISNA(MATCH($N194,data!$A:$A,0)),"",INDEX(data!N:N,MATCH($N194,data!$A:$A,0)))</f>
        <v/>
      </c>
      <c r="BA194" s="38" t="str">
        <f>IF(ISNA(MATCH($N194,data!$A:$A,0)),"",INDEX(data!P:P,MATCH($N194,data!$A:$A,0)))</f>
        <v/>
      </c>
      <c r="BB194" s="38" t="str">
        <f>IF(ISNA(MATCH($N194,data!$A:$A,0)),"",INDEX(data!Q:Q,MATCH($N194,data!$A:$A,0)))</f>
        <v/>
      </c>
      <c r="BC194" s="38" t="str">
        <f>IF(ISNA(MATCH($N194,data!$A:$A,0)),"",INDEX(data!R:R,MATCH($N194,data!$A:$A,0)))</f>
        <v/>
      </c>
      <c r="BD194" s="38" t="str">
        <f>IF(ISNA(MATCH($N194,[1]data!$A:$A,0)),"",INDEX([1]data!U:U,MATCH($N194,[1]data!$A:$A,0)))</f>
        <v/>
      </c>
      <c r="BE194" s="61" t="e">
        <f>IF(COUNTIF([1]data!A:A,[1]!Table1[[#This Row],[UPC]])&lt;2,"","DUP")</f>
        <v>#VALUE!</v>
      </c>
      <c r="BF194" s="38" t="str">
        <f>IF(ISNA(MATCH($N194,data!$A:$A,0)),"",INDEX(data!W:W,MATCH($N194,data!$A:$A,0)))</f>
        <v/>
      </c>
    </row>
    <row r="195" spans="1:58" ht="12.75" customHeight="1">
      <c r="A195" s="35"/>
      <c r="B195" s="35"/>
      <c r="C195" s="35"/>
      <c r="D195" s="35"/>
      <c r="E195" s="67"/>
      <c r="F195" s="67"/>
      <c r="G195" s="36"/>
      <c r="H195" s="29"/>
      <c r="I195" s="78" t="str">
        <f t="shared" si="0"/>
        <v/>
      </c>
      <c r="J195" s="29"/>
      <c r="K195" s="29"/>
      <c r="L195" s="33"/>
      <c r="M195" s="33"/>
      <c r="N195" s="60"/>
      <c r="O195" s="71"/>
      <c r="P195" s="71"/>
      <c r="Q195" s="33"/>
      <c r="R195" s="31"/>
      <c r="S195" s="31"/>
      <c r="T195" s="59"/>
      <c r="U195" s="59"/>
      <c r="V195" s="59"/>
      <c r="W195" s="57">
        <f t="shared" si="1"/>
        <v>0</v>
      </c>
      <c r="X195" s="126" t="str">
        <f>IF(Table1[[#This Row],[Shipping Weight Pounds]]&gt;150,"See LTL Form","No")</f>
        <v>No</v>
      </c>
      <c r="Y195" s="28"/>
      <c r="Z195" s="33"/>
      <c r="AA195" s="34"/>
      <c r="AB195" s="30"/>
      <c r="AC195" s="30"/>
      <c r="AD195" s="32"/>
      <c r="AE195" s="32"/>
      <c r="AF195" s="2"/>
      <c r="AG195" s="2"/>
      <c r="AH195" s="2"/>
      <c r="AI195" s="2"/>
      <c r="AK195" s="73" t="str">
        <f>IF(ISNA(MATCH($N195,[1]data!$A:$A,0)),"",INDEX([1]data!S:S,MATCH($N195,[1]data!$A:$A,0)))</f>
        <v/>
      </c>
      <c r="AL195" s="73" t="str">
        <f>IF(ISNA(MATCH($N195,[1]data!$A:$A,0)),"",INDEX([1]data!V:V,MATCH($N195,[1]data!$A:$A,0)))</f>
        <v/>
      </c>
      <c r="AM195" s="38" t="str">
        <f>IF(ISNA(MATCH($N195,data!$A:$A,0)),"",INDEX(data!B:B,MATCH($N195,data!$A:$A,0)))</f>
        <v/>
      </c>
      <c r="AN195" s="38" t="str">
        <f>IF(ISNA(MATCH($N195,data!$A:$A,0)),"",INDEX(data!C:C,MATCH($N195,data!$A:$A,0)))</f>
        <v/>
      </c>
      <c r="AO195" s="38" t="str">
        <f>IF(ISNA(MATCH($N195,data!$A:$A,0)),"",INDEX(data!D:D,MATCH($N195,data!$A:$A,0)))</f>
        <v/>
      </c>
      <c r="AP195" s="38" t="str">
        <f>IF(ISNA(MATCH($N195,data!$A:$A,0)),"",INDEX(data!E:E,MATCH($N195,data!$A:$A,0)))</f>
        <v/>
      </c>
      <c r="AQ195" s="38" t="str">
        <f>IF(ISNA(MATCH($N195,data!$A:$A,0)),"",INDEX(data!F:F,MATCH($N195,data!$A:$A,0)))</f>
        <v/>
      </c>
      <c r="AR195" s="38" t="str">
        <f>IF(ISNA(MATCH($N195,data!$A:$A,0)),"",INDEX(data!G:G,MATCH($N195,data!$A:$A,0)))</f>
        <v/>
      </c>
      <c r="AS195" s="38" t="str">
        <f>IF(ISNA(MATCH($N195,data!$A:$A,0)),"",INDEX(data!H:H,MATCH($N195,data!$A:$A,0)))</f>
        <v/>
      </c>
      <c r="AT195" s="38" t="str">
        <f>IF(ISNA(MATCH($N195,data!$A:$A,0)),"",INDEX(data!I:I,MATCH($N195,data!$A:$A,0)))</f>
        <v/>
      </c>
      <c r="AU195" s="38" t="str">
        <f>IF(ISNA(MATCH($N195,[1]data!$A:$A,0)),"",INDEX([1]data!L:L,MATCH($N195,[1]data!$A:$A,0)))</f>
        <v/>
      </c>
      <c r="AV195" s="38" t="str">
        <f>IF(ISNA(MATCH($N195,[1]data!$A:$A,0)),"",INDEX([1]data!M:M,MATCH($N195,[1]data!$A:$A,0)))</f>
        <v/>
      </c>
      <c r="AW195" s="38" t="str">
        <f>IF(ISNA(MATCH($N195,data!$A:$A,0)),"",INDEX(data!J:J,MATCH($N195,data!$A:$A,0)))</f>
        <v/>
      </c>
      <c r="AX195" s="38" t="str">
        <f>IF(ISNA(MATCH($N195,data!$A:$A,0)),"",INDEX(data!K:K,MATCH($N195,data!$A:$A,0)))</f>
        <v/>
      </c>
      <c r="AY195" s="38" t="str">
        <f>IF(ISNA(MATCH($N195,data!$A:$A,0)),"",INDEX(data!O:O,MATCH($N195,data!$A:$A,0)))</f>
        <v/>
      </c>
      <c r="AZ195" s="38" t="str">
        <f>IF(ISNA(MATCH($N195,data!$A:$A,0)),"",INDEX(data!N:N,MATCH($N195,data!$A:$A,0)))</f>
        <v/>
      </c>
      <c r="BA195" s="38" t="str">
        <f>IF(ISNA(MATCH($N195,data!$A:$A,0)),"",INDEX(data!P:P,MATCH($N195,data!$A:$A,0)))</f>
        <v/>
      </c>
      <c r="BB195" s="38" t="str">
        <f>IF(ISNA(MATCH($N195,data!$A:$A,0)),"",INDEX(data!Q:Q,MATCH($N195,data!$A:$A,0)))</f>
        <v/>
      </c>
      <c r="BC195" s="38" t="str">
        <f>IF(ISNA(MATCH($N195,data!$A:$A,0)),"",INDEX(data!R:R,MATCH($N195,data!$A:$A,0)))</f>
        <v/>
      </c>
      <c r="BD195" s="38" t="str">
        <f>IF(ISNA(MATCH($N195,[1]data!$A:$A,0)),"",INDEX([1]data!U:U,MATCH($N195,[1]data!$A:$A,0)))</f>
        <v/>
      </c>
      <c r="BE195" s="61" t="e">
        <f>IF(COUNTIF([1]data!A:A,[1]!Table1[[#This Row],[UPC]])&lt;2,"","DUP")</f>
        <v>#VALUE!</v>
      </c>
      <c r="BF195" s="38" t="str">
        <f>IF(ISNA(MATCH($N195,data!$A:$A,0)),"",INDEX(data!W:W,MATCH($N195,data!$A:$A,0)))</f>
        <v/>
      </c>
    </row>
    <row r="196" spans="1:58" ht="12.75" customHeight="1">
      <c r="A196" s="35"/>
      <c r="B196" s="35"/>
      <c r="C196" s="35"/>
      <c r="D196" s="35"/>
      <c r="E196" s="67"/>
      <c r="F196" s="67"/>
      <c r="G196" s="36"/>
      <c r="H196" s="29"/>
      <c r="I196" s="78" t="str">
        <f t="shared" si="0"/>
        <v/>
      </c>
      <c r="J196" s="29"/>
      <c r="K196" s="29"/>
      <c r="L196" s="33"/>
      <c r="M196" s="33"/>
      <c r="N196" s="60"/>
      <c r="O196" s="71"/>
      <c r="P196" s="71"/>
      <c r="Q196" s="33"/>
      <c r="R196" s="31"/>
      <c r="S196" s="31"/>
      <c r="T196" s="59"/>
      <c r="U196" s="59"/>
      <c r="V196" s="59"/>
      <c r="W196" s="57">
        <f t="shared" si="1"/>
        <v>0</v>
      </c>
      <c r="X196" s="126" t="str">
        <f>IF(Table1[[#This Row],[Shipping Weight Pounds]]&gt;150,"See LTL Form","No")</f>
        <v>No</v>
      </c>
      <c r="Y196" s="28"/>
      <c r="Z196" s="33"/>
      <c r="AA196" s="34"/>
      <c r="AB196" s="30"/>
      <c r="AC196" s="30"/>
      <c r="AD196" s="32"/>
      <c r="AE196" s="32"/>
      <c r="AF196" s="2"/>
      <c r="AG196" s="2"/>
      <c r="AH196" s="2"/>
      <c r="AI196" s="2"/>
      <c r="AK196" s="73" t="str">
        <f>IF(ISNA(MATCH($N196,[1]data!$A:$A,0)),"",INDEX([1]data!S:S,MATCH($N196,[1]data!$A:$A,0)))</f>
        <v/>
      </c>
      <c r="AL196" s="73" t="str">
        <f>IF(ISNA(MATCH($N196,[1]data!$A:$A,0)),"",INDEX([1]data!V:V,MATCH($N196,[1]data!$A:$A,0)))</f>
        <v/>
      </c>
      <c r="AM196" s="38" t="str">
        <f>IF(ISNA(MATCH($N196,data!$A:$A,0)),"",INDEX(data!B:B,MATCH($N196,data!$A:$A,0)))</f>
        <v/>
      </c>
      <c r="AN196" s="38" t="str">
        <f>IF(ISNA(MATCH($N196,data!$A:$A,0)),"",INDEX(data!C:C,MATCH($N196,data!$A:$A,0)))</f>
        <v/>
      </c>
      <c r="AO196" s="38" t="str">
        <f>IF(ISNA(MATCH($N196,data!$A:$A,0)),"",INDEX(data!D:D,MATCH($N196,data!$A:$A,0)))</f>
        <v/>
      </c>
      <c r="AP196" s="38" t="str">
        <f>IF(ISNA(MATCH($N196,data!$A:$A,0)),"",INDEX(data!E:E,MATCH($N196,data!$A:$A,0)))</f>
        <v/>
      </c>
      <c r="AQ196" s="38" t="str">
        <f>IF(ISNA(MATCH($N196,data!$A:$A,0)),"",INDEX(data!F:F,MATCH($N196,data!$A:$A,0)))</f>
        <v/>
      </c>
      <c r="AR196" s="38" t="str">
        <f>IF(ISNA(MATCH($N196,data!$A:$A,0)),"",INDEX(data!G:G,MATCH($N196,data!$A:$A,0)))</f>
        <v/>
      </c>
      <c r="AS196" s="38" t="str">
        <f>IF(ISNA(MATCH($N196,data!$A:$A,0)),"",INDEX(data!H:H,MATCH($N196,data!$A:$A,0)))</f>
        <v/>
      </c>
      <c r="AT196" s="38" t="str">
        <f>IF(ISNA(MATCH($N196,data!$A:$A,0)),"",INDEX(data!I:I,MATCH($N196,data!$A:$A,0)))</f>
        <v/>
      </c>
      <c r="AU196" s="38" t="str">
        <f>IF(ISNA(MATCH($N196,[1]data!$A:$A,0)),"",INDEX([1]data!L:L,MATCH($N196,[1]data!$A:$A,0)))</f>
        <v/>
      </c>
      <c r="AV196" s="38" t="str">
        <f>IF(ISNA(MATCH($N196,[1]data!$A:$A,0)),"",INDEX([1]data!M:M,MATCH($N196,[1]data!$A:$A,0)))</f>
        <v/>
      </c>
      <c r="AW196" s="38" t="str">
        <f>IF(ISNA(MATCH($N196,data!$A:$A,0)),"",INDEX(data!J:J,MATCH($N196,data!$A:$A,0)))</f>
        <v/>
      </c>
      <c r="AX196" s="38" t="str">
        <f>IF(ISNA(MATCH($N196,data!$A:$A,0)),"",INDEX(data!K:K,MATCH($N196,data!$A:$A,0)))</f>
        <v/>
      </c>
      <c r="AY196" s="38" t="str">
        <f>IF(ISNA(MATCH($N196,data!$A:$A,0)),"",INDEX(data!O:O,MATCH($N196,data!$A:$A,0)))</f>
        <v/>
      </c>
      <c r="AZ196" s="38" t="str">
        <f>IF(ISNA(MATCH($N196,data!$A:$A,0)),"",INDEX(data!N:N,MATCH($N196,data!$A:$A,0)))</f>
        <v/>
      </c>
      <c r="BA196" s="38" t="str">
        <f>IF(ISNA(MATCH($N196,data!$A:$A,0)),"",INDEX(data!P:P,MATCH($N196,data!$A:$A,0)))</f>
        <v/>
      </c>
      <c r="BB196" s="38" t="str">
        <f>IF(ISNA(MATCH($N196,data!$A:$A,0)),"",INDEX(data!Q:Q,MATCH($N196,data!$A:$A,0)))</f>
        <v/>
      </c>
      <c r="BC196" s="38" t="str">
        <f>IF(ISNA(MATCH($N196,data!$A:$A,0)),"",INDEX(data!R:R,MATCH($N196,data!$A:$A,0)))</f>
        <v/>
      </c>
      <c r="BD196" s="38" t="str">
        <f>IF(ISNA(MATCH($N196,[1]data!$A:$A,0)),"",INDEX([1]data!U:U,MATCH($N196,[1]data!$A:$A,0)))</f>
        <v/>
      </c>
      <c r="BE196" s="61" t="e">
        <f>IF(COUNTIF([1]data!A:A,[1]!Table1[[#This Row],[UPC]])&lt;2,"","DUP")</f>
        <v>#VALUE!</v>
      </c>
      <c r="BF196" s="38" t="str">
        <f>IF(ISNA(MATCH($N196,data!$A:$A,0)),"",INDEX(data!W:W,MATCH($N196,data!$A:$A,0)))</f>
        <v/>
      </c>
    </row>
    <row r="197" spans="1:58" ht="12.75" customHeight="1">
      <c r="A197" s="35"/>
      <c r="B197" s="35"/>
      <c r="C197" s="35"/>
      <c r="D197" s="35"/>
      <c r="E197" s="67"/>
      <c r="F197" s="67"/>
      <c r="G197" s="36"/>
      <c r="H197" s="29"/>
      <c r="I197" s="78" t="str">
        <f t="shared" si="0"/>
        <v/>
      </c>
      <c r="J197" s="29"/>
      <c r="K197" s="29"/>
      <c r="L197" s="33"/>
      <c r="M197" s="33"/>
      <c r="N197" s="60"/>
      <c r="O197" s="71"/>
      <c r="P197" s="71"/>
      <c r="Q197" s="33"/>
      <c r="R197" s="31"/>
      <c r="S197" s="31"/>
      <c r="T197" s="59"/>
      <c r="U197" s="59"/>
      <c r="V197" s="59"/>
      <c r="W197" s="57">
        <f t="shared" si="1"/>
        <v>0</v>
      </c>
      <c r="X197" s="126" t="str">
        <f>IF(Table1[[#This Row],[Shipping Weight Pounds]]&gt;150,"See LTL Form","No")</f>
        <v>No</v>
      </c>
      <c r="Y197" s="28"/>
      <c r="Z197" s="33"/>
      <c r="AA197" s="34"/>
      <c r="AB197" s="30"/>
      <c r="AC197" s="30"/>
      <c r="AD197" s="32"/>
      <c r="AE197" s="32"/>
      <c r="AF197" s="2"/>
      <c r="AG197" s="2"/>
      <c r="AH197" s="2"/>
      <c r="AI197" s="2"/>
      <c r="AK197" s="73" t="str">
        <f>IF(ISNA(MATCH($N197,[1]data!$A:$A,0)),"",INDEX([1]data!S:S,MATCH($N197,[1]data!$A:$A,0)))</f>
        <v/>
      </c>
      <c r="AL197" s="73" t="str">
        <f>IF(ISNA(MATCH($N197,[1]data!$A:$A,0)),"",INDEX([1]data!V:V,MATCH($N197,[1]data!$A:$A,0)))</f>
        <v/>
      </c>
      <c r="AM197" s="38" t="str">
        <f>IF(ISNA(MATCH($N197,data!$A:$A,0)),"",INDEX(data!B:B,MATCH($N197,data!$A:$A,0)))</f>
        <v/>
      </c>
      <c r="AN197" s="38" t="str">
        <f>IF(ISNA(MATCH($N197,data!$A:$A,0)),"",INDEX(data!C:C,MATCH($N197,data!$A:$A,0)))</f>
        <v/>
      </c>
      <c r="AO197" s="38" t="str">
        <f>IF(ISNA(MATCH($N197,data!$A:$A,0)),"",INDEX(data!D:D,MATCH($N197,data!$A:$A,0)))</f>
        <v/>
      </c>
      <c r="AP197" s="38" t="str">
        <f>IF(ISNA(MATCH($N197,data!$A:$A,0)),"",INDEX(data!E:E,MATCH($N197,data!$A:$A,0)))</f>
        <v/>
      </c>
      <c r="AQ197" s="38" t="str">
        <f>IF(ISNA(MATCH($N197,data!$A:$A,0)),"",INDEX(data!F:F,MATCH($N197,data!$A:$A,0)))</f>
        <v/>
      </c>
      <c r="AR197" s="38" t="str">
        <f>IF(ISNA(MATCH($N197,data!$A:$A,0)),"",INDEX(data!G:G,MATCH($N197,data!$A:$A,0)))</f>
        <v/>
      </c>
      <c r="AS197" s="38" t="str">
        <f>IF(ISNA(MATCH($N197,data!$A:$A,0)),"",INDEX(data!H:H,MATCH($N197,data!$A:$A,0)))</f>
        <v/>
      </c>
      <c r="AT197" s="38" t="str">
        <f>IF(ISNA(MATCH($N197,data!$A:$A,0)),"",INDEX(data!I:I,MATCH($N197,data!$A:$A,0)))</f>
        <v/>
      </c>
      <c r="AU197" s="38" t="str">
        <f>IF(ISNA(MATCH($N197,[1]data!$A:$A,0)),"",INDEX([1]data!L:L,MATCH($N197,[1]data!$A:$A,0)))</f>
        <v/>
      </c>
      <c r="AV197" s="38" t="str">
        <f>IF(ISNA(MATCH($N197,[1]data!$A:$A,0)),"",INDEX([1]data!M:M,MATCH($N197,[1]data!$A:$A,0)))</f>
        <v/>
      </c>
      <c r="AW197" s="38" t="str">
        <f>IF(ISNA(MATCH($N197,data!$A:$A,0)),"",INDEX(data!J:J,MATCH($N197,data!$A:$A,0)))</f>
        <v/>
      </c>
      <c r="AX197" s="38" t="str">
        <f>IF(ISNA(MATCH($N197,data!$A:$A,0)),"",INDEX(data!K:K,MATCH($N197,data!$A:$A,0)))</f>
        <v/>
      </c>
      <c r="AY197" s="38" t="str">
        <f>IF(ISNA(MATCH($N197,data!$A:$A,0)),"",INDEX(data!O:O,MATCH($N197,data!$A:$A,0)))</f>
        <v/>
      </c>
      <c r="AZ197" s="38" t="str">
        <f>IF(ISNA(MATCH($N197,data!$A:$A,0)),"",INDEX(data!N:N,MATCH($N197,data!$A:$A,0)))</f>
        <v/>
      </c>
      <c r="BA197" s="38" t="str">
        <f>IF(ISNA(MATCH($N197,data!$A:$A,0)),"",INDEX(data!P:P,MATCH($N197,data!$A:$A,0)))</f>
        <v/>
      </c>
      <c r="BB197" s="38" t="str">
        <f>IF(ISNA(MATCH($N197,data!$A:$A,0)),"",INDEX(data!Q:Q,MATCH($N197,data!$A:$A,0)))</f>
        <v/>
      </c>
      <c r="BC197" s="38" t="str">
        <f>IF(ISNA(MATCH($N197,data!$A:$A,0)),"",INDEX(data!R:R,MATCH($N197,data!$A:$A,0)))</f>
        <v/>
      </c>
      <c r="BD197" s="38" t="str">
        <f>IF(ISNA(MATCH($N197,[1]data!$A:$A,0)),"",INDEX([1]data!U:U,MATCH($N197,[1]data!$A:$A,0)))</f>
        <v/>
      </c>
      <c r="BE197" s="61" t="e">
        <f>IF(COUNTIF([1]data!A:A,[1]!Table1[[#This Row],[UPC]])&lt;2,"","DUP")</f>
        <v>#VALUE!</v>
      </c>
      <c r="BF197" s="38" t="str">
        <f>IF(ISNA(MATCH($N197,data!$A:$A,0)),"",INDEX(data!W:W,MATCH($N197,data!$A:$A,0)))</f>
        <v/>
      </c>
    </row>
    <row r="198" spans="1:58" ht="12.75" customHeight="1">
      <c r="A198" s="35"/>
      <c r="B198" s="35"/>
      <c r="C198" s="35"/>
      <c r="D198" s="35"/>
      <c r="E198" s="67"/>
      <c r="F198" s="67"/>
      <c r="G198" s="36"/>
      <c r="H198" s="29"/>
      <c r="I198" s="78" t="str">
        <f t="shared" si="0"/>
        <v/>
      </c>
      <c r="J198" s="29"/>
      <c r="K198" s="29"/>
      <c r="L198" s="33"/>
      <c r="M198" s="33"/>
      <c r="N198" s="60"/>
      <c r="O198" s="71"/>
      <c r="P198" s="71"/>
      <c r="Q198" s="33"/>
      <c r="R198" s="31"/>
      <c r="S198" s="31"/>
      <c r="T198" s="59"/>
      <c r="U198" s="59"/>
      <c r="V198" s="59"/>
      <c r="W198" s="57">
        <f t="shared" si="1"/>
        <v>0</v>
      </c>
      <c r="X198" s="126" t="str">
        <f>IF(Table1[[#This Row],[Shipping Weight Pounds]]&gt;150,"See LTL Form","No")</f>
        <v>No</v>
      </c>
      <c r="Y198" s="28"/>
      <c r="Z198" s="33"/>
      <c r="AA198" s="34"/>
      <c r="AB198" s="30"/>
      <c r="AC198" s="30"/>
      <c r="AD198" s="32"/>
      <c r="AE198" s="32"/>
      <c r="AF198" s="2"/>
      <c r="AG198" s="2"/>
      <c r="AH198" s="2"/>
      <c r="AI198" s="2"/>
      <c r="AK198" s="73" t="str">
        <f>IF(ISNA(MATCH($N198,[1]data!$A:$A,0)),"",INDEX([1]data!S:S,MATCH($N198,[1]data!$A:$A,0)))</f>
        <v/>
      </c>
      <c r="AL198" s="73" t="str">
        <f>IF(ISNA(MATCH($N198,[1]data!$A:$A,0)),"",INDEX([1]data!V:V,MATCH($N198,[1]data!$A:$A,0)))</f>
        <v/>
      </c>
      <c r="AM198" s="38" t="str">
        <f>IF(ISNA(MATCH($N198,data!$A:$A,0)),"",INDEX(data!B:B,MATCH($N198,data!$A:$A,0)))</f>
        <v/>
      </c>
      <c r="AN198" s="38" t="str">
        <f>IF(ISNA(MATCH($N198,data!$A:$A,0)),"",INDEX(data!C:C,MATCH($N198,data!$A:$A,0)))</f>
        <v/>
      </c>
      <c r="AO198" s="38" t="str">
        <f>IF(ISNA(MATCH($N198,data!$A:$A,0)),"",INDEX(data!D:D,MATCH($N198,data!$A:$A,0)))</f>
        <v/>
      </c>
      <c r="AP198" s="38" t="str">
        <f>IF(ISNA(MATCH($N198,data!$A:$A,0)),"",INDEX(data!E:E,MATCH($N198,data!$A:$A,0)))</f>
        <v/>
      </c>
      <c r="AQ198" s="38" t="str">
        <f>IF(ISNA(MATCH($N198,data!$A:$A,0)),"",INDEX(data!F:F,MATCH($N198,data!$A:$A,0)))</f>
        <v/>
      </c>
      <c r="AR198" s="38" t="str">
        <f>IF(ISNA(MATCH($N198,data!$A:$A,0)),"",INDEX(data!G:G,MATCH($N198,data!$A:$A,0)))</f>
        <v/>
      </c>
      <c r="AS198" s="38" t="str">
        <f>IF(ISNA(MATCH($N198,data!$A:$A,0)),"",INDEX(data!H:H,MATCH($N198,data!$A:$A,0)))</f>
        <v/>
      </c>
      <c r="AT198" s="38" t="str">
        <f>IF(ISNA(MATCH($N198,data!$A:$A,0)),"",INDEX(data!I:I,MATCH($N198,data!$A:$A,0)))</f>
        <v/>
      </c>
      <c r="AU198" s="38" t="str">
        <f>IF(ISNA(MATCH($N198,[1]data!$A:$A,0)),"",INDEX([1]data!L:L,MATCH($N198,[1]data!$A:$A,0)))</f>
        <v/>
      </c>
      <c r="AV198" s="38" t="str">
        <f>IF(ISNA(MATCH($N198,[1]data!$A:$A,0)),"",INDEX([1]data!M:M,MATCH($N198,[1]data!$A:$A,0)))</f>
        <v/>
      </c>
      <c r="AW198" s="38" t="str">
        <f>IF(ISNA(MATCH($N198,data!$A:$A,0)),"",INDEX(data!J:J,MATCH($N198,data!$A:$A,0)))</f>
        <v/>
      </c>
      <c r="AX198" s="38" t="str">
        <f>IF(ISNA(MATCH($N198,data!$A:$A,0)),"",INDEX(data!K:K,MATCH($N198,data!$A:$A,0)))</f>
        <v/>
      </c>
      <c r="AY198" s="38" t="str">
        <f>IF(ISNA(MATCH($N198,data!$A:$A,0)),"",INDEX(data!O:O,MATCH($N198,data!$A:$A,0)))</f>
        <v/>
      </c>
      <c r="AZ198" s="38" t="str">
        <f>IF(ISNA(MATCH($N198,data!$A:$A,0)),"",INDEX(data!N:N,MATCH($N198,data!$A:$A,0)))</f>
        <v/>
      </c>
      <c r="BA198" s="38" t="str">
        <f>IF(ISNA(MATCH($N198,data!$A:$A,0)),"",INDEX(data!P:P,MATCH($N198,data!$A:$A,0)))</f>
        <v/>
      </c>
      <c r="BB198" s="38" t="str">
        <f>IF(ISNA(MATCH($N198,data!$A:$A,0)),"",INDEX(data!Q:Q,MATCH($N198,data!$A:$A,0)))</f>
        <v/>
      </c>
      <c r="BC198" s="38" t="str">
        <f>IF(ISNA(MATCH($N198,data!$A:$A,0)),"",INDEX(data!R:R,MATCH($N198,data!$A:$A,0)))</f>
        <v/>
      </c>
      <c r="BD198" s="38" t="str">
        <f>IF(ISNA(MATCH($N198,[1]data!$A:$A,0)),"",INDEX([1]data!U:U,MATCH($N198,[1]data!$A:$A,0)))</f>
        <v/>
      </c>
      <c r="BE198" s="61" t="e">
        <f>IF(COUNTIF([1]data!A:A,[1]!Table1[[#This Row],[UPC]])&lt;2,"","DUP")</f>
        <v>#VALUE!</v>
      </c>
      <c r="BF198" s="38" t="str">
        <f>IF(ISNA(MATCH($N198,data!$A:$A,0)),"",INDEX(data!W:W,MATCH($N198,data!$A:$A,0)))</f>
        <v/>
      </c>
    </row>
    <row r="199" spans="1:58" ht="12.75" customHeight="1">
      <c r="A199" s="35"/>
      <c r="B199" s="35"/>
      <c r="C199" s="35"/>
      <c r="D199" s="35"/>
      <c r="E199" s="67"/>
      <c r="F199" s="67"/>
      <c r="G199" s="36"/>
      <c r="H199" s="29"/>
      <c r="I199" s="78" t="str">
        <f t="shared" si="0"/>
        <v/>
      </c>
      <c r="J199" s="29"/>
      <c r="K199" s="29"/>
      <c r="L199" s="33"/>
      <c r="M199" s="33"/>
      <c r="N199" s="60"/>
      <c r="O199" s="71"/>
      <c r="P199" s="71"/>
      <c r="Q199" s="33"/>
      <c r="R199" s="31"/>
      <c r="S199" s="31"/>
      <c r="T199" s="59"/>
      <c r="U199" s="59"/>
      <c r="V199" s="59"/>
      <c r="W199" s="57">
        <f t="shared" si="1"/>
        <v>0</v>
      </c>
      <c r="X199" s="126" t="str">
        <f>IF(Table1[[#This Row],[Shipping Weight Pounds]]&gt;150,"See LTL Form","No")</f>
        <v>No</v>
      </c>
      <c r="Y199" s="28"/>
      <c r="Z199" s="33"/>
      <c r="AA199" s="34"/>
      <c r="AB199" s="30"/>
      <c r="AC199" s="30"/>
      <c r="AD199" s="32"/>
      <c r="AE199" s="32"/>
      <c r="AF199" s="2"/>
      <c r="AG199" s="2"/>
      <c r="AH199" s="2"/>
      <c r="AI199" s="2"/>
      <c r="AK199" s="73" t="str">
        <f>IF(ISNA(MATCH($N199,[1]data!$A:$A,0)),"",INDEX([1]data!S:S,MATCH($N199,[1]data!$A:$A,0)))</f>
        <v/>
      </c>
      <c r="AL199" s="73" t="str">
        <f>IF(ISNA(MATCH($N199,[1]data!$A:$A,0)),"",INDEX([1]data!V:V,MATCH($N199,[1]data!$A:$A,0)))</f>
        <v/>
      </c>
      <c r="AM199" s="38" t="str">
        <f>IF(ISNA(MATCH($N199,data!$A:$A,0)),"",INDEX(data!B:B,MATCH($N199,data!$A:$A,0)))</f>
        <v/>
      </c>
      <c r="AN199" s="38" t="str">
        <f>IF(ISNA(MATCH($N199,data!$A:$A,0)),"",INDEX(data!C:C,MATCH($N199,data!$A:$A,0)))</f>
        <v/>
      </c>
      <c r="AO199" s="38" t="str">
        <f>IF(ISNA(MATCH($N199,data!$A:$A,0)),"",INDEX(data!D:D,MATCH($N199,data!$A:$A,0)))</f>
        <v/>
      </c>
      <c r="AP199" s="38" t="str">
        <f>IF(ISNA(MATCH($N199,data!$A:$A,0)),"",INDEX(data!E:E,MATCH($N199,data!$A:$A,0)))</f>
        <v/>
      </c>
      <c r="AQ199" s="38" t="str">
        <f>IF(ISNA(MATCH($N199,data!$A:$A,0)),"",INDEX(data!F:F,MATCH($N199,data!$A:$A,0)))</f>
        <v/>
      </c>
      <c r="AR199" s="38" t="str">
        <f>IF(ISNA(MATCH($N199,data!$A:$A,0)),"",INDEX(data!G:G,MATCH($N199,data!$A:$A,0)))</f>
        <v/>
      </c>
      <c r="AS199" s="38" t="str">
        <f>IF(ISNA(MATCH($N199,data!$A:$A,0)),"",INDEX(data!H:H,MATCH($N199,data!$A:$A,0)))</f>
        <v/>
      </c>
      <c r="AT199" s="38" t="str">
        <f>IF(ISNA(MATCH($N199,data!$A:$A,0)),"",INDEX(data!I:I,MATCH($N199,data!$A:$A,0)))</f>
        <v/>
      </c>
      <c r="AU199" s="38" t="str">
        <f>IF(ISNA(MATCH($N199,[1]data!$A:$A,0)),"",INDEX([1]data!L:L,MATCH($N199,[1]data!$A:$A,0)))</f>
        <v/>
      </c>
      <c r="AV199" s="38" t="str">
        <f>IF(ISNA(MATCH($N199,[1]data!$A:$A,0)),"",INDEX([1]data!M:M,MATCH($N199,[1]data!$A:$A,0)))</f>
        <v/>
      </c>
      <c r="AW199" s="38" t="str">
        <f>IF(ISNA(MATCH($N199,data!$A:$A,0)),"",INDEX(data!J:J,MATCH($N199,data!$A:$A,0)))</f>
        <v/>
      </c>
      <c r="AX199" s="38" t="str">
        <f>IF(ISNA(MATCH($N199,data!$A:$A,0)),"",INDEX(data!K:K,MATCH($N199,data!$A:$A,0)))</f>
        <v/>
      </c>
      <c r="AY199" s="38" t="str">
        <f>IF(ISNA(MATCH($N199,data!$A:$A,0)),"",INDEX(data!O:O,MATCH($N199,data!$A:$A,0)))</f>
        <v/>
      </c>
      <c r="AZ199" s="38" t="str">
        <f>IF(ISNA(MATCH($N199,data!$A:$A,0)),"",INDEX(data!N:N,MATCH($N199,data!$A:$A,0)))</f>
        <v/>
      </c>
      <c r="BA199" s="38" t="str">
        <f>IF(ISNA(MATCH($N199,data!$A:$A,0)),"",INDEX(data!P:P,MATCH($N199,data!$A:$A,0)))</f>
        <v/>
      </c>
      <c r="BB199" s="38" t="str">
        <f>IF(ISNA(MATCH($N199,data!$A:$A,0)),"",INDEX(data!Q:Q,MATCH($N199,data!$A:$A,0)))</f>
        <v/>
      </c>
      <c r="BC199" s="38" t="str">
        <f>IF(ISNA(MATCH($N199,data!$A:$A,0)),"",INDEX(data!R:R,MATCH($N199,data!$A:$A,0)))</f>
        <v/>
      </c>
      <c r="BD199" s="38" t="str">
        <f>IF(ISNA(MATCH($N199,[1]data!$A:$A,0)),"",INDEX([1]data!U:U,MATCH($N199,[1]data!$A:$A,0)))</f>
        <v/>
      </c>
      <c r="BE199" s="61" t="e">
        <f>IF(COUNTIF([1]data!A:A,[1]!Table1[[#This Row],[UPC]])&lt;2,"","DUP")</f>
        <v>#VALUE!</v>
      </c>
      <c r="BF199" s="38" t="str">
        <f>IF(ISNA(MATCH($N199,data!$A:$A,0)),"",INDEX(data!W:W,MATCH($N199,data!$A:$A,0)))</f>
        <v/>
      </c>
    </row>
    <row r="200" spans="1:58" ht="12.75" customHeight="1">
      <c r="A200" s="35"/>
      <c r="B200" s="35"/>
      <c r="C200" s="35"/>
      <c r="D200" s="35"/>
      <c r="E200" s="67"/>
      <c r="F200" s="67"/>
      <c r="G200" s="36"/>
      <c r="H200" s="29"/>
      <c r="I200" s="78" t="str">
        <f t="shared" ref="I200:I263" si="2">IF(H200&lt;&gt;0,(H200-G200)/H200,"")</f>
        <v/>
      </c>
      <c r="J200" s="29"/>
      <c r="K200" s="29"/>
      <c r="L200" s="33"/>
      <c r="M200" s="33"/>
      <c r="N200" s="60"/>
      <c r="O200" s="71"/>
      <c r="P200" s="71"/>
      <c r="Q200" s="33"/>
      <c r="R200" s="31"/>
      <c r="S200" s="31"/>
      <c r="T200" s="59"/>
      <c r="U200" s="59"/>
      <c r="V200" s="59"/>
      <c r="W200" s="57">
        <f t="shared" ref="W200:W263" si="3">IF(ISERR(Q200*R200*S200),"",(Q200*R200*S200))</f>
        <v>0</v>
      </c>
      <c r="X200" s="126" t="str">
        <f>IF(Table1[[#This Row],[Shipping Weight Pounds]]&gt;150,"See LTL Form","No")</f>
        <v>No</v>
      </c>
      <c r="Y200" s="28"/>
      <c r="Z200" s="33"/>
      <c r="AA200" s="34"/>
      <c r="AB200" s="30"/>
      <c r="AC200" s="30"/>
      <c r="AD200" s="32"/>
      <c r="AE200" s="32"/>
      <c r="AF200" s="2"/>
      <c r="AG200" s="2"/>
      <c r="AH200" s="2"/>
      <c r="AI200" s="2"/>
      <c r="AK200" s="73" t="str">
        <f>IF(ISNA(MATCH($N200,[1]data!$A:$A,0)),"",INDEX([1]data!S:S,MATCH($N200,[1]data!$A:$A,0)))</f>
        <v/>
      </c>
      <c r="AL200" s="73" t="str">
        <f>IF(ISNA(MATCH($N200,[1]data!$A:$A,0)),"",INDEX([1]data!V:V,MATCH($N200,[1]data!$A:$A,0)))</f>
        <v/>
      </c>
      <c r="AM200" s="38" t="str">
        <f>IF(ISNA(MATCH($N200,data!$A:$A,0)),"",INDEX(data!B:B,MATCH($N200,data!$A:$A,0)))</f>
        <v/>
      </c>
      <c r="AN200" s="38" t="str">
        <f>IF(ISNA(MATCH($N200,data!$A:$A,0)),"",INDEX(data!C:C,MATCH($N200,data!$A:$A,0)))</f>
        <v/>
      </c>
      <c r="AO200" s="38" t="str">
        <f>IF(ISNA(MATCH($N200,data!$A:$A,0)),"",INDEX(data!D:D,MATCH($N200,data!$A:$A,0)))</f>
        <v/>
      </c>
      <c r="AP200" s="38" t="str">
        <f>IF(ISNA(MATCH($N200,data!$A:$A,0)),"",INDEX(data!E:E,MATCH($N200,data!$A:$A,0)))</f>
        <v/>
      </c>
      <c r="AQ200" s="38" t="str">
        <f>IF(ISNA(MATCH($N200,data!$A:$A,0)),"",INDEX(data!F:F,MATCH($N200,data!$A:$A,0)))</f>
        <v/>
      </c>
      <c r="AR200" s="38" t="str">
        <f>IF(ISNA(MATCH($N200,data!$A:$A,0)),"",INDEX(data!G:G,MATCH($N200,data!$A:$A,0)))</f>
        <v/>
      </c>
      <c r="AS200" s="38" t="str">
        <f>IF(ISNA(MATCH($N200,data!$A:$A,0)),"",INDEX(data!H:H,MATCH($N200,data!$A:$A,0)))</f>
        <v/>
      </c>
      <c r="AT200" s="38" t="str">
        <f>IF(ISNA(MATCH($N200,data!$A:$A,0)),"",INDEX(data!I:I,MATCH($N200,data!$A:$A,0)))</f>
        <v/>
      </c>
      <c r="AU200" s="38" t="str">
        <f>IF(ISNA(MATCH($N200,[1]data!$A:$A,0)),"",INDEX([1]data!L:L,MATCH($N200,[1]data!$A:$A,0)))</f>
        <v/>
      </c>
      <c r="AV200" s="38" t="str">
        <f>IF(ISNA(MATCH($N200,[1]data!$A:$A,0)),"",INDEX([1]data!M:M,MATCH($N200,[1]data!$A:$A,0)))</f>
        <v/>
      </c>
      <c r="AW200" s="38" t="str">
        <f>IF(ISNA(MATCH($N200,data!$A:$A,0)),"",INDEX(data!J:J,MATCH($N200,data!$A:$A,0)))</f>
        <v/>
      </c>
      <c r="AX200" s="38" t="str">
        <f>IF(ISNA(MATCH($N200,data!$A:$A,0)),"",INDEX(data!K:K,MATCH($N200,data!$A:$A,0)))</f>
        <v/>
      </c>
      <c r="AY200" s="38" t="str">
        <f>IF(ISNA(MATCH($N200,data!$A:$A,0)),"",INDEX(data!O:O,MATCH($N200,data!$A:$A,0)))</f>
        <v/>
      </c>
      <c r="AZ200" s="38" t="str">
        <f>IF(ISNA(MATCH($N200,data!$A:$A,0)),"",INDEX(data!N:N,MATCH($N200,data!$A:$A,0)))</f>
        <v/>
      </c>
      <c r="BA200" s="38" t="str">
        <f>IF(ISNA(MATCH($N200,data!$A:$A,0)),"",INDEX(data!P:P,MATCH($N200,data!$A:$A,0)))</f>
        <v/>
      </c>
      <c r="BB200" s="38" t="str">
        <f>IF(ISNA(MATCH($N200,data!$A:$A,0)),"",INDEX(data!Q:Q,MATCH($N200,data!$A:$A,0)))</f>
        <v/>
      </c>
      <c r="BC200" s="38" t="str">
        <f>IF(ISNA(MATCH($N200,data!$A:$A,0)),"",INDEX(data!R:R,MATCH($N200,data!$A:$A,0)))</f>
        <v/>
      </c>
      <c r="BD200" s="38" t="str">
        <f>IF(ISNA(MATCH($N200,[1]data!$A:$A,0)),"",INDEX([1]data!U:U,MATCH($N200,[1]data!$A:$A,0)))</f>
        <v/>
      </c>
      <c r="BE200" s="61" t="e">
        <f>IF(COUNTIF([1]data!A:A,[1]!Table1[[#This Row],[UPC]])&lt;2,"","DUP")</f>
        <v>#VALUE!</v>
      </c>
      <c r="BF200" s="38" t="str">
        <f>IF(ISNA(MATCH($N200,data!$A:$A,0)),"",INDEX(data!W:W,MATCH($N200,data!$A:$A,0)))</f>
        <v/>
      </c>
    </row>
    <row r="201" spans="1:58" ht="12.75" customHeight="1">
      <c r="A201" s="35"/>
      <c r="B201" s="35"/>
      <c r="C201" s="35"/>
      <c r="D201" s="35"/>
      <c r="E201" s="67"/>
      <c r="F201" s="67"/>
      <c r="G201" s="36"/>
      <c r="H201" s="29"/>
      <c r="I201" s="78" t="str">
        <f t="shared" si="2"/>
        <v/>
      </c>
      <c r="J201" s="29"/>
      <c r="K201" s="29"/>
      <c r="L201" s="33"/>
      <c r="M201" s="33"/>
      <c r="N201" s="60"/>
      <c r="O201" s="71"/>
      <c r="P201" s="71"/>
      <c r="Q201" s="33"/>
      <c r="R201" s="31"/>
      <c r="S201" s="31"/>
      <c r="T201" s="59"/>
      <c r="U201" s="59"/>
      <c r="V201" s="59"/>
      <c r="W201" s="57">
        <f t="shared" si="3"/>
        <v>0</v>
      </c>
      <c r="X201" s="126" t="str">
        <f>IF(Table1[[#This Row],[Shipping Weight Pounds]]&gt;150,"See LTL Form","No")</f>
        <v>No</v>
      </c>
      <c r="Y201" s="28"/>
      <c r="Z201" s="33"/>
      <c r="AA201" s="34"/>
      <c r="AB201" s="30"/>
      <c r="AC201" s="30"/>
      <c r="AD201" s="32"/>
      <c r="AE201" s="32"/>
      <c r="AF201" s="2"/>
      <c r="AG201" s="2"/>
      <c r="AH201" s="2"/>
      <c r="AI201" s="2"/>
      <c r="AK201" s="73" t="str">
        <f>IF(ISNA(MATCH($N201,[1]data!$A:$A,0)),"",INDEX([1]data!S:S,MATCH($N201,[1]data!$A:$A,0)))</f>
        <v/>
      </c>
      <c r="AL201" s="73" t="str">
        <f>IF(ISNA(MATCH($N201,[1]data!$A:$A,0)),"",INDEX([1]data!V:V,MATCH($N201,[1]data!$A:$A,0)))</f>
        <v/>
      </c>
      <c r="AM201" s="38" t="str">
        <f>IF(ISNA(MATCH($N201,data!$A:$A,0)),"",INDEX(data!B:B,MATCH($N201,data!$A:$A,0)))</f>
        <v/>
      </c>
      <c r="AN201" s="38" t="str">
        <f>IF(ISNA(MATCH($N201,data!$A:$A,0)),"",INDEX(data!C:C,MATCH($N201,data!$A:$A,0)))</f>
        <v/>
      </c>
      <c r="AO201" s="38" t="str">
        <f>IF(ISNA(MATCH($N201,data!$A:$A,0)),"",INDEX(data!D:D,MATCH($N201,data!$A:$A,0)))</f>
        <v/>
      </c>
      <c r="AP201" s="38" t="str">
        <f>IF(ISNA(MATCH($N201,data!$A:$A,0)),"",INDEX(data!E:E,MATCH($N201,data!$A:$A,0)))</f>
        <v/>
      </c>
      <c r="AQ201" s="38" t="str">
        <f>IF(ISNA(MATCH($N201,data!$A:$A,0)),"",INDEX(data!F:F,MATCH($N201,data!$A:$A,0)))</f>
        <v/>
      </c>
      <c r="AR201" s="38" t="str">
        <f>IF(ISNA(MATCH($N201,data!$A:$A,0)),"",INDEX(data!G:G,MATCH($N201,data!$A:$A,0)))</f>
        <v/>
      </c>
      <c r="AS201" s="38" t="str">
        <f>IF(ISNA(MATCH($N201,data!$A:$A,0)),"",INDEX(data!H:H,MATCH($N201,data!$A:$A,0)))</f>
        <v/>
      </c>
      <c r="AT201" s="38" t="str">
        <f>IF(ISNA(MATCH($N201,data!$A:$A,0)),"",INDEX(data!I:I,MATCH($N201,data!$A:$A,0)))</f>
        <v/>
      </c>
      <c r="AU201" s="38" t="str">
        <f>IF(ISNA(MATCH($N201,[1]data!$A:$A,0)),"",INDEX([1]data!L:L,MATCH($N201,[1]data!$A:$A,0)))</f>
        <v/>
      </c>
      <c r="AV201" s="38" t="str">
        <f>IF(ISNA(MATCH($N201,[1]data!$A:$A,0)),"",INDEX([1]data!M:M,MATCH($N201,[1]data!$A:$A,0)))</f>
        <v/>
      </c>
      <c r="AW201" s="38" t="str">
        <f>IF(ISNA(MATCH($N201,data!$A:$A,0)),"",INDEX(data!J:J,MATCH($N201,data!$A:$A,0)))</f>
        <v/>
      </c>
      <c r="AX201" s="38" t="str">
        <f>IF(ISNA(MATCH($N201,data!$A:$A,0)),"",INDEX(data!K:K,MATCH($N201,data!$A:$A,0)))</f>
        <v/>
      </c>
      <c r="AY201" s="38" t="str">
        <f>IF(ISNA(MATCH($N201,data!$A:$A,0)),"",INDEX(data!O:O,MATCH($N201,data!$A:$A,0)))</f>
        <v/>
      </c>
      <c r="AZ201" s="38" t="str">
        <f>IF(ISNA(MATCH($N201,data!$A:$A,0)),"",INDEX(data!N:N,MATCH($N201,data!$A:$A,0)))</f>
        <v/>
      </c>
      <c r="BA201" s="38" t="str">
        <f>IF(ISNA(MATCH($N201,data!$A:$A,0)),"",INDEX(data!P:P,MATCH($N201,data!$A:$A,0)))</f>
        <v/>
      </c>
      <c r="BB201" s="38" t="str">
        <f>IF(ISNA(MATCH($N201,data!$A:$A,0)),"",INDEX(data!Q:Q,MATCH($N201,data!$A:$A,0)))</f>
        <v/>
      </c>
      <c r="BC201" s="38" t="str">
        <f>IF(ISNA(MATCH($N201,data!$A:$A,0)),"",INDEX(data!R:R,MATCH($N201,data!$A:$A,0)))</f>
        <v/>
      </c>
      <c r="BD201" s="38" t="str">
        <f>IF(ISNA(MATCH($N201,[1]data!$A:$A,0)),"",INDEX([1]data!U:U,MATCH($N201,[1]data!$A:$A,0)))</f>
        <v/>
      </c>
      <c r="BE201" s="61" t="e">
        <f>IF(COUNTIF([1]data!A:A,[1]!Table1[[#This Row],[UPC]])&lt;2,"","DUP")</f>
        <v>#VALUE!</v>
      </c>
      <c r="BF201" s="38" t="str">
        <f>IF(ISNA(MATCH($N201,data!$A:$A,0)),"",INDEX(data!W:W,MATCH($N201,data!$A:$A,0)))</f>
        <v/>
      </c>
    </row>
    <row r="202" spans="1:58" ht="12.75" customHeight="1">
      <c r="A202" s="35"/>
      <c r="B202" s="35"/>
      <c r="C202" s="35"/>
      <c r="D202" s="35"/>
      <c r="E202" s="67"/>
      <c r="F202" s="67"/>
      <c r="G202" s="36"/>
      <c r="H202" s="29"/>
      <c r="I202" s="78" t="str">
        <f t="shared" si="2"/>
        <v/>
      </c>
      <c r="J202" s="29"/>
      <c r="K202" s="29"/>
      <c r="L202" s="33"/>
      <c r="M202" s="33"/>
      <c r="N202" s="60"/>
      <c r="O202" s="71"/>
      <c r="P202" s="71"/>
      <c r="Q202" s="33"/>
      <c r="R202" s="31"/>
      <c r="S202" s="31"/>
      <c r="T202" s="59"/>
      <c r="U202" s="59"/>
      <c r="V202" s="59"/>
      <c r="W202" s="57">
        <f t="shared" si="3"/>
        <v>0</v>
      </c>
      <c r="X202" s="126" t="str">
        <f>IF(Table1[[#This Row],[Shipping Weight Pounds]]&gt;150,"See LTL Form","No")</f>
        <v>No</v>
      </c>
      <c r="Y202" s="28"/>
      <c r="Z202" s="33"/>
      <c r="AA202" s="34"/>
      <c r="AB202" s="30"/>
      <c r="AC202" s="30"/>
      <c r="AD202" s="32"/>
      <c r="AE202" s="32"/>
      <c r="AF202" s="2"/>
      <c r="AG202" s="2"/>
      <c r="AH202" s="2"/>
      <c r="AI202" s="2"/>
      <c r="AK202" s="73" t="str">
        <f>IF(ISNA(MATCH($N202,[1]data!$A:$A,0)),"",INDEX([1]data!S:S,MATCH($N202,[1]data!$A:$A,0)))</f>
        <v/>
      </c>
      <c r="AL202" s="73" t="str">
        <f>IF(ISNA(MATCH($N202,[1]data!$A:$A,0)),"",INDEX([1]data!V:V,MATCH($N202,[1]data!$A:$A,0)))</f>
        <v/>
      </c>
      <c r="AM202" s="38" t="str">
        <f>IF(ISNA(MATCH($N202,data!$A:$A,0)),"",INDEX(data!B:B,MATCH($N202,data!$A:$A,0)))</f>
        <v/>
      </c>
      <c r="AN202" s="38" t="str">
        <f>IF(ISNA(MATCH($N202,data!$A:$A,0)),"",INDEX(data!C:C,MATCH($N202,data!$A:$A,0)))</f>
        <v/>
      </c>
      <c r="AO202" s="38" t="str">
        <f>IF(ISNA(MATCH($N202,data!$A:$A,0)),"",INDEX(data!D:D,MATCH($N202,data!$A:$A,0)))</f>
        <v/>
      </c>
      <c r="AP202" s="38" t="str">
        <f>IF(ISNA(MATCH($N202,data!$A:$A,0)),"",INDEX(data!E:E,MATCH($N202,data!$A:$A,0)))</f>
        <v/>
      </c>
      <c r="AQ202" s="38" t="str">
        <f>IF(ISNA(MATCH($N202,data!$A:$A,0)),"",INDEX(data!F:F,MATCH($N202,data!$A:$A,0)))</f>
        <v/>
      </c>
      <c r="AR202" s="38" t="str">
        <f>IF(ISNA(MATCH($N202,data!$A:$A,0)),"",INDEX(data!G:G,MATCH($N202,data!$A:$A,0)))</f>
        <v/>
      </c>
      <c r="AS202" s="38" t="str">
        <f>IF(ISNA(MATCH($N202,data!$A:$A,0)),"",INDEX(data!H:H,MATCH($N202,data!$A:$A,0)))</f>
        <v/>
      </c>
      <c r="AT202" s="38" t="str">
        <f>IF(ISNA(MATCH($N202,data!$A:$A,0)),"",INDEX(data!I:I,MATCH($N202,data!$A:$A,0)))</f>
        <v/>
      </c>
      <c r="AU202" s="38" t="str">
        <f>IF(ISNA(MATCH($N202,[1]data!$A:$A,0)),"",INDEX([1]data!L:L,MATCH($N202,[1]data!$A:$A,0)))</f>
        <v/>
      </c>
      <c r="AV202" s="38" t="str">
        <f>IF(ISNA(MATCH($N202,[1]data!$A:$A,0)),"",INDEX([1]data!M:M,MATCH($N202,[1]data!$A:$A,0)))</f>
        <v/>
      </c>
      <c r="AW202" s="38" t="str">
        <f>IF(ISNA(MATCH($N202,data!$A:$A,0)),"",INDEX(data!J:J,MATCH($N202,data!$A:$A,0)))</f>
        <v/>
      </c>
      <c r="AX202" s="38" t="str">
        <f>IF(ISNA(MATCH($N202,data!$A:$A,0)),"",INDEX(data!K:K,MATCH($N202,data!$A:$A,0)))</f>
        <v/>
      </c>
      <c r="AY202" s="38" t="str">
        <f>IF(ISNA(MATCH($N202,data!$A:$A,0)),"",INDEX(data!O:O,MATCH($N202,data!$A:$A,0)))</f>
        <v/>
      </c>
      <c r="AZ202" s="38" t="str">
        <f>IF(ISNA(MATCH($N202,data!$A:$A,0)),"",INDEX(data!N:N,MATCH($N202,data!$A:$A,0)))</f>
        <v/>
      </c>
      <c r="BA202" s="38" t="str">
        <f>IF(ISNA(MATCH($N202,data!$A:$A,0)),"",INDEX(data!P:P,MATCH($N202,data!$A:$A,0)))</f>
        <v/>
      </c>
      <c r="BB202" s="38" t="str">
        <f>IF(ISNA(MATCH($N202,data!$A:$A,0)),"",INDEX(data!Q:Q,MATCH($N202,data!$A:$A,0)))</f>
        <v/>
      </c>
      <c r="BC202" s="38" t="str">
        <f>IF(ISNA(MATCH($N202,data!$A:$A,0)),"",INDEX(data!R:R,MATCH($N202,data!$A:$A,0)))</f>
        <v/>
      </c>
      <c r="BD202" s="38" t="str">
        <f>IF(ISNA(MATCH($N202,[1]data!$A:$A,0)),"",INDEX([1]data!U:U,MATCH($N202,[1]data!$A:$A,0)))</f>
        <v/>
      </c>
      <c r="BE202" s="61" t="e">
        <f>IF(COUNTIF([1]data!A:A,[1]!Table1[[#This Row],[UPC]])&lt;2,"","DUP")</f>
        <v>#VALUE!</v>
      </c>
      <c r="BF202" s="38" t="str">
        <f>IF(ISNA(MATCH($N202,data!$A:$A,0)),"",INDEX(data!W:W,MATCH($N202,data!$A:$A,0)))</f>
        <v/>
      </c>
    </row>
    <row r="203" spans="1:58" ht="12.75" customHeight="1">
      <c r="A203" s="35"/>
      <c r="B203" s="35"/>
      <c r="C203" s="35"/>
      <c r="D203" s="35"/>
      <c r="E203" s="67"/>
      <c r="F203" s="67"/>
      <c r="G203" s="36"/>
      <c r="H203" s="29"/>
      <c r="I203" s="78" t="str">
        <f t="shared" si="2"/>
        <v/>
      </c>
      <c r="J203" s="29"/>
      <c r="K203" s="29"/>
      <c r="L203" s="33"/>
      <c r="M203" s="33"/>
      <c r="N203" s="60"/>
      <c r="O203" s="71"/>
      <c r="P203" s="71"/>
      <c r="Q203" s="33"/>
      <c r="R203" s="31"/>
      <c r="S203" s="31"/>
      <c r="T203" s="59"/>
      <c r="U203" s="59"/>
      <c r="V203" s="59"/>
      <c r="W203" s="57">
        <f t="shared" si="3"/>
        <v>0</v>
      </c>
      <c r="X203" s="126" t="str">
        <f>IF(Table1[[#This Row],[Shipping Weight Pounds]]&gt;150,"See LTL Form","No")</f>
        <v>No</v>
      </c>
      <c r="Y203" s="28"/>
      <c r="Z203" s="33"/>
      <c r="AA203" s="34"/>
      <c r="AB203" s="30"/>
      <c r="AC203" s="30"/>
      <c r="AD203" s="32"/>
      <c r="AE203" s="32"/>
      <c r="AF203" s="2"/>
      <c r="AG203" s="2"/>
      <c r="AH203" s="2"/>
      <c r="AI203" s="2"/>
      <c r="AK203" s="73" t="str">
        <f>IF(ISNA(MATCH($N203,[1]data!$A:$A,0)),"",INDEX([1]data!S:S,MATCH($N203,[1]data!$A:$A,0)))</f>
        <v/>
      </c>
      <c r="AL203" s="73" t="str">
        <f>IF(ISNA(MATCH($N203,[1]data!$A:$A,0)),"",INDEX([1]data!V:V,MATCH($N203,[1]data!$A:$A,0)))</f>
        <v/>
      </c>
      <c r="AM203" s="38" t="str">
        <f>IF(ISNA(MATCH($N203,data!$A:$A,0)),"",INDEX(data!B:B,MATCH($N203,data!$A:$A,0)))</f>
        <v/>
      </c>
      <c r="AN203" s="38" t="str">
        <f>IF(ISNA(MATCH($N203,data!$A:$A,0)),"",INDEX(data!C:C,MATCH($N203,data!$A:$A,0)))</f>
        <v/>
      </c>
      <c r="AO203" s="38" t="str">
        <f>IF(ISNA(MATCH($N203,data!$A:$A,0)),"",INDEX(data!D:D,MATCH($N203,data!$A:$A,0)))</f>
        <v/>
      </c>
      <c r="AP203" s="38" t="str">
        <f>IF(ISNA(MATCH($N203,data!$A:$A,0)),"",INDEX(data!E:E,MATCH($N203,data!$A:$A,0)))</f>
        <v/>
      </c>
      <c r="AQ203" s="38" t="str">
        <f>IF(ISNA(MATCH($N203,data!$A:$A,0)),"",INDEX(data!F:F,MATCH($N203,data!$A:$A,0)))</f>
        <v/>
      </c>
      <c r="AR203" s="38" t="str">
        <f>IF(ISNA(MATCH($N203,data!$A:$A,0)),"",INDEX(data!G:G,MATCH($N203,data!$A:$A,0)))</f>
        <v/>
      </c>
      <c r="AS203" s="38" t="str">
        <f>IF(ISNA(MATCH($N203,data!$A:$A,0)),"",INDEX(data!H:H,MATCH($N203,data!$A:$A,0)))</f>
        <v/>
      </c>
      <c r="AT203" s="38" t="str">
        <f>IF(ISNA(MATCH($N203,data!$A:$A,0)),"",INDEX(data!I:I,MATCH($N203,data!$A:$A,0)))</f>
        <v/>
      </c>
      <c r="AU203" s="38" t="str">
        <f>IF(ISNA(MATCH($N203,[1]data!$A:$A,0)),"",INDEX([1]data!L:L,MATCH($N203,[1]data!$A:$A,0)))</f>
        <v/>
      </c>
      <c r="AV203" s="38" t="str">
        <f>IF(ISNA(MATCH($N203,[1]data!$A:$A,0)),"",INDEX([1]data!M:M,MATCH($N203,[1]data!$A:$A,0)))</f>
        <v/>
      </c>
      <c r="AW203" s="38" t="str">
        <f>IF(ISNA(MATCH($N203,data!$A:$A,0)),"",INDEX(data!J:J,MATCH($N203,data!$A:$A,0)))</f>
        <v/>
      </c>
      <c r="AX203" s="38" t="str">
        <f>IF(ISNA(MATCH($N203,data!$A:$A,0)),"",INDEX(data!K:K,MATCH($N203,data!$A:$A,0)))</f>
        <v/>
      </c>
      <c r="AY203" s="38" t="str">
        <f>IF(ISNA(MATCH($N203,data!$A:$A,0)),"",INDEX(data!O:O,MATCH($N203,data!$A:$A,0)))</f>
        <v/>
      </c>
      <c r="AZ203" s="38" t="str">
        <f>IF(ISNA(MATCH($N203,data!$A:$A,0)),"",INDEX(data!N:N,MATCH($N203,data!$A:$A,0)))</f>
        <v/>
      </c>
      <c r="BA203" s="38" t="str">
        <f>IF(ISNA(MATCH($N203,data!$A:$A,0)),"",INDEX(data!P:P,MATCH($N203,data!$A:$A,0)))</f>
        <v/>
      </c>
      <c r="BB203" s="38" t="str">
        <f>IF(ISNA(MATCH($N203,data!$A:$A,0)),"",INDEX(data!Q:Q,MATCH($N203,data!$A:$A,0)))</f>
        <v/>
      </c>
      <c r="BC203" s="38" t="str">
        <f>IF(ISNA(MATCH($N203,data!$A:$A,0)),"",INDEX(data!R:R,MATCH($N203,data!$A:$A,0)))</f>
        <v/>
      </c>
      <c r="BD203" s="38" t="str">
        <f>IF(ISNA(MATCH($N203,[1]data!$A:$A,0)),"",INDEX([1]data!U:U,MATCH($N203,[1]data!$A:$A,0)))</f>
        <v/>
      </c>
      <c r="BE203" s="61" t="e">
        <f>IF(COUNTIF([1]data!A:A,[1]!Table1[[#This Row],[UPC]])&lt;2,"","DUP")</f>
        <v>#VALUE!</v>
      </c>
      <c r="BF203" s="38" t="str">
        <f>IF(ISNA(MATCH($N203,data!$A:$A,0)),"",INDEX(data!W:W,MATCH($N203,data!$A:$A,0)))</f>
        <v/>
      </c>
    </row>
    <row r="204" spans="1:58" ht="12.75" customHeight="1">
      <c r="A204" s="35"/>
      <c r="B204" s="35"/>
      <c r="C204" s="35"/>
      <c r="D204" s="35"/>
      <c r="E204" s="67"/>
      <c r="F204" s="67"/>
      <c r="G204" s="36"/>
      <c r="H204" s="29"/>
      <c r="I204" s="78" t="str">
        <f t="shared" si="2"/>
        <v/>
      </c>
      <c r="J204" s="29"/>
      <c r="K204" s="29"/>
      <c r="L204" s="33"/>
      <c r="M204" s="33"/>
      <c r="N204" s="60"/>
      <c r="O204" s="71"/>
      <c r="P204" s="71"/>
      <c r="Q204" s="33"/>
      <c r="R204" s="31"/>
      <c r="S204" s="31"/>
      <c r="T204" s="59"/>
      <c r="U204" s="59"/>
      <c r="V204" s="59"/>
      <c r="W204" s="57">
        <f t="shared" si="3"/>
        <v>0</v>
      </c>
      <c r="X204" s="126" t="str">
        <f>IF(Table1[[#This Row],[Shipping Weight Pounds]]&gt;150,"See LTL Form","No")</f>
        <v>No</v>
      </c>
      <c r="Y204" s="28"/>
      <c r="Z204" s="33"/>
      <c r="AA204" s="34"/>
      <c r="AB204" s="30"/>
      <c r="AC204" s="30"/>
      <c r="AD204" s="32"/>
      <c r="AE204" s="32"/>
      <c r="AF204" s="2"/>
      <c r="AG204" s="2"/>
      <c r="AH204" s="2"/>
      <c r="AI204" s="2"/>
      <c r="AK204" s="73" t="str">
        <f>IF(ISNA(MATCH($N204,[1]data!$A:$A,0)),"",INDEX([1]data!S:S,MATCH($N204,[1]data!$A:$A,0)))</f>
        <v/>
      </c>
      <c r="AL204" s="73" t="str">
        <f>IF(ISNA(MATCH($N204,[1]data!$A:$A,0)),"",INDEX([1]data!V:V,MATCH($N204,[1]data!$A:$A,0)))</f>
        <v/>
      </c>
      <c r="AM204" s="38" t="str">
        <f>IF(ISNA(MATCH($N204,data!$A:$A,0)),"",INDEX(data!B:B,MATCH($N204,data!$A:$A,0)))</f>
        <v/>
      </c>
      <c r="AN204" s="38" t="str">
        <f>IF(ISNA(MATCH($N204,data!$A:$A,0)),"",INDEX(data!C:C,MATCH($N204,data!$A:$A,0)))</f>
        <v/>
      </c>
      <c r="AO204" s="38" t="str">
        <f>IF(ISNA(MATCH($N204,data!$A:$A,0)),"",INDEX(data!D:D,MATCH($N204,data!$A:$A,0)))</f>
        <v/>
      </c>
      <c r="AP204" s="38" t="str">
        <f>IF(ISNA(MATCH($N204,data!$A:$A,0)),"",INDEX(data!E:E,MATCH($N204,data!$A:$A,0)))</f>
        <v/>
      </c>
      <c r="AQ204" s="38" t="str">
        <f>IF(ISNA(MATCH($N204,data!$A:$A,0)),"",INDEX(data!F:F,MATCH($N204,data!$A:$A,0)))</f>
        <v/>
      </c>
      <c r="AR204" s="38" t="str">
        <f>IF(ISNA(MATCH($N204,data!$A:$A,0)),"",INDEX(data!G:G,MATCH($N204,data!$A:$A,0)))</f>
        <v/>
      </c>
      <c r="AS204" s="38" t="str">
        <f>IF(ISNA(MATCH($N204,data!$A:$A,0)),"",INDEX(data!H:H,MATCH($N204,data!$A:$A,0)))</f>
        <v/>
      </c>
      <c r="AT204" s="38" t="str">
        <f>IF(ISNA(MATCH($N204,data!$A:$A,0)),"",INDEX(data!I:I,MATCH($N204,data!$A:$A,0)))</f>
        <v/>
      </c>
      <c r="AU204" s="38" t="str">
        <f>IF(ISNA(MATCH($N204,[1]data!$A:$A,0)),"",INDEX([1]data!L:L,MATCH($N204,[1]data!$A:$A,0)))</f>
        <v/>
      </c>
      <c r="AV204" s="38" t="str">
        <f>IF(ISNA(MATCH($N204,[1]data!$A:$A,0)),"",INDEX([1]data!M:M,MATCH($N204,[1]data!$A:$A,0)))</f>
        <v/>
      </c>
      <c r="AW204" s="38" t="str">
        <f>IF(ISNA(MATCH($N204,data!$A:$A,0)),"",INDEX(data!J:J,MATCH($N204,data!$A:$A,0)))</f>
        <v/>
      </c>
      <c r="AX204" s="38" t="str">
        <f>IF(ISNA(MATCH($N204,data!$A:$A,0)),"",INDEX(data!K:K,MATCH($N204,data!$A:$A,0)))</f>
        <v/>
      </c>
      <c r="AY204" s="38" t="str">
        <f>IF(ISNA(MATCH($N204,data!$A:$A,0)),"",INDEX(data!O:O,MATCH($N204,data!$A:$A,0)))</f>
        <v/>
      </c>
      <c r="AZ204" s="38" t="str">
        <f>IF(ISNA(MATCH($N204,data!$A:$A,0)),"",INDEX(data!N:N,MATCH($N204,data!$A:$A,0)))</f>
        <v/>
      </c>
      <c r="BA204" s="38" t="str">
        <f>IF(ISNA(MATCH($N204,data!$A:$A,0)),"",INDEX(data!P:P,MATCH($N204,data!$A:$A,0)))</f>
        <v/>
      </c>
      <c r="BB204" s="38" t="str">
        <f>IF(ISNA(MATCH($N204,data!$A:$A,0)),"",INDEX(data!Q:Q,MATCH($N204,data!$A:$A,0)))</f>
        <v/>
      </c>
      <c r="BC204" s="38" t="str">
        <f>IF(ISNA(MATCH($N204,data!$A:$A,0)),"",INDEX(data!R:R,MATCH($N204,data!$A:$A,0)))</f>
        <v/>
      </c>
      <c r="BD204" s="38" t="str">
        <f>IF(ISNA(MATCH($N204,[1]data!$A:$A,0)),"",INDEX([1]data!U:U,MATCH($N204,[1]data!$A:$A,0)))</f>
        <v/>
      </c>
      <c r="BE204" s="61" t="e">
        <f>IF(COUNTIF([1]data!A:A,[1]!Table1[[#This Row],[UPC]])&lt;2,"","DUP")</f>
        <v>#VALUE!</v>
      </c>
      <c r="BF204" s="38" t="str">
        <f>IF(ISNA(MATCH($N204,data!$A:$A,0)),"",INDEX(data!W:W,MATCH($N204,data!$A:$A,0)))</f>
        <v/>
      </c>
    </row>
    <row r="205" spans="1:58" ht="12.75" customHeight="1">
      <c r="A205" s="35"/>
      <c r="B205" s="35"/>
      <c r="C205" s="35"/>
      <c r="D205" s="35"/>
      <c r="E205" s="67"/>
      <c r="F205" s="67"/>
      <c r="G205" s="36"/>
      <c r="H205" s="29"/>
      <c r="I205" s="78" t="str">
        <f t="shared" si="2"/>
        <v/>
      </c>
      <c r="J205" s="29"/>
      <c r="K205" s="29"/>
      <c r="L205" s="33"/>
      <c r="M205" s="33"/>
      <c r="N205" s="60"/>
      <c r="O205" s="71"/>
      <c r="P205" s="71"/>
      <c r="Q205" s="33"/>
      <c r="R205" s="31"/>
      <c r="S205" s="31"/>
      <c r="T205" s="59"/>
      <c r="U205" s="59"/>
      <c r="V205" s="59"/>
      <c r="W205" s="57">
        <f t="shared" si="3"/>
        <v>0</v>
      </c>
      <c r="X205" s="126" t="str">
        <f>IF(Table1[[#This Row],[Shipping Weight Pounds]]&gt;150,"See LTL Form","No")</f>
        <v>No</v>
      </c>
      <c r="Y205" s="28"/>
      <c r="Z205" s="33"/>
      <c r="AA205" s="34"/>
      <c r="AB205" s="30"/>
      <c r="AC205" s="30"/>
      <c r="AD205" s="32"/>
      <c r="AE205" s="32"/>
      <c r="AF205" s="2"/>
      <c r="AG205" s="2"/>
      <c r="AH205" s="2"/>
      <c r="AI205" s="2"/>
      <c r="AK205" s="73" t="str">
        <f>IF(ISNA(MATCH($N205,[1]data!$A:$A,0)),"",INDEX([1]data!S:S,MATCH($N205,[1]data!$A:$A,0)))</f>
        <v/>
      </c>
      <c r="AL205" s="73" t="str">
        <f>IF(ISNA(MATCH($N205,[1]data!$A:$A,0)),"",INDEX([1]data!V:V,MATCH($N205,[1]data!$A:$A,0)))</f>
        <v/>
      </c>
      <c r="AM205" s="38" t="str">
        <f>IF(ISNA(MATCH($N205,data!$A:$A,0)),"",INDEX(data!B:B,MATCH($N205,data!$A:$A,0)))</f>
        <v/>
      </c>
      <c r="AN205" s="38" t="str">
        <f>IF(ISNA(MATCH($N205,data!$A:$A,0)),"",INDEX(data!C:C,MATCH($N205,data!$A:$A,0)))</f>
        <v/>
      </c>
      <c r="AO205" s="38" t="str">
        <f>IF(ISNA(MATCH($N205,data!$A:$A,0)),"",INDEX(data!D:D,MATCH($N205,data!$A:$A,0)))</f>
        <v/>
      </c>
      <c r="AP205" s="38" t="str">
        <f>IF(ISNA(MATCH($N205,data!$A:$A,0)),"",INDEX(data!E:E,MATCH($N205,data!$A:$A,0)))</f>
        <v/>
      </c>
      <c r="AQ205" s="38" t="str">
        <f>IF(ISNA(MATCH($N205,data!$A:$A,0)),"",INDEX(data!F:F,MATCH($N205,data!$A:$A,0)))</f>
        <v/>
      </c>
      <c r="AR205" s="38" t="str">
        <f>IF(ISNA(MATCH($N205,data!$A:$A,0)),"",INDEX(data!G:G,MATCH($N205,data!$A:$A,0)))</f>
        <v/>
      </c>
      <c r="AS205" s="38" t="str">
        <f>IF(ISNA(MATCH($N205,data!$A:$A,0)),"",INDEX(data!H:H,MATCH($N205,data!$A:$A,0)))</f>
        <v/>
      </c>
      <c r="AT205" s="38" t="str">
        <f>IF(ISNA(MATCH($N205,data!$A:$A,0)),"",INDEX(data!I:I,MATCH($N205,data!$A:$A,0)))</f>
        <v/>
      </c>
      <c r="AU205" s="38" t="str">
        <f>IF(ISNA(MATCH($N205,[1]data!$A:$A,0)),"",INDEX([1]data!L:L,MATCH($N205,[1]data!$A:$A,0)))</f>
        <v/>
      </c>
      <c r="AV205" s="38" t="str">
        <f>IF(ISNA(MATCH($N205,[1]data!$A:$A,0)),"",INDEX([1]data!M:M,MATCH($N205,[1]data!$A:$A,0)))</f>
        <v/>
      </c>
      <c r="AW205" s="38" t="str">
        <f>IF(ISNA(MATCH($N205,data!$A:$A,0)),"",INDEX(data!J:J,MATCH($N205,data!$A:$A,0)))</f>
        <v/>
      </c>
      <c r="AX205" s="38" t="str">
        <f>IF(ISNA(MATCH($N205,data!$A:$A,0)),"",INDEX(data!K:K,MATCH($N205,data!$A:$A,0)))</f>
        <v/>
      </c>
      <c r="AY205" s="38" t="str">
        <f>IF(ISNA(MATCH($N205,data!$A:$A,0)),"",INDEX(data!O:O,MATCH($N205,data!$A:$A,0)))</f>
        <v/>
      </c>
      <c r="AZ205" s="38" t="str">
        <f>IF(ISNA(MATCH($N205,data!$A:$A,0)),"",INDEX(data!N:N,MATCH($N205,data!$A:$A,0)))</f>
        <v/>
      </c>
      <c r="BA205" s="38" t="str">
        <f>IF(ISNA(MATCH($N205,data!$A:$A,0)),"",INDEX(data!P:P,MATCH($N205,data!$A:$A,0)))</f>
        <v/>
      </c>
      <c r="BB205" s="38" t="str">
        <f>IF(ISNA(MATCH($N205,data!$A:$A,0)),"",INDEX(data!Q:Q,MATCH($N205,data!$A:$A,0)))</f>
        <v/>
      </c>
      <c r="BC205" s="38" t="str">
        <f>IF(ISNA(MATCH($N205,data!$A:$A,0)),"",INDEX(data!R:R,MATCH($N205,data!$A:$A,0)))</f>
        <v/>
      </c>
      <c r="BD205" s="38" t="str">
        <f>IF(ISNA(MATCH($N205,[1]data!$A:$A,0)),"",INDEX([1]data!U:U,MATCH($N205,[1]data!$A:$A,0)))</f>
        <v/>
      </c>
      <c r="BE205" s="61" t="e">
        <f>IF(COUNTIF([1]data!A:A,[1]!Table1[[#This Row],[UPC]])&lt;2,"","DUP")</f>
        <v>#VALUE!</v>
      </c>
      <c r="BF205" s="38" t="str">
        <f>IF(ISNA(MATCH($N205,data!$A:$A,0)),"",INDEX(data!W:W,MATCH($N205,data!$A:$A,0)))</f>
        <v/>
      </c>
    </row>
    <row r="206" spans="1:58" ht="12.75" customHeight="1">
      <c r="A206" s="35"/>
      <c r="B206" s="35"/>
      <c r="C206" s="35"/>
      <c r="D206" s="35"/>
      <c r="E206" s="67"/>
      <c r="F206" s="67"/>
      <c r="G206" s="36"/>
      <c r="H206" s="29"/>
      <c r="I206" s="78" t="str">
        <f t="shared" si="2"/>
        <v/>
      </c>
      <c r="J206" s="29"/>
      <c r="K206" s="29"/>
      <c r="L206" s="33"/>
      <c r="M206" s="33"/>
      <c r="N206" s="60"/>
      <c r="O206" s="71"/>
      <c r="P206" s="71"/>
      <c r="Q206" s="33"/>
      <c r="R206" s="31"/>
      <c r="S206" s="31"/>
      <c r="T206" s="59"/>
      <c r="U206" s="59"/>
      <c r="V206" s="59"/>
      <c r="W206" s="57">
        <f t="shared" si="3"/>
        <v>0</v>
      </c>
      <c r="X206" s="126" t="str">
        <f>IF(Table1[[#This Row],[Shipping Weight Pounds]]&gt;150,"See LTL Form","No")</f>
        <v>No</v>
      </c>
      <c r="Y206" s="28"/>
      <c r="Z206" s="33"/>
      <c r="AA206" s="34"/>
      <c r="AB206" s="30"/>
      <c r="AC206" s="30"/>
      <c r="AD206" s="32"/>
      <c r="AE206" s="32"/>
      <c r="AF206" s="2"/>
      <c r="AG206" s="2"/>
      <c r="AH206" s="2"/>
      <c r="AI206" s="2"/>
      <c r="AK206" s="73" t="str">
        <f>IF(ISNA(MATCH($N206,[1]data!$A:$A,0)),"",INDEX([1]data!S:S,MATCH($N206,[1]data!$A:$A,0)))</f>
        <v/>
      </c>
      <c r="AL206" s="73" t="str">
        <f>IF(ISNA(MATCH($N206,[1]data!$A:$A,0)),"",INDEX([1]data!V:V,MATCH($N206,[1]data!$A:$A,0)))</f>
        <v/>
      </c>
      <c r="AM206" s="38" t="str">
        <f>IF(ISNA(MATCH($N206,data!$A:$A,0)),"",INDEX(data!B:B,MATCH($N206,data!$A:$A,0)))</f>
        <v/>
      </c>
      <c r="AN206" s="38" t="str">
        <f>IF(ISNA(MATCH($N206,data!$A:$A,0)),"",INDEX(data!C:C,MATCH($N206,data!$A:$A,0)))</f>
        <v/>
      </c>
      <c r="AO206" s="38" t="str">
        <f>IF(ISNA(MATCH($N206,data!$A:$A,0)),"",INDEX(data!D:D,MATCH($N206,data!$A:$A,0)))</f>
        <v/>
      </c>
      <c r="AP206" s="38" t="str">
        <f>IF(ISNA(MATCH($N206,data!$A:$A,0)),"",INDEX(data!E:E,MATCH($N206,data!$A:$A,0)))</f>
        <v/>
      </c>
      <c r="AQ206" s="38" t="str">
        <f>IF(ISNA(MATCH($N206,data!$A:$A,0)),"",INDEX(data!F:F,MATCH($N206,data!$A:$A,0)))</f>
        <v/>
      </c>
      <c r="AR206" s="38" t="str">
        <f>IF(ISNA(MATCH($N206,data!$A:$A,0)),"",INDEX(data!G:G,MATCH($N206,data!$A:$A,0)))</f>
        <v/>
      </c>
      <c r="AS206" s="38" t="str">
        <f>IF(ISNA(MATCH($N206,data!$A:$A,0)),"",INDEX(data!H:H,MATCH($N206,data!$A:$A,0)))</f>
        <v/>
      </c>
      <c r="AT206" s="38" t="str">
        <f>IF(ISNA(MATCH($N206,data!$A:$A,0)),"",INDEX(data!I:I,MATCH($N206,data!$A:$A,0)))</f>
        <v/>
      </c>
      <c r="AU206" s="38" t="str">
        <f>IF(ISNA(MATCH($N206,[1]data!$A:$A,0)),"",INDEX([1]data!L:L,MATCH($N206,[1]data!$A:$A,0)))</f>
        <v/>
      </c>
      <c r="AV206" s="38" t="str">
        <f>IF(ISNA(MATCH($N206,[1]data!$A:$A,0)),"",INDEX([1]data!M:M,MATCH($N206,[1]data!$A:$A,0)))</f>
        <v/>
      </c>
      <c r="AW206" s="38" t="str">
        <f>IF(ISNA(MATCH($N206,data!$A:$A,0)),"",INDEX(data!J:J,MATCH($N206,data!$A:$A,0)))</f>
        <v/>
      </c>
      <c r="AX206" s="38" t="str">
        <f>IF(ISNA(MATCH($N206,data!$A:$A,0)),"",INDEX(data!K:K,MATCH($N206,data!$A:$A,0)))</f>
        <v/>
      </c>
      <c r="AY206" s="38" t="str">
        <f>IF(ISNA(MATCH($N206,data!$A:$A,0)),"",INDEX(data!O:O,MATCH($N206,data!$A:$A,0)))</f>
        <v/>
      </c>
      <c r="AZ206" s="38" t="str">
        <f>IF(ISNA(MATCH($N206,data!$A:$A,0)),"",INDEX(data!N:N,MATCH($N206,data!$A:$A,0)))</f>
        <v/>
      </c>
      <c r="BA206" s="38" t="str">
        <f>IF(ISNA(MATCH($N206,data!$A:$A,0)),"",INDEX(data!P:P,MATCH($N206,data!$A:$A,0)))</f>
        <v/>
      </c>
      <c r="BB206" s="38" t="str">
        <f>IF(ISNA(MATCH($N206,data!$A:$A,0)),"",INDEX(data!Q:Q,MATCH($N206,data!$A:$A,0)))</f>
        <v/>
      </c>
      <c r="BC206" s="38" t="str">
        <f>IF(ISNA(MATCH($N206,data!$A:$A,0)),"",INDEX(data!R:R,MATCH($N206,data!$A:$A,0)))</f>
        <v/>
      </c>
      <c r="BD206" s="38" t="str">
        <f>IF(ISNA(MATCH($N206,[1]data!$A:$A,0)),"",INDEX([1]data!U:U,MATCH($N206,[1]data!$A:$A,0)))</f>
        <v/>
      </c>
      <c r="BE206" s="61" t="e">
        <f>IF(COUNTIF([1]data!A:A,[1]!Table1[[#This Row],[UPC]])&lt;2,"","DUP")</f>
        <v>#VALUE!</v>
      </c>
      <c r="BF206" s="38" t="str">
        <f>IF(ISNA(MATCH($N206,data!$A:$A,0)),"",INDEX(data!W:W,MATCH($N206,data!$A:$A,0)))</f>
        <v/>
      </c>
    </row>
    <row r="207" spans="1:58" ht="12.75" customHeight="1">
      <c r="A207" s="35"/>
      <c r="B207" s="35"/>
      <c r="C207" s="35"/>
      <c r="D207" s="35"/>
      <c r="E207" s="67"/>
      <c r="F207" s="67"/>
      <c r="G207" s="36"/>
      <c r="H207" s="29"/>
      <c r="I207" s="78" t="str">
        <f t="shared" si="2"/>
        <v/>
      </c>
      <c r="J207" s="29"/>
      <c r="K207" s="29"/>
      <c r="L207" s="33"/>
      <c r="M207" s="33"/>
      <c r="N207" s="60"/>
      <c r="O207" s="71"/>
      <c r="P207" s="71"/>
      <c r="Q207" s="33"/>
      <c r="R207" s="31"/>
      <c r="S207" s="31"/>
      <c r="T207" s="59"/>
      <c r="U207" s="59"/>
      <c r="V207" s="59"/>
      <c r="W207" s="57">
        <f t="shared" si="3"/>
        <v>0</v>
      </c>
      <c r="X207" s="126" t="str">
        <f>IF(Table1[[#This Row],[Shipping Weight Pounds]]&gt;150,"See LTL Form","No")</f>
        <v>No</v>
      </c>
      <c r="Y207" s="28"/>
      <c r="Z207" s="33"/>
      <c r="AA207" s="34"/>
      <c r="AB207" s="30"/>
      <c r="AC207" s="30"/>
      <c r="AD207" s="32"/>
      <c r="AE207" s="32"/>
      <c r="AF207" s="2"/>
      <c r="AG207" s="2"/>
      <c r="AH207" s="2"/>
      <c r="AI207" s="2"/>
      <c r="AK207" s="73" t="str">
        <f>IF(ISNA(MATCH($N207,[1]data!$A:$A,0)),"",INDEX([1]data!S:S,MATCH($N207,[1]data!$A:$A,0)))</f>
        <v/>
      </c>
      <c r="AL207" s="73" t="str">
        <f>IF(ISNA(MATCH($N207,[1]data!$A:$A,0)),"",INDEX([1]data!V:V,MATCH($N207,[1]data!$A:$A,0)))</f>
        <v/>
      </c>
      <c r="AM207" s="38" t="str">
        <f>IF(ISNA(MATCH($N207,data!$A:$A,0)),"",INDEX(data!B:B,MATCH($N207,data!$A:$A,0)))</f>
        <v/>
      </c>
      <c r="AN207" s="38" t="str">
        <f>IF(ISNA(MATCH($N207,data!$A:$A,0)),"",INDEX(data!C:C,MATCH($N207,data!$A:$A,0)))</f>
        <v/>
      </c>
      <c r="AO207" s="38" t="str">
        <f>IF(ISNA(MATCH($N207,data!$A:$A,0)),"",INDEX(data!D:D,MATCH($N207,data!$A:$A,0)))</f>
        <v/>
      </c>
      <c r="AP207" s="38" t="str">
        <f>IF(ISNA(MATCH($N207,data!$A:$A,0)),"",INDEX(data!E:E,MATCH($N207,data!$A:$A,0)))</f>
        <v/>
      </c>
      <c r="AQ207" s="38" t="str">
        <f>IF(ISNA(MATCH($N207,data!$A:$A,0)),"",INDEX(data!F:F,MATCH($N207,data!$A:$A,0)))</f>
        <v/>
      </c>
      <c r="AR207" s="38" t="str">
        <f>IF(ISNA(MATCH($N207,data!$A:$A,0)),"",INDEX(data!G:G,MATCH($N207,data!$A:$A,0)))</f>
        <v/>
      </c>
      <c r="AS207" s="38" t="str">
        <f>IF(ISNA(MATCH($N207,data!$A:$A,0)),"",INDEX(data!H:H,MATCH($N207,data!$A:$A,0)))</f>
        <v/>
      </c>
      <c r="AT207" s="38" t="str">
        <f>IF(ISNA(MATCH($N207,data!$A:$A,0)),"",INDEX(data!I:I,MATCH($N207,data!$A:$A,0)))</f>
        <v/>
      </c>
      <c r="AU207" s="38" t="str">
        <f>IF(ISNA(MATCH($N207,[1]data!$A:$A,0)),"",INDEX([1]data!L:L,MATCH($N207,[1]data!$A:$A,0)))</f>
        <v/>
      </c>
      <c r="AV207" s="38" t="str">
        <f>IF(ISNA(MATCH($N207,[1]data!$A:$A,0)),"",INDEX([1]data!M:M,MATCH($N207,[1]data!$A:$A,0)))</f>
        <v/>
      </c>
      <c r="AW207" s="38" t="str">
        <f>IF(ISNA(MATCH($N207,data!$A:$A,0)),"",INDEX(data!J:J,MATCH($N207,data!$A:$A,0)))</f>
        <v/>
      </c>
      <c r="AX207" s="38" t="str">
        <f>IF(ISNA(MATCH($N207,data!$A:$A,0)),"",INDEX(data!K:K,MATCH($N207,data!$A:$A,0)))</f>
        <v/>
      </c>
      <c r="AY207" s="38" t="str">
        <f>IF(ISNA(MATCH($N207,data!$A:$A,0)),"",INDEX(data!O:O,MATCH($N207,data!$A:$A,0)))</f>
        <v/>
      </c>
      <c r="AZ207" s="38" t="str">
        <f>IF(ISNA(MATCH($N207,data!$A:$A,0)),"",INDEX(data!N:N,MATCH($N207,data!$A:$A,0)))</f>
        <v/>
      </c>
      <c r="BA207" s="38" t="str">
        <f>IF(ISNA(MATCH($N207,data!$A:$A,0)),"",INDEX(data!P:P,MATCH($N207,data!$A:$A,0)))</f>
        <v/>
      </c>
      <c r="BB207" s="38" t="str">
        <f>IF(ISNA(MATCH($N207,data!$A:$A,0)),"",INDEX(data!Q:Q,MATCH($N207,data!$A:$A,0)))</f>
        <v/>
      </c>
      <c r="BC207" s="38" t="str">
        <f>IF(ISNA(MATCH($N207,data!$A:$A,0)),"",INDEX(data!R:R,MATCH($N207,data!$A:$A,0)))</f>
        <v/>
      </c>
      <c r="BD207" s="38" t="str">
        <f>IF(ISNA(MATCH($N207,[1]data!$A:$A,0)),"",INDEX([1]data!U:U,MATCH($N207,[1]data!$A:$A,0)))</f>
        <v/>
      </c>
      <c r="BE207" s="61" t="e">
        <f>IF(COUNTIF([1]data!A:A,[1]!Table1[[#This Row],[UPC]])&lt;2,"","DUP")</f>
        <v>#VALUE!</v>
      </c>
      <c r="BF207" s="38" t="str">
        <f>IF(ISNA(MATCH($N207,data!$A:$A,0)),"",INDEX(data!W:W,MATCH($N207,data!$A:$A,0)))</f>
        <v/>
      </c>
    </row>
    <row r="208" spans="1:58" ht="12.75" customHeight="1">
      <c r="A208" s="35"/>
      <c r="B208" s="35"/>
      <c r="C208" s="35"/>
      <c r="D208" s="35"/>
      <c r="E208" s="67"/>
      <c r="F208" s="67"/>
      <c r="G208" s="36"/>
      <c r="H208" s="29"/>
      <c r="I208" s="78" t="str">
        <f t="shared" si="2"/>
        <v/>
      </c>
      <c r="J208" s="29"/>
      <c r="K208" s="29"/>
      <c r="L208" s="33"/>
      <c r="M208" s="33"/>
      <c r="N208" s="60"/>
      <c r="O208" s="71"/>
      <c r="P208" s="71"/>
      <c r="Q208" s="33"/>
      <c r="R208" s="31"/>
      <c r="S208" s="31"/>
      <c r="T208" s="59"/>
      <c r="U208" s="59"/>
      <c r="V208" s="59"/>
      <c r="W208" s="57">
        <f t="shared" si="3"/>
        <v>0</v>
      </c>
      <c r="X208" s="126" t="str">
        <f>IF(Table1[[#This Row],[Shipping Weight Pounds]]&gt;150,"See LTL Form","No")</f>
        <v>No</v>
      </c>
      <c r="Y208" s="28"/>
      <c r="Z208" s="33"/>
      <c r="AA208" s="34"/>
      <c r="AB208" s="30"/>
      <c r="AC208" s="30"/>
      <c r="AD208" s="32"/>
      <c r="AE208" s="32"/>
      <c r="AF208" s="2"/>
      <c r="AG208" s="2"/>
      <c r="AH208" s="2"/>
      <c r="AI208" s="2"/>
      <c r="AK208" s="73" t="str">
        <f>IF(ISNA(MATCH($N208,[1]data!$A:$A,0)),"",INDEX([1]data!S:S,MATCH($N208,[1]data!$A:$A,0)))</f>
        <v/>
      </c>
      <c r="AL208" s="73" t="str">
        <f>IF(ISNA(MATCH($N208,[1]data!$A:$A,0)),"",INDEX([1]data!V:V,MATCH($N208,[1]data!$A:$A,0)))</f>
        <v/>
      </c>
      <c r="AM208" s="38" t="str">
        <f>IF(ISNA(MATCH($N208,data!$A:$A,0)),"",INDEX(data!B:B,MATCH($N208,data!$A:$A,0)))</f>
        <v/>
      </c>
      <c r="AN208" s="38" t="str">
        <f>IF(ISNA(MATCH($N208,data!$A:$A,0)),"",INDEX(data!C:C,MATCH($N208,data!$A:$A,0)))</f>
        <v/>
      </c>
      <c r="AO208" s="38" t="str">
        <f>IF(ISNA(MATCH($N208,data!$A:$A,0)),"",INDEX(data!D:D,MATCH($N208,data!$A:$A,0)))</f>
        <v/>
      </c>
      <c r="AP208" s="38" t="str">
        <f>IF(ISNA(MATCH($N208,data!$A:$A,0)),"",INDEX(data!E:E,MATCH($N208,data!$A:$A,0)))</f>
        <v/>
      </c>
      <c r="AQ208" s="38" t="str">
        <f>IF(ISNA(MATCH($N208,data!$A:$A,0)),"",INDEX(data!F:F,MATCH($N208,data!$A:$A,0)))</f>
        <v/>
      </c>
      <c r="AR208" s="38" t="str">
        <f>IF(ISNA(MATCH($N208,data!$A:$A,0)),"",INDEX(data!G:G,MATCH($N208,data!$A:$A,0)))</f>
        <v/>
      </c>
      <c r="AS208" s="38" t="str">
        <f>IF(ISNA(MATCH($N208,data!$A:$A,0)),"",INDEX(data!H:H,MATCH($N208,data!$A:$A,0)))</f>
        <v/>
      </c>
      <c r="AT208" s="38" t="str">
        <f>IF(ISNA(MATCH($N208,data!$A:$A,0)),"",INDEX(data!I:I,MATCH($N208,data!$A:$A,0)))</f>
        <v/>
      </c>
      <c r="AU208" s="38" t="str">
        <f>IF(ISNA(MATCH($N208,[1]data!$A:$A,0)),"",INDEX([1]data!L:L,MATCH($N208,[1]data!$A:$A,0)))</f>
        <v/>
      </c>
      <c r="AV208" s="38" t="str">
        <f>IF(ISNA(MATCH($N208,[1]data!$A:$A,0)),"",INDEX([1]data!M:M,MATCH($N208,[1]data!$A:$A,0)))</f>
        <v/>
      </c>
      <c r="AW208" s="38" t="str">
        <f>IF(ISNA(MATCH($N208,data!$A:$A,0)),"",INDEX(data!J:J,MATCH($N208,data!$A:$A,0)))</f>
        <v/>
      </c>
      <c r="AX208" s="38" t="str">
        <f>IF(ISNA(MATCH($N208,data!$A:$A,0)),"",INDEX(data!K:K,MATCH($N208,data!$A:$A,0)))</f>
        <v/>
      </c>
      <c r="AY208" s="38" t="str">
        <f>IF(ISNA(MATCH($N208,data!$A:$A,0)),"",INDEX(data!O:O,MATCH($N208,data!$A:$A,0)))</f>
        <v/>
      </c>
      <c r="AZ208" s="38" t="str">
        <f>IF(ISNA(MATCH($N208,data!$A:$A,0)),"",INDEX(data!N:N,MATCH($N208,data!$A:$A,0)))</f>
        <v/>
      </c>
      <c r="BA208" s="38" t="str">
        <f>IF(ISNA(MATCH($N208,data!$A:$A,0)),"",INDEX(data!P:P,MATCH($N208,data!$A:$A,0)))</f>
        <v/>
      </c>
      <c r="BB208" s="38" t="str">
        <f>IF(ISNA(MATCH($N208,data!$A:$A,0)),"",INDEX(data!Q:Q,MATCH($N208,data!$A:$A,0)))</f>
        <v/>
      </c>
      <c r="BC208" s="38" t="str">
        <f>IF(ISNA(MATCH($N208,data!$A:$A,0)),"",INDEX(data!R:R,MATCH($N208,data!$A:$A,0)))</f>
        <v/>
      </c>
      <c r="BD208" s="38" t="str">
        <f>IF(ISNA(MATCH($N208,[1]data!$A:$A,0)),"",INDEX([1]data!U:U,MATCH($N208,[1]data!$A:$A,0)))</f>
        <v/>
      </c>
      <c r="BE208" s="61" t="e">
        <f>IF(COUNTIF([1]data!A:A,[1]!Table1[[#This Row],[UPC]])&lt;2,"","DUP")</f>
        <v>#VALUE!</v>
      </c>
      <c r="BF208" s="38" t="str">
        <f>IF(ISNA(MATCH($N208,data!$A:$A,0)),"",INDEX(data!W:W,MATCH($N208,data!$A:$A,0)))</f>
        <v/>
      </c>
    </row>
    <row r="209" spans="1:58" ht="12.75" customHeight="1">
      <c r="A209" s="35"/>
      <c r="B209" s="35"/>
      <c r="C209" s="35"/>
      <c r="D209" s="35"/>
      <c r="E209" s="67"/>
      <c r="F209" s="67"/>
      <c r="G209" s="36"/>
      <c r="H209" s="29"/>
      <c r="I209" s="78" t="str">
        <f t="shared" si="2"/>
        <v/>
      </c>
      <c r="J209" s="29"/>
      <c r="K209" s="29"/>
      <c r="L209" s="33"/>
      <c r="M209" s="33"/>
      <c r="N209" s="60"/>
      <c r="O209" s="71"/>
      <c r="P209" s="71"/>
      <c r="Q209" s="33"/>
      <c r="R209" s="31"/>
      <c r="S209" s="31"/>
      <c r="T209" s="59"/>
      <c r="U209" s="59"/>
      <c r="V209" s="59"/>
      <c r="W209" s="57">
        <f t="shared" si="3"/>
        <v>0</v>
      </c>
      <c r="X209" s="126" t="str">
        <f>IF(Table1[[#This Row],[Shipping Weight Pounds]]&gt;150,"See LTL Form","No")</f>
        <v>No</v>
      </c>
      <c r="Y209" s="28"/>
      <c r="Z209" s="33"/>
      <c r="AA209" s="34"/>
      <c r="AB209" s="30"/>
      <c r="AC209" s="30"/>
      <c r="AD209" s="32"/>
      <c r="AE209" s="32"/>
      <c r="AF209" s="2"/>
      <c r="AG209" s="2"/>
      <c r="AH209" s="2"/>
      <c r="AI209" s="2"/>
      <c r="AK209" s="73" t="str">
        <f>IF(ISNA(MATCH($N209,[1]data!$A:$A,0)),"",INDEX([1]data!S:S,MATCH($N209,[1]data!$A:$A,0)))</f>
        <v/>
      </c>
      <c r="AL209" s="73" t="str">
        <f>IF(ISNA(MATCH($N209,[1]data!$A:$A,0)),"",INDEX([1]data!V:V,MATCH($N209,[1]data!$A:$A,0)))</f>
        <v/>
      </c>
      <c r="AM209" s="38" t="str">
        <f>IF(ISNA(MATCH($N209,data!$A:$A,0)),"",INDEX(data!B:B,MATCH($N209,data!$A:$A,0)))</f>
        <v/>
      </c>
      <c r="AN209" s="38" t="str">
        <f>IF(ISNA(MATCH($N209,data!$A:$A,0)),"",INDEX(data!C:C,MATCH($N209,data!$A:$A,0)))</f>
        <v/>
      </c>
      <c r="AO209" s="38" t="str">
        <f>IF(ISNA(MATCH($N209,data!$A:$A,0)),"",INDEX(data!D:D,MATCH($N209,data!$A:$A,0)))</f>
        <v/>
      </c>
      <c r="AP209" s="38" t="str">
        <f>IF(ISNA(MATCH($N209,data!$A:$A,0)),"",INDEX(data!E:E,MATCH($N209,data!$A:$A,0)))</f>
        <v/>
      </c>
      <c r="AQ209" s="38" t="str">
        <f>IF(ISNA(MATCH($N209,data!$A:$A,0)),"",INDEX(data!F:F,MATCH($N209,data!$A:$A,0)))</f>
        <v/>
      </c>
      <c r="AR209" s="38" t="str">
        <f>IF(ISNA(MATCH($N209,data!$A:$A,0)),"",INDEX(data!G:G,MATCH($N209,data!$A:$A,0)))</f>
        <v/>
      </c>
      <c r="AS209" s="38" t="str">
        <f>IF(ISNA(MATCH($N209,data!$A:$A,0)),"",INDEX(data!H:H,MATCH($N209,data!$A:$A,0)))</f>
        <v/>
      </c>
      <c r="AT209" s="38" t="str">
        <f>IF(ISNA(MATCH($N209,data!$A:$A,0)),"",INDEX(data!I:I,MATCH($N209,data!$A:$A,0)))</f>
        <v/>
      </c>
      <c r="AU209" s="38" t="str">
        <f>IF(ISNA(MATCH($N209,[1]data!$A:$A,0)),"",INDEX([1]data!L:L,MATCH($N209,[1]data!$A:$A,0)))</f>
        <v/>
      </c>
      <c r="AV209" s="38" t="str">
        <f>IF(ISNA(MATCH($N209,[1]data!$A:$A,0)),"",INDEX([1]data!M:M,MATCH($N209,[1]data!$A:$A,0)))</f>
        <v/>
      </c>
      <c r="AW209" s="38" t="str">
        <f>IF(ISNA(MATCH($N209,data!$A:$A,0)),"",INDEX(data!J:J,MATCH($N209,data!$A:$A,0)))</f>
        <v/>
      </c>
      <c r="AX209" s="38" t="str">
        <f>IF(ISNA(MATCH($N209,data!$A:$A,0)),"",INDEX(data!K:K,MATCH($N209,data!$A:$A,0)))</f>
        <v/>
      </c>
      <c r="AY209" s="38" t="str">
        <f>IF(ISNA(MATCH($N209,data!$A:$A,0)),"",INDEX(data!O:O,MATCH($N209,data!$A:$A,0)))</f>
        <v/>
      </c>
      <c r="AZ209" s="38" t="str">
        <f>IF(ISNA(MATCH($N209,data!$A:$A,0)),"",INDEX(data!N:N,MATCH($N209,data!$A:$A,0)))</f>
        <v/>
      </c>
      <c r="BA209" s="38" t="str">
        <f>IF(ISNA(MATCH($N209,data!$A:$A,0)),"",INDEX(data!P:P,MATCH($N209,data!$A:$A,0)))</f>
        <v/>
      </c>
      <c r="BB209" s="38" t="str">
        <f>IF(ISNA(MATCH($N209,data!$A:$A,0)),"",INDEX(data!Q:Q,MATCH($N209,data!$A:$A,0)))</f>
        <v/>
      </c>
      <c r="BC209" s="38" t="str">
        <f>IF(ISNA(MATCH($N209,data!$A:$A,0)),"",INDEX(data!R:R,MATCH($N209,data!$A:$A,0)))</f>
        <v/>
      </c>
      <c r="BD209" s="38" t="str">
        <f>IF(ISNA(MATCH($N209,[1]data!$A:$A,0)),"",INDEX([1]data!U:U,MATCH($N209,[1]data!$A:$A,0)))</f>
        <v/>
      </c>
      <c r="BE209" s="61" t="e">
        <f>IF(COUNTIF([1]data!A:A,[1]!Table1[[#This Row],[UPC]])&lt;2,"","DUP")</f>
        <v>#VALUE!</v>
      </c>
      <c r="BF209" s="38" t="str">
        <f>IF(ISNA(MATCH($N209,data!$A:$A,0)),"",INDEX(data!W:W,MATCH($N209,data!$A:$A,0)))</f>
        <v/>
      </c>
    </row>
    <row r="210" spans="1:58" ht="12.75" customHeight="1">
      <c r="A210" s="35"/>
      <c r="B210" s="35"/>
      <c r="C210" s="35"/>
      <c r="D210" s="35"/>
      <c r="E210" s="67"/>
      <c r="F210" s="67"/>
      <c r="G210" s="36"/>
      <c r="H210" s="29"/>
      <c r="I210" s="78" t="str">
        <f t="shared" si="2"/>
        <v/>
      </c>
      <c r="J210" s="29"/>
      <c r="K210" s="29"/>
      <c r="L210" s="33"/>
      <c r="M210" s="33"/>
      <c r="N210" s="60"/>
      <c r="O210" s="71"/>
      <c r="P210" s="71"/>
      <c r="Q210" s="33"/>
      <c r="R210" s="31"/>
      <c r="S210" s="31"/>
      <c r="T210" s="59"/>
      <c r="U210" s="59"/>
      <c r="V210" s="59"/>
      <c r="W210" s="57">
        <f t="shared" si="3"/>
        <v>0</v>
      </c>
      <c r="X210" s="126" t="str">
        <f>IF(Table1[[#This Row],[Shipping Weight Pounds]]&gt;150,"See LTL Form","No")</f>
        <v>No</v>
      </c>
      <c r="Y210" s="28"/>
      <c r="Z210" s="33"/>
      <c r="AA210" s="34"/>
      <c r="AB210" s="30"/>
      <c r="AC210" s="30"/>
      <c r="AD210" s="32"/>
      <c r="AE210" s="32"/>
      <c r="AF210" s="2"/>
      <c r="AG210" s="2"/>
      <c r="AH210" s="2"/>
      <c r="AI210" s="2"/>
      <c r="AK210" s="73" t="str">
        <f>IF(ISNA(MATCH($N210,[1]data!$A:$A,0)),"",INDEX([1]data!S:S,MATCH($N210,[1]data!$A:$A,0)))</f>
        <v/>
      </c>
      <c r="AL210" s="73" t="str">
        <f>IF(ISNA(MATCH($N210,[1]data!$A:$A,0)),"",INDEX([1]data!V:V,MATCH($N210,[1]data!$A:$A,0)))</f>
        <v/>
      </c>
      <c r="AM210" s="38" t="str">
        <f>IF(ISNA(MATCH($N210,data!$A:$A,0)),"",INDEX(data!B:B,MATCH($N210,data!$A:$A,0)))</f>
        <v/>
      </c>
      <c r="AN210" s="38" t="str">
        <f>IF(ISNA(MATCH($N210,data!$A:$A,0)),"",INDEX(data!C:C,MATCH($N210,data!$A:$A,0)))</f>
        <v/>
      </c>
      <c r="AO210" s="38" t="str">
        <f>IF(ISNA(MATCH($N210,data!$A:$A,0)),"",INDEX(data!D:D,MATCH($N210,data!$A:$A,0)))</f>
        <v/>
      </c>
      <c r="AP210" s="38" t="str">
        <f>IF(ISNA(MATCH($N210,data!$A:$A,0)),"",INDEX(data!E:E,MATCH($N210,data!$A:$A,0)))</f>
        <v/>
      </c>
      <c r="AQ210" s="38" t="str">
        <f>IF(ISNA(MATCH($N210,data!$A:$A,0)),"",INDEX(data!F:F,MATCH($N210,data!$A:$A,0)))</f>
        <v/>
      </c>
      <c r="AR210" s="38" t="str">
        <f>IF(ISNA(MATCH($N210,data!$A:$A,0)),"",INDEX(data!G:G,MATCH($N210,data!$A:$A,0)))</f>
        <v/>
      </c>
      <c r="AS210" s="38" t="str">
        <f>IF(ISNA(MATCH($N210,data!$A:$A,0)),"",INDEX(data!H:H,MATCH($N210,data!$A:$A,0)))</f>
        <v/>
      </c>
      <c r="AT210" s="38" t="str">
        <f>IF(ISNA(MATCH($N210,data!$A:$A,0)),"",INDEX(data!I:I,MATCH($N210,data!$A:$A,0)))</f>
        <v/>
      </c>
      <c r="AU210" s="38" t="str">
        <f>IF(ISNA(MATCH($N210,[1]data!$A:$A,0)),"",INDEX([1]data!L:L,MATCH($N210,[1]data!$A:$A,0)))</f>
        <v/>
      </c>
      <c r="AV210" s="38" t="str">
        <f>IF(ISNA(MATCH($N210,[1]data!$A:$A,0)),"",INDEX([1]data!M:M,MATCH($N210,[1]data!$A:$A,0)))</f>
        <v/>
      </c>
      <c r="AW210" s="38" t="str">
        <f>IF(ISNA(MATCH($N210,data!$A:$A,0)),"",INDEX(data!J:J,MATCH($N210,data!$A:$A,0)))</f>
        <v/>
      </c>
      <c r="AX210" s="38" t="str">
        <f>IF(ISNA(MATCH($N210,data!$A:$A,0)),"",INDEX(data!K:K,MATCH($N210,data!$A:$A,0)))</f>
        <v/>
      </c>
      <c r="AY210" s="38" t="str">
        <f>IF(ISNA(MATCH($N210,data!$A:$A,0)),"",INDEX(data!O:O,MATCH($N210,data!$A:$A,0)))</f>
        <v/>
      </c>
      <c r="AZ210" s="38" t="str">
        <f>IF(ISNA(MATCH($N210,data!$A:$A,0)),"",INDEX(data!N:N,MATCH($N210,data!$A:$A,0)))</f>
        <v/>
      </c>
      <c r="BA210" s="38" t="str">
        <f>IF(ISNA(MATCH($N210,data!$A:$A,0)),"",INDEX(data!P:P,MATCH($N210,data!$A:$A,0)))</f>
        <v/>
      </c>
      <c r="BB210" s="38" t="str">
        <f>IF(ISNA(MATCH($N210,data!$A:$A,0)),"",INDEX(data!Q:Q,MATCH($N210,data!$A:$A,0)))</f>
        <v/>
      </c>
      <c r="BC210" s="38" t="str">
        <f>IF(ISNA(MATCH($N210,data!$A:$A,0)),"",INDEX(data!R:R,MATCH($N210,data!$A:$A,0)))</f>
        <v/>
      </c>
      <c r="BD210" s="38" t="str">
        <f>IF(ISNA(MATCH($N210,[1]data!$A:$A,0)),"",INDEX([1]data!U:U,MATCH($N210,[1]data!$A:$A,0)))</f>
        <v/>
      </c>
      <c r="BE210" s="61" t="e">
        <f>IF(COUNTIF([1]data!A:A,[1]!Table1[[#This Row],[UPC]])&lt;2,"","DUP")</f>
        <v>#VALUE!</v>
      </c>
      <c r="BF210" s="38" t="str">
        <f>IF(ISNA(MATCH($N210,data!$A:$A,0)),"",INDEX(data!W:W,MATCH($N210,data!$A:$A,0)))</f>
        <v/>
      </c>
    </row>
    <row r="211" spans="1:58" ht="12.75" customHeight="1">
      <c r="A211" s="35"/>
      <c r="B211" s="35"/>
      <c r="C211" s="35"/>
      <c r="D211" s="35"/>
      <c r="E211" s="67"/>
      <c r="F211" s="67"/>
      <c r="G211" s="36"/>
      <c r="H211" s="29"/>
      <c r="I211" s="78" t="str">
        <f t="shared" si="2"/>
        <v/>
      </c>
      <c r="J211" s="29"/>
      <c r="K211" s="29"/>
      <c r="L211" s="33"/>
      <c r="M211" s="33"/>
      <c r="N211" s="60"/>
      <c r="O211" s="71"/>
      <c r="P211" s="71"/>
      <c r="Q211" s="33"/>
      <c r="R211" s="31"/>
      <c r="S211" s="31"/>
      <c r="T211" s="59"/>
      <c r="U211" s="59"/>
      <c r="V211" s="59"/>
      <c r="W211" s="57">
        <f t="shared" si="3"/>
        <v>0</v>
      </c>
      <c r="X211" s="126" t="str">
        <f>IF(Table1[[#This Row],[Shipping Weight Pounds]]&gt;150,"See LTL Form","No")</f>
        <v>No</v>
      </c>
      <c r="Y211" s="28"/>
      <c r="Z211" s="33"/>
      <c r="AA211" s="34"/>
      <c r="AB211" s="30"/>
      <c r="AC211" s="30"/>
      <c r="AD211" s="32"/>
      <c r="AE211" s="32"/>
      <c r="AF211" s="2"/>
      <c r="AG211" s="2"/>
      <c r="AH211" s="2"/>
      <c r="AI211" s="2"/>
      <c r="AK211" s="73" t="str">
        <f>IF(ISNA(MATCH($N211,[1]data!$A:$A,0)),"",INDEX([1]data!S:S,MATCH($N211,[1]data!$A:$A,0)))</f>
        <v/>
      </c>
      <c r="AL211" s="73" t="str">
        <f>IF(ISNA(MATCH($N211,[1]data!$A:$A,0)),"",INDEX([1]data!V:V,MATCH($N211,[1]data!$A:$A,0)))</f>
        <v/>
      </c>
      <c r="AM211" s="38" t="str">
        <f>IF(ISNA(MATCH($N211,data!$A:$A,0)),"",INDEX(data!B:B,MATCH($N211,data!$A:$A,0)))</f>
        <v/>
      </c>
      <c r="AN211" s="38" t="str">
        <f>IF(ISNA(MATCH($N211,data!$A:$A,0)),"",INDEX(data!C:C,MATCH($N211,data!$A:$A,0)))</f>
        <v/>
      </c>
      <c r="AO211" s="38" t="str">
        <f>IF(ISNA(MATCH($N211,data!$A:$A,0)),"",INDEX(data!D:D,MATCH($N211,data!$A:$A,0)))</f>
        <v/>
      </c>
      <c r="AP211" s="38" t="str">
        <f>IF(ISNA(MATCH($N211,data!$A:$A,0)),"",INDEX(data!E:E,MATCH($N211,data!$A:$A,0)))</f>
        <v/>
      </c>
      <c r="AQ211" s="38" t="str">
        <f>IF(ISNA(MATCH($N211,data!$A:$A,0)),"",INDEX(data!F:F,MATCH($N211,data!$A:$A,0)))</f>
        <v/>
      </c>
      <c r="AR211" s="38" t="str">
        <f>IF(ISNA(MATCH($N211,data!$A:$A,0)),"",INDEX(data!G:G,MATCH($N211,data!$A:$A,0)))</f>
        <v/>
      </c>
      <c r="AS211" s="38" t="str">
        <f>IF(ISNA(MATCH($N211,data!$A:$A,0)),"",INDEX(data!H:H,MATCH($N211,data!$A:$A,0)))</f>
        <v/>
      </c>
      <c r="AT211" s="38" t="str">
        <f>IF(ISNA(MATCH($N211,data!$A:$A,0)),"",INDEX(data!I:I,MATCH($N211,data!$A:$A,0)))</f>
        <v/>
      </c>
      <c r="AU211" s="38" t="str">
        <f>IF(ISNA(MATCH($N211,[1]data!$A:$A,0)),"",INDEX([1]data!L:L,MATCH($N211,[1]data!$A:$A,0)))</f>
        <v/>
      </c>
      <c r="AV211" s="38" t="str">
        <f>IF(ISNA(MATCH($N211,[1]data!$A:$A,0)),"",INDEX([1]data!M:M,MATCH($N211,[1]data!$A:$A,0)))</f>
        <v/>
      </c>
      <c r="AW211" s="38" t="str">
        <f>IF(ISNA(MATCH($N211,data!$A:$A,0)),"",INDEX(data!J:J,MATCH($N211,data!$A:$A,0)))</f>
        <v/>
      </c>
      <c r="AX211" s="38" t="str">
        <f>IF(ISNA(MATCH($N211,data!$A:$A,0)),"",INDEX(data!K:K,MATCH($N211,data!$A:$A,0)))</f>
        <v/>
      </c>
      <c r="AY211" s="38" t="str">
        <f>IF(ISNA(MATCH($N211,data!$A:$A,0)),"",INDEX(data!O:O,MATCH($N211,data!$A:$A,0)))</f>
        <v/>
      </c>
      <c r="AZ211" s="38" t="str">
        <f>IF(ISNA(MATCH($N211,data!$A:$A,0)),"",INDEX(data!N:N,MATCH($N211,data!$A:$A,0)))</f>
        <v/>
      </c>
      <c r="BA211" s="38" t="str">
        <f>IF(ISNA(MATCH($N211,data!$A:$A,0)),"",INDEX(data!P:P,MATCH($N211,data!$A:$A,0)))</f>
        <v/>
      </c>
      <c r="BB211" s="38" t="str">
        <f>IF(ISNA(MATCH($N211,data!$A:$A,0)),"",INDEX(data!Q:Q,MATCH($N211,data!$A:$A,0)))</f>
        <v/>
      </c>
      <c r="BC211" s="38" t="str">
        <f>IF(ISNA(MATCH($N211,data!$A:$A,0)),"",INDEX(data!R:R,MATCH($N211,data!$A:$A,0)))</f>
        <v/>
      </c>
      <c r="BD211" s="38" t="str">
        <f>IF(ISNA(MATCH($N211,[1]data!$A:$A,0)),"",INDEX([1]data!U:U,MATCH($N211,[1]data!$A:$A,0)))</f>
        <v/>
      </c>
      <c r="BE211" s="61" t="e">
        <f>IF(COUNTIF([1]data!A:A,[1]!Table1[[#This Row],[UPC]])&lt;2,"","DUP")</f>
        <v>#VALUE!</v>
      </c>
      <c r="BF211" s="38" t="str">
        <f>IF(ISNA(MATCH($N211,data!$A:$A,0)),"",INDEX(data!W:W,MATCH($N211,data!$A:$A,0)))</f>
        <v/>
      </c>
    </row>
    <row r="212" spans="1:58" ht="12.75" customHeight="1">
      <c r="A212" s="35"/>
      <c r="B212" s="35"/>
      <c r="C212" s="35"/>
      <c r="D212" s="35"/>
      <c r="E212" s="67"/>
      <c r="F212" s="67"/>
      <c r="G212" s="36"/>
      <c r="H212" s="29"/>
      <c r="I212" s="78" t="str">
        <f t="shared" si="2"/>
        <v/>
      </c>
      <c r="J212" s="29"/>
      <c r="K212" s="29"/>
      <c r="L212" s="33"/>
      <c r="M212" s="33"/>
      <c r="N212" s="60"/>
      <c r="O212" s="71"/>
      <c r="P212" s="71"/>
      <c r="Q212" s="33"/>
      <c r="R212" s="31"/>
      <c r="S212" s="31"/>
      <c r="T212" s="59"/>
      <c r="U212" s="59"/>
      <c r="V212" s="59"/>
      <c r="W212" s="57">
        <f t="shared" si="3"/>
        <v>0</v>
      </c>
      <c r="X212" s="126" t="str">
        <f>IF(Table1[[#This Row],[Shipping Weight Pounds]]&gt;150,"See LTL Form","No")</f>
        <v>No</v>
      </c>
      <c r="Y212" s="28"/>
      <c r="Z212" s="33"/>
      <c r="AA212" s="34"/>
      <c r="AB212" s="30"/>
      <c r="AC212" s="30"/>
      <c r="AD212" s="32"/>
      <c r="AE212" s="32"/>
      <c r="AF212" s="2"/>
      <c r="AG212" s="2"/>
      <c r="AH212" s="2"/>
      <c r="AI212" s="2"/>
      <c r="AK212" s="73" t="str">
        <f>IF(ISNA(MATCH($N212,[1]data!$A:$A,0)),"",INDEX([1]data!S:S,MATCH($N212,[1]data!$A:$A,0)))</f>
        <v/>
      </c>
      <c r="AL212" s="73" t="str">
        <f>IF(ISNA(MATCH($N212,[1]data!$A:$A,0)),"",INDEX([1]data!V:V,MATCH($N212,[1]data!$A:$A,0)))</f>
        <v/>
      </c>
      <c r="AM212" s="38" t="str">
        <f>IF(ISNA(MATCH($N212,data!$A:$A,0)),"",INDEX(data!B:B,MATCH($N212,data!$A:$A,0)))</f>
        <v/>
      </c>
      <c r="AN212" s="38" t="str">
        <f>IF(ISNA(MATCH($N212,data!$A:$A,0)),"",INDEX(data!C:C,MATCH($N212,data!$A:$A,0)))</f>
        <v/>
      </c>
      <c r="AO212" s="38" t="str">
        <f>IF(ISNA(MATCH($N212,data!$A:$A,0)),"",INDEX(data!D:D,MATCH($N212,data!$A:$A,0)))</f>
        <v/>
      </c>
      <c r="AP212" s="38" t="str">
        <f>IF(ISNA(MATCH($N212,data!$A:$A,0)),"",INDEX(data!E:E,MATCH($N212,data!$A:$A,0)))</f>
        <v/>
      </c>
      <c r="AQ212" s="38" t="str">
        <f>IF(ISNA(MATCH($N212,data!$A:$A,0)),"",INDEX(data!F:F,MATCH($N212,data!$A:$A,0)))</f>
        <v/>
      </c>
      <c r="AR212" s="38" t="str">
        <f>IF(ISNA(MATCH($N212,data!$A:$A,0)),"",INDEX(data!G:G,MATCH($N212,data!$A:$A,0)))</f>
        <v/>
      </c>
      <c r="AS212" s="38" t="str">
        <f>IF(ISNA(MATCH($N212,data!$A:$A,0)),"",INDEX(data!H:H,MATCH($N212,data!$A:$A,0)))</f>
        <v/>
      </c>
      <c r="AT212" s="38" t="str">
        <f>IF(ISNA(MATCH($N212,data!$A:$A,0)),"",INDEX(data!I:I,MATCH($N212,data!$A:$A,0)))</f>
        <v/>
      </c>
      <c r="AU212" s="38" t="str">
        <f>IF(ISNA(MATCH($N212,[1]data!$A:$A,0)),"",INDEX([1]data!L:L,MATCH($N212,[1]data!$A:$A,0)))</f>
        <v/>
      </c>
      <c r="AV212" s="38" t="str">
        <f>IF(ISNA(MATCH($N212,[1]data!$A:$A,0)),"",INDEX([1]data!M:M,MATCH($N212,[1]data!$A:$A,0)))</f>
        <v/>
      </c>
      <c r="AW212" s="38" t="str">
        <f>IF(ISNA(MATCH($N212,data!$A:$A,0)),"",INDEX(data!J:J,MATCH($N212,data!$A:$A,0)))</f>
        <v/>
      </c>
      <c r="AX212" s="38" t="str">
        <f>IF(ISNA(MATCH($N212,data!$A:$A,0)),"",INDEX(data!K:K,MATCH($N212,data!$A:$A,0)))</f>
        <v/>
      </c>
      <c r="AY212" s="38" t="str">
        <f>IF(ISNA(MATCH($N212,data!$A:$A,0)),"",INDEX(data!O:O,MATCH($N212,data!$A:$A,0)))</f>
        <v/>
      </c>
      <c r="AZ212" s="38" t="str">
        <f>IF(ISNA(MATCH($N212,data!$A:$A,0)),"",INDEX(data!N:N,MATCH($N212,data!$A:$A,0)))</f>
        <v/>
      </c>
      <c r="BA212" s="38" t="str">
        <f>IF(ISNA(MATCH($N212,data!$A:$A,0)),"",INDEX(data!P:P,MATCH($N212,data!$A:$A,0)))</f>
        <v/>
      </c>
      <c r="BB212" s="38" t="str">
        <f>IF(ISNA(MATCH($N212,data!$A:$A,0)),"",INDEX(data!Q:Q,MATCH($N212,data!$A:$A,0)))</f>
        <v/>
      </c>
      <c r="BC212" s="38" t="str">
        <f>IF(ISNA(MATCH($N212,data!$A:$A,0)),"",INDEX(data!R:R,MATCH($N212,data!$A:$A,0)))</f>
        <v/>
      </c>
      <c r="BD212" s="38" t="str">
        <f>IF(ISNA(MATCH($N212,[1]data!$A:$A,0)),"",INDEX([1]data!U:U,MATCH($N212,[1]data!$A:$A,0)))</f>
        <v/>
      </c>
      <c r="BE212" s="61" t="e">
        <f>IF(COUNTIF([1]data!A:A,[1]!Table1[[#This Row],[UPC]])&lt;2,"","DUP")</f>
        <v>#VALUE!</v>
      </c>
      <c r="BF212" s="38" t="str">
        <f>IF(ISNA(MATCH($N212,data!$A:$A,0)),"",INDEX(data!W:W,MATCH($N212,data!$A:$A,0)))</f>
        <v/>
      </c>
    </row>
    <row r="213" spans="1:58" ht="12.75" customHeight="1">
      <c r="A213" s="35"/>
      <c r="B213" s="35"/>
      <c r="C213" s="35"/>
      <c r="D213" s="35"/>
      <c r="E213" s="67"/>
      <c r="F213" s="67"/>
      <c r="G213" s="36"/>
      <c r="H213" s="29"/>
      <c r="I213" s="78" t="str">
        <f t="shared" si="2"/>
        <v/>
      </c>
      <c r="J213" s="29"/>
      <c r="K213" s="29"/>
      <c r="L213" s="33"/>
      <c r="M213" s="33"/>
      <c r="N213" s="60"/>
      <c r="O213" s="71"/>
      <c r="P213" s="71"/>
      <c r="Q213" s="33"/>
      <c r="R213" s="31"/>
      <c r="S213" s="31"/>
      <c r="T213" s="59"/>
      <c r="U213" s="59"/>
      <c r="V213" s="59"/>
      <c r="W213" s="57">
        <f t="shared" si="3"/>
        <v>0</v>
      </c>
      <c r="X213" s="126" t="str">
        <f>IF(Table1[[#This Row],[Shipping Weight Pounds]]&gt;150,"See LTL Form","No")</f>
        <v>No</v>
      </c>
      <c r="Y213" s="28"/>
      <c r="Z213" s="33"/>
      <c r="AA213" s="34"/>
      <c r="AB213" s="30"/>
      <c r="AC213" s="30"/>
      <c r="AD213" s="32"/>
      <c r="AE213" s="32"/>
      <c r="AF213" s="2"/>
      <c r="AG213" s="2"/>
      <c r="AH213" s="2"/>
      <c r="AI213" s="2"/>
      <c r="AK213" s="73" t="str">
        <f>IF(ISNA(MATCH($N213,[1]data!$A:$A,0)),"",INDEX([1]data!S:S,MATCH($N213,[1]data!$A:$A,0)))</f>
        <v/>
      </c>
      <c r="AL213" s="73" t="str">
        <f>IF(ISNA(MATCH($N213,[1]data!$A:$A,0)),"",INDEX([1]data!V:V,MATCH($N213,[1]data!$A:$A,0)))</f>
        <v/>
      </c>
      <c r="AM213" s="38" t="str">
        <f>IF(ISNA(MATCH($N213,data!$A:$A,0)),"",INDEX(data!B:B,MATCH($N213,data!$A:$A,0)))</f>
        <v/>
      </c>
      <c r="AN213" s="38" t="str">
        <f>IF(ISNA(MATCH($N213,data!$A:$A,0)),"",INDEX(data!C:C,MATCH($N213,data!$A:$A,0)))</f>
        <v/>
      </c>
      <c r="AO213" s="38" t="str">
        <f>IF(ISNA(MATCH($N213,data!$A:$A,0)),"",INDEX(data!D:D,MATCH($N213,data!$A:$A,0)))</f>
        <v/>
      </c>
      <c r="AP213" s="38" t="str">
        <f>IF(ISNA(MATCH($N213,data!$A:$A,0)),"",INDEX(data!E:E,MATCH($N213,data!$A:$A,0)))</f>
        <v/>
      </c>
      <c r="AQ213" s="38" t="str">
        <f>IF(ISNA(MATCH($N213,data!$A:$A,0)),"",INDEX(data!F:F,MATCH($N213,data!$A:$A,0)))</f>
        <v/>
      </c>
      <c r="AR213" s="38" t="str">
        <f>IF(ISNA(MATCH($N213,data!$A:$A,0)),"",INDEX(data!G:G,MATCH($N213,data!$A:$A,0)))</f>
        <v/>
      </c>
      <c r="AS213" s="38" t="str">
        <f>IF(ISNA(MATCH($N213,data!$A:$A,0)),"",INDEX(data!H:H,MATCH($N213,data!$A:$A,0)))</f>
        <v/>
      </c>
      <c r="AT213" s="38" t="str">
        <f>IF(ISNA(MATCH($N213,data!$A:$A,0)),"",INDEX(data!I:I,MATCH($N213,data!$A:$A,0)))</f>
        <v/>
      </c>
      <c r="AU213" s="38" t="str">
        <f>IF(ISNA(MATCH($N213,[1]data!$A:$A,0)),"",INDEX([1]data!L:L,MATCH($N213,[1]data!$A:$A,0)))</f>
        <v/>
      </c>
      <c r="AV213" s="38" t="str">
        <f>IF(ISNA(MATCH($N213,[1]data!$A:$A,0)),"",INDEX([1]data!M:M,MATCH($N213,[1]data!$A:$A,0)))</f>
        <v/>
      </c>
      <c r="AW213" s="38" t="str">
        <f>IF(ISNA(MATCH($N213,data!$A:$A,0)),"",INDEX(data!J:J,MATCH($N213,data!$A:$A,0)))</f>
        <v/>
      </c>
      <c r="AX213" s="38" t="str">
        <f>IF(ISNA(MATCH($N213,data!$A:$A,0)),"",INDEX(data!K:K,MATCH($N213,data!$A:$A,0)))</f>
        <v/>
      </c>
      <c r="AY213" s="38" t="str">
        <f>IF(ISNA(MATCH($N213,data!$A:$A,0)),"",INDEX(data!O:O,MATCH($N213,data!$A:$A,0)))</f>
        <v/>
      </c>
      <c r="AZ213" s="38" t="str">
        <f>IF(ISNA(MATCH($N213,data!$A:$A,0)),"",INDEX(data!N:N,MATCH($N213,data!$A:$A,0)))</f>
        <v/>
      </c>
      <c r="BA213" s="38" t="str">
        <f>IF(ISNA(MATCH($N213,data!$A:$A,0)),"",INDEX(data!P:P,MATCH($N213,data!$A:$A,0)))</f>
        <v/>
      </c>
      <c r="BB213" s="38" t="str">
        <f>IF(ISNA(MATCH($N213,data!$A:$A,0)),"",INDEX(data!Q:Q,MATCH($N213,data!$A:$A,0)))</f>
        <v/>
      </c>
      <c r="BC213" s="38" t="str">
        <f>IF(ISNA(MATCH($N213,data!$A:$A,0)),"",INDEX(data!R:R,MATCH($N213,data!$A:$A,0)))</f>
        <v/>
      </c>
      <c r="BD213" s="38" t="str">
        <f>IF(ISNA(MATCH($N213,[1]data!$A:$A,0)),"",INDEX([1]data!U:U,MATCH($N213,[1]data!$A:$A,0)))</f>
        <v/>
      </c>
      <c r="BE213" s="61" t="e">
        <f>IF(COUNTIF([1]data!A:A,[1]!Table1[[#This Row],[UPC]])&lt;2,"","DUP")</f>
        <v>#VALUE!</v>
      </c>
      <c r="BF213" s="38" t="str">
        <f>IF(ISNA(MATCH($N213,data!$A:$A,0)),"",INDEX(data!W:W,MATCH($N213,data!$A:$A,0)))</f>
        <v/>
      </c>
    </row>
    <row r="214" spans="1:58" ht="12.75" customHeight="1">
      <c r="A214" s="35"/>
      <c r="B214" s="35"/>
      <c r="C214" s="35"/>
      <c r="D214" s="35"/>
      <c r="E214" s="67"/>
      <c r="F214" s="67"/>
      <c r="G214" s="36"/>
      <c r="H214" s="29"/>
      <c r="I214" s="78" t="str">
        <f t="shared" si="2"/>
        <v/>
      </c>
      <c r="J214" s="29"/>
      <c r="K214" s="29"/>
      <c r="L214" s="33"/>
      <c r="M214" s="33"/>
      <c r="N214" s="60"/>
      <c r="O214" s="71"/>
      <c r="P214" s="71"/>
      <c r="Q214" s="33"/>
      <c r="R214" s="31"/>
      <c r="S214" s="31"/>
      <c r="T214" s="59"/>
      <c r="U214" s="59"/>
      <c r="V214" s="59"/>
      <c r="W214" s="57">
        <f t="shared" si="3"/>
        <v>0</v>
      </c>
      <c r="X214" s="126" t="str">
        <f>IF(Table1[[#This Row],[Shipping Weight Pounds]]&gt;150,"See LTL Form","No")</f>
        <v>No</v>
      </c>
      <c r="Y214" s="28"/>
      <c r="Z214" s="33"/>
      <c r="AA214" s="34"/>
      <c r="AB214" s="30"/>
      <c r="AC214" s="30"/>
      <c r="AD214" s="32"/>
      <c r="AE214" s="32"/>
      <c r="AF214" s="2"/>
      <c r="AG214" s="2"/>
      <c r="AH214" s="2"/>
      <c r="AI214" s="2"/>
      <c r="AK214" s="73" t="str">
        <f>IF(ISNA(MATCH($N214,[1]data!$A:$A,0)),"",INDEX([1]data!S:S,MATCH($N214,[1]data!$A:$A,0)))</f>
        <v/>
      </c>
      <c r="AL214" s="73" t="str">
        <f>IF(ISNA(MATCH($N214,[1]data!$A:$A,0)),"",INDEX([1]data!V:V,MATCH($N214,[1]data!$A:$A,0)))</f>
        <v/>
      </c>
      <c r="AM214" s="38" t="str">
        <f>IF(ISNA(MATCH($N214,data!$A:$A,0)),"",INDEX(data!B:B,MATCH($N214,data!$A:$A,0)))</f>
        <v/>
      </c>
      <c r="AN214" s="38" t="str">
        <f>IF(ISNA(MATCH($N214,data!$A:$A,0)),"",INDEX(data!C:C,MATCH($N214,data!$A:$A,0)))</f>
        <v/>
      </c>
      <c r="AO214" s="38" t="str">
        <f>IF(ISNA(MATCH($N214,data!$A:$A,0)),"",INDEX(data!D:D,MATCH($N214,data!$A:$A,0)))</f>
        <v/>
      </c>
      <c r="AP214" s="38" t="str">
        <f>IF(ISNA(MATCH($N214,data!$A:$A,0)),"",INDEX(data!E:E,MATCH($N214,data!$A:$A,0)))</f>
        <v/>
      </c>
      <c r="AQ214" s="38" t="str">
        <f>IF(ISNA(MATCH($N214,data!$A:$A,0)),"",INDEX(data!F:F,MATCH($N214,data!$A:$A,0)))</f>
        <v/>
      </c>
      <c r="AR214" s="38" t="str">
        <f>IF(ISNA(MATCH($N214,data!$A:$A,0)),"",INDEX(data!G:G,MATCH($N214,data!$A:$A,0)))</f>
        <v/>
      </c>
      <c r="AS214" s="38" t="str">
        <f>IF(ISNA(MATCH($N214,data!$A:$A,0)),"",INDEX(data!H:H,MATCH($N214,data!$A:$A,0)))</f>
        <v/>
      </c>
      <c r="AT214" s="38" t="str">
        <f>IF(ISNA(MATCH($N214,data!$A:$A,0)),"",INDEX(data!I:I,MATCH($N214,data!$A:$A,0)))</f>
        <v/>
      </c>
      <c r="AU214" s="38" t="str">
        <f>IF(ISNA(MATCH($N214,[1]data!$A:$A,0)),"",INDEX([1]data!L:L,MATCH($N214,[1]data!$A:$A,0)))</f>
        <v/>
      </c>
      <c r="AV214" s="38" t="str">
        <f>IF(ISNA(MATCH($N214,[1]data!$A:$A,0)),"",INDEX([1]data!M:M,MATCH($N214,[1]data!$A:$A,0)))</f>
        <v/>
      </c>
      <c r="AW214" s="38" t="str">
        <f>IF(ISNA(MATCH($N214,data!$A:$A,0)),"",INDEX(data!J:J,MATCH($N214,data!$A:$A,0)))</f>
        <v/>
      </c>
      <c r="AX214" s="38" t="str">
        <f>IF(ISNA(MATCH($N214,data!$A:$A,0)),"",INDEX(data!K:K,MATCH($N214,data!$A:$A,0)))</f>
        <v/>
      </c>
      <c r="AY214" s="38" t="str">
        <f>IF(ISNA(MATCH($N214,data!$A:$A,0)),"",INDEX(data!O:O,MATCH($N214,data!$A:$A,0)))</f>
        <v/>
      </c>
      <c r="AZ214" s="38" t="str">
        <f>IF(ISNA(MATCH($N214,data!$A:$A,0)),"",INDEX(data!N:N,MATCH($N214,data!$A:$A,0)))</f>
        <v/>
      </c>
      <c r="BA214" s="38" t="str">
        <f>IF(ISNA(MATCH($N214,data!$A:$A,0)),"",INDEX(data!P:P,MATCH($N214,data!$A:$A,0)))</f>
        <v/>
      </c>
      <c r="BB214" s="38" t="str">
        <f>IF(ISNA(MATCH($N214,data!$A:$A,0)),"",INDEX(data!Q:Q,MATCH($N214,data!$A:$A,0)))</f>
        <v/>
      </c>
      <c r="BC214" s="38" t="str">
        <f>IF(ISNA(MATCH($N214,data!$A:$A,0)),"",INDEX(data!R:R,MATCH($N214,data!$A:$A,0)))</f>
        <v/>
      </c>
      <c r="BD214" s="38" t="str">
        <f>IF(ISNA(MATCH($N214,[1]data!$A:$A,0)),"",INDEX([1]data!U:U,MATCH($N214,[1]data!$A:$A,0)))</f>
        <v/>
      </c>
      <c r="BE214" s="61" t="e">
        <f>IF(COUNTIF([1]data!A:A,[1]!Table1[[#This Row],[UPC]])&lt;2,"","DUP")</f>
        <v>#VALUE!</v>
      </c>
      <c r="BF214" s="38" t="str">
        <f>IF(ISNA(MATCH($N214,data!$A:$A,0)),"",INDEX(data!W:W,MATCH($N214,data!$A:$A,0)))</f>
        <v/>
      </c>
    </row>
    <row r="215" spans="1:58" ht="12.75" customHeight="1">
      <c r="A215" s="35"/>
      <c r="B215" s="35"/>
      <c r="C215" s="35"/>
      <c r="D215" s="35"/>
      <c r="E215" s="67"/>
      <c r="F215" s="67"/>
      <c r="G215" s="36"/>
      <c r="H215" s="29"/>
      <c r="I215" s="78" t="str">
        <f t="shared" si="2"/>
        <v/>
      </c>
      <c r="J215" s="29"/>
      <c r="K215" s="29"/>
      <c r="L215" s="33"/>
      <c r="M215" s="33"/>
      <c r="N215" s="60"/>
      <c r="O215" s="71"/>
      <c r="P215" s="71"/>
      <c r="Q215" s="33"/>
      <c r="R215" s="31"/>
      <c r="S215" s="31"/>
      <c r="T215" s="59"/>
      <c r="U215" s="59"/>
      <c r="V215" s="59"/>
      <c r="W215" s="57">
        <f t="shared" si="3"/>
        <v>0</v>
      </c>
      <c r="X215" s="126" t="str">
        <f>IF(Table1[[#This Row],[Shipping Weight Pounds]]&gt;150,"See LTL Form","No")</f>
        <v>No</v>
      </c>
      <c r="Y215" s="28"/>
      <c r="Z215" s="33"/>
      <c r="AA215" s="34"/>
      <c r="AB215" s="30"/>
      <c r="AC215" s="30"/>
      <c r="AD215" s="32"/>
      <c r="AE215" s="32"/>
      <c r="AF215" s="2"/>
      <c r="AG215" s="2"/>
      <c r="AH215" s="2"/>
      <c r="AI215" s="2"/>
      <c r="AK215" s="73" t="str">
        <f>IF(ISNA(MATCH($N215,[1]data!$A:$A,0)),"",INDEX([1]data!S:S,MATCH($N215,[1]data!$A:$A,0)))</f>
        <v/>
      </c>
      <c r="AL215" s="73" t="str">
        <f>IF(ISNA(MATCH($N215,[1]data!$A:$A,0)),"",INDEX([1]data!V:V,MATCH($N215,[1]data!$A:$A,0)))</f>
        <v/>
      </c>
      <c r="AM215" s="38" t="str">
        <f>IF(ISNA(MATCH($N215,data!$A:$A,0)),"",INDEX(data!B:B,MATCH($N215,data!$A:$A,0)))</f>
        <v/>
      </c>
      <c r="AN215" s="38" t="str">
        <f>IF(ISNA(MATCH($N215,data!$A:$A,0)),"",INDEX(data!C:C,MATCH($N215,data!$A:$A,0)))</f>
        <v/>
      </c>
      <c r="AO215" s="38" t="str">
        <f>IF(ISNA(MATCH($N215,data!$A:$A,0)),"",INDEX(data!D:D,MATCH($N215,data!$A:$A,0)))</f>
        <v/>
      </c>
      <c r="AP215" s="38" t="str">
        <f>IF(ISNA(MATCH($N215,data!$A:$A,0)),"",INDEX(data!E:E,MATCH($N215,data!$A:$A,0)))</f>
        <v/>
      </c>
      <c r="AQ215" s="38" t="str">
        <f>IF(ISNA(MATCH($N215,data!$A:$A,0)),"",INDEX(data!F:F,MATCH($N215,data!$A:$A,0)))</f>
        <v/>
      </c>
      <c r="AR215" s="38" t="str">
        <f>IF(ISNA(MATCH($N215,data!$A:$A,0)),"",INDEX(data!G:G,MATCH($N215,data!$A:$A,0)))</f>
        <v/>
      </c>
      <c r="AS215" s="38" t="str">
        <f>IF(ISNA(MATCH($N215,data!$A:$A,0)),"",INDEX(data!H:H,MATCH($N215,data!$A:$A,0)))</f>
        <v/>
      </c>
      <c r="AT215" s="38" t="str">
        <f>IF(ISNA(MATCH($N215,data!$A:$A,0)),"",INDEX(data!I:I,MATCH($N215,data!$A:$A,0)))</f>
        <v/>
      </c>
      <c r="AU215" s="38" t="str">
        <f>IF(ISNA(MATCH($N215,[1]data!$A:$A,0)),"",INDEX([1]data!L:L,MATCH($N215,[1]data!$A:$A,0)))</f>
        <v/>
      </c>
      <c r="AV215" s="38" t="str">
        <f>IF(ISNA(MATCH($N215,[1]data!$A:$A,0)),"",INDEX([1]data!M:M,MATCH($N215,[1]data!$A:$A,0)))</f>
        <v/>
      </c>
      <c r="AW215" s="38" t="str">
        <f>IF(ISNA(MATCH($N215,data!$A:$A,0)),"",INDEX(data!J:J,MATCH($N215,data!$A:$A,0)))</f>
        <v/>
      </c>
      <c r="AX215" s="38" t="str">
        <f>IF(ISNA(MATCH($N215,data!$A:$A,0)),"",INDEX(data!K:K,MATCH($N215,data!$A:$A,0)))</f>
        <v/>
      </c>
      <c r="AY215" s="38" t="str">
        <f>IF(ISNA(MATCH($N215,data!$A:$A,0)),"",INDEX(data!O:O,MATCH($N215,data!$A:$A,0)))</f>
        <v/>
      </c>
      <c r="AZ215" s="38" t="str">
        <f>IF(ISNA(MATCH($N215,data!$A:$A,0)),"",INDEX(data!N:N,MATCH($N215,data!$A:$A,0)))</f>
        <v/>
      </c>
      <c r="BA215" s="38" t="str">
        <f>IF(ISNA(MATCH($N215,data!$A:$A,0)),"",INDEX(data!P:P,MATCH($N215,data!$A:$A,0)))</f>
        <v/>
      </c>
      <c r="BB215" s="38" t="str">
        <f>IF(ISNA(MATCH($N215,data!$A:$A,0)),"",INDEX(data!Q:Q,MATCH($N215,data!$A:$A,0)))</f>
        <v/>
      </c>
      <c r="BC215" s="38" t="str">
        <f>IF(ISNA(MATCH($N215,data!$A:$A,0)),"",INDEX(data!R:R,MATCH($N215,data!$A:$A,0)))</f>
        <v/>
      </c>
      <c r="BD215" s="38" t="str">
        <f>IF(ISNA(MATCH($N215,[1]data!$A:$A,0)),"",INDEX([1]data!U:U,MATCH($N215,[1]data!$A:$A,0)))</f>
        <v/>
      </c>
      <c r="BE215" s="61" t="e">
        <f>IF(COUNTIF([1]data!A:A,[1]!Table1[[#This Row],[UPC]])&lt;2,"","DUP")</f>
        <v>#VALUE!</v>
      </c>
      <c r="BF215" s="38" t="str">
        <f>IF(ISNA(MATCH($N215,data!$A:$A,0)),"",INDEX(data!W:W,MATCH($N215,data!$A:$A,0)))</f>
        <v/>
      </c>
    </row>
    <row r="216" spans="1:58" ht="12.75" customHeight="1">
      <c r="A216" s="35"/>
      <c r="B216" s="35"/>
      <c r="C216" s="35"/>
      <c r="D216" s="35"/>
      <c r="E216" s="67"/>
      <c r="F216" s="67"/>
      <c r="G216" s="36"/>
      <c r="H216" s="29"/>
      <c r="I216" s="78" t="str">
        <f t="shared" si="2"/>
        <v/>
      </c>
      <c r="J216" s="29"/>
      <c r="K216" s="29"/>
      <c r="L216" s="33"/>
      <c r="M216" s="33"/>
      <c r="N216" s="60"/>
      <c r="O216" s="71"/>
      <c r="P216" s="71"/>
      <c r="Q216" s="33"/>
      <c r="R216" s="31"/>
      <c r="S216" s="31"/>
      <c r="T216" s="59"/>
      <c r="U216" s="59"/>
      <c r="V216" s="59"/>
      <c r="W216" s="57">
        <f t="shared" si="3"/>
        <v>0</v>
      </c>
      <c r="X216" s="126" t="str">
        <f>IF(Table1[[#This Row],[Shipping Weight Pounds]]&gt;150,"See LTL Form","No")</f>
        <v>No</v>
      </c>
      <c r="Y216" s="28"/>
      <c r="Z216" s="33"/>
      <c r="AA216" s="34"/>
      <c r="AB216" s="30"/>
      <c r="AC216" s="30"/>
      <c r="AD216" s="32"/>
      <c r="AE216" s="32"/>
      <c r="AF216" s="2"/>
      <c r="AG216" s="2"/>
      <c r="AH216" s="2"/>
      <c r="AI216" s="2"/>
      <c r="AK216" s="73" t="str">
        <f>IF(ISNA(MATCH($N216,[1]data!$A:$A,0)),"",INDEX([1]data!S:S,MATCH($N216,[1]data!$A:$A,0)))</f>
        <v/>
      </c>
      <c r="AL216" s="73" t="str">
        <f>IF(ISNA(MATCH($N216,[1]data!$A:$A,0)),"",INDEX([1]data!V:V,MATCH($N216,[1]data!$A:$A,0)))</f>
        <v/>
      </c>
      <c r="AM216" s="38" t="str">
        <f>IF(ISNA(MATCH($N216,data!$A:$A,0)),"",INDEX(data!B:B,MATCH($N216,data!$A:$A,0)))</f>
        <v/>
      </c>
      <c r="AN216" s="38" t="str">
        <f>IF(ISNA(MATCH($N216,data!$A:$A,0)),"",INDEX(data!C:C,MATCH($N216,data!$A:$A,0)))</f>
        <v/>
      </c>
      <c r="AO216" s="38" t="str">
        <f>IF(ISNA(MATCH($N216,data!$A:$A,0)),"",INDEX(data!D:D,MATCH($N216,data!$A:$A,0)))</f>
        <v/>
      </c>
      <c r="AP216" s="38" t="str">
        <f>IF(ISNA(MATCH($N216,data!$A:$A,0)),"",INDEX(data!E:E,MATCH($N216,data!$A:$A,0)))</f>
        <v/>
      </c>
      <c r="AQ216" s="38" t="str">
        <f>IF(ISNA(MATCH($N216,data!$A:$A,0)),"",INDEX(data!F:F,MATCH($N216,data!$A:$A,0)))</f>
        <v/>
      </c>
      <c r="AR216" s="38" t="str">
        <f>IF(ISNA(MATCH($N216,data!$A:$A,0)),"",INDEX(data!G:G,MATCH($N216,data!$A:$A,0)))</f>
        <v/>
      </c>
      <c r="AS216" s="38" t="str">
        <f>IF(ISNA(MATCH($N216,data!$A:$A,0)),"",INDEX(data!H:H,MATCH($N216,data!$A:$A,0)))</f>
        <v/>
      </c>
      <c r="AT216" s="38" t="str">
        <f>IF(ISNA(MATCH($N216,data!$A:$A,0)),"",INDEX(data!I:I,MATCH($N216,data!$A:$A,0)))</f>
        <v/>
      </c>
      <c r="AU216" s="38" t="str">
        <f>IF(ISNA(MATCH($N216,[1]data!$A:$A,0)),"",INDEX([1]data!L:L,MATCH($N216,[1]data!$A:$A,0)))</f>
        <v/>
      </c>
      <c r="AV216" s="38" t="str">
        <f>IF(ISNA(MATCH($N216,[1]data!$A:$A,0)),"",INDEX([1]data!M:M,MATCH($N216,[1]data!$A:$A,0)))</f>
        <v/>
      </c>
      <c r="AW216" s="38" t="str">
        <f>IF(ISNA(MATCH($N216,data!$A:$A,0)),"",INDEX(data!J:J,MATCH($N216,data!$A:$A,0)))</f>
        <v/>
      </c>
      <c r="AX216" s="38" t="str">
        <f>IF(ISNA(MATCH($N216,data!$A:$A,0)),"",INDEX(data!K:K,MATCH($N216,data!$A:$A,0)))</f>
        <v/>
      </c>
      <c r="AY216" s="38" t="str">
        <f>IF(ISNA(MATCH($N216,data!$A:$A,0)),"",INDEX(data!O:O,MATCH($N216,data!$A:$A,0)))</f>
        <v/>
      </c>
      <c r="AZ216" s="38" t="str">
        <f>IF(ISNA(MATCH($N216,data!$A:$A,0)),"",INDEX(data!N:N,MATCH($N216,data!$A:$A,0)))</f>
        <v/>
      </c>
      <c r="BA216" s="38" t="str">
        <f>IF(ISNA(MATCH($N216,data!$A:$A,0)),"",INDEX(data!P:P,MATCH($N216,data!$A:$A,0)))</f>
        <v/>
      </c>
      <c r="BB216" s="38" t="str">
        <f>IF(ISNA(MATCH($N216,data!$A:$A,0)),"",INDEX(data!Q:Q,MATCH($N216,data!$A:$A,0)))</f>
        <v/>
      </c>
      <c r="BC216" s="38" t="str">
        <f>IF(ISNA(MATCH($N216,data!$A:$A,0)),"",INDEX(data!R:R,MATCH($N216,data!$A:$A,0)))</f>
        <v/>
      </c>
      <c r="BD216" s="38" t="str">
        <f>IF(ISNA(MATCH($N216,[1]data!$A:$A,0)),"",INDEX([1]data!U:U,MATCH($N216,[1]data!$A:$A,0)))</f>
        <v/>
      </c>
      <c r="BE216" s="61" t="e">
        <f>IF(COUNTIF([1]data!A:A,[1]!Table1[[#This Row],[UPC]])&lt;2,"","DUP")</f>
        <v>#VALUE!</v>
      </c>
      <c r="BF216" s="38" t="str">
        <f>IF(ISNA(MATCH($N216,data!$A:$A,0)),"",INDEX(data!W:W,MATCH($N216,data!$A:$A,0)))</f>
        <v/>
      </c>
    </row>
    <row r="217" spans="1:58" ht="12.75" customHeight="1">
      <c r="A217" s="35"/>
      <c r="B217" s="35"/>
      <c r="C217" s="35"/>
      <c r="D217" s="35"/>
      <c r="E217" s="67"/>
      <c r="F217" s="67"/>
      <c r="G217" s="36"/>
      <c r="H217" s="29"/>
      <c r="I217" s="78" t="str">
        <f t="shared" si="2"/>
        <v/>
      </c>
      <c r="J217" s="29"/>
      <c r="K217" s="29"/>
      <c r="L217" s="33"/>
      <c r="M217" s="33"/>
      <c r="N217" s="60"/>
      <c r="O217" s="71"/>
      <c r="P217" s="71"/>
      <c r="Q217" s="33"/>
      <c r="R217" s="31"/>
      <c r="S217" s="31"/>
      <c r="T217" s="59"/>
      <c r="U217" s="59"/>
      <c r="V217" s="59"/>
      <c r="W217" s="57">
        <f t="shared" si="3"/>
        <v>0</v>
      </c>
      <c r="X217" s="126" t="str">
        <f>IF(Table1[[#This Row],[Shipping Weight Pounds]]&gt;150,"See LTL Form","No")</f>
        <v>No</v>
      </c>
      <c r="Y217" s="28"/>
      <c r="Z217" s="33"/>
      <c r="AA217" s="34"/>
      <c r="AB217" s="30"/>
      <c r="AC217" s="30"/>
      <c r="AD217" s="32"/>
      <c r="AE217" s="32"/>
      <c r="AF217" s="2"/>
      <c r="AG217" s="2"/>
      <c r="AH217" s="2"/>
      <c r="AI217" s="2"/>
      <c r="AK217" s="73" t="str">
        <f>IF(ISNA(MATCH($N217,[1]data!$A:$A,0)),"",INDEX([1]data!S:S,MATCH($N217,[1]data!$A:$A,0)))</f>
        <v/>
      </c>
      <c r="AL217" s="73" t="str">
        <f>IF(ISNA(MATCH($N217,[1]data!$A:$A,0)),"",INDEX([1]data!V:V,MATCH($N217,[1]data!$A:$A,0)))</f>
        <v/>
      </c>
      <c r="AM217" s="38" t="str">
        <f>IF(ISNA(MATCH($N217,data!$A:$A,0)),"",INDEX(data!B:B,MATCH($N217,data!$A:$A,0)))</f>
        <v/>
      </c>
      <c r="AN217" s="38" t="str">
        <f>IF(ISNA(MATCH($N217,data!$A:$A,0)),"",INDEX(data!C:C,MATCH($N217,data!$A:$A,0)))</f>
        <v/>
      </c>
      <c r="AO217" s="38" t="str">
        <f>IF(ISNA(MATCH($N217,data!$A:$A,0)),"",INDEX(data!D:D,MATCH($N217,data!$A:$A,0)))</f>
        <v/>
      </c>
      <c r="AP217" s="38" t="str">
        <f>IF(ISNA(MATCH($N217,data!$A:$A,0)),"",INDEX(data!E:E,MATCH($N217,data!$A:$A,0)))</f>
        <v/>
      </c>
      <c r="AQ217" s="38" t="str">
        <f>IF(ISNA(MATCH($N217,data!$A:$A,0)),"",INDEX(data!F:F,MATCH($N217,data!$A:$A,0)))</f>
        <v/>
      </c>
      <c r="AR217" s="38" t="str">
        <f>IF(ISNA(MATCH($N217,data!$A:$A,0)),"",INDEX(data!G:G,MATCH($N217,data!$A:$A,0)))</f>
        <v/>
      </c>
      <c r="AS217" s="38" t="str">
        <f>IF(ISNA(MATCH($N217,data!$A:$A,0)),"",INDEX(data!H:H,MATCH($N217,data!$A:$A,0)))</f>
        <v/>
      </c>
      <c r="AT217" s="38" t="str">
        <f>IF(ISNA(MATCH($N217,data!$A:$A,0)),"",INDEX(data!I:I,MATCH($N217,data!$A:$A,0)))</f>
        <v/>
      </c>
      <c r="AU217" s="38" t="str">
        <f>IF(ISNA(MATCH($N217,[1]data!$A:$A,0)),"",INDEX([1]data!L:L,MATCH($N217,[1]data!$A:$A,0)))</f>
        <v/>
      </c>
      <c r="AV217" s="38" t="str">
        <f>IF(ISNA(MATCH($N217,[1]data!$A:$A,0)),"",INDEX([1]data!M:M,MATCH($N217,[1]data!$A:$A,0)))</f>
        <v/>
      </c>
      <c r="AW217" s="38" t="str">
        <f>IF(ISNA(MATCH($N217,data!$A:$A,0)),"",INDEX(data!J:J,MATCH($N217,data!$A:$A,0)))</f>
        <v/>
      </c>
      <c r="AX217" s="38" t="str">
        <f>IF(ISNA(MATCH($N217,data!$A:$A,0)),"",INDEX(data!K:K,MATCH($N217,data!$A:$A,0)))</f>
        <v/>
      </c>
      <c r="AY217" s="38" t="str">
        <f>IF(ISNA(MATCH($N217,data!$A:$A,0)),"",INDEX(data!O:O,MATCH($N217,data!$A:$A,0)))</f>
        <v/>
      </c>
      <c r="AZ217" s="38" t="str">
        <f>IF(ISNA(MATCH($N217,data!$A:$A,0)),"",INDEX(data!N:N,MATCH($N217,data!$A:$A,0)))</f>
        <v/>
      </c>
      <c r="BA217" s="38" t="str">
        <f>IF(ISNA(MATCH($N217,data!$A:$A,0)),"",INDEX(data!P:P,MATCH($N217,data!$A:$A,0)))</f>
        <v/>
      </c>
      <c r="BB217" s="38" t="str">
        <f>IF(ISNA(MATCH($N217,data!$A:$A,0)),"",INDEX(data!Q:Q,MATCH($N217,data!$A:$A,0)))</f>
        <v/>
      </c>
      <c r="BC217" s="38" t="str">
        <f>IF(ISNA(MATCH($N217,data!$A:$A,0)),"",INDEX(data!R:R,MATCH($N217,data!$A:$A,0)))</f>
        <v/>
      </c>
      <c r="BD217" s="38" t="str">
        <f>IF(ISNA(MATCH($N217,[1]data!$A:$A,0)),"",INDEX([1]data!U:U,MATCH($N217,[1]data!$A:$A,0)))</f>
        <v/>
      </c>
      <c r="BE217" s="61" t="e">
        <f>IF(COUNTIF([1]data!A:A,[1]!Table1[[#This Row],[UPC]])&lt;2,"","DUP")</f>
        <v>#VALUE!</v>
      </c>
      <c r="BF217" s="38" t="str">
        <f>IF(ISNA(MATCH($N217,data!$A:$A,0)),"",INDEX(data!W:W,MATCH($N217,data!$A:$A,0)))</f>
        <v/>
      </c>
    </row>
    <row r="218" spans="1:58" ht="12.75" customHeight="1">
      <c r="A218" s="35"/>
      <c r="B218" s="35"/>
      <c r="C218" s="35"/>
      <c r="D218" s="35"/>
      <c r="E218" s="67"/>
      <c r="F218" s="67"/>
      <c r="G218" s="36"/>
      <c r="H218" s="29"/>
      <c r="I218" s="78" t="str">
        <f t="shared" si="2"/>
        <v/>
      </c>
      <c r="J218" s="29"/>
      <c r="K218" s="29"/>
      <c r="L218" s="33"/>
      <c r="M218" s="33"/>
      <c r="N218" s="60"/>
      <c r="O218" s="71"/>
      <c r="P218" s="71"/>
      <c r="Q218" s="33"/>
      <c r="R218" s="31"/>
      <c r="S218" s="31"/>
      <c r="T218" s="59"/>
      <c r="U218" s="59"/>
      <c r="V218" s="59"/>
      <c r="W218" s="57">
        <f t="shared" si="3"/>
        <v>0</v>
      </c>
      <c r="X218" s="126" t="str">
        <f>IF(Table1[[#This Row],[Shipping Weight Pounds]]&gt;150,"See LTL Form","No")</f>
        <v>No</v>
      </c>
      <c r="Y218" s="28"/>
      <c r="Z218" s="33"/>
      <c r="AA218" s="34"/>
      <c r="AB218" s="30"/>
      <c r="AC218" s="30"/>
      <c r="AD218" s="32"/>
      <c r="AE218" s="32"/>
      <c r="AF218" s="2"/>
      <c r="AG218" s="2"/>
      <c r="AH218" s="2"/>
      <c r="AI218" s="2"/>
      <c r="AK218" s="73" t="str">
        <f>IF(ISNA(MATCH($N218,[1]data!$A:$A,0)),"",INDEX([1]data!S:S,MATCH($N218,[1]data!$A:$A,0)))</f>
        <v/>
      </c>
      <c r="AL218" s="73" t="str">
        <f>IF(ISNA(MATCH($N218,[1]data!$A:$A,0)),"",INDEX([1]data!V:V,MATCH($N218,[1]data!$A:$A,0)))</f>
        <v/>
      </c>
      <c r="AM218" s="38" t="str">
        <f>IF(ISNA(MATCH($N218,data!$A:$A,0)),"",INDEX(data!B:B,MATCH($N218,data!$A:$A,0)))</f>
        <v/>
      </c>
      <c r="AN218" s="38" t="str">
        <f>IF(ISNA(MATCH($N218,data!$A:$A,0)),"",INDEX(data!C:C,MATCH($N218,data!$A:$A,0)))</f>
        <v/>
      </c>
      <c r="AO218" s="38" t="str">
        <f>IF(ISNA(MATCH($N218,data!$A:$A,0)),"",INDEX(data!D:D,MATCH($N218,data!$A:$A,0)))</f>
        <v/>
      </c>
      <c r="AP218" s="38" t="str">
        <f>IF(ISNA(MATCH($N218,data!$A:$A,0)),"",INDEX(data!E:E,MATCH($N218,data!$A:$A,0)))</f>
        <v/>
      </c>
      <c r="AQ218" s="38" t="str">
        <f>IF(ISNA(MATCH($N218,data!$A:$A,0)),"",INDEX(data!F:F,MATCH($N218,data!$A:$A,0)))</f>
        <v/>
      </c>
      <c r="AR218" s="38" t="str">
        <f>IF(ISNA(MATCH($N218,data!$A:$A,0)),"",INDEX(data!G:G,MATCH($N218,data!$A:$A,0)))</f>
        <v/>
      </c>
      <c r="AS218" s="38" t="str">
        <f>IF(ISNA(MATCH($N218,data!$A:$A,0)),"",INDEX(data!H:H,MATCH($N218,data!$A:$A,0)))</f>
        <v/>
      </c>
      <c r="AT218" s="38" t="str">
        <f>IF(ISNA(MATCH($N218,data!$A:$A,0)),"",INDEX(data!I:I,MATCH($N218,data!$A:$A,0)))</f>
        <v/>
      </c>
      <c r="AU218" s="38" t="str">
        <f>IF(ISNA(MATCH($N218,[1]data!$A:$A,0)),"",INDEX([1]data!L:L,MATCH($N218,[1]data!$A:$A,0)))</f>
        <v/>
      </c>
      <c r="AV218" s="38" t="str">
        <f>IF(ISNA(MATCH($N218,[1]data!$A:$A,0)),"",INDEX([1]data!M:M,MATCH($N218,[1]data!$A:$A,0)))</f>
        <v/>
      </c>
      <c r="AW218" s="38" t="str">
        <f>IF(ISNA(MATCH($N218,data!$A:$A,0)),"",INDEX(data!J:J,MATCH($N218,data!$A:$A,0)))</f>
        <v/>
      </c>
      <c r="AX218" s="38" t="str">
        <f>IF(ISNA(MATCH($N218,data!$A:$A,0)),"",INDEX(data!K:K,MATCH($N218,data!$A:$A,0)))</f>
        <v/>
      </c>
      <c r="AY218" s="38" t="str">
        <f>IF(ISNA(MATCH($N218,data!$A:$A,0)),"",INDEX(data!O:O,MATCH($N218,data!$A:$A,0)))</f>
        <v/>
      </c>
      <c r="AZ218" s="38" t="str">
        <f>IF(ISNA(MATCH($N218,data!$A:$A,0)),"",INDEX(data!N:N,MATCH($N218,data!$A:$A,0)))</f>
        <v/>
      </c>
      <c r="BA218" s="38" t="str">
        <f>IF(ISNA(MATCH($N218,data!$A:$A,0)),"",INDEX(data!P:P,MATCH($N218,data!$A:$A,0)))</f>
        <v/>
      </c>
      <c r="BB218" s="38" t="str">
        <f>IF(ISNA(MATCH($N218,data!$A:$A,0)),"",INDEX(data!Q:Q,MATCH($N218,data!$A:$A,0)))</f>
        <v/>
      </c>
      <c r="BC218" s="38" t="str">
        <f>IF(ISNA(MATCH($N218,data!$A:$A,0)),"",INDEX(data!R:R,MATCH($N218,data!$A:$A,0)))</f>
        <v/>
      </c>
      <c r="BD218" s="38" t="str">
        <f>IF(ISNA(MATCH($N218,[1]data!$A:$A,0)),"",INDEX([1]data!U:U,MATCH($N218,[1]data!$A:$A,0)))</f>
        <v/>
      </c>
      <c r="BE218" s="61" t="e">
        <f>IF(COUNTIF([1]data!A:A,[1]!Table1[[#This Row],[UPC]])&lt;2,"","DUP")</f>
        <v>#VALUE!</v>
      </c>
      <c r="BF218" s="38" t="str">
        <f>IF(ISNA(MATCH($N218,data!$A:$A,0)),"",INDEX(data!W:W,MATCH($N218,data!$A:$A,0)))</f>
        <v/>
      </c>
    </row>
    <row r="219" spans="1:58" ht="12.75" customHeight="1">
      <c r="A219" s="35"/>
      <c r="B219" s="35"/>
      <c r="C219" s="35"/>
      <c r="D219" s="35"/>
      <c r="E219" s="67"/>
      <c r="F219" s="67"/>
      <c r="G219" s="36"/>
      <c r="H219" s="29"/>
      <c r="I219" s="78" t="str">
        <f t="shared" si="2"/>
        <v/>
      </c>
      <c r="J219" s="29"/>
      <c r="K219" s="29"/>
      <c r="L219" s="33"/>
      <c r="M219" s="33"/>
      <c r="N219" s="60"/>
      <c r="O219" s="71"/>
      <c r="P219" s="71"/>
      <c r="Q219" s="33"/>
      <c r="R219" s="31"/>
      <c r="S219" s="31"/>
      <c r="T219" s="59"/>
      <c r="U219" s="59"/>
      <c r="V219" s="59"/>
      <c r="W219" s="57">
        <f t="shared" si="3"/>
        <v>0</v>
      </c>
      <c r="X219" s="126" t="str">
        <f>IF(Table1[[#This Row],[Shipping Weight Pounds]]&gt;150,"See LTL Form","No")</f>
        <v>No</v>
      </c>
      <c r="Y219" s="28"/>
      <c r="Z219" s="33"/>
      <c r="AA219" s="34"/>
      <c r="AB219" s="30"/>
      <c r="AC219" s="30"/>
      <c r="AD219" s="32"/>
      <c r="AE219" s="32"/>
      <c r="AF219" s="2"/>
      <c r="AG219" s="2"/>
      <c r="AH219" s="2"/>
      <c r="AI219" s="2"/>
      <c r="AK219" s="73" t="str">
        <f>IF(ISNA(MATCH($N219,[1]data!$A:$A,0)),"",INDEX([1]data!S:S,MATCH($N219,[1]data!$A:$A,0)))</f>
        <v/>
      </c>
      <c r="AL219" s="73" t="str">
        <f>IF(ISNA(MATCH($N219,[1]data!$A:$A,0)),"",INDEX([1]data!V:V,MATCH($N219,[1]data!$A:$A,0)))</f>
        <v/>
      </c>
      <c r="AM219" s="38" t="str">
        <f>IF(ISNA(MATCH($N219,data!$A:$A,0)),"",INDEX(data!B:B,MATCH($N219,data!$A:$A,0)))</f>
        <v/>
      </c>
      <c r="AN219" s="38" t="str">
        <f>IF(ISNA(MATCH($N219,data!$A:$A,0)),"",INDEX(data!C:C,MATCH($N219,data!$A:$A,0)))</f>
        <v/>
      </c>
      <c r="AO219" s="38" t="str">
        <f>IF(ISNA(MATCH($N219,data!$A:$A,0)),"",INDEX(data!D:D,MATCH($N219,data!$A:$A,0)))</f>
        <v/>
      </c>
      <c r="AP219" s="38" t="str">
        <f>IF(ISNA(MATCH($N219,data!$A:$A,0)),"",INDEX(data!E:E,MATCH($N219,data!$A:$A,0)))</f>
        <v/>
      </c>
      <c r="AQ219" s="38" t="str">
        <f>IF(ISNA(MATCH($N219,data!$A:$A,0)),"",INDEX(data!F:F,MATCH($N219,data!$A:$A,0)))</f>
        <v/>
      </c>
      <c r="AR219" s="38" t="str">
        <f>IF(ISNA(MATCH($N219,data!$A:$A,0)),"",INDEX(data!G:G,MATCH($N219,data!$A:$A,0)))</f>
        <v/>
      </c>
      <c r="AS219" s="38" t="str">
        <f>IF(ISNA(MATCH($N219,data!$A:$A,0)),"",INDEX(data!H:H,MATCH($N219,data!$A:$A,0)))</f>
        <v/>
      </c>
      <c r="AT219" s="38" t="str">
        <f>IF(ISNA(MATCH($N219,data!$A:$A,0)),"",INDEX(data!I:I,MATCH($N219,data!$A:$A,0)))</f>
        <v/>
      </c>
      <c r="AU219" s="38" t="str">
        <f>IF(ISNA(MATCH($N219,[1]data!$A:$A,0)),"",INDEX([1]data!L:L,MATCH($N219,[1]data!$A:$A,0)))</f>
        <v/>
      </c>
      <c r="AV219" s="38" t="str">
        <f>IF(ISNA(MATCH($N219,[1]data!$A:$A,0)),"",INDEX([1]data!M:M,MATCH($N219,[1]data!$A:$A,0)))</f>
        <v/>
      </c>
      <c r="AW219" s="38" t="str">
        <f>IF(ISNA(MATCH($N219,data!$A:$A,0)),"",INDEX(data!J:J,MATCH($N219,data!$A:$A,0)))</f>
        <v/>
      </c>
      <c r="AX219" s="38" t="str">
        <f>IF(ISNA(MATCH($N219,data!$A:$A,0)),"",INDEX(data!K:K,MATCH($N219,data!$A:$A,0)))</f>
        <v/>
      </c>
      <c r="AY219" s="38" t="str">
        <f>IF(ISNA(MATCH($N219,data!$A:$A,0)),"",INDEX(data!O:O,MATCH($N219,data!$A:$A,0)))</f>
        <v/>
      </c>
      <c r="AZ219" s="38" t="str">
        <f>IF(ISNA(MATCH($N219,data!$A:$A,0)),"",INDEX(data!N:N,MATCH($N219,data!$A:$A,0)))</f>
        <v/>
      </c>
      <c r="BA219" s="38" t="str">
        <f>IF(ISNA(MATCH($N219,data!$A:$A,0)),"",INDEX(data!P:P,MATCH($N219,data!$A:$A,0)))</f>
        <v/>
      </c>
      <c r="BB219" s="38" t="str">
        <f>IF(ISNA(MATCH($N219,data!$A:$A,0)),"",INDEX(data!Q:Q,MATCH($N219,data!$A:$A,0)))</f>
        <v/>
      </c>
      <c r="BC219" s="38" t="str">
        <f>IF(ISNA(MATCH($N219,data!$A:$A,0)),"",INDEX(data!R:R,MATCH($N219,data!$A:$A,0)))</f>
        <v/>
      </c>
      <c r="BD219" s="38" t="str">
        <f>IF(ISNA(MATCH($N219,[1]data!$A:$A,0)),"",INDEX([1]data!U:U,MATCH($N219,[1]data!$A:$A,0)))</f>
        <v/>
      </c>
      <c r="BE219" s="61" t="e">
        <f>IF(COUNTIF([1]data!A:A,[1]!Table1[[#This Row],[UPC]])&lt;2,"","DUP")</f>
        <v>#VALUE!</v>
      </c>
      <c r="BF219" s="38" t="str">
        <f>IF(ISNA(MATCH($N219,data!$A:$A,0)),"",INDEX(data!W:W,MATCH($N219,data!$A:$A,0)))</f>
        <v/>
      </c>
    </row>
    <row r="220" spans="1:58" ht="12.75" customHeight="1">
      <c r="A220" s="35"/>
      <c r="B220" s="35"/>
      <c r="C220" s="35"/>
      <c r="D220" s="35"/>
      <c r="E220" s="67"/>
      <c r="F220" s="67"/>
      <c r="G220" s="36"/>
      <c r="H220" s="29"/>
      <c r="I220" s="78" t="str">
        <f t="shared" si="2"/>
        <v/>
      </c>
      <c r="J220" s="29"/>
      <c r="K220" s="29"/>
      <c r="L220" s="33"/>
      <c r="M220" s="33"/>
      <c r="N220" s="60"/>
      <c r="O220" s="71"/>
      <c r="P220" s="71"/>
      <c r="Q220" s="33"/>
      <c r="R220" s="31"/>
      <c r="S220" s="31"/>
      <c r="T220" s="59"/>
      <c r="U220" s="59"/>
      <c r="V220" s="59"/>
      <c r="W220" s="57">
        <f t="shared" si="3"/>
        <v>0</v>
      </c>
      <c r="X220" s="126" t="str">
        <f>IF(Table1[[#This Row],[Shipping Weight Pounds]]&gt;150,"See LTL Form","No")</f>
        <v>No</v>
      </c>
      <c r="Y220" s="28"/>
      <c r="Z220" s="33"/>
      <c r="AA220" s="34"/>
      <c r="AB220" s="30"/>
      <c r="AC220" s="30"/>
      <c r="AD220" s="32"/>
      <c r="AE220" s="32"/>
      <c r="AF220" s="2"/>
      <c r="AG220" s="2"/>
      <c r="AH220" s="2"/>
      <c r="AI220" s="2"/>
      <c r="AK220" s="73" t="str">
        <f>IF(ISNA(MATCH($N220,[1]data!$A:$A,0)),"",INDEX([1]data!S:S,MATCH($N220,[1]data!$A:$A,0)))</f>
        <v/>
      </c>
      <c r="AL220" s="73" t="str">
        <f>IF(ISNA(MATCH($N220,[1]data!$A:$A,0)),"",INDEX([1]data!V:V,MATCH($N220,[1]data!$A:$A,0)))</f>
        <v/>
      </c>
      <c r="AM220" s="38" t="str">
        <f>IF(ISNA(MATCH($N220,data!$A:$A,0)),"",INDEX(data!B:B,MATCH($N220,data!$A:$A,0)))</f>
        <v/>
      </c>
      <c r="AN220" s="38" t="str">
        <f>IF(ISNA(MATCH($N220,data!$A:$A,0)),"",INDEX(data!C:C,MATCH($N220,data!$A:$A,0)))</f>
        <v/>
      </c>
      <c r="AO220" s="38" t="str">
        <f>IF(ISNA(MATCH($N220,data!$A:$A,0)),"",INDEX(data!D:D,MATCH($N220,data!$A:$A,0)))</f>
        <v/>
      </c>
      <c r="AP220" s="38" t="str">
        <f>IF(ISNA(MATCH($N220,data!$A:$A,0)),"",INDEX(data!E:E,MATCH($N220,data!$A:$A,0)))</f>
        <v/>
      </c>
      <c r="AQ220" s="38" t="str">
        <f>IF(ISNA(MATCH($N220,data!$A:$A,0)),"",INDEX(data!F:F,MATCH($N220,data!$A:$A,0)))</f>
        <v/>
      </c>
      <c r="AR220" s="38" t="str">
        <f>IF(ISNA(MATCH($N220,data!$A:$A,0)),"",INDEX(data!G:G,MATCH($N220,data!$A:$A,0)))</f>
        <v/>
      </c>
      <c r="AS220" s="38" t="str">
        <f>IF(ISNA(MATCH($N220,data!$A:$A,0)),"",INDEX(data!H:H,MATCH($N220,data!$A:$A,0)))</f>
        <v/>
      </c>
      <c r="AT220" s="38" t="str">
        <f>IF(ISNA(MATCH($N220,data!$A:$A,0)),"",INDEX(data!I:I,MATCH($N220,data!$A:$A,0)))</f>
        <v/>
      </c>
      <c r="AU220" s="38" t="str">
        <f>IF(ISNA(MATCH($N220,[1]data!$A:$A,0)),"",INDEX([1]data!L:L,MATCH($N220,[1]data!$A:$A,0)))</f>
        <v/>
      </c>
      <c r="AV220" s="38" t="str">
        <f>IF(ISNA(MATCH($N220,[1]data!$A:$A,0)),"",INDEX([1]data!M:M,MATCH($N220,[1]data!$A:$A,0)))</f>
        <v/>
      </c>
      <c r="AW220" s="38" t="str">
        <f>IF(ISNA(MATCH($N220,data!$A:$A,0)),"",INDEX(data!J:J,MATCH($N220,data!$A:$A,0)))</f>
        <v/>
      </c>
      <c r="AX220" s="38" t="str">
        <f>IF(ISNA(MATCH($N220,data!$A:$A,0)),"",INDEX(data!K:K,MATCH($N220,data!$A:$A,0)))</f>
        <v/>
      </c>
      <c r="AY220" s="38" t="str">
        <f>IF(ISNA(MATCH($N220,data!$A:$A,0)),"",INDEX(data!O:O,MATCH($N220,data!$A:$A,0)))</f>
        <v/>
      </c>
      <c r="AZ220" s="38" t="str">
        <f>IF(ISNA(MATCH($N220,data!$A:$A,0)),"",INDEX(data!N:N,MATCH($N220,data!$A:$A,0)))</f>
        <v/>
      </c>
      <c r="BA220" s="38" t="str">
        <f>IF(ISNA(MATCH($N220,data!$A:$A,0)),"",INDEX(data!P:P,MATCH($N220,data!$A:$A,0)))</f>
        <v/>
      </c>
      <c r="BB220" s="38" t="str">
        <f>IF(ISNA(MATCH($N220,data!$A:$A,0)),"",INDEX(data!Q:Q,MATCH($N220,data!$A:$A,0)))</f>
        <v/>
      </c>
      <c r="BC220" s="38" t="str">
        <f>IF(ISNA(MATCH($N220,data!$A:$A,0)),"",INDEX(data!R:R,MATCH($N220,data!$A:$A,0)))</f>
        <v/>
      </c>
      <c r="BD220" s="38" t="str">
        <f>IF(ISNA(MATCH($N220,[1]data!$A:$A,0)),"",INDEX([1]data!U:U,MATCH($N220,[1]data!$A:$A,0)))</f>
        <v/>
      </c>
      <c r="BE220" s="61" t="e">
        <f>IF(COUNTIF([1]data!A:A,[1]!Table1[[#This Row],[UPC]])&lt;2,"","DUP")</f>
        <v>#VALUE!</v>
      </c>
      <c r="BF220" s="38" t="str">
        <f>IF(ISNA(MATCH($N220,data!$A:$A,0)),"",INDEX(data!W:W,MATCH($N220,data!$A:$A,0)))</f>
        <v/>
      </c>
    </row>
    <row r="221" spans="1:58" ht="12.75" customHeight="1">
      <c r="A221" s="35"/>
      <c r="B221" s="35"/>
      <c r="C221" s="35"/>
      <c r="D221" s="35"/>
      <c r="E221" s="67"/>
      <c r="F221" s="67"/>
      <c r="G221" s="36"/>
      <c r="H221" s="29"/>
      <c r="I221" s="78" t="str">
        <f t="shared" si="2"/>
        <v/>
      </c>
      <c r="J221" s="29"/>
      <c r="K221" s="29"/>
      <c r="L221" s="33"/>
      <c r="M221" s="33"/>
      <c r="N221" s="60"/>
      <c r="O221" s="71"/>
      <c r="P221" s="71"/>
      <c r="Q221" s="33"/>
      <c r="R221" s="31"/>
      <c r="S221" s="31"/>
      <c r="T221" s="59"/>
      <c r="U221" s="59"/>
      <c r="V221" s="59"/>
      <c r="W221" s="57">
        <f t="shared" si="3"/>
        <v>0</v>
      </c>
      <c r="X221" s="126" t="str">
        <f>IF(Table1[[#This Row],[Shipping Weight Pounds]]&gt;150,"See LTL Form","No")</f>
        <v>No</v>
      </c>
      <c r="Y221" s="28"/>
      <c r="Z221" s="33"/>
      <c r="AA221" s="34"/>
      <c r="AB221" s="30"/>
      <c r="AC221" s="30"/>
      <c r="AD221" s="32"/>
      <c r="AE221" s="32"/>
      <c r="AF221" s="2"/>
      <c r="AG221" s="2"/>
      <c r="AH221" s="2"/>
      <c r="AI221" s="2"/>
      <c r="AK221" s="73" t="str">
        <f>IF(ISNA(MATCH($N221,[1]data!$A:$A,0)),"",INDEX([1]data!S:S,MATCH($N221,[1]data!$A:$A,0)))</f>
        <v/>
      </c>
      <c r="AL221" s="73" t="str">
        <f>IF(ISNA(MATCH($N221,[1]data!$A:$A,0)),"",INDEX([1]data!V:V,MATCH($N221,[1]data!$A:$A,0)))</f>
        <v/>
      </c>
      <c r="AM221" s="38" t="str">
        <f>IF(ISNA(MATCH($N221,data!$A:$A,0)),"",INDEX(data!B:B,MATCH($N221,data!$A:$A,0)))</f>
        <v/>
      </c>
      <c r="AN221" s="38" t="str">
        <f>IF(ISNA(MATCH($N221,data!$A:$A,0)),"",INDEX(data!C:C,MATCH($N221,data!$A:$A,0)))</f>
        <v/>
      </c>
      <c r="AO221" s="38" t="str">
        <f>IF(ISNA(MATCH($N221,data!$A:$A,0)),"",INDEX(data!D:D,MATCH($N221,data!$A:$A,0)))</f>
        <v/>
      </c>
      <c r="AP221" s="38" t="str">
        <f>IF(ISNA(MATCH($N221,data!$A:$A,0)),"",INDEX(data!E:E,MATCH($N221,data!$A:$A,0)))</f>
        <v/>
      </c>
      <c r="AQ221" s="38" t="str">
        <f>IF(ISNA(MATCH($N221,data!$A:$A,0)),"",INDEX(data!F:F,MATCH($N221,data!$A:$A,0)))</f>
        <v/>
      </c>
      <c r="AR221" s="38" t="str">
        <f>IF(ISNA(MATCH($N221,data!$A:$A,0)),"",INDEX(data!G:G,MATCH($N221,data!$A:$A,0)))</f>
        <v/>
      </c>
      <c r="AS221" s="38" t="str">
        <f>IF(ISNA(MATCH($N221,data!$A:$A,0)),"",INDEX(data!H:H,MATCH($N221,data!$A:$A,0)))</f>
        <v/>
      </c>
      <c r="AT221" s="38" t="str">
        <f>IF(ISNA(MATCH($N221,data!$A:$A,0)),"",INDEX(data!I:I,MATCH($N221,data!$A:$A,0)))</f>
        <v/>
      </c>
      <c r="AU221" s="38" t="str">
        <f>IF(ISNA(MATCH($N221,[1]data!$A:$A,0)),"",INDEX([1]data!L:L,MATCH($N221,[1]data!$A:$A,0)))</f>
        <v/>
      </c>
      <c r="AV221" s="38" t="str">
        <f>IF(ISNA(MATCH($N221,[1]data!$A:$A,0)),"",INDEX([1]data!M:M,MATCH($N221,[1]data!$A:$A,0)))</f>
        <v/>
      </c>
      <c r="AW221" s="38" t="str">
        <f>IF(ISNA(MATCH($N221,data!$A:$A,0)),"",INDEX(data!J:J,MATCH($N221,data!$A:$A,0)))</f>
        <v/>
      </c>
      <c r="AX221" s="38" t="str">
        <f>IF(ISNA(MATCH($N221,data!$A:$A,0)),"",INDEX(data!K:K,MATCH($N221,data!$A:$A,0)))</f>
        <v/>
      </c>
      <c r="AY221" s="38" t="str">
        <f>IF(ISNA(MATCH($N221,data!$A:$A,0)),"",INDEX(data!O:O,MATCH($N221,data!$A:$A,0)))</f>
        <v/>
      </c>
      <c r="AZ221" s="38" t="str">
        <f>IF(ISNA(MATCH($N221,data!$A:$A,0)),"",INDEX(data!N:N,MATCH($N221,data!$A:$A,0)))</f>
        <v/>
      </c>
      <c r="BA221" s="38" t="str">
        <f>IF(ISNA(MATCH($N221,data!$A:$A,0)),"",INDEX(data!P:P,MATCH($N221,data!$A:$A,0)))</f>
        <v/>
      </c>
      <c r="BB221" s="38" t="str">
        <f>IF(ISNA(MATCH($N221,data!$A:$A,0)),"",INDEX(data!Q:Q,MATCH($N221,data!$A:$A,0)))</f>
        <v/>
      </c>
      <c r="BC221" s="38" t="str">
        <f>IF(ISNA(MATCH($N221,data!$A:$A,0)),"",INDEX(data!R:R,MATCH($N221,data!$A:$A,0)))</f>
        <v/>
      </c>
      <c r="BD221" s="38" t="str">
        <f>IF(ISNA(MATCH($N221,[1]data!$A:$A,0)),"",INDEX([1]data!U:U,MATCH($N221,[1]data!$A:$A,0)))</f>
        <v/>
      </c>
      <c r="BE221" s="61" t="e">
        <f>IF(COUNTIF([1]data!A:A,[1]!Table1[[#This Row],[UPC]])&lt;2,"","DUP")</f>
        <v>#VALUE!</v>
      </c>
      <c r="BF221" s="38" t="str">
        <f>IF(ISNA(MATCH($N221,data!$A:$A,0)),"",INDEX(data!W:W,MATCH($N221,data!$A:$A,0)))</f>
        <v/>
      </c>
    </row>
    <row r="222" spans="1:58" ht="12.75" customHeight="1">
      <c r="A222" s="35"/>
      <c r="B222" s="35"/>
      <c r="C222" s="35"/>
      <c r="D222" s="35"/>
      <c r="E222" s="67"/>
      <c r="F222" s="67"/>
      <c r="G222" s="36"/>
      <c r="H222" s="29"/>
      <c r="I222" s="78" t="str">
        <f t="shared" si="2"/>
        <v/>
      </c>
      <c r="J222" s="29"/>
      <c r="K222" s="29"/>
      <c r="L222" s="33"/>
      <c r="M222" s="33"/>
      <c r="N222" s="60"/>
      <c r="O222" s="71"/>
      <c r="P222" s="71"/>
      <c r="Q222" s="33"/>
      <c r="R222" s="31"/>
      <c r="S222" s="31"/>
      <c r="T222" s="59"/>
      <c r="U222" s="59"/>
      <c r="V222" s="59"/>
      <c r="W222" s="57">
        <f t="shared" si="3"/>
        <v>0</v>
      </c>
      <c r="X222" s="126" t="str">
        <f>IF(Table1[[#This Row],[Shipping Weight Pounds]]&gt;150,"See LTL Form","No")</f>
        <v>No</v>
      </c>
      <c r="Y222" s="28"/>
      <c r="Z222" s="33"/>
      <c r="AA222" s="34"/>
      <c r="AB222" s="30"/>
      <c r="AC222" s="30"/>
      <c r="AD222" s="32"/>
      <c r="AE222" s="32"/>
      <c r="AF222" s="2"/>
      <c r="AG222" s="2"/>
      <c r="AH222" s="2"/>
      <c r="AI222" s="2"/>
      <c r="AK222" s="73" t="str">
        <f>IF(ISNA(MATCH($N222,[1]data!$A:$A,0)),"",INDEX([1]data!S:S,MATCH($N222,[1]data!$A:$A,0)))</f>
        <v/>
      </c>
      <c r="AL222" s="73" t="str">
        <f>IF(ISNA(MATCH($N222,[1]data!$A:$A,0)),"",INDEX([1]data!V:V,MATCH($N222,[1]data!$A:$A,0)))</f>
        <v/>
      </c>
      <c r="AM222" s="38" t="str">
        <f>IF(ISNA(MATCH($N222,data!$A:$A,0)),"",INDEX(data!B:B,MATCH($N222,data!$A:$A,0)))</f>
        <v/>
      </c>
      <c r="AN222" s="38" t="str">
        <f>IF(ISNA(MATCH($N222,data!$A:$A,0)),"",INDEX(data!C:C,MATCH($N222,data!$A:$A,0)))</f>
        <v/>
      </c>
      <c r="AO222" s="38" t="str">
        <f>IF(ISNA(MATCH($N222,data!$A:$A,0)),"",INDEX(data!D:D,MATCH($N222,data!$A:$A,0)))</f>
        <v/>
      </c>
      <c r="AP222" s="38" t="str">
        <f>IF(ISNA(MATCH($N222,data!$A:$A,0)),"",INDEX(data!E:E,MATCH($N222,data!$A:$A,0)))</f>
        <v/>
      </c>
      <c r="AQ222" s="38" t="str">
        <f>IF(ISNA(MATCH($N222,data!$A:$A,0)),"",INDEX(data!F:F,MATCH($N222,data!$A:$A,0)))</f>
        <v/>
      </c>
      <c r="AR222" s="38" t="str">
        <f>IF(ISNA(MATCH($N222,data!$A:$A,0)),"",INDEX(data!G:G,MATCH($N222,data!$A:$A,0)))</f>
        <v/>
      </c>
      <c r="AS222" s="38" t="str">
        <f>IF(ISNA(MATCH($N222,data!$A:$A,0)),"",INDEX(data!H:H,MATCH($N222,data!$A:$A,0)))</f>
        <v/>
      </c>
      <c r="AT222" s="38" t="str">
        <f>IF(ISNA(MATCH($N222,data!$A:$A,0)),"",INDEX(data!I:I,MATCH($N222,data!$A:$A,0)))</f>
        <v/>
      </c>
      <c r="AU222" s="38" t="str">
        <f>IF(ISNA(MATCH($N222,[1]data!$A:$A,0)),"",INDEX([1]data!L:L,MATCH($N222,[1]data!$A:$A,0)))</f>
        <v/>
      </c>
      <c r="AV222" s="38" t="str">
        <f>IF(ISNA(MATCH($N222,[1]data!$A:$A,0)),"",INDEX([1]data!M:M,MATCH($N222,[1]data!$A:$A,0)))</f>
        <v/>
      </c>
      <c r="AW222" s="38" t="str">
        <f>IF(ISNA(MATCH($N222,data!$A:$A,0)),"",INDEX(data!J:J,MATCH($N222,data!$A:$A,0)))</f>
        <v/>
      </c>
      <c r="AX222" s="38" t="str">
        <f>IF(ISNA(MATCH($N222,data!$A:$A,0)),"",INDEX(data!K:K,MATCH($N222,data!$A:$A,0)))</f>
        <v/>
      </c>
      <c r="AY222" s="38" t="str">
        <f>IF(ISNA(MATCH($N222,data!$A:$A,0)),"",INDEX(data!O:O,MATCH($N222,data!$A:$A,0)))</f>
        <v/>
      </c>
      <c r="AZ222" s="38" t="str">
        <f>IF(ISNA(MATCH($N222,data!$A:$A,0)),"",INDEX(data!N:N,MATCH($N222,data!$A:$A,0)))</f>
        <v/>
      </c>
      <c r="BA222" s="38" t="str">
        <f>IF(ISNA(MATCH($N222,data!$A:$A,0)),"",INDEX(data!P:P,MATCH($N222,data!$A:$A,0)))</f>
        <v/>
      </c>
      <c r="BB222" s="38" t="str">
        <f>IF(ISNA(MATCH($N222,data!$A:$A,0)),"",INDEX(data!Q:Q,MATCH($N222,data!$A:$A,0)))</f>
        <v/>
      </c>
      <c r="BC222" s="38" t="str">
        <f>IF(ISNA(MATCH($N222,data!$A:$A,0)),"",INDEX(data!R:R,MATCH($N222,data!$A:$A,0)))</f>
        <v/>
      </c>
      <c r="BD222" s="38" t="str">
        <f>IF(ISNA(MATCH($N222,[1]data!$A:$A,0)),"",INDEX([1]data!U:U,MATCH($N222,[1]data!$A:$A,0)))</f>
        <v/>
      </c>
      <c r="BE222" s="61" t="e">
        <f>IF(COUNTIF([1]data!A:A,[1]!Table1[[#This Row],[UPC]])&lt;2,"","DUP")</f>
        <v>#VALUE!</v>
      </c>
      <c r="BF222" s="38" t="str">
        <f>IF(ISNA(MATCH($N222,data!$A:$A,0)),"",INDEX(data!W:W,MATCH($N222,data!$A:$A,0)))</f>
        <v/>
      </c>
    </row>
    <row r="223" spans="1:58" ht="12.75" customHeight="1">
      <c r="A223" s="35"/>
      <c r="B223" s="35"/>
      <c r="C223" s="35"/>
      <c r="D223" s="35"/>
      <c r="E223" s="67"/>
      <c r="F223" s="67"/>
      <c r="G223" s="36"/>
      <c r="H223" s="29"/>
      <c r="I223" s="78" t="str">
        <f t="shared" si="2"/>
        <v/>
      </c>
      <c r="J223" s="29"/>
      <c r="K223" s="29"/>
      <c r="L223" s="33"/>
      <c r="M223" s="33"/>
      <c r="N223" s="60"/>
      <c r="O223" s="71"/>
      <c r="P223" s="71"/>
      <c r="Q223" s="33"/>
      <c r="R223" s="31"/>
      <c r="S223" s="31"/>
      <c r="T223" s="59"/>
      <c r="U223" s="59"/>
      <c r="V223" s="59"/>
      <c r="W223" s="57">
        <f t="shared" si="3"/>
        <v>0</v>
      </c>
      <c r="X223" s="126" t="str">
        <f>IF(Table1[[#This Row],[Shipping Weight Pounds]]&gt;150,"See LTL Form","No")</f>
        <v>No</v>
      </c>
      <c r="Y223" s="28"/>
      <c r="Z223" s="33"/>
      <c r="AA223" s="34"/>
      <c r="AB223" s="30"/>
      <c r="AC223" s="30"/>
      <c r="AD223" s="32"/>
      <c r="AE223" s="32"/>
      <c r="AF223" s="2"/>
      <c r="AG223" s="2"/>
      <c r="AH223" s="2"/>
      <c r="AI223" s="2"/>
      <c r="AK223" s="73" t="str">
        <f>IF(ISNA(MATCH($N223,[1]data!$A:$A,0)),"",INDEX([1]data!S:S,MATCH($N223,[1]data!$A:$A,0)))</f>
        <v/>
      </c>
      <c r="AL223" s="73" t="str">
        <f>IF(ISNA(MATCH($N223,[1]data!$A:$A,0)),"",INDEX([1]data!V:V,MATCH($N223,[1]data!$A:$A,0)))</f>
        <v/>
      </c>
      <c r="AM223" s="38" t="str">
        <f>IF(ISNA(MATCH($N223,data!$A:$A,0)),"",INDEX(data!B:B,MATCH($N223,data!$A:$A,0)))</f>
        <v/>
      </c>
      <c r="AN223" s="38" t="str">
        <f>IF(ISNA(MATCH($N223,data!$A:$A,0)),"",INDEX(data!C:C,MATCH($N223,data!$A:$A,0)))</f>
        <v/>
      </c>
      <c r="AO223" s="38" t="str">
        <f>IF(ISNA(MATCH($N223,data!$A:$A,0)),"",INDEX(data!D:D,MATCH($N223,data!$A:$A,0)))</f>
        <v/>
      </c>
      <c r="AP223" s="38" t="str">
        <f>IF(ISNA(MATCH($N223,data!$A:$A,0)),"",INDEX(data!E:E,MATCH($N223,data!$A:$A,0)))</f>
        <v/>
      </c>
      <c r="AQ223" s="38" t="str">
        <f>IF(ISNA(MATCH($N223,data!$A:$A,0)),"",INDEX(data!F:F,MATCH($N223,data!$A:$A,0)))</f>
        <v/>
      </c>
      <c r="AR223" s="38" t="str">
        <f>IF(ISNA(MATCH($N223,data!$A:$A,0)),"",INDEX(data!G:G,MATCH($N223,data!$A:$A,0)))</f>
        <v/>
      </c>
      <c r="AS223" s="38" t="str">
        <f>IF(ISNA(MATCH($N223,data!$A:$A,0)),"",INDEX(data!H:H,MATCH($N223,data!$A:$A,0)))</f>
        <v/>
      </c>
      <c r="AT223" s="38" t="str">
        <f>IF(ISNA(MATCH($N223,data!$A:$A,0)),"",INDEX(data!I:I,MATCH($N223,data!$A:$A,0)))</f>
        <v/>
      </c>
      <c r="AU223" s="38" t="str">
        <f>IF(ISNA(MATCH($N223,[1]data!$A:$A,0)),"",INDEX([1]data!L:L,MATCH($N223,[1]data!$A:$A,0)))</f>
        <v/>
      </c>
      <c r="AV223" s="38" t="str">
        <f>IF(ISNA(MATCH($N223,[1]data!$A:$A,0)),"",INDEX([1]data!M:M,MATCH($N223,[1]data!$A:$A,0)))</f>
        <v/>
      </c>
      <c r="AW223" s="38" t="str">
        <f>IF(ISNA(MATCH($N223,data!$A:$A,0)),"",INDEX(data!J:J,MATCH($N223,data!$A:$A,0)))</f>
        <v/>
      </c>
      <c r="AX223" s="38" t="str">
        <f>IF(ISNA(MATCH($N223,data!$A:$A,0)),"",INDEX(data!K:K,MATCH($N223,data!$A:$A,0)))</f>
        <v/>
      </c>
      <c r="AY223" s="38" t="str">
        <f>IF(ISNA(MATCH($N223,data!$A:$A,0)),"",INDEX(data!O:O,MATCH($N223,data!$A:$A,0)))</f>
        <v/>
      </c>
      <c r="AZ223" s="38" t="str">
        <f>IF(ISNA(MATCH($N223,data!$A:$A,0)),"",INDEX(data!N:N,MATCH($N223,data!$A:$A,0)))</f>
        <v/>
      </c>
      <c r="BA223" s="38" t="str">
        <f>IF(ISNA(MATCH($N223,data!$A:$A,0)),"",INDEX(data!P:P,MATCH($N223,data!$A:$A,0)))</f>
        <v/>
      </c>
      <c r="BB223" s="38" t="str">
        <f>IF(ISNA(MATCH($N223,data!$A:$A,0)),"",INDEX(data!Q:Q,MATCH($N223,data!$A:$A,0)))</f>
        <v/>
      </c>
      <c r="BC223" s="38" t="str">
        <f>IF(ISNA(MATCH($N223,data!$A:$A,0)),"",INDEX(data!R:R,MATCH($N223,data!$A:$A,0)))</f>
        <v/>
      </c>
      <c r="BD223" s="38" t="str">
        <f>IF(ISNA(MATCH($N223,[1]data!$A:$A,0)),"",INDEX([1]data!U:U,MATCH($N223,[1]data!$A:$A,0)))</f>
        <v/>
      </c>
      <c r="BE223" s="61" t="e">
        <f>IF(COUNTIF([1]data!A:A,[1]!Table1[[#This Row],[UPC]])&lt;2,"","DUP")</f>
        <v>#VALUE!</v>
      </c>
      <c r="BF223" s="38" t="str">
        <f>IF(ISNA(MATCH($N223,data!$A:$A,0)),"",INDEX(data!W:W,MATCH($N223,data!$A:$A,0)))</f>
        <v/>
      </c>
    </row>
    <row r="224" spans="1:58" ht="12.75" customHeight="1">
      <c r="A224" s="35"/>
      <c r="B224" s="35"/>
      <c r="C224" s="35"/>
      <c r="D224" s="35"/>
      <c r="E224" s="67"/>
      <c r="F224" s="67"/>
      <c r="G224" s="36"/>
      <c r="H224" s="29"/>
      <c r="I224" s="78" t="str">
        <f t="shared" si="2"/>
        <v/>
      </c>
      <c r="J224" s="29"/>
      <c r="K224" s="29"/>
      <c r="L224" s="33"/>
      <c r="M224" s="33"/>
      <c r="N224" s="60"/>
      <c r="O224" s="71"/>
      <c r="P224" s="71"/>
      <c r="Q224" s="33"/>
      <c r="R224" s="31"/>
      <c r="S224" s="31"/>
      <c r="T224" s="59"/>
      <c r="U224" s="59"/>
      <c r="V224" s="59"/>
      <c r="W224" s="57">
        <f t="shared" si="3"/>
        <v>0</v>
      </c>
      <c r="X224" s="126" t="str">
        <f>IF(Table1[[#This Row],[Shipping Weight Pounds]]&gt;150,"See LTL Form","No")</f>
        <v>No</v>
      </c>
      <c r="Y224" s="28"/>
      <c r="Z224" s="33"/>
      <c r="AA224" s="34"/>
      <c r="AB224" s="30"/>
      <c r="AC224" s="30"/>
      <c r="AD224" s="32"/>
      <c r="AE224" s="32"/>
      <c r="AF224" s="2"/>
      <c r="AG224" s="2"/>
      <c r="AH224" s="2"/>
      <c r="AI224" s="2"/>
      <c r="AK224" s="73" t="str">
        <f>IF(ISNA(MATCH($N224,[1]data!$A:$A,0)),"",INDEX([1]data!S:S,MATCH($N224,[1]data!$A:$A,0)))</f>
        <v/>
      </c>
      <c r="AL224" s="73" t="str">
        <f>IF(ISNA(MATCH($N224,[1]data!$A:$A,0)),"",INDEX([1]data!V:V,MATCH($N224,[1]data!$A:$A,0)))</f>
        <v/>
      </c>
      <c r="AM224" s="38" t="str">
        <f>IF(ISNA(MATCH($N224,data!$A:$A,0)),"",INDEX(data!B:B,MATCH($N224,data!$A:$A,0)))</f>
        <v/>
      </c>
      <c r="AN224" s="38" t="str">
        <f>IF(ISNA(MATCH($N224,data!$A:$A,0)),"",INDEX(data!C:C,MATCH($N224,data!$A:$A,0)))</f>
        <v/>
      </c>
      <c r="AO224" s="38" t="str">
        <f>IF(ISNA(MATCH($N224,data!$A:$A,0)),"",INDEX(data!D:D,MATCH($N224,data!$A:$A,0)))</f>
        <v/>
      </c>
      <c r="AP224" s="38" t="str">
        <f>IF(ISNA(MATCH($N224,data!$A:$A,0)),"",INDEX(data!E:E,MATCH($N224,data!$A:$A,0)))</f>
        <v/>
      </c>
      <c r="AQ224" s="38" t="str">
        <f>IF(ISNA(MATCH($N224,data!$A:$A,0)),"",INDEX(data!F:F,MATCH($N224,data!$A:$A,0)))</f>
        <v/>
      </c>
      <c r="AR224" s="38" t="str">
        <f>IF(ISNA(MATCH($N224,data!$A:$A,0)),"",INDEX(data!G:G,MATCH($N224,data!$A:$A,0)))</f>
        <v/>
      </c>
      <c r="AS224" s="38" t="str">
        <f>IF(ISNA(MATCH($N224,data!$A:$A,0)),"",INDEX(data!H:H,MATCH($N224,data!$A:$A,0)))</f>
        <v/>
      </c>
      <c r="AT224" s="38" t="str">
        <f>IF(ISNA(MATCH($N224,data!$A:$A,0)),"",INDEX(data!I:I,MATCH($N224,data!$A:$A,0)))</f>
        <v/>
      </c>
      <c r="AU224" s="38" t="str">
        <f>IF(ISNA(MATCH($N224,[1]data!$A:$A,0)),"",INDEX([1]data!L:L,MATCH($N224,[1]data!$A:$A,0)))</f>
        <v/>
      </c>
      <c r="AV224" s="38" t="str">
        <f>IF(ISNA(MATCH($N224,[1]data!$A:$A,0)),"",INDEX([1]data!M:M,MATCH($N224,[1]data!$A:$A,0)))</f>
        <v/>
      </c>
      <c r="AW224" s="38" t="str">
        <f>IF(ISNA(MATCH($N224,data!$A:$A,0)),"",INDEX(data!J:J,MATCH($N224,data!$A:$A,0)))</f>
        <v/>
      </c>
      <c r="AX224" s="38" t="str">
        <f>IF(ISNA(MATCH($N224,data!$A:$A,0)),"",INDEX(data!K:K,MATCH($N224,data!$A:$A,0)))</f>
        <v/>
      </c>
      <c r="AY224" s="38" t="str">
        <f>IF(ISNA(MATCH($N224,data!$A:$A,0)),"",INDEX(data!O:O,MATCH($N224,data!$A:$A,0)))</f>
        <v/>
      </c>
      <c r="AZ224" s="38" t="str">
        <f>IF(ISNA(MATCH($N224,data!$A:$A,0)),"",INDEX(data!N:N,MATCH($N224,data!$A:$A,0)))</f>
        <v/>
      </c>
      <c r="BA224" s="38" t="str">
        <f>IF(ISNA(MATCH($N224,data!$A:$A,0)),"",INDEX(data!P:P,MATCH($N224,data!$A:$A,0)))</f>
        <v/>
      </c>
      <c r="BB224" s="38" t="str">
        <f>IF(ISNA(MATCH($N224,data!$A:$A,0)),"",INDEX(data!Q:Q,MATCH($N224,data!$A:$A,0)))</f>
        <v/>
      </c>
      <c r="BC224" s="38" t="str">
        <f>IF(ISNA(MATCH($N224,data!$A:$A,0)),"",INDEX(data!R:R,MATCH($N224,data!$A:$A,0)))</f>
        <v/>
      </c>
      <c r="BD224" s="38" t="str">
        <f>IF(ISNA(MATCH($N224,[1]data!$A:$A,0)),"",INDEX([1]data!U:U,MATCH($N224,[1]data!$A:$A,0)))</f>
        <v/>
      </c>
      <c r="BE224" s="61" t="e">
        <f>IF(COUNTIF([1]data!A:A,[1]!Table1[[#This Row],[UPC]])&lt;2,"","DUP")</f>
        <v>#VALUE!</v>
      </c>
      <c r="BF224" s="38" t="str">
        <f>IF(ISNA(MATCH($N224,data!$A:$A,0)),"",INDEX(data!W:W,MATCH($N224,data!$A:$A,0)))</f>
        <v/>
      </c>
    </row>
    <row r="225" spans="1:58" ht="12.75" customHeight="1">
      <c r="A225" s="35"/>
      <c r="B225" s="35"/>
      <c r="C225" s="35"/>
      <c r="D225" s="35"/>
      <c r="E225" s="67"/>
      <c r="F225" s="67"/>
      <c r="G225" s="36"/>
      <c r="H225" s="29"/>
      <c r="I225" s="78" t="str">
        <f t="shared" si="2"/>
        <v/>
      </c>
      <c r="J225" s="29"/>
      <c r="K225" s="29"/>
      <c r="L225" s="33"/>
      <c r="M225" s="33"/>
      <c r="N225" s="60"/>
      <c r="O225" s="71"/>
      <c r="P225" s="71"/>
      <c r="Q225" s="33"/>
      <c r="R225" s="31"/>
      <c r="S225" s="31"/>
      <c r="T225" s="59"/>
      <c r="U225" s="59"/>
      <c r="V225" s="59"/>
      <c r="W225" s="57">
        <f t="shared" si="3"/>
        <v>0</v>
      </c>
      <c r="X225" s="126" t="str">
        <f>IF(Table1[[#This Row],[Shipping Weight Pounds]]&gt;150,"See LTL Form","No")</f>
        <v>No</v>
      </c>
      <c r="Y225" s="28"/>
      <c r="Z225" s="33"/>
      <c r="AA225" s="34"/>
      <c r="AB225" s="30"/>
      <c r="AC225" s="30"/>
      <c r="AD225" s="32"/>
      <c r="AE225" s="32"/>
      <c r="AF225" s="2"/>
      <c r="AG225" s="2"/>
      <c r="AH225" s="2"/>
      <c r="AI225" s="2"/>
      <c r="AK225" s="73" t="str">
        <f>IF(ISNA(MATCH($N225,[1]data!$A:$A,0)),"",INDEX([1]data!S:S,MATCH($N225,[1]data!$A:$A,0)))</f>
        <v/>
      </c>
      <c r="AL225" s="73" t="str">
        <f>IF(ISNA(MATCH($N225,[1]data!$A:$A,0)),"",INDEX([1]data!V:V,MATCH($N225,[1]data!$A:$A,0)))</f>
        <v/>
      </c>
      <c r="AM225" s="38" t="str">
        <f>IF(ISNA(MATCH($N225,data!$A:$A,0)),"",INDEX(data!B:B,MATCH($N225,data!$A:$A,0)))</f>
        <v/>
      </c>
      <c r="AN225" s="38" t="str">
        <f>IF(ISNA(MATCH($N225,data!$A:$A,0)),"",INDEX(data!C:C,MATCH($N225,data!$A:$A,0)))</f>
        <v/>
      </c>
      <c r="AO225" s="38" t="str">
        <f>IF(ISNA(MATCH($N225,data!$A:$A,0)),"",INDEX(data!D:D,MATCH($N225,data!$A:$A,0)))</f>
        <v/>
      </c>
      <c r="AP225" s="38" t="str">
        <f>IF(ISNA(MATCH($N225,data!$A:$A,0)),"",INDEX(data!E:E,MATCH($N225,data!$A:$A,0)))</f>
        <v/>
      </c>
      <c r="AQ225" s="38" t="str">
        <f>IF(ISNA(MATCH($N225,data!$A:$A,0)),"",INDEX(data!F:F,MATCH($N225,data!$A:$A,0)))</f>
        <v/>
      </c>
      <c r="AR225" s="38" t="str">
        <f>IF(ISNA(MATCH($N225,data!$A:$A,0)),"",INDEX(data!G:G,MATCH($N225,data!$A:$A,0)))</f>
        <v/>
      </c>
      <c r="AS225" s="38" t="str">
        <f>IF(ISNA(MATCH($N225,data!$A:$A,0)),"",INDEX(data!H:H,MATCH($N225,data!$A:$A,0)))</f>
        <v/>
      </c>
      <c r="AT225" s="38" t="str">
        <f>IF(ISNA(MATCH($N225,data!$A:$A,0)),"",INDEX(data!I:I,MATCH($N225,data!$A:$A,0)))</f>
        <v/>
      </c>
      <c r="AU225" s="38" t="str">
        <f>IF(ISNA(MATCH($N225,[1]data!$A:$A,0)),"",INDEX([1]data!L:L,MATCH($N225,[1]data!$A:$A,0)))</f>
        <v/>
      </c>
      <c r="AV225" s="38" t="str">
        <f>IF(ISNA(MATCH($N225,[1]data!$A:$A,0)),"",INDEX([1]data!M:M,MATCH($N225,[1]data!$A:$A,0)))</f>
        <v/>
      </c>
      <c r="AW225" s="38" t="str">
        <f>IF(ISNA(MATCH($N225,data!$A:$A,0)),"",INDEX(data!J:J,MATCH($N225,data!$A:$A,0)))</f>
        <v/>
      </c>
      <c r="AX225" s="38" t="str">
        <f>IF(ISNA(MATCH($N225,data!$A:$A,0)),"",INDEX(data!K:K,MATCH($N225,data!$A:$A,0)))</f>
        <v/>
      </c>
      <c r="AY225" s="38" t="str">
        <f>IF(ISNA(MATCH($N225,data!$A:$A,0)),"",INDEX(data!O:O,MATCH($N225,data!$A:$A,0)))</f>
        <v/>
      </c>
      <c r="AZ225" s="38" t="str">
        <f>IF(ISNA(MATCH($N225,data!$A:$A,0)),"",INDEX(data!N:N,MATCH($N225,data!$A:$A,0)))</f>
        <v/>
      </c>
      <c r="BA225" s="38" t="str">
        <f>IF(ISNA(MATCH($N225,data!$A:$A,0)),"",INDEX(data!P:P,MATCH($N225,data!$A:$A,0)))</f>
        <v/>
      </c>
      <c r="BB225" s="38" t="str">
        <f>IF(ISNA(MATCH($N225,data!$A:$A,0)),"",INDEX(data!Q:Q,MATCH($N225,data!$A:$A,0)))</f>
        <v/>
      </c>
      <c r="BC225" s="38" t="str">
        <f>IF(ISNA(MATCH($N225,data!$A:$A,0)),"",INDEX(data!R:R,MATCH($N225,data!$A:$A,0)))</f>
        <v/>
      </c>
      <c r="BD225" s="38" t="str">
        <f>IF(ISNA(MATCH($N225,[1]data!$A:$A,0)),"",INDEX([1]data!U:U,MATCH($N225,[1]data!$A:$A,0)))</f>
        <v/>
      </c>
      <c r="BE225" s="61" t="e">
        <f>IF(COUNTIF([1]data!A:A,[1]!Table1[[#This Row],[UPC]])&lt;2,"","DUP")</f>
        <v>#VALUE!</v>
      </c>
      <c r="BF225" s="38" t="str">
        <f>IF(ISNA(MATCH($N225,data!$A:$A,0)),"",INDEX(data!W:W,MATCH($N225,data!$A:$A,0)))</f>
        <v/>
      </c>
    </row>
    <row r="226" spans="1:58" ht="12.75" customHeight="1">
      <c r="A226" s="35"/>
      <c r="B226" s="35"/>
      <c r="C226" s="35"/>
      <c r="D226" s="35"/>
      <c r="E226" s="67"/>
      <c r="F226" s="67"/>
      <c r="G226" s="36"/>
      <c r="H226" s="29"/>
      <c r="I226" s="78" t="str">
        <f t="shared" si="2"/>
        <v/>
      </c>
      <c r="J226" s="29"/>
      <c r="K226" s="29"/>
      <c r="L226" s="33"/>
      <c r="M226" s="33"/>
      <c r="N226" s="60"/>
      <c r="O226" s="71"/>
      <c r="P226" s="71"/>
      <c r="Q226" s="33"/>
      <c r="R226" s="31"/>
      <c r="S226" s="31"/>
      <c r="T226" s="59"/>
      <c r="U226" s="59"/>
      <c r="V226" s="59"/>
      <c r="W226" s="57">
        <f t="shared" si="3"/>
        <v>0</v>
      </c>
      <c r="X226" s="126" t="str">
        <f>IF(Table1[[#This Row],[Shipping Weight Pounds]]&gt;150,"See LTL Form","No")</f>
        <v>No</v>
      </c>
      <c r="Y226" s="28"/>
      <c r="Z226" s="33"/>
      <c r="AA226" s="34"/>
      <c r="AB226" s="30"/>
      <c r="AC226" s="30"/>
      <c r="AD226" s="32"/>
      <c r="AE226" s="32"/>
      <c r="AF226" s="2"/>
      <c r="AG226" s="2"/>
      <c r="AH226" s="2"/>
      <c r="AI226" s="2"/>
      <c r="AK226" s="73" t="str">
        <f>IF(ISNA(MATCH($N226,[1]data!$A:$A,0)),"",INDEX([1]data!S:S,MATCH($N226,[1]data!$A:$A,0)))</f>
        <v/>
      </c>
      <c r="AL226" s="73" t="str">
        <f>IF(ISNA(MATCH($N226,[1]data!$A:$A,0)),"",INDEX([1]data!V:V,MATCH($N226,[1]data!$A:$A,0)))</f>
        <v/>
      </c>
      <c r="AM226" s="38" t="str">
        <f>IF(ISNA(MATCH($N226,data!$A:$A,0)),"",INDEX(data!B:B,MATCH($N226,data!$A:$A,0)))</f>
        <v/>
      </c>
      <c r="AN226" s="38" t="str">
        <f>IF(ISNA(MATCH($N226,data!$A:$A,0)),"",INDEX(data!C:C,MATCH($N226,data!$A:$A,0)))</f>
        <v/>
      </c>
      <c r="AO226" s="38" t="str">
        <f>IF(ISNA(MATCH($N226,data!$A:$A,0)),"",INDEX(data!D:D,MATCH($N226,data!$A:$A,0)))</f>
        <v/>
      </c>
      <c r="AP226" s="38" t="str">
        <f>IF(ISNA(MATCH($N226,data!$A:$A,0)),"",INDEX(data!E:E,MATCH($N226,data!$A:$A,0)))</f>
        <v/>
      </c>
      <c r="AQ226" s="38" t="str">
        <f>IF(ISNA(MATCH($N226,data!$A:$A,0)),"",INDEX(data!F:F,MATCH($N226,data!$A:$A,0)))</f>
        <v/>
      </c>
      <c r="AR226" s="38" t="str">
        <f>IF(ISNA(MATCH($N226,data!$A:$A,0)),"",INDEX(data!G:G,MATCH($N226,data!$A:$A,0)))</f>
        <v/>
      </c>
      <c r="AS226" s="38" t="str">
        <f>IF(ISNA(MATCH($N226,data!$A:$A,0)),"",INDEX(data!H:H,MATCH($N226,data!$A:$A,0)))</f>
        <v/>
      </c>
      <c r="AT226" s="38" t="str">
        <f>IF(ISNA(MATCH($N226,data!$A:$A,0)),"",INDEX(data!I:I,MATCH($N226,data!$A:$A,0)))</f>
        <v/>
      </c>
      <c r="AU226" s="38" t="str">
        <f>IF(ISNA(MATCH($N226,[1]data!$A:$A,0)),"",INDEX([1]data!L:L,MATCH($N226,[1]data!$A:$A,0)))</f>
        <v/>
      </c>
      <c r="AV226" s="38" t="str">
        <f>IF(ISNA(MATCH($N226,[1]data!$A:$A,0)),"",INDEX([1]data!M:M,MATCH($N226,[1]data!$A:$A,0)))</f>
        <v/>
      </c>
      <c r="AW226" s="38" t="str">
        <f>IF(ISNA(MATCH($N226,data!$A:$A,0)),"",INDEX(data!J:J,MATCH($N226,data!$A:$A,0)))</f>
        <v/>
      </c>
      <c r="AX226" s="38" t="str">
        <f>IF(ISNA(MATCH($N226,data!$A:$A,0)),"",INDEX(data!K:K,MATCH($N226,data!$A:$A,0)))</f>
        <v/>
      </c>
      <c r="AY226" s="38" t="str">
        <f>IF(ISNA(MATCH($N226,data!$A:$A,0)),"",INDEX(data!O:O,MATCH($N226,data!$A:$A,0)))</f>
        <v/>
      </c>
      <c r="AZ226" s="38" t="str">
        <f>IF(ISNA(MATCH($N226,data!$A:$A,0)),"",INDEX(data!N:N,MATCH($N226,data!$A:$A,0)))</f>
        <v/>
      </c>
      <c r="BA226" s="38" t="str">
        <f>IF(ISNA(MATCH($N226,data!$A:$A,0)),"",INDEX(data!P:P,MATCH($N226,data!$A:$A,0)))</f>
        <v/>
      </c>
      <c r="BB226" s="38" t="str">
        <f>IF(ISNA(MATCH($N226,data!$A:$A,0)),"",INDEX(data!Q:Q,MATCH($N226,data!$A:$A,0)))</f>
        <v/>
      </c>
      <c r="BC226" s="38" t="str">
        <f>IF(ISNA(MATCH($N226,data!$A:$A,0)),"",INDEX(data!R:R,MATCH($N226,data!$A:$A,0)))</f>
        <v/>
      </c>
      <c r="BD226" s="38" t="str">
        <f>IF(ISNA(MATCH($N226,[1]data!$A:$A,0)),"",INDEX([1]data!U:U,MATCH($N226,[1]data!$A:$A,0)))</f>
        <v/>
      </c>
      <c r="BE226" s="61" t="e">
        <f>IF(COUNTIF([1]data!A:A,[1]!Table1[[#This Row],[UPC]])&lt;2,"","DUP")</f>
        <v>#VALUE!</v>
      </c>
      <c r="BF226" s="38" t="str">
        <f>IF(ISNA(MATCH($N226,data!$A:$A,0)),"",INDEX(data!W:W,MATCH($N226,data!$A:$A,0)))</f>
        <v/>
      </c>
    </row>
    <row r="227" spans="1:58" ht="12.75" customHeight="1">
      <c r="A227" s="35"/>
      <c r="B227" s="35"/>
      <c r="C227" s="35"/>
      <c r="D227" s="35"/>
      <c r="E227" s="67"/>
      <c r="F227" s="67"/>
      <c r="G227" s="36"/>
      <c r="H227" s="29"/>
      <c r="I227" s="78" t="str">
        <f t="shared" si="2"/>
        <v/>
      </c>
      <c r="J227" s="29"/>
      <c r="K227" s="29"/>
      <c r="L227" s="33"/>
      <c r="M227" s="33"/>
      <c r="N227" s="60"/>
      <c r="O227" s="71"/>
      <c r="P227" s="71"/>
      <c r="Q227" s="33"/>
      <c r="R227" s="31"/>
      <c r="S227" s="31"/>
      <c r="T227" s="59"/>
      <c r="U227" s="59"/>
      <c r="V227" s="59"/>
      <c r="W227" s="57">
        <f t="shared" si="3"/>
        <v>0</v>
      </c>
      <c r="X227" s="126" t="str">
        <f>IF(Table1[[#This Row],[Shipping Weight Pounds]]&gt;150,"See LTL Form","No")</f>
        <v>No</v>
      </c>
      <c r="Y227" s="28"/>
      <c r="Z227" s="33"/>
      <c r="AA227" s="34"/>
      <c r="AB227" s="30"/>
      <c r="AC227" s="30"/>
      <c r="AD227" s="32"/>
      <c r="AE227" s="32"/>
      <c r="AF227" s="2"/>
      <c r="AG227" s="2"/>
      <c r="AH227" s="2"/>
      <c r="AI227" s="2"/>
      <c r="AK227" s="73" t="str">
        <f>IF(ISNA(MATCH($N227,[1]data!$A:$A,0)),"",INDEX([1]data!S:S,MATCH($N227,[1]data!$A:$A,0)))</f>
        <v/>
      </c>
      <c r="AL227" s="73" t="str">
        <f>IF(ISNA(MATCH($N227,[1]data!$A:$A,0)),"",INDEX([1]data!V:V,MATCH($N227,[1]data!$A:$A,0)))</f>
        <v/>
      </c>
      <c r="AM227" s="38" t="str">
        <f>IF(ISNA(MATCH($N227,data!$A:$A,0)),"",INDEX(data!B:B,MATCH($N227,data!$A:$A,0)))</f>
        <v/>
      </c>
      <c r="AN227" s="38" t="str">
        <f>IF(ISNA(MATCH($N227,data!$A:$A,0)),"",INDEX(data!C:C,MATCH($N227,data!$A:$A,0)))</f>
        <v/>
      </c>
      <c r="AO227" s="38" t="str">
        <f>IF(ISNA(MATCH($N227,data!$A:$A,0)),"",INDEX(data!D:D,MATCH($N227,data!$A:$A,0)))</f>
        <v/>
      </c>
      <c r="AP227" s="38" t="str">
        <f>IF(ISNA(MATCH($N227,data!$A:$A,0)),"",INDEX(data!E:E,MATCH($N227,data!$A:$A,0)))</f>
        <v/>
      </c>
      <c r="AQ227" s="38" t="str">
        <f>IF(ISNA(MATCH($N227,data!$A:$A,0)),"",INDEX(data!F:F,MATCH($N227,data!$A:$A,0)))</f>
        <v/>
      </c>
      <c r="AR227" s="38" t="str">
        <f>IF(ISNA(MATCH($N227,data!$A:$A,0)),"",INDEX(data!G:G,MATCH($N227,data!$A:$A,0)))</f>
        <v/>
      </c>
      <c r="AS227" s="38" t="str">
        <f>IF(ISNA(MATCH($N227,data!$A:$A,0)),"",INDEX(data!H:H,MATCH($N227,data!$A:$A,0)))</f>
        <v/>
      </c>
      <c r="AT227" s="38" t="str">
        <f>IF(ISNA(MATCH($N227,data!$A:$A,0)),"",INDEX(data!I:I,MATCH($N227,data!$A:$A,0)))</f>
        <v/>
      </c>
      <c r="AU227" s="38" t="str">
        <f>IF(ISNA(MATCH($N227,[1]data!$A:$A,0)),"",INDEX([1]data!L:L,MATCH($N227,[1]data!$A:$A,0)))</f>
        <v/>
      </c>
      <c r="AV227" s="38" t="str">
        <f>IF(ISNA(MATCH($N227,[1]data!$A:$A,0)),"",INDEX([1]data!M:M,MATCH($N227,[1]data!$A:$A,0)))</f>
        <v/>
      </c>
      <c r="AW227" s="38" t="str">
        <f>IF(ISNA(MATCH($N227,data!$A:$A,0)),"",INDEX(data!J:J,MATCH($N227,data!$A:$A,0)))</f>
        <v/>
      </c>
      <c r="AX227" s="38" t="str">
        <f>IF(ISNA(MATCH($N227,data!$A:$A,0)),"",INDEX(data!K:K,MATCH($N227,data!$A:$A,0)))</f>
        <v/>
      </c>
      <c r="AY227" s="38" t="str">
        <f>IF(ISNA(MATCH($N227,data!$A:$A,0)),"",INDEX(data!O:O,MATCH($N227,data!$A:$A,0)))</f>
        <v/>
      </c>
      <c r="AZ227" s="38" t="str">
        <f>IF(ISNA(MATCH($N227,data!$A:$A,0)),"",INDEX(data!N:N,MATCH($N227,data!$A:$A,0)))</f>
        <v/>
      </c>
      <c r="BA227" s="38" t="str">
        <f>IF(ISNA(MATCH($N227,data!$A:$A,0)),"",INDEX(data!P:P,MATCH($N227,data!$A:$A,0)))</f>
        <v/>
      </c>
      <c r="BB227" s="38" t="str">
        <f>IF(ISNA(MATCH($N227,data!$A:$A,0)),"",INDEX(data!Q:Q,MATCH($N227,data!$A:$A,0)))</f>
        <v/>
      </c>
      <c r="BC227" s="38" t="str">
        <f>IF(ISNA(MATCH($N227,data!$A:$A,0)),"",INDEX(data!R:R,MATCH($N227,data!$A:$A,0)))</f>
        <v/>
      </c>
      <c r="BD227" s="38" t="str">
        <f>IF(ISNA(MATCH($N227,[1]data!$A:$A,0)),"",INDEX([1]data!U:U,MATCH($N227,[1]data!$A:$A,0)))</f>
        <v/>
      </c>
      <c r="BE227" s="61" t="e">
        <f>IF(COUNTIF([1]data!A:A,[1]!Table1[[#This Row],[UPC]])&lt;2,"","DUP")</f>
        <v>#VALUE!</v>
      </c>
      <c r="BF227" s="38" t="str">
        <f>IF(ISNA(MATCH($N227,data!$A:$A,0)),"",INDEX(data!W:W,MATCH($N227,data!$A:$A,0)))</f>
        <v/>
      </c>
    </row>
    <row r="228" spans="1:58" ht="12.75" customHeight="1">
      <c r="A228" s="35"/>
      <c r="B228" s="35"/>
      <c r="C228" s="35"/>
      <c r="D228" s="35"/>
      <c r="E228" s="67"/>
      <c r="F228" s="67"/>
      <c r="G228" s="36"/>
      <c r="H228" s="29"/>
      <c r="I228" s="78" t="str">
        <f t="shared" si="2"/>
        <v/>
      </c>
      <c r="J228" s="29"/>
      <c r="K228" s="29"/>
      <c r="L228" s="33"/>
      <c r="M228" s="33"/>
      <c r="N228" s="60"/>
      <c r="O228" s="71"/>
      <c r="P228" s="71"/>
      <c r="Q228" s="33"/>
      <c r="R228" s="31"/>
      <c r="S228" s="31"/>
      <c r="T228" s="59"/>
      <c r="U228" s="59"/>
      <c r="V228" s="59"/>
      <c r="W228" s="57">
        <f t="shared" si="3"/>
        <v>0</v>
      </c>
      <c r="X228" s="126" t="str">
        <f>IF(Table1[[#This Row],[Shipping Weight Pounds]]&gt;150,"See LTL Form","No")</f>
        <v>No</v>
      </c>
      <c r="Y228" s="28"/>
      <c r="Z228" s="33"/>
      <c r="AA228" s="34"/>
      <c r="AB228" s="30"/>
      <c r="AC228" s="30"/>
      <c r="AD228" s="32"/>
      <c r="AE228" s="32"/>
      <c r="AF228" s="2"/>
      <c r="AG228" s="2"/>
      <c r="AH228" s="2"/>
      <c r="AI228" s="2"/>
      <c r="AK228" s="73" t="str">
        <f>IF(ISNA(MATCH($N228,[1]data!$A:$A,0)),"",INDEX([1]data!S:S,MATCH($N228,[1]data!$A:$A,0)))</f>
        <v/>
      </c>
      <c r="AL228" s="73" t="str">
        <f>IF(ISNA(MATCH($N228,[1]data!$A:$A,0)),"",INDEX([1]data!V:V,MATCH($N228,[1]data!$A:$A,0)))</f>
        <v/>
      </c>
      <c r="AM228" s="38" t="str">
        <f>IF(ISNA(MATCH($N228,data!$A:$A,0)),"",INDEX(data!B:B,MATCH($N228,data!$A:$A,0)))</f>
        <v/>
      </c>
      <c r="AN228" s="38" t="str">
        <f>IF(ISNA(MATCH($N228,data!$A:$A,0)),"",INDEX(data!C:C,MATCH($N228,data!$A:$A,0)))</f>
        <v/>
      </c>
      <c r="AO228" s="38" t="str">
        <f>IF(ISNA(MATCH($N228,data!$A:$A,0)),"",INDEX(data!D:D,MATCH($N228,data!$A:$A,0)))</f>
        <v/>
      </c>
      <c r="AP228" s="38" t="str">
        <f>IF(ISNA(MATCH($N228,data!$A:$A,0)),"",INDEX(data!E:E,MATCH($N228,data!$A:$A,0)))</f>
        <v/>
      </c>
      <c r="AQ228" s="38" t="str">
        <f>IF(ISNA(MATCH($N228,data!$A:$A,0)),"",INDEX(data!F:F,MATCH($N228,data!$A:$A,0)))</f>
        <v/>
      </c>
      <c r="AR228" s="38" t="str">
        <f>IF(ISNA(MATCH($N228,data!$A:$A,0)),"",INDEX(data!G:G,MATCH($N228,data!$A:$A,0)))</f>
        <v/>
      </c>
      <c r="AS228" s="38" t="str">
        <f>IF(ISNA(MATCH($N228,data!$A:$A,0)),"",INDEX(data!H:H,MATCH($N228,data!$A:$A,0)))</f>
        <v/>
      </c>
      <c r="AT228" s="38" t="str">
        <f>IF(ISNA(MATCH($N228,data!$A:$A,0)),"",INDEX(data!I:I,MATCH($N228,data!$A:$A,0)))</f>
        <v/>
      </c>
      <c r="AU228" s="38" t="str">
        <f>IF(ISNA(MATCH($N228,[1]data!$A:$A,0)),"",INDEX([1]data!L:L,MATCH($N228,[1]data!$A:$A,0)))</f>
        <v/>
      </c>
      <c r="AV228" s="38" t="str">
        <f>IF(ISNA(MATCH($N228,[1]data!$A:$A,0)),"",INDEX([1]data!M:M,MATCH($N228,[1]data!$A:$A,0)))</f>
        <v/>
      </c>
      <c r="AW228" s="38" t="str">
        <f>IF(ISNA(MATCH($N228,data!$A:$A,0)),"",INDEX(data!J:J,MATCH($N228,data!$A:$A,0)))</f>
        <v/>
      </c>
      <c r="AX228" s="38" t="str">
        <f>IF(ISNA(MATCH($N228,data!$A:$A,0)),"",INDEX(data!K:K,MATCH($N228,data!$A:$A,0)))</f>
        <v/>
      </c>
      <c r="AY228" s="38" t="str">
        <f>IF(ISNA(MATCH($N228,data!$A:$A,0)),"",INDEX(data!O:O,MATCH($N228,data!$A:$A,0)))</f>
        <v/>
      </c>
      <c r="AZ228" s="38" t="str">
        <f>IF(ISNA(MATCH($N228,data!$A:$A,0)),"",INDEX(data!N:N,MATCH($N228,data!$A:$A,0)))</f>
        <v/>
      </c>
      <c r="BA228" s="38" t="str">
        <f>IF(ISNA(MATCH($N228,data!$A:$A,0)),"",INDEX(data!P:P,MATCH($N228,data!$A:$A,0)))</f>
        <v/>
      </c>
      <c r="BB228" s="38" t="str">
        <f>IF(ISNA(MATCH($N228,data!$A:$A,0)),"",INDEX(data!Q:Q,MATCH($N228,data!$A:$A,0)))</f>
        <v/>
      </c>
      <c r="BC228" s="38" t="str">
        <f>IF(ISNA(MATCH($N228,data!$A:$A,0)),"",INDEX(data!R:R,MATCH($N228,data!$A:$A,0)))</f>
        <v/>
      </c>
      <c r="BD228" s="38" t="str">
        <f>IF(ISNA(MATCH($N228,[1]data!$A:$A,0)),"",INDEX([1]data!U:U,MATCH($N228,[1]data!$A:$A,0)))</f>
        <v/>
      </c>
      <c r="BE228" s="61" t="e">
        <f>IF(COUNTIF([1]data!A:A,[1]!Table1[[#This Row],[UPC]])&lt;2,"","DUP")</f>
        <v>#VALUE!</v>
      </c>
      <c r="BF228" s="38" t="str">
        <f>IF(ISNA(MATCH($N228,data!$A:$A,0)),"",INDEX(data!W:W,MATCH($N228,data!$A:$A,0)))</f>
        <v/>
      </c>
    </row>
    <row r="229" spans="1:58" ht="12.75" customHeight="1">
      <c r="A229" s="35"/>
      <c r="B229" s="35"/>
      <c r="C229" s="35"/>
      <c r="D229" s="35"/>
      <c r="E229" s="67"/>
      <c r="F229" s="67"/>
      <c r="G229" s="36"/>
      <c r="H229" s="29"/>
      <c r="I229" s="78" t="str">
        <f t="shared" si="2"/>
        <v/>
      </c>
      <c r="J229" s="29"/>
      <c r="K229" s="29"/>
      <c r="L229" s="33"/>
      <c r="M229" s="33"/>
      <c r="N229" s="60"/>
      <c r="O229" s="71"/>
      <c r="P229" s="71"/>
      <c r="Q229" s="33"/>
      <c r="R229" s="31"/>
      <c r="S229" s="31"/>
      <c r="T229" s="59"/>
      <c r="U229" s="59"/>
      <c r="V229" s="59"/>
      <c r="W229" s="57">
        <f t="shared" si="3"/>
        <v>0</v>
      </c>
      <c r="X229" s="126" t="str">
        <f>IF(Table1[[#This Row],[Shipping Weight Pounds]]&gt;150,"See LTL Form","No")</f>
        <v>No</v>
      </c>
      <c r="Y229" s="28"/>
      <c r="Z229" s="33"/>
      <c r="AA229" s="34"/>
      <c r="AB229" s="30"/>
      <c r="AC229" s="30"/>
      <c r="AD229" s="32"/>
      <c r="AE229" s="32"/>
      <c r="AF229" s="2"/>
      <c r="AG229" s="2"/>
      <c r="AH229" s="2"/>
      <c r="AI229" s="2"/>
      <c r="AK229" s="73" t="str">
        <f>IF(ISNA(MATCH($N229,[1]data!$A:$A,0)),"",INDEX([1]data!S:S,MATCH($N229,[1]data!$A:$A,0)))</f>
        <v/>
      </c>
      <c r="AL229" s="73" t="str">
        <f>IF(ISNA(MATCH($N229,[1]data!$A:$A,0)),"",INDEX([1]data!V:V,MATCH($N229,[1]data!$A:$A,0)))</f>
        <v/>
      </c>
      <c r="AM229" s="38" t="str">
        <f>IF(ISNA(MATCH($N229,data!$A:$A,0)),"",INDEX(data!B:B,MATCH($N229,data!$A:$A,0)))</f>
        <v/>
      </c>
      <c r="AN229" s="38" t="str">
        <f>IF(ISNA(MATCH($N229,data!$A:$A,0)),"",INDEX(data!C:C,MATCH($N229,data!$A:$A,0)))</f>
        <v/>
      </c>
      <c r="AO229" s="38" t="str">
        <f>IF(ISNA(MATCH($N229,data!$A:$A,0)),"",INDEX(data!D:D,MATCH($N229,data!$A:$A,0)))</f>
        <v/>
      </c>
      <c r="AP229" s="38" t="str">
        <f>IF(ISNA(MATCH($N229,data!$A:$A,0)),"",INDEX(data!E:E,MATCH($N229,data!$A:$A,0)))</f>
        <v/>
      </c>
      <c r="AQ229" s="38" t="str">
        <f>IF(ISNA(MATCH($N229,data!$A:$A,0)),"",INDEX(data!F:F,MATCH($N229,data!$A:$A,0)))</f>
        <v/>
      </c>
      <c r="AR229" s="38" t="str">
        <f>IF(ISNA(MATCH($N229,data!$A:$A,0)),"",INDEX(data!G:G,MATCH($N229,data!$A:$A,0)))</f>
        <v/>
      </c>
      <c r="AS229" s="38" t="str">
        <f>IF(ISNA(MATCH($N229,data!$A:$A,0)),"",INDEX(data!H:H,MATCH($N229,data!$A:$A,0)))</f>
        <v/>
      </c>
      <c r="AT229" s="38" t="str">
        <f>IF(ISNA(MATCH($N229,data!$A:$A,0)),"",INDEX(data!I:I,MATCH($N229,data!$A:$A,0)))</f>
        <v/>
      </c>
      <c r="AU229" s="38" t="str">
        <f>IF(ISNA(MATCH($N229,[1]data!$A:$A,0)),"",INDEX([1]data!L:L,MATCH($N229,[1]data!$A:$A,0)))</f>
        <v/>
      </c>
      <c r="AV229" s="38" t="str">
        <f>IF(ISNA(MATCH($N229,[1]data!$A:$A,0)),"",INDEX([1]data!M:M,MATCH($N229,[1]data!$A:$A,0)))</f>
        <v/>
      </c>
      <c r="AW229" s="38" t="str">
        <f>IF(ISNA(MATCH($N229,data!$A:$A,0)),"",INDEX(data!J:J,MATCH($N229,data!$A:$A,0)))</f>
        <v/>
      </c>
      <c r="AX229" s="38" t="str">
        <f>IF(ISNA(MATCH($N229,data!$A:$A,0)),"",INDEX(data!K:K,MATCH($N229,data!$A:$A,0)))</f>
        <v/>
      </c>
      <c r="AY229" s="38" t="str">
        <f>IF(ISNA(MATCH($N229,data!$A:$A,0)),"",INDEX(data!O:O,MATCH($N229,data!$A:$A,0)))</f>
        <v/>
      </c>
      <c r="AZ229" s="38" t="str">
        <f>IF(ISNA(MATCH($N229,data!$A:$A,0)),"",INDEX(data!N:N,MATCH($N229,data!$A:$A,0)))</f>
        <v/>
      </c>
      <c r="BA229" s="38" t="str">
        <f>IF(ISNA(MATCH($N229,data!$A:$A,0)),"",INDEX(data!P:P,MATCH($N229,data!$A:$A,0)))</f>
        <v/>
      </c>
      <c r="BB229" s="38" t="str">
        <f>IF(ISNA(MATCH($N229,data!$A:$A,0)),"",INDEX(data!Q:Q,MATCH($N229,data!$A:$A,0)))</f>
        <v/>
      </c>
      <c r="BC229" s="38" t="str">
        <f>IF(ISNA(MATCH($N229,data!$A:$A,0)),"",INDEX(data!R:R,MATCH($N229,data!$A:$A,0)))</f>
        <v/>
      </c>
      <c r="BD229" s="38" t="str">
        <f>IF(ISNA(MATCH($N229,[1]data!$A:$A,0)),"",INDEX([1]data!U:U,MATCH($N229,[1]data!$A:$A,0)))</f>
        <v/>
      </c>
      <c r="BE229" s="61" t="e">
        <f>IF(COUNTIF([1]data!A:A,[1]!Table1[[#This Row],[UPC]])&lt;2,"","DUP")</f>
        <v>#VALUE!</v>
      </c>
      <c r="BF229" s="38" t="str">
        <f>IF(ISNA(MATCH($N229,data!$A:$A,0)),"",INDEX(data!W:W,MATCH($N229,data!$A:$A,0)))</f>
        <v/>
      </c>
    </row>
    <row r="230" spans="1:58" ht="12.75" customHeight="1">
      <c r="A230" s="35"/>
      <c r="B230" s="35"/>
      <c r="C230" s="35"/>
      <c r="D230" s="35"/>
      <c r="E230" s="67"/>
      <c r="F230" s="67"/>
      <c r="G230" s="36"/>
      <c r="H230" s="29"/>
      <c r="I230" s="78" t="str">
        <f t="shared" si="2"/>
        <v/>
      </c>
      <c r="J230" s="29"/>
      <c r="K230" s="29"/>
      <c r="L230" s="33"/>
      <c r="M230" s="33"/>
      <c r="N230" s="60"/>
      <c r="O230" s="71"/>
      <c r="P230" s="71"/>
      <c r="Q230" s="33"/>
      <c r="R230" s="31"/>
      <c r="S230" s="31"/>
      <c r="T230" s="59"/>
      <c r="U230" s="59"/>
      <c r="V230" s="59"/>
      <c r="W230" s="57">
        <f t="shared" si="3"/>
        <v>0</v>
      </c>
      <c r="X230" s="126" t="str">
        <f>IF(Table1[[#This Row],[Shipping Weight Pounds]]&gt;150,"See LTL Form","No")</f>
        <v>No</v>
      </c>
      <c r="Y230" s="28"/>
      <c r="Z230" s="33"/>
      <c r="AA230" s="34"/>
      <c r="AB230" s="30"/>
      <c r="AC230" s="30"/>
      <c r="AD230" s="32"/>
      <c r="AE230" s="32"/>
      <c r="AF230" s="2"/>
      <c r="AG230" s="2"/>
      <c r="AH230" s="2"/>
      <c r="AI230" s="2"/>
      <c r="AK230" s="73" t="str">
        <f>IF(ISNA(MATCH($N230,[1]data!$A:$A,0)),"",INDEX([1]data!S:S,MATCH($N230,[1]data!$A:$A,0)))</f>
        <v/>
      </c>
      <c r="AL230" s="73" t="str">
        <f>IF(ISNA(MATCH($N230,[1]data!$A:$A,0)),"",INDEX([1]data!V:V,MATCH($N230,[1]data!$A:$A,0)))</f>
        <v/>
      </c>
      <c r="AM230" s="38" t="str">
        <f>IF(ISNA(MATCH($N230,data!$A:$A,0)),"",INDEX(data!B:B,MATCH($N230,data!$A:$A,0)))</f>
        <v/>
      </c>
      <c r="AN230" s="38" t="str">
        <f>IF(ISNA(MATCH($N230,data!$A:$A,0)),"",INDEX(data!C:C,MATCH($N230,data!$A:$A,0)))</f>
        <v/>
      </c>
      <c r="AO230" s="38" t="str">
        <f>IF(ISNA(MATCH($N230,data!$A:$A,0)),"",INDEX(data!D:D,MATCH($N230,data!$A:$A,0)))</f>
        <v/>
      </c>
      <c r="AP230" s="38" t="str">
        <f>IF(ISNA(MATCH($N230,data!$A:$A,0)),"",INDEX(data!E:E,MATCH($N230,data!$A:$A,0)))</f>
        <v/>
      </c>
      <c r="AQ230" s="38" t="str">
        <f>IF(ISNA(MATCH($N230,data!$A:$A,0)),"",INDEX(data!F:F,MATCH($N230,data!$A:$A,0)))</f>
        <v/>
      </c>
      <c r="AR230" s="38" t="str">
        <f>IF(ISNA(MATCH($N230,data!$A:$A,0)),"",INDEX(data!G:G,MATCH($N230,data!$A:$A,0)))</f>
        <v/>
      </c>
      <c r="AS230" s="38" t="str">
        <f>IF(ISNA(MATCH($N230,data!$A:$A,0)),"",INDEX(data!H:H,MATCH($N230,data!$A:$A,0)))</f>
        <v/>
      </c>
      <c r="AT230" s="38" t="str">
        <f>IF(ISNA(MATCH($N230,data!$A:$A,0)),"",INDEX(data!I:I,MATCH($N230,data!$A:$A,0)))</f>
        <v/>
      </c>
      <c r="AU230" s="38" t="str">
        <f>IF(ISNA(MATCH($N230,[1]data!$A:$A,0)),"",INDEX([1]data!L:L,MATCH($N230,[1]data!$A:$A,0)))</f>
        <v/>
      </c>
      <c r="AV230" s="38" t="str">
        <f>IF(ISNA(MATCH($N230,[1]data!$A:$A,0)),"",INDEX([1]data!M:M,MATCH($N230,[1]data!$A:$A,0)))</f>
        <v/>
      </c>
      <c r="AW230" s="38" t="str">
        <f>IF(ISNA(MATCH($N230,data!$A:$A,0)),"",INDEX(data!J:J,MATCH($N230,data!$A:$A,0)))</f>
        <v/>
      </c>
      <c r="AX230" s="38" t="str">
        <f>IF(ISNA(MATCH($N230,data!$A:$A,0)),"",INDEX(data!K:K,MATCH($N230,data!$A:$A,0)))</f>
        <v/>
      </c>
      <c r="AY230" s="38" t="str">
        <f>IF(ISNA(MATCH($N230,data!$A:$A,0)),"",INDEX(data!O:O,MATCH($N230,data!$A:$A,0)))</f>
        <v/>
      </c>
      <c r="AZ230" s="38" t="str">
        <f>IF(ISNA(MATCH($N230,data!$A:$A,0)),"",INDEX(data!N:N,MATCH($N230,data!$A:$A,0)))</f>
        <v/>
      </c>
      <c r="BA230" s="38" t="str">
        <f>IF(ISNA(MATCH($N230,data!$A:$A,0)),"",INDEX(data!P:P,MATCH($N230,data!$A:$A,0)))</f>
        <v/>
      </c>
      <c r="BB230" s="38" t="str">
        <f>IF(ISNA(MATCH($N230,data!$A:$A,0)),"",INDEX(data!Q:Q,MATCH($N230,data!$A:$A,0)))</f>
        <v/>
      </c>
      <c r="BC230" s="38" t="str">
        <f>IF(ISNA(MATCH($N230,data!$A:$A,0)),"",INDEX(data!R:R,MATCH($N230,data!$A:$A,0)))</f>
        <v/>
      </c>
      <c r="BD230" s="38" t="str">
        <f>IF(ISNA(MATCH($N230,[1]data!$A:$A,0)),"",INDEX([1]data!U:U,MATCH($N230,[1]data!$A:$A,0)))</f>
        <v/>
      </c>
      <c r="BE230" s="61" t="e">
        <f>IF(COUNTIF([1]data!A:A,[1]!Table1[[#This Row],[UPC]])&lt;2,"","DUP")</f>
        <v>#VALUE!</v>
      </c>
      <c r="BF230" s="38" t="str">
        <f>IF(ISNA(MATCH($N230,data!$A:$A,0)),"",INDEX(data!W:W,MATCH($N230,data!$A:$A,0)))</f>
        <v/>
      </c>
    </row>
    <row r="231" spans="1:58" ht="12.75" customHeight="1">
      <c r="A231" s="35"/>
      <c r="B231" s="35"/>
      <c r="C231" s="35"/>
      <c r="D231" s="35"/>
      <c r="E231" s="67"/>
      <c r="F231" s="67"/>
      <c r="G231" s="36"/>
      <c r="H231" s="29"/>
      <c r="I231" s="78" t="str">
        <f t="shared" si="2"/>
        <v/>
      </c>
      <c r="J231" s="29"/>
      <c r="K231" s="29"/>
      <c r="L231" s="33"/>
      <c r="M231" s="33"/>
      <c r="N231" s="60"/>
      <c r="O231" s="71"/>
      <c r="P231" s="71"/>
      <c r="Q231" s="33"/>
      <c r="R231" s="31"/>
      <c r="S231" s="31"/>
      <c r="T231" s="59"/>
      <c r="U231" s="59"/>
      <c r="V231" s="59"/>
      <c r="W231" s="57">
        <f t="shared" si="3"/>
        <v>0</v>
      </c>
      <c r="X231" s="126" t="str">
        <f>IF(Table1[[#This Row],[Shipping Weight Pounds]]&gt;150,"See LTL Form","No")</f>
        <v>No</v>
      </c>
      <c r="Y231" s="28"/>
      <c r="Z231" s="33"/>
      <c r="AA231" s="34"/>
      <c r="AB231" s="30"/>
      <c r="AC231" s="30"/>
      <c r="AD231" s="32"/>
      <c r="AE231" s="32"/>
      <c r="AF231" s="2"/>
      <c r="AG231" s="2"/>
      <c r="AH231" s="2"/>
      <c r="AI231" s="2"/>
      <c r="AK231" s="73" t="str">
        <f>IF(ISNA(MATCH($N231,[1]data!$A:$A,0)),"",INDEX([1]data!S:S,MATCH($N231,[1]data!$A:$A,0)))</f>
        <v/>
      </c>
      <c r="AL231" s="73" t="str">
        <f>IF(ISNA(MATCH($N231,[1]data!$A:$A,0)),"",INDEX([1]data!V:V,MATCH($N231,[1]data!$A:$A,0)))</f>
        <v/>
      </c>
      <c r="AM231" s="38" t="str">
        <f>IF(ISNA(MATCH($N231,data!$A:$A,0)),"",INDEX(data!B:B,MATCH($N231,data!$A:$A,0)))</f>
        <v/>
      </c>
      <c r="AN231" s="38" t="str">
        <f>IF(ISNA(MATCH($N231,data!$A:$A,0)),"",INDEX(data!C:C,MATCH($N231,data!$A:$A,0)))</f>
        <v/>
      </c>
      <c r="AO231" s="38" t="str">
        <f>IF(ISNA(MATCH($N231,data!$A:$A,0)),"",INDEX(data!D:D,MATCH($N231,data!$A:$A,0)))</f>
        <v/>
      </c>
      <c r="AP231" s="38" t="str">
        <f>IF(ISNA(MATCH($N231,data!$A:$A,0)),"",INDEX(data!E:E,MATCH($N231,data!$A:$A,0)))</f>
        <v/>
      </c>
      <c r="AQ231" s="38" t="str">
        <f>IF(ISNA(MATCH($N231,data!$A:$A,0)),"",INDEX(data!F:F,MATCH($N231,data!$A:$A,0)))</f>
        <v/>
      </c>
      <c r="AR231" s="38" t="str">
        <f>IF(ISNA(MATCH($N231,data!$A:$A,0)),"",INDEX(data!G:G,MATCH($N231,data!$A:$A,0)))</f>
        <v/>
      </c>
      <c r="AS231" s="38" t="str">
        <f>IF(ISNA(MATCH($N231,data!$A:$A,0)),"",INDEX(data!H:H,MATCH($N231,data!$A:$A,0)))</f>
        <v/>
      </c>
      <c r="AT231" s="38" t="str">
        <f>IF(ISNA(MATCH($N231,data!$A:$A,0)),"",INDEX(data!I:I,MATCH($N231,data!$A:$A,0)))</f>
        <v/>
      </c>
      <c r="AU231" s="38" t="str">
        <f>IF(ISNA(MATCH($N231,[1]data!$A:$A,0)),"",INDEX([1]data!L:L,MATCH($N231,[1]data!$A:$A,0)))</f>
        <v/>
      </c>
      <c r="AV231" s="38" t="str">
        <f>IF(ISNA(MATCH($N231,[1]data!$A:$A,0)),"",INDEX([1]data!M:M,MATCH($N231,[1]data!$A:$A,0)))</f>
        <v/>
      </c>
      <c r="AW231" s="38" t="str">
        <f>IF(ISNA(MATCH($N231,data!$A:$A,0)),"",INDEX(data!J:J,MATCH($N231,data!$A:$A,0)))</f>
        <v/>
      </c>
      <c r="AX231" s="38" t="str">
        <f>IF(ISNA(MATCH($N231,data!$A:$A,0)),"",INDEX(data!K:K,MATCH($N231,data!$A:$A,0)))</f>
        <v/>
      </c>
      <c r="AY231" s="38" t="str">
        <f>IF(ISNA(MATCH($N231,data!$A:$A,0)),"",INDEX(data!O:O,MATCH($N231,data!$A:$A,0)))</f>
        <v/>
      </c>
      <c r="AZ231" s="38" t="str">
        <f>IF(ISNA(MATCH($N231,data!$A:$A,0)),"",INDEX(data!N:N,MATCH($N231,data!$A:$A,0)))</f>
        <v/>
      </c>
      <c r="BA231" s="38" t="str">
        <f>IF(ISNA(MATCH($N231,data!$A:$A,0)),"",INDEX(data!P:P,MATCH($N231,data!$A:$A,0)))</f>
        <v/>
      </c>
      <c r="BB231" s="38" t="str">
        <f>IF(ISNA(MATCH($N231,data!$A:$A,0)),"",INDEX(data!Q:Q,MATCH($N231,data!$A:$A,0)))</f>
        <v/>
      </c>
      <c r="BC231" s="38" t="str">
        <f>IF(ISNA(MATCH($N231,data!$A:$A,0)),"",INDEX(data!R:R,MATCH($N231,data!$A:$A,0)))</f>
        <v/>
      </c>
      <c r="BD231" s="38" t="str">
        <f>IF(ISNA(MATCH($N231,[1]data!$A:$A,0)),"",INDEX([1]data!U:U,MATCH($N231,[1]data!$A:$A,0)))</f>
        <v/>
      </c>
      <c r="BE231" s="61" t="e">
        <f>IF(COUNTIF([1]data!A:A,[1]!Table1[[#This Row],[UPC]])&lt;2,"","DUP")</f>
        <v>#VALUE!</v>
      </c>
      <c r="BF231" s="38" t="str">
        <f>IF(ISNA(MATCH($N231,data!$A:$A,0)),"",INDEX(data!W:W,MATCH($N231,data!$A:$A,0)))</f>
        <v/>
      </c>
    </row>
    <row r="232" spans="1:58" ht="12.75" customHeight="1">
      <c r="A232" s="35"/>
      <c r="B232" s="35"/>
      <c r="C232" s="35"/>
      <c r="D232" s="35"/>
      <c r="E232" s="67"/>
      <c r="F232" s="67"/>
      <c r="G232" s="36"/>
      <c r="H232" s="29"/>
      <c r="I232" s="78" t="str">
        <f t="shared" si="2"/>
        <v/>
      </c>
      <c r="J232" s="29"/>
      <c r="K232" s="29"/>
      <c r="L232" s="33"/>
      <c r="M232" s="33"/>
      <c r="N232" s="60"/>
      <c r="O232" s="71"/>
      <c r="P232" s="71"/>
      <c r="Q232" s="33"/>
      <c r="R232" s="31"/>
      <c r="S232" s="31"/>
      <c r="T232" s="59"/>
      <c r="U232" s="59"/>
      <c r="V232" s="59"/>
      <c r="W232" s="57">
        <f t="shared" si="3"/>
        <v>0</v>
      </c>
      <c r="X232" s="126" t="str">
        <f>IF(Table1[[#This Row],[Shipping Weight Pounds]]&gt;150,"See LTL Form","No")</f>
        <v>No</v>
      </c>
      <c r="Y232" s="28"/>
      <c r="Z232" s="33"/>
      <c r="AA232" s="34"/>
      <c r="AB232" s="30"/>
      <c r="AC232" s="30"/>
      <c r="AD232" s="32"/>
      <c r="AE232" s="32"/>
      <c r="AF232" s="2"/>
      <c r="AG232" s="2"/>
      <c r="AH232" s="2"/>
      <c r="AI232" s="2"/>
      <c r="AK232" s="73" t="str">
        <f>IF(ISNA(MATCH($N232,[1]data!$A:$A,0)),"",INDEX([1]data!S:S,MATCH($N232,[1]data!$A:$A,0)))</f>
        <v/>
      </c>
      <c r="AL232" s="73" t="str">
        <f>IF(ISNA(MATCH($N232,[1]data!$A:$A,0)),"",INDEX([1]data!V:V,MATCH($N232,[1]data!$A:$A,0)))</f>
        <v/>
      </c>
      <c r="AM232" s="38" t="str">
        <f>IF(ISNA(MATCH($N232,data!$A:$A,0)),"",INDEX(data!B:B,MATCH($N232,data!$A:$A,0)))</f>
        <v/>
      </c>
      <c r="AN232" s="38" t="str">
        <f>IF(ISNA(MATCH($N232,data!$A:$A,0)),"",INDEX(data!C:C,MATCH($N232,data!$A:$A,0)))</f>
        <v/>
      </c>
      <c r="AO232" s="38" t="str">
        <f>IF(ISNA(MATCH($N232,data!$A:$A,0)),"",INDEX(data!D:D,MATCH($N232,data!$A:$A,0)))</f>
        <v/>
      </c>
      <c r="AP232" s="38" t="str">
        <f>IF(ISNA(MATCH($N232,data!$A:$A,0)),"",INDEX(data!E:E,MATCH($N232,data!$A:$A,0)))</f>
        <v/>
      </c>
      <c r="AQ232" s="38" t="str">
        <f>IF(ISNA(MATCH($N232,data!$A:$A,0)),"",INDEX(data!F:F,MATCH($N232,data!$A:$A,0)))</f>
        <v/>
      </c>
      <c r="AR232" s="38" t="str">
        <f>IF(ISNA(MATCH($N232,data!$A:$A,0)),"",INDEX(data!G:G,MATCH($N232,data!$A:$A,0)))</f>
        <v/>
      </c>
      <c r="AS232" s="38" t="str">
        <f>IF(ISNA(MATCH($N232,data!$A:$A,0)),"",INDEX(data!H:H,MATCH($N232,data!$A:$A,0)))</f>
        <v/>
      </c>
      <c r="AT232" s="38" t="str">
        <f>IF(ISNA(MATCH($N232,data!$A:$A,0)),"",INDEX(data!I:I,MATCH($N232,data!$A:$A,0)))</f>
        <v/>
      </c>
      <c r="AU232" s="38" t="str">
        <f>IF(ISNA(MATCH($N232,[1]data!$A:$A,0)),"",INDEX([1]data!L:L,MATCH($N232,[1]data!$A:$A,0)))</f>
        <v/>
      </c>
      <c r="AV232" s="38" t="str">
        <f>IF(ISNA(MATCH($N232,[1]data!$A:$A,0)),"",INDEX([1]data!M:M,MATCH($N232,[1]data!$A:$A,0)))</f>
        <v/>
      </c>
      <c r="AW232" s="38" t="str">
        <f>IF(ISNA(MATCH($N232,data!$A:$A,0)),"",INDEX(data!J:J,MATCH($N232,data!$A:$A,0)))</f>
        <v/>
      </c>
      <c r="AX232" s="38" t="str">
        <f>IF(ISNA(MATCH($N232,data!$A:$A,0)),"",INDEX(data!K:K,MATCH($N232,data!$A:$A,0)))</f>
        <v/>
      </c>
      <c r="AY232" s="38" t="str">
        <f>IF(ISNA(MATCH($N232,data!$A:$A,0)),"",INDEX(data!O:O,MATCH($N232,data!$A:$A,0)))</f>
        <v/>
      </c>
      <c r="AZ232" s="38" t="str">
        <f>IF(ISNA(MATCH($N232,data!$A:$A,0)),"",INDEX(data!N:N,MATCH($N232,data!$A:$A,0)))</f>
        <v/>
      </c>
      <c r="BA232" s="38" t="str">
        <f>IF(ISNA(MATCH($N232,data!$A:$A,0)),"",INDEX(data!P:P,MATCH($N232,data!$A:$A,0)))</f>
        <v/>
      </c>
      <c r="BB232" s="38" t="str">
        <f>IF(ISNA(MATCH($N232,data!$A:$A,0)),"",INDEX(data!Q:Q,MATCH($N232,data!$A:$A,0)))</f>
        <v/>
      </c>
      <c r="BC232" s="38" t="str">
        <f>IF(ISNA(MATCH($N232,data!$A:$A,0)),"",INDEX(data!R:R,MATCH($N232,data!$A:$A,0)))</f>
        <v/>
      </c>
      <c r="BD232" s="38" t="str">
        <f>IF(ISNA(MATCH($N232,[1]data!$A:$A,0)),"",INDEX([1]data!U:U,MATCH($N232,[1]data!$A:$A,0)))</f>
        <v/>
      </c>
      <c r="BE232" s="61" t="e">
        <f>IF(COUNTIF([1]data!A:A,[1]!Table1[[#This Row],[UPC]])&lt;2,"","DUP")</f>
        <v>#VALUE!</v>
      </c>
      <c r="BF232" s="38" t="str">
        <f>IF(ISNA(MATCH($N232,data!$A:$A,0)),"",INDEX(data!W:W,MATCH($N232,data!$A:$A,0)))</f>
        <v/>
      </c>
    </row>
    <row r="233" spans="1:58" ht="12.75" customHeight="1">
      <c r="A233" s="35"/>
      <c r="B233" s="35"/>
      <c r="C233" s="35"/>
      <c r="D233" s="35"/>
      <c r="E233" s="67"/>
      <c r="F233" s="67"/>
      <c r="G233" s="36"/>
      <c r="H233" s="29"/>
      <c r="I233" s="78" t="str">
        <f t="shared" si="2"/>
        <v/>
      </c>
      <c r="J233" s="29"/>
      <c r="K233" s="29"/>
      <c r="L233" s="33"/>
      <c r="M233" s="33"/>
      <c r="N233" s="60"/>
      <c r="O233" s="71"/>
      <c r="P233" s="71"/>
      <c r="Q233" s="33"/>
      <c r="R233" s="31"/>
      <c r="S233" s="31"/>
      <c r="T233" s="59"/>
      <c r="U233" s="59"/>
      <c r="V233" s="59"/>
      <c r="W233" s="57">
        <f t="shared" si="3"/>
        <v>0</v>
      </c>
      <c r="X233" s="126" t="str">
        <f>IF(Table1[[#This Row],[Shipping Weight Pounds]]&gt;150,"See LTL Form","No")</f>
        <v>No</v>
      </c>
      <c r="Y233" s="28"/>
      <c r="Z233" s="33"/>
      <c r="AA233" s="34"/>
      <c r="AB233" s="30"/>
      <c r="AC233" s="30"/>
      <c r="AD233" s="32"/>
      <c r="AE233" s="32"/>
      <c r="AF233" s="2"/>
      <c r="AG233" s="2"/>
      <c r="AH233" s="2"/>
      <c r="AI233" s="2"/>
      <c r="AK233" s="73" t="str">
        <f>IF(ISNA(MATCH($N233,[1]data!$A:$A,0)),"",INDEX([1]data!S:S,MATCH($N233,[1]data!$A:$A,0)))</f>
        <v/>
      </c>
      <c r="AL233" s="73" t="str">
        <f>IF(ISNA(MATCH($N233,[1]data!$A:$A,0)),"",INDEX([1]data!V:V,MATCH($N233,[1]data!$A:$A,0)))</f>
        <v/>
      </c>
      <c r="AM233" s="38" t="str">
        <f>IF(ISNA(MATCH($N233,data!$A:$A,0)),"",INDEX(data!B:B,MATCH($N233,data!$A:$A,0)))</f>
        <v/>
      </c>
      <c r="AN233" s="38" t="str">
        <f>IF(ISNA(MATCH($N233,data!$A:$A,0)),"",INDEX(data!C:C,MATCH($N233,data!$A:$A,0)))</f>
        <v/>
      </c>
      <c r="AO233" s="38" t="str">
        <f>IF(ISNA(MATCH($N233,data!$A:$A,0)),"",INDEX(data!D:D,MATCH($N233,data!$A:$A,0)))</f>
        <v/>
      </c>
      <c r="AP233" s="38" t="str">
        <f>IF(ISNA(MATCH($N233,data!$A:$A,0)),"",INDEX(data!E:E,MATCH($N233,data!$A:$A,0)))</f>
        <v/>
      </c>
      <c r="AQ233" s="38" t="str">
        <f>IF(ISNA(MATCH($N233,data!$A:$A,0)),"",INDEX(data!F:F,MATCH($N233,data!$A:$A,0)))</f>
        <v/>
      </c>
      <c r="AR233" s="38" t="str">
        <f>IF(ISNA(MATCH($N233,data!$A:$A,0)),"",INDEX(data!G:G,MATCH($N233,data!$A:$A,0)))</f>
        <v/>
      </c>
      <c r="AS233" s="38" t="str">
        <f>IF(ISNA(MATCH($N233,data!$A:$A,0)),"",INDEX(data!H:H,MATCH($N233,data!$A:$A,0)))</f>
        <v/>
      </c>
      <c r="AT233" s="38" t="str">
        <f>IF(ISNA(MATCH($N233,data!$A:$A,0)),"",INDEX(data!I:I,MATCH($N233,data!$A:$A,0)))</f>
        <v/>
      </c>
      <c r="AU233" s="38" t="str">
        <f>IF(ISNA(MATCH($N233,[1]data!$A:$A,0)),"",INDEX([1]data!L:L,MATCH($N233,[1]data!$A:$A,0)))</f>
        <v/>
      </c>
      <c r="AV233" s="38" t="str">
        <f>IF(ISNA(MATCH($N233,[1]data!$A:$A,0)),"",INDEX([1]data!M:M,MATCH($N233,[1]data!$A:$A,0)))</f>
        <v/>
      </c>
      <c r="AW233" s="38" t="str">
        <f>IF(ISNA(MATCH($N233,data!$A:$A,0)),"",INDEX(data!J:J,MATCH($N233,data!$A:$A,0)))</f>
        <v/>
      </c>
      <c r="AX233" s="38" t="str">
        <f>IF(ISNA(MATCH($N233,data!$A:$A,0)),"",INDEX(data!K:K,MATCH($N233,data!$A:$A,0)))</f>
        <v/>
      </c>
      <c r="AY233" s="38" t="str">
        <f>IF(ISNA(MATCH($N233,data!$A:$A,0)),"",INDEX(data!O:O,MATCH($N233,data!$A:$A,0)))</f>
        <v/>
      </c>
      <c r="AZ233" s="38" t="str">
        <f>IF(ISNA(MATCH($N233,data!$A:$A,0)),"",INDEX(data!N:N,MATCH($N233,data!$A:$A,0)))</f>
        <v/>
      </c>
      <c r="BA233" s="38" t="str">
        <f>IF(ISNA(MATCH($N233,data!$A:$A,0)),"",INDEX(data!P:P,MATCH($N233,data!$A:$A,0)))</f>
        <v/>
      </c>
      <c r="BB233" s="38" t="str">
        <f>IF(ISNA(MATCH($N233,data!$A:$A,0)),"",INDEX(data!Q:Q,MATCH($N233,data!$A:$A,0)))</f>
        <v/>
      </c>
      <c r="BC233" s="38" t="str">
        <f>IF(ISNA(MATCH($N233,data!$A:$A,0)),"",INDEX(data!R:R,MATCH($N233,data!$A:$A,0)))</f>
        <v/>
      </c>
      <c r="BD233" s="38" t="str">
        <f>IF(ISNA(MATCH($N233,[1]data!$A:$A,0)),"",INDEX([1]data!U:U,MATCH($N233,[1]data!$A:$A,0)))</f>
        <v/>
      </c>
      <c r="BE233" s="61" t="e">
        <f>IF(COUNTIF([1]data!A:A,[1]!Table1[[#This Row],[UPC]])&lt;2,"","DUP")</f>
        <v>#VALUE!</v>
      </c>
      <c r="BF233" s="38" t="str">
        <f>IF(ISNA(MATCH($N233,data!$A:$A,0)),"",INDEX(data!W:W,MATCH($N233,data!$A:$A,0)))</f>
        <v/>
      </c>
    </row>
    <row r="234" spans="1:58" ht="12.75" customHeight="1">
      <c r="A234" s="35"/>
      <c r="B234" s="35"/>
      <c r="C234" s="35"/>
      <c r="D234" s="35"/>
      <c r="E234" s="67"/>
      <c r="F234" s="67"/>
      <c r="G234" s="36"/>
      <c r="H234" s="29"/>
      <c r="I234" s="78" t="str">
        <f t="shared" si="2"/>
        <v/>
      </c>
      <c r="J234" s="29"/>
      <c r="K234" s="29"/>
      <c r="L234" s="33"/>
      <c r="M234" s="33"/>
      <c r="N234" s="60"/>
      <c r="O234" s="71"/>
      <c r="P234" s="71"/>
      <c r="Q234" s="33"/>
      <c r="R234" s="31"/>
      <c r="S234" s="31"/>
      <c r="T234" s="59"/>
      <c r="U234" s="59"/>
      <c r="V234" s="59"/>
      <c r="W234" s="57">
        <f t="shared" si="3"/>
        <v>0</v>
      </c>
      <c r="X234" s="126" t="str">
        <f>IF(Table1[[#This Row],[Shipping Weight Pounds]]&gt;150,"See LTL Form","No")</f>
        <v>No</v>
      </c>
      <c r="Y234" s="28"/>
      <c r="Z234" s="33"/>
      <c r="AA234" s="34"/>
      <c r="AB234" s="30"/>
      <c r="AC234" s="30"/>
      <c r="AD234" s="32"/>
      <c r="AE234" s="32"/>
      <c r="AF234" s="2"/>
      <c r="AG234" s="2"/>
      <c r="AH234" s="2"/>
      <c r="AI234" s="2"/>
      <c r="AK234" s="73" t="str">
        <f>IF(ISNA(MATCH($N234,[1]data!$A:$A,0)),"",INDEX([1]data!S:S,MATCH($N234,[1]data!$A:$A,0)))</f>
        <v/>
      </c>
      <c r="AL234" s="73" t="str">
        <f>IF(ISNA(MATCH($N234,[1]data!$A:$A,0)),"",INDEX([1]data!V:V,MATCH($N234,[1]data!$A:$A,0)))</f>
        <v/>
      </c>
      <c r="AM234" s="38" t="str">
        <f>IF(ISNA(MATCH($N234,data!$A:$A,0)),"",INDEX(data!B:B,MATCH($N234,data!$A:$A,0)))</f>
        <v/>
      </c>
      <c r="AN234" s="38" t="str">
        <f>IF(ISNA(MATCH($N234,data!$A:$A,0)),"",INDEX(data!C:C,MATCH($N234,data!$A:$A,0)))</f>
        <v/>
      </c>
      <c r="AO234" s="38" t="str">
        <f>IF(ISNA(MATCH($N234,data!$A:$A,0)),"",INDEX(data!D:D,MATCH($N234,data!$A:$A,0)))</f>
        <v/>
      </c>
      <c r="AP234" s="38" t="str">
        <f>IF(ISNA(MATCH($N234,data!$A:$A,0)),"",INDEX(data!E:E,MATCH($N234,data!$A:$A,0)))</f>
        <v/>
      </c>
      <c r="AQ234" s="38" t="str">
        <f>IF(ISNA(MATCH($N234,data!$A:$A,0)),"",INDEX(data!F:F,MATCH($N234,data!$A:$A,0)))</f>
        <v/>
      </c>
      <c r="AR234" s="38" t="str">
        <f>IF(ISNA(MATCH($N234,data!$A:$A,0)),"",INDEX(data!G:G,MATCH($N234,data!$A:$A,0)))</f>
        <v/>
      </c>
      <c r="AS234" s="38" t="str">
        <f>IF(ISNA(MATCH($N234,data!$A:$A,0)),"",INDEX(data!H:H,MATCH($N234,data!$A:$A,0)))</f>
        <v/>
      </c>
      <c r="AT234" s="38" t="str">
        <f>IF(ISNA(MATCH($N234,data!$A:$A,0)),"",INDEX(data!I:I,MATCH($N234,data!$A:$A,0)))</f>
        <v/>
      </c>
      <c r="AU234" s="38" t="str">
        <f>IF(ISNA(MATCH($N234,[1]data!$A:$A,0)),"",INDEX([1]data!L:L,MATCH($N234,[1]data!$A:$A,0)))</f>
        <v/>
      </c>
      <c r="AV234" s="38" t="str">
        <f>IF(ISNA(MATCH($N234,[1]data!$A:$A,0)),"",INDEX([1]data!M:M,MATCH($N234,[1]data!$A:$A,0)))</f>
        <v/>
      </c>
      <c r="AW234" s="38" t="str">
        <f>IF(ISNA(MATCH($N234,data!$A:$A,0)),"",INDEX(data!J:J,MATCH($N234,data!$A:$A,0)))</f>
        <v/>
      </c>
      <c r="AX234" s="38" t="str">
        <f>IF(ISNA(MATCH($N234,data!$A:$A,0)),"",INDEX(data!K:K,MATCH($N234,data!$A:$A,0)))</f>
        <v/>
      </c>
      <c r="AY234" s="38" t="str">
        <f>IF(ISNA(MATCH($N234,data!$A:$A,0)),"",INDEX(data!O:O,MATCH($N234,data!$A:$A,0)))</f>
        <v/>
      </c>
      <c r="AZ234" s="38" t="str">
        <f>IF(ISNA(MATCH($N234,data!$A:$A,0)),"",INDEX(data!N:N,MATCH($N234,data!$A:$A,0)))</f>
        <v/>
      </c>
      <c r="BA234" s="38" t="str">
        <f>IF(ISNA(MATCH($N234,data!$A:$A,0)),"",INDEX(data!P:P,MATCH($N234,data!$A:$A,0)))</f>
        <v/>
      </c>
      <c r="BB234" s="38" t="str">
        <f>IF(ISNA(MATCH($N234,data!$A:$A,0)),"",INDEX(data!Q:Q,MATCH($N234,data!$A:$A,0)))</f>
        <v/>
      </c>
      <c r="BC234" s="38" t="str">
        <f>IF(ISNA(MATCH($N234,data!$A:$A,0)),"",INDEX(data!R:R,MATCH($N234,data!$A:$A,0)))</f>
        <v/>
      </c>
      <c r="BD234" s="38" t="str">
        <f>IF(ISNA(MATCH($N234,[1]data!$A:$A,0)),"",INDEX([1]data!U:U,MATCH($N234,[1]data!$A:$A,0)))</f>
        <v/>
      </c>
      <c r="BE234" s="61" t="e">
        <f>IF(COUNTIF([1]data!A:A,[1]!Table1[[#This Row],[UPC]])&lt;2,"","DUP")</f>
        <v>#VALUE!</v>
      </c>
      <c r="BF234" s="38" t="str">
        <f>IF(ISNA(MATCH($N234,data!$A:$A,0)),"",INDEX(data!W:W,MATCH($N234,data!$A:$A,0)))</f>
        <v/>
      </c>
    </row>
    <row r="235" spans="1:58" ht="12.75" customHeight="1">
      <c r="A235" s="35"/>
      <c r="B235" s="35"/>
      <c r="C235" s="35"/>
      <c r="D235" s="35"/>
      <c r="E235" s="67"/>
      <c r="F235" s="67"/>
      <c r="G235" s="36"/>
      <c r="H235" s="29"/>
      <c r="I235" s="78" t="str">
        <f t="shared" si="2"/>
        <v/>
      </c>
      <c r="J235" s="29"/>
      <c r="K235" s="29"/>
      <c r="L235" s="33"/>
      <c r="M235" s="33"/>
      <c r="N235" s="60"/>
      <c r="O235" s="71"/>
      <c r="P235" s="71"/>
      <c r="Q235" s="33"/>
      <c r="R235" s="31"/>
      <c r="S235" s="31"/>
      <c r="T235" s="59"/>
      <c r="U235" s="59"/>
      <c r="V235" s="59"/>
      <c r="W235" s="57">
        <f t="shared" si="3"/>
        <v>0</v>
      </c>
      <c r="X235" s="126" t="str">
        <f>IF(Table1[[#This Row],[Shipping Weight Pounds]]&gt;150,"See LTL Form","No")</f>
        <v>No</v>
      </c>
      <c r="Y235" s="28"/>
      <c r="Z235" s="33"/>
      <c r="AA235" s="34"/>
      <c r="AB235" s="30"/>
      <c r="AC235" s="30"/>
      <c r="AD235" s="32"/>
      <c r="AE235" s="32"/>
      <c r="AF235" s="2"/>
      <c r="AG235" s="2"/>
      <c r="AH235" s="2"/>
      <c r="AI235" s="2"/>
      <c r="AK235" s="73" t="str">
        <f>IF(ISNA(MATCH($N235,[1]data!$A:$A,0)),"",INDEX([1]data!S:S,MATCH($N235,[1]data!$A:$A,0)))</f>
        <v/>
      </c>
      <c r="AL235" s="73" t="str">
        <f>IF(ISNA(MATCH($N235,[1]data!$A:$A,0)),"",INDEX([1]data!V:V,MATCH($N235,[1]data!$A:$A,0)))</f>
        <v/>
      </c>
      <c r="AM235" s="38" t="str">
        <f>IF(ISNA(MATCH($N235,data!$A:$A,0)),"",INDEX(data!B:B,MATCH($N235,data!$A:$A,0)))</f>
        <v/>
      </c>
      <c r="AN235" s="38" t="str">
        <f>IF(ISNA(MATCH($N235,data!$A:$A,0)),"",INDEX(data!C:C,MATCH($N235,data!$A:$A,0)))</f>
        <v/>
      </c>
      <c r="AO235" s="38" t="str">
        <f>IF(ISNA(MATCH($N235,data!$A:$A,0)),"",INDEX(data!D:D,MATCH($N235,data!$A:$A,0)))</f>
        <v/>
      </c>
      <c r="AP235" s="38" t="str">
        <f>IF(ISNA(MATCH($N235,data!$A:$A,0)),"",INDEX(data!E:E,MATCH($N235,data!$A:$A,0)))</f>
        <v/>
      </c>
      <c r="AQ235" s="38" t="str">
        <f>IF(ISNA(MATCH($N235,data!$A:$A,0)),"",INDEX(data!F:F,MATCH($N235,data!$A:$A,0)))</f>
        <v/>
      </c>
      <c r="AR235" s="38" t="str">
        <f>IF(ISNA(MATCH($N235,data!$A:$A,0)),"",INDEX(data!G:G,MATCH($N235,data!$A:$A,0)))</f>
        <v/>
      </c>
      <c r="AS235" s="38" t="str">
        <f>IF(ISNA(MATCH($N235,data!$A:$A,0)),"",INDEX(data!H:H,MATCH($N235,data!$A:$A,0)))</f>
        <v/>
      </c>
      <c r="AT235" s="38" t="str">
        <f>IF(ISNA(MATCH($N235,data!$A:$A,0)),"",INDEX(data!I:I,MATCH($N235,data!$A:$A,0)))</f>
        <v/>
      </c>
      <c r="AU235" s="38" t="str">
        <f>IF(ISNA(MATCH($N235,[1]data!$A:$A,0)),"",INDEX([1]data!L:L,MATCH($N235,[1]data!$A:$A,0)))</f>
        <v/>
      </c>
      <c r="AV235" s="38" t="str">
        <f>IF(ISNA(MATCH($N235,[1]data!$A:$A,0)),"",INDEX([1]data!M:M,MATCH($N235,[1]data!$A:$A,0)))</f>
        <v/>
      </c>
      <c r="AW235" s="38" t="str">
        <f>IF(ISNA(MATCH($N235,data!$A:$A,0)),"",INDEX(data!J:J,MATCH($N235,data!$A:$A,0)))</f>
        <v/>
      </c>
      <c r="AX235" s="38" t="str">
        <f>IF(ISNA(MATCH($N235,data!$A:$A,0)),"",INDEX(data!K:K,MATCH($N235,data!$A:$A,0)))</f>
        <v/>
      </c>
      <c r="AY235" s="38" t="str">
        <f>IF(ISNA(MATCH($N235,data!$A:$A,0)),"",INDEX(data!O:O,MATCH($N235,data!$A:$A,0)))</f>
        <v/>
      </c>
      <c r="AZ235" s="38" t="str">
        <f>IF(ISNA(MATCH($N235,data!$A:$A,0)),"",INDEX(data!N:N,MATCH($N235,data!$A:$A,0)))</f>
        <v/>
      </c>
      <c r="BA235" s="38" t="str">
        <f>IF(ISNA(MATCH($N235,data!$A:$A,0)),"",INDEX(data!P:P,MATCH($N235,data!$A:$A,0)))</f>
        <v/>
      </c>
      <c r="BB235" s="38" t="str">
        <f>IF(ISNA(MATCH($N235,data!$A:$A,0)),"",INDEX(data!Q:Q,MATCH($N235,data!$A:$A,0)))</f>
        <v/>
      </c>
      <c r="BC235" s="38" t="str">
        <f>IF(ISNA(MATCH($N235,data!$A:$A,0)),"",INDEX(data!R:R,MATCH($N235,data!$A:$A,0)))</f>
        <v/>
      </c>
      <c r="BD235" s="38" t="str">
        <f>IF(ISNA(MATCH($N235,[1]data!$A:$A,0)),"",INDEX([1]data!U:U,MATCH($N235,[1]data!$A:$A,0)))</f>
        <v/>
      </c>
      <c r="BE235" s="61" t="e">
        <f>IF(COUNTIF([1]data!A:A,[1]!Table1[[#This Row],[UPC]])&lt;2,"","DUP")</f>
        <v>#VALUE!</v>
      </c>
      <c r="BF235" s="38" t="str">
        <f>IF(ISNA(MATCH($N235,data!$A:$A,0)),"",INDEX(data!W:W,MATCH($N235,data!$A:$A,0)))</f>
        <v/>
      </c>
    </row>
    <row r="236" spans="1:58" ht="12.75" customHeight="1">
      <c r="A236" s="35"/>
      <c r="B236" s="35"/>
      <c r="C236" s="35"/>
      <c r="D236" s="35"/>
      <c r="E236" s="67"/>
      <c r="F236" s="67"/>
      <c r="G236" s="36"/>
      <c r="H236" s="29"/>
      <c r="I236" s="78" t="str">
        <f t="shared" si="2"/>
        <v/>
      </c>
      <c r="J236" s="29"/>
      <c r="K236" s="29"/>
      <c r="L236" s="33"/>
      <c r="M236" s="33"/>
      <c r="N236" s="60"/>
      <c r="O236" s="71"/>
      <c r="P236" s="71"/>
      <c r="Q236" s="33"/>
      <c r="R236" s="31"/>
      <c r="S236" s="31"/>
      <c r="T236" s="59"/>
      <c r="U236" s="59"/>
      <c r="V236" s="59"/>
      <c r="W236" s="57">
        <f t="shared" si="3"/>
        <v>0</v>
      </c>
      <c r="X236" s="126" t="str">
        <f>IF(Table1[[#This Row],[Shipping Weight Pounds]]&gt;150,"See LTL Form","No")</f>
        <v>No</v>
      </c>
      <c r="Y236" s="28"/>
      <c r="Z236" s="33"/>
      <c r="AA236" s="34"/>
      <c r="AB236" s="30"/>
      <c r="AC236" s="30"/>
      <c r="AD236" s="32"/>
      <c r="AE236" s="32"/>
      <c r="AF236" s="2"/>
      <c r="AG236" s="2"/>
      <c r="AH236" s="2"/>
      <c r="AI236" s="2"/>
      <c r="AK236" s="73" t="str">
        <f>IF(ISNA(MATCH($N236,[1]data!$A:$A,0)),"",INDEX([1]data!S:S,MATCH($N236,[1]data!$A:$A,0)))</f>
        <v/>
      </c>
      <c r="AL236" s="73" t="str">
        <f>IF(ISNA(MATCH($N236,[1]data!$A:$A,0)),"",INDEX([1]data!V:V,MATCH($N236,[1]data!$A:$A,0)))</f>
        <v/>
      </c>
      <c r="AM236" s="38" t="str">
        <f>IF(ISNA(MATCH($N236,data!$A:$A,0)),"",INDEX(data!B:B,MATCH($N236,data!$A:$A,0)))</f>
        <v/>
      </c>
      <c r="AN236" s="38" t="str">
        <f>IF(ISNA(MATCH($N236,data!$A:$A,0)),"",INDEX(data!C:C,MATCH($N236,data!$A:$A,0)))</f>
        <v/>
      </c>
      <c r="AO236" s="38" t="str">
        <f>IF(ISNA(MATCH($N236,data!$A:$A,0)),"",INDEX(data!D:D,MATCH($N236,data!$A:$A,0)))</f>
        <v/>
      </c>
      <c r="AP236" s="38" t="str">
        <f>IF(ISNA(MATCH($N236,data!$A:$A,0)),"",INDEX(data!E:E,MATCH($N236,data!$A:$A,0)))</f>
        <v/>
      </c>
      <c r="AQ236" s="38" t="str">
        <f>IF(ISNA(MATCH($N236,data!$A:$A,0)),"",INDEX(data!F:F,MATCH($N236,data!$A:$A,0)))</f>
        <v/>
      </c>
      <c r="AR236" s="38" t="str">
        <f>IF(ISNA(MATCH($N236,data!$A:$A,0)),"",INDEX(data!G:G,MATCH($N236,data!$A:$A,0)))</f>
        <v/>
      </c>
      <c r="AS236" s="38" t="str">
        <f>IF(ISNA(MATCH($N236,data!$A:$A,0)),"",INDEX(data!H:H,MATCH($N236,data!$A:$A,0)))</f>
        <v/>
      </c>
      <c r="AT236" s="38" t="str">
        <f>IF(ISNA(MATCH($N236,data!$A:$A,0)),"",INDEX(data!I:I,MATCH($N236,data!$A:$A,0)))</f>
        <v/>
      </c>
      <c r="AU236" s="38" t="str">
        <f>IF(ISNA(MATCH($N236,[1]data!$A:$A,0)),"",INDEX([1]data!L:L,MATCH($N236,[1]data!$A:$A,0)))</f>
        <v/>
      </c>
      <c r="AV236" s="38" t="str">
        <f>IF(ISNA(MATCH($N236,[1]data!$A:$A,0)),"",INDEX([1]data!M:M,MATCH($N236,[1]data!$A:$A,0)))</f>
        <v/>
      </c>
      <c r="AW236" s="38" t="str">
        <f>IF(ISNA(MATCH($N236,data!$A:$A,0)),"",INDEX(data!J:J,MATCH($N236,data!$A:$A,0)))</f>
        <v/>
      </c>
      <c r="AX236" s="38" t="str">
        <f>IF(ISNA(MATCH($N236,data!$A:$A,0)),"",INDEX(data!K:K,MATCH($N236,data!$A:$A,0)))</f>
        <v/>
      </c>
      <c r="AY236" s="38" t="str">
        <f>IF(ISNA(MATCH($N236,data!$A:$A,0)),"",INDEX(data!O:O,MATCH($N236,data!$A:$A,0)))</f>
        <v/>
      </c>
      <c r="AZ236" s="38" t="str">
        <f>IF(ISNA(MATCH($N236,data!$A:$A,0)),"",INDEX(data!N:N,MATCH($N236,data!$A:$A,0)))</f>
        <v/>
      </c>
      <c r="BA236" s="38" t="str">
        <f>IF(ISNA(MATCH($N236,data!$A:$A,0)),"",INDEX(data!P:P,MATCH($N236,data!$A:$A,0)))</f>
        <v/>
      </c>
      <c r="BB236" s="38" t="str">
        <f>IF(ISNA(MATCH($N236,data!$A:$A,0)),"",INDEX(data!Q:Q,MATCH($N236,data!$A:$A,0)))</f>
        <v/>
      </c>
      <c r="BC236" s="38" t="str">
        <f>IF(ISNA(MATCH($N236,data!$A:$A,0)),"",INDEX(data!R:R,MATCH($N236,data!$A:$A,0)))</f>
        <v/>
      </c>
      <c r="BD236" s="38" t="str">
        <f>IF(ISNA(MATCH($N236,[1]data!$A:$A,0)),"",INDEX([1]data!U:U,MATCH($N236,[1]data!$A:$A,0)))</f>
        <v/>
      </c>
      <c r="BE236" s="61" t="e">
        <f>IF(COUNTIF([1]data!A:A,[1]!Table1[[#This Row],[UPC]])&lt;2,"","DUP")</f>
        <v>#VALUE!</v>
      </c>
      <c r="BF236" s="38" t="str">
        <f>IF(ISNA(MATCH($N236,data!$A:$A,0)),"",INDEX(data!W:W,MATCH($N236,data!$A:$A,0)))</f>
        <v/>
      </c>
    </row>
    <row r="237" spans="1:58" ht="12.75" customHeight="1">
      <c r="A237" s="35"/>
      <c r="B237" s="35"/>
      <c r="C237" s="35"/>
      <c r="D237" s="35"/>
      <c r="E237" s="67"/>
      <c r="F237" s="67"/>
      <c r="G237" s="36"/>
      <c r="H237" s="29"/>
      <c r="I237" s="78" t="str">
        <f t="shared" si="2"/>
        <v/>
      </c>
      <c r="J237" s="29"/>
      <c r="K237" s="29"/>
      <c r="L237" s="33"/>
      <c r="M237" s="33"/>
      <c r="N237" s="60"/>
      <c r="O237" s="71"/>
      <c r="P237" s="71"/>
      <c r="Q237" s="33"/>
      <c r="R237" s="31"/>
      <c r="S237" s="31"/>
      <c r="T237" s="59"/>
      <c r="U237" s="59"/>
      <c r="V237" s="59"/>
      <c r="W237" s="57">
        <f t="shared" si="3"/>
        <v>0</v>
      </c>
      <c r="X237" s="126" t="str">
        <f>IF(Table1[[#This Row],[Shipping Weight Pounds]]&gt;150,"See LTL Form","No")</f>
        <v>No</v>
      </c>
      <c r="Y237" s="28"/>
      <c r="Z237" s="33"/>
      <c r="AA237" s="34"/>
      <c r="AB237" s="30"/>
      <c r="AC237" s="30"/>
      <c r="AD237" s="32"/>
      <c r="AE237" s="32"/>
      <c r="AF237" s="2"/>
      <c r="AG237" s="2"/>
      <c r="AH237" s="2"/>
      <c r="AI237" s="2"/>
      <c r="AK237" s="73" t="str">
        <f>IF(ISNA(MATCH($N237,[1]data!$A:$A,0)),"",INDEX([1]data!S:S,MATCH($N237,[1]data!$A:$A,0)))</f>
        <v/>
      </c>
      <c r="AL237" s="73" t="str">
        <f>IF(ISNA(MATCH($N237,[1]data!$A:$A,0)),"",INDEX([1]data!V:V,MATCH($N237,[1]data!$A:$A,0)))</f>
        <v/>
      </c>
      <c r="AM237" s="38" t="str">
        <f>IF(ISNA(MATCH($N237,data!$A:$A,0)),"",INDEX(data!B:B,MATCH($N237,data!$A:$A,0)))</f>
        <v/>
      </c>
      <c r="AN237" s="38" t="str">
        <f>IF(ISNA(MATCH($N237,data!$A:$A,0)),"",INDEX(data!C:C,MATCH($N237,data!$A:$A,0)))</f>
        <v/>
      </c>
      <c r="AO237" s="38" t="str">
        <f>IF(ISNA(MATCH($N237,data!$A:$A,0)),"",INDEX(data!D:D,MATCH($N237,data!$A:$A,0)))</f>
        <v/>
      </c>
      <c r="AP237" s="38" t="str">
        <f>IF(ISNA(MATCH($N237,data!$A:$A,0)),"",INDEX(data!E:E,MATCH($N237,data!$A:$A,0)))</f>
        <v/>
      </c>
      <c r="AQ237" s="38" t="str">
        <f>IF(ISNA(MATCH($N237,data!$A:$A,0)),"",INDEX(data!F:F,MATCH($N237,data!$A:$A,0)))</f>
        <v/>
      </c>
      <c r="AR237" s="38" t="str">
        <f>IF(ISNA(MATCH($N237,data!$A:$A,0)),"",INDEX(data!G:G,MATCH($N237,data!$A:$A,0)))</f>
        <v/>
      </c>
      <c r="AS237" s="38" t="str">
        <f>IF(ISNA(MATCH($N237,data!$A:$A,0)),"",INDEX(data!H:H,MATCH($N237,data!$A:$A,0)))</f>
        <v/>
      </c>
      <c r="AT237" s="38" t="str">
        <f>IF(ISNA(MATCH($N237,data!$A:$A,0)),"",INDEX(data!I:I,MATCH($N237,data!$A:$A,0)))</f>
        <v/>
      </c>
      <c r="AU237" s="38" t="str">
        <f>IF(ISNA(MATCH($N237,[1]data!$A:$A,0)),"",INDEX([1]data!L:L,MATCH($N237,[1]data!$A:$A,0)))</f>
        <v/>
      </c>
      <c r="AV237" s="38" t="str">
        <f>IF(ISNA(MATCH($N237,[1]data!$A:$A,0)),"",INDEX([1]data!M:M,MATCH($N237,[1]data!$A:$A,0)))</f>
        <v/>
      </c>
      <c r="AW237" s="38" t="str">
        <f>IF(ISNA(MATCH($N237,data!$A:$A,0)),"",INDEX(data!J:J,MATCH($N237,data!$A:$A,0)))</f>
        <v/>
      </c>
      <c r="AX237" s="38" t="str">
        <f>IF(ISNA(MATCH($N237,data!$A:$A,0)),"",INDEX(data!K:K,MATCH($N237,data!$A:$A,0)))</f>
        <v/>
      </c>
      <c r="AY237" s="38" t="str">
        <f>IF(ISNA(MATCH($N237,data!$A:$A,0)),"",INDEX(data!O:O,MATCH($N237,data!$A:$A,0)))</f>
        <v/>
      </c>
      <c r="AZ237" s="38" t="str">
        <f>IF(ISNA(MATCH($N237,data!$A:$A,0)),"",INDEX(data!N:N,MATCH($N237,data!$A:$A,0)))</f>
        <v/>
      </c>
      <c r="BA237" s="38" t="str">
        <f>IF(ISNA(MATCH($N237,data!$A:$A,0)),"",INDEX(data!P:P,MATCH($N237,data!$A:$A,0)))</f>
        <v/>
      </c>
      <c r="BB237" s="38" t="str">
        <f>IF(ISNA(MATCH($N237,data!$A:$A,0)),"",INDEX(data!Q:Q,MATCH($N237,data!$A:$A,0)))</f>
        <v/>
      </c>
      <c r="BC237" s="38" t="str">
        <f>IF(ISNA(MATCH($N237,data!$A:$A,0)),"",INDEX(data!R:R,MATCH($N237,data!$A:$A,0)))</f>
        <v/>
      </c>
      <c r="BD237" s="38" t="str">
        <f>IF(ISNA(MATCH($N237,[1]data!$A:$A,0)),"",INDEX([1]data!U:U,MATCH($N237,[1]data!$A:$A,0)))</f>
        <v/>
      </c>
      <c r="BE237" s="61" t="e">
        <f>IF(COUNTIF([1]data!A:A,[1]!Table1[[#This Row],[UPC]])&lt;2,"","DUP")</f>
        <v>#VALUE!</v>
      </c>
      <c r="BF237" s="38" t="str">
        <f>IF(ISNA(MATCH($N237,data!$A:$A,0)),"",INDEX(data!W:W,MATCH($N237,data!$A:$A,0)))</f>
        <v/>
      </c>
    </row>
    <row r="238" spans="1:58" ht="12.75" customHeight="1">
      <c r="A238" s="35"/>
      <c r="B238" s="35"/>
      <c r="C238" s="35"/>
      <c r="D238" s="35"/>
      <c r="E238" s="67"/>
      <c r="F238" s="67"/>
      <c r="G238" s="36"/>
      <c r="H238" s="29"/>
      <c r="I238" s="78" t="str">
        <f t="shared" si="2"/>
        <v/>
      </c>
      <c r="J238" s="29"/>
      <c r="K238" s="29"/>
      <c r="L238" s="33"/>
      <c r="M238" s="33"/>
      <c r="N238" s="60"/>
      <c r="O238" s="71"/>
      <c r="P238" s="71"/>
      <c r="Q238" s="33"/>
      <c r="R238" s="31"/>
      <c r="S238" s="31"/>
      <c r="T238" s="59"/>
      <c r="U238" s="59"/>
      <c r="V238" s="59"/>
      <c r="W238" s="57">
        <f t="shared" si="3"/>
        <v>0</v>
      </c>
      <c r="X238" s="126" t="str">
        <f>IF(Table1[[#This Row],[Shipping Weight Pounds]]&gt;150,"See LTL Form","No")</f>
        <v>No</v>
      </c>
      <c r="Y238" s="28"/>
      <c r="Z238" s="33"/>
      <c r="AA238" s="34"/>
      <c r="AB238" s="30"/>
      <c r="AC238" s="30"/>
      <c r="AD238" s="32"/>
      <c r="AE238" s="32"/>
      <c r="AF238" s="2"/>
      <c r="AG238" s="2"/>
      <c r="AH238" s="2"/>
      <c r="AI238" s="2"/>
      <c r="AK238" s="73" t="str">
        <f>IF(ISNA(MATCH($N238,[1]data!$A:$A,0)),"",INDEX([1]data!S:S,MATCH($N238,[1]data!$A:$A,0)))</f>
        <v/>
      </c>
      <c r="AL238" s="73" t="str">
        <f>IF(ISNA(MATCH($N238,[1]data!$A:$A,0)),"",INDEX([1]data!V:V,MATCH($N238,[1]data!$A:$A,0)))</f>
        <v/>
      </c>
      <c r="AM238" s="38" t="str">
        <f>IF(ISNA(MATCH($N238,data!$A:$A,0)),"",INDEX(data!B:B,MATCH($N238,data!$A:$A,0)))</f>
        <v/>
      </c>
      <c r="AN238" s="38" t="str">
        <f>IF(ISNA(MATCH($N238,data!$A:$A,0)),"",INDEX(data!C:C,MATCH($N238,data!$A:$A,0)))</f>
        <v/>
      </c>
      <c r="AO238" s="38" t="str">
        <f>IF(ISNA(MATCH($N238,data!$A:$A,0)),"",INDEX(data!D:D,MATCH($N238,data!$A:$A,0)))</f>
        <v/>
      </c>
      <c r="AP238" s="38" t="str">
        <f>IF(ISNA(MATCH($N238,data!$A:$A,0)),"",INDEX(data!E:E,MATCH($N238,data!$A:$A,0)))</f>
        <v/>
      </c>
      <c r="AQ238" s="38" t="str">
        <f>IF(ISNA(MATCH($N238,data!$A:$A,0)),"",INDEX(data!F:F,MATCH($N238,data!$A:$A,0)))</f>
        <v/>
      </c>
      <c r="AR238" s="38" t="str">
        <f>IF(ISNA(MATCH($N238,data!$A:$A,0)),"",INDEX(data!G:G,MATCH($N238,data!$A:$A,0)))</f>
        <v/>
      </c>
      <c r="AS238" s="38" t="str">
        <f>IF(ISNA(MATCH($N238,data!$A:$A,0)),"",INDEX(data!H:H,MATCH($N238,data!$A:$A,0)))</f>
        <v/>
      </c>
      <c r="AT238" s="38" t="str">
        <f>IF(ISNA(MATCH($N238,data!$A:$A,0)),"",INDEX(data!I:I,MATCH($N238,data!$A:$A,0)))</f>
        <v/>
      </c>
      <c r="AU238" s="38" t="str">
        <f>IF(ISNA(MATCH($N238,[1]data!$A:$A,0)),"",INDEX([1]data!L:L,MATCH($N238,[1]data!$A:$A,0)))</f>
        <v/>
      </c>
      <c r="AV238" s="38" t="str">
        <f>IF(ISNA(MATCH($N238,[1]data!$A:$A,0)),"",INDEX([1]data!M:M,MATCH($N238,[1]data!$A:$A,0)))</f>
        <v/>
      </c>
      <c r="AW238" s="38" t="str">
        <f>IF(ISNA(MATCH($N238,data!$A:$A,0)),"",INDEX(data!J:J,MATCH($N238,data!$A:$A,0)))</f>
        <v/>
      </c>
      <c r="AX238" s="38" t="str">
        <f>IF(ISNA(MATCH($N238,data!$A:$A,0)),"",INDEX(data!K:K,MATCH($N238,data!$A:$A,0)))</f>
        <v/>
      </c>
      <c r="AY238" s="38" t="str">
        <f>IF(ISNA(MATCH($N238,data!$A:$A,0)),"",INDEX(data!O:O,MATCH($N238,data!$A:$A,0)))</f>
        <v/>
      </c>
      <c r="AZ238" s="38" t="str">
        <f>IF(ISNA(MATCH($N238,data!$A:$A,0)),"",INDEX(data!N:N,MATCH($N238,data!$A:$A,0)))</f>
        <v/>
      </c>
      <c r="BA238" s="38" t="str">
        <f>IF(ISNA(MATCH($N238,data!$A:$A,0)),"",INDEX(data!P:P,MATCH($N238,data!$A:$A,0)))</f>
        <v/>
      </c>
      <c r="BB238" s="38" t="str">
        <f>IF(ISNA(MATCH($N238,data!$A:$A,0)),"",INDEX(data!Q:Q,MATCH($N238,data!$A:$A,0)))</f>
        <v/>
      </c>
      <c r="BC238" s="38" t="str">
        <f>IF(ISNA(MATCH($N238,data!$A:$A,0)),"",INDEX(data!R:R,MATCH($N238,data!$A:$A,0)))</f>
        <v/>
      </c>
      <c r="BD238" s="38" t="str">
        <f>IF(ISNA(MATCH($N238,[1]data!$A:$A,0)),"",INDEX([1]data!U:U,MATCH($N238,[1]data!$A:$A,0)))</f>
        <v/>
      </c>
      <c r="BE238" s="61" t="e">
        <f>IF(COUNTIF([1]data!A:A,[1]!Table1[[#This Row],[UPC]])&lt;2,"","DUP")</f>
        <v>#VALUE!</v>
      </c>
      <c r="BF238" s="38" t="str">
        <f>IF(ISNA(MATCH($N238,data!$A:$A,0)),"",INDEX(data!W:W,MATCH($N238,data!$A:$A,0)))</f>
        <v/>
      </c>
    </row>
    <row r="239" spans="1:58" ht="12.75" customHeight="1">
      <c r="A239" s="35"/>
      <c r="B239" s="35"/>
      <c r="C239" s="35"/>
      <c r="D239" s="35"/>
      <c r="E239" s="67"/>
      <c r="F239" s="67"/>
      <c r="G239" s="36"/>
      <c r="H239" s="29"/>
      <c r="I239" s="78" t="str">
        <f t="shared" si="2"/>
        <v/>
      </c>
      <c r="J239" s="29"/>
      <c r="K239" s="29"/>
      <c r="L239" s="33"/>
      <c r="M239" s="33"/>
      <c r="N239" s="60"/>
      <c r="O239" s="71"/>
      <c r="P239" s="71"/>
      <c r="Q239" s="33"/>
      <c r="R239" s="31"/>
      <c r="S239" s="31"/>
      <c r="T239" s="59"/>
      <c r="U239" s="59"/>
      <c r="V239" s="59"/>
      <c r="W239" s="57">
        <f t="shared" si="3"/>
        <v>0</v>
      </c>
      <c r="X239" s="126" t="str">
        <f>IF(Table1[[#This Row],[Shipping Weight Pounds]]&gt;150,"See LTL Form","No")</f>
        <v>No</v>
      </c>
      <c r="Y239" s="28"/>
      <c r="Z239" s="33"/>
      <c r="AA239" s="34"/>
      <c r="AB239" s="30"/>
      <c r="AC239" s="30"/>
      <c r="AD239" s="32"/>
      <c r="AE239" s="32"/>
      <c r="AF239" s="2"/>
      <c r="AG239" s="2"/>
      <c r="AH239" s="2"/>
      <c r="AI239" s="2"/>
      <c r="AK239" s="73" t="str">
        <f>IF(ISNA(MATCH($N239,[1]data!$A:$A,0)),"",INDEX([1]data!S:S,MATCH($N239,[1]data!$A:$A,0)))</f>
        <v/>
      </c>
      <c r="AL239" s="73" t="str">
        <f>IF(ISNA(MATCH($N239,[1]data!$A:$A,0)),"",INDEX([1]data!V:V,MATCH($N239,[1]data!$A:$A,0)))</f>
        <v/>
      </c>
      <c r="AM239" s="38" t="str">
        <f>IF(ISNA(MATCH($N239,data!$A:$A,0)),"",INDEX(data!B:B,MATCH($N239,data!$A:$A,0)))</f>
        <v/>
      </c>
      <c r="AN239" s="38" t="str">
        <f>IF(ISNA(MATCH($N239,data!$A:$A,0)),"",INDEX(data!C:C,MATCH($N239,data!$A:$A,0)))</f>
        <v/>
      </c>
      <c r="AO239" s="38" t="str">
        <f>IF(ISNA(MATCH($N239,data!$A:$A,0)),"",INDEX(data!D:D,MATCH($N239,data!$A:$A,0)))</f>
        <v/>
      </c>
      <c r="AP239" s="38" t="str">
        <f>IF(ISNA(MATCH($N239,data!$A:$A,0)),"",INDEX(data!E:E,MATCH($N239,data!$A:$A,0)))</f>
        <v/>
      </c>
      <c r="AQ239" s="38" t="str">
        <f>IF(ISNA(MATCH($N239,data!$A:$A,0)),"",INDEX(data!F:F,MATCH($N239,data!$A:$A,0)))</f>
        <v/>
      </c>
      <c r="AR239" s="38" t="str">
        <f>IF(ISNA(MATCH($N239,data!$A:$A,0)),"",INDEX(data!G:G,MATCH($N239,data!$A:$A,0)))</f>
        <v/>
      </c>
      <c r="AS239" s="38" t="str">
        <f>IF(ISNA(MATCH($N239,data!$A:$A,0)),"",INDEX(data!H:H,MATCH($N239,data!$A:$A,0)))</f>
        <v/>
      </c>
      <c r="AT239" s="38" t="str">
        <f>IF(ISNA(MATCH($N239,data!$A:$A,0)),"",INDEX(data!I:I,MATCH($N239,data!$A:$A,0)))</f>
        <v/>
      </c>
      <c r="AU239" s="38" t="str">
        <f>IF(ISNA(MATCH($N239,[1]data!$A:$A,0)),"",INDEX([1]data!L:L,MATCH($N239,[1]data!$A:$A,0)))</f>
        <v/>
      </c>
      <c r="AV239" s="38" t="str">
        <f>IF(ISNA(MATCH($N239,[1]data!$A:$A,0)),"",INDEX([1]data!M:M,MATCH($N239,[1]data!$A:$A,0)))</f>
        <v/>
      </c>
      <c r="AW239" s="38" t="str">
        <f>IF(ISNA(MATCH($N239,data!$A:$A,0)),"",INDEX(data!J:J,MATCH($N239,data!$A:$A,0)))</f>
        <v/>
      </c>
      <c r="AX239" s="38" t="str">
        <f>IF(ISNA(MATCH($N239,data!$A:$A,0)),"",INDEX(data!K:K,MATCH($N239,data!$A:$A,0)))</f>
        <v/>
      </c>
      <c r="AY239" s="38" t="str">
        <f>IF(ISNA(MATCH($N239,data!$A:$A,0)),"",INDEX(data!O:O,MATCH($N239,data!$A:$A,0)))</f>
        <v/>
      </c>
      <c r="AZ239" s="38" t="str">
        <f>IF(ISNA(MATCH($N239,data!$A:$A,0)),"",INDEX(data!N:N,MATCH($N239,data!$A:$A,0)))</f>
        <v/>
      </c>
      <c r="BA239" s="38" t="str">
        <f>IF(ISNA(MATCH($N239,data!$A:$A,0)),"",INDEX(data!P:P,MATCH($N239,data!$A:$A,0)))</f>
        <v/>
      </c>
      <c r="BB239" s="38" t="str">
        <f>IF(ISNA(MATCH($N239,data!$A:$A,0)),"",INDEX(data!Q:Q,MATCH($N239,data!$A:$A,0)))</f>
        <v/>
      </c>
      <c r="BC239" s="38" t="str">
        <f>IF(ISNA(MATCH($N239,data!$A:$A,0)),"",INDEX(data!R:R,MATCH($N239,data!$A:$A,0)))</f>
        <v/>
      </c>
      <c r="BD239" s="38" t="str">
        <f>IF(ISNA(MATCH($N239,[1]data!$A:$A,0)),"",INDEX([1]data!U:U,MATCH($N239,[1]data!$A:$A,0)))</f>
        <v/>
      </c>
      <c r="BE239" s="61" t="e">
        <f>IF(COUNTIF([1]data!A:A,[1]!Table1[[#This Row],[UPC]])&lt;2,"","DUP")</f>
        <v>#VALUE!</v>
      </c>
      <c r="BF239" s="38" t="str">
        <f>IF(ISNA(MATCH($N239,data!$A:$A,0)),"",INDEX(data!W:W,MATCH($N239,data!$A:$A,0)))</f>
        <v/>
      </c>
    </row>
    <row r="240" spans="1:58" ht="12.75" customHeight="1">
      <c r="A240" s="35"/>
      <c r="B240" s="35"/>
      <c r="C240" s="35"/>
      <c r="D240" s="35"/>
      <c r="E240" s="67"/>
      <c r="F240" s="67"/>
      <c r="G240" s="36"/>
      <c r="H240" s="29"/>
      <c r="I240" s="78" t="str">
        <f t="shared" si="2"/>
        <v/>
      </c>
      <c r="J240" s="29"/>
      <c r="K240" s="29"/>
      <c r="L240" s="33"/>
      <c r="M240" s="33"/>
      <c r="N240" s="60"/>
      <c r="O240" s="71"/>
      <c r="P240" s="71"/>
      <c r="Q240" s="33"/>
      <c r="R240" s="31"/>
      <c r="S240" s="31"/>
      <c r="T240" s="59"/>
      <c r="U240" s="59"/>
      <c r="V240" s="59"/>
      <c r="W240" s="57">
        <f t="shared" si="3"/>
        <v>0</v>
      </c>
      <c r="X240" s="126" t="str">
        <f>IF(Table1[[#This Row],[Shipping Weight Pounds]]&gt;150,"See LTL Form","No")</f>
        <v>No</v>
      </c>
      <c r="Y240" s="28"/>
      <c r="Z240" s="33"/>
      <c r="AA240" s="34"/>
      <c r="AB240" s="30"/>
      <c r="AC240" s="30"/>
      <c r="AD240" s="32"/>
      <c r="AE240" s="32"/>
      <c r="AF240" s="2"/>
      <c r="AG240" s="2"/>
      <c r="AH240" s="2"/>
      <c r="AI240" s="2"/>
      <c r="AK240" s="73" t="str">
        <f>IF(ISNA(MATCH($N240,[1]data!$A:$A,0)),"",INDEX([1]data!S:S,MATCH($N240,[1]data!$A:$A,0)))</f>
        <v/>
      </c>
      <c r="AL240" s="73" t="str">
        <f>IF(ISNA(MATCH($N240,[1]data!$A:$A,0)),"",INDEX([1]data!V:V,MATCH($N240,[1]data!$A:$A,0)))</f>
        <v/>
      </c>
      <c r="AM240" s="38" t="str">
        <f>IF(ISNA(MATCH($N240,data!$A:$A,0)),"",INDEX(data!B:B,MATCH($N240,data!$A:$A,0)))</f>
        <v/>
      </c>
      <c r="AN240" s="38" t="str">
        <f>IF(ISNA(MATCH($N240,data!$A:$A,0)),"",INDEX(data!C:C,MATCH($N240,data!$A:$A,0)))</f>
        <v/>
      </c>
      <c r="AO240" s="38" t="str">
        <f>IF(ISNA(MATCH($N240,data!$A:$A,0)),"",INDEX(data!D:D,MATCH($N240,data!$A:$A,0)))</f>
        <v/>
      </c>
      <c r="AP240" s="38" t="str">
        <f>IF(ISNA(MATCH($N240,data!$A:$A,0)),"",INDEX(data!E:E,MATCH($N240,data!$A:$A,0)))</f>
        <v/>
      </c>
      <c r="AQ240" s="38" t="str">
        <f>IF(ISNA(MATCH($N240,data!$A:$A,0)),"",INDEX(data!F:F,MATCH($N240,data!$A:$A,0)))</f>
        <v/>
      </c>
      <c r="AR240" s="38" t="str">
        <f>IF(ISNA(MATCH($N240,data!$A:$A,0)),"",INDEX(data!G:G,MATCH($N240,data!$A:$A,0)))</f>
        <v/>
      </c>
      <c r="AS240" s="38" t="str">
        <f>IF(ISNA(MATCH($N240,data!$A:$A,0)),"",INDEX(data!H:H,MATCH($N240,data!$A:$A,0)))</f>
        <v/>
      </c>
      <c r="AT240" s="38" t="str">
        <f>IF(ISNA(MATCH($N240,data!$A:$A,0)),"",INDEX(data!I:I,MATCH($N240,data!$A:$A,0)))</f>
        <v/>
      </c>
      <c r="AU240" s="38" t="str">
        <f>IF(ISNA(MATCH($N240,[1]data!$A:$A,0)),"",INDEX([1]data!L:L,MATCH($N240,[1]data!$A:$A,0)))</f>
        <v/>
      </c>
      <c r="AV240" s="38" t="str">
        <f>IF(ISNA(MATCH($N240,[1]data!$A:$A,0)),"",INDEX([1]data!M:M,MATCH($N240,[1]data!$A:$A,0)))</f>
        <v/>
      </c>
      <c r="AW240" s="38" t="str">
        <f>IF(ISNA(MATCH($N240,data!$A:$A,0)),"",INDEX(data!J:J,MATCH($N240,data!$A:$A,0)))</f>
        <v/>
      </c>
      <c r="AX240" s="38" t="str">
        <f>IF(ISNA(MATCH($N240,data!$A:$A,0)),"",INDEX(data!K:K,MATCH($N240,data!$A:$A,0)))</f>
        <v/>
      </c>
      <c r="AY240" s="38" t="str">
        <f>IF(ISNA(MATCH($N240,data!$A:$A,0)),"",INDEX(data!O:O,MATCH($N240,data!$A:$A,0)))</f>
        <v/>
      </c>
      <c r="AZ240" s="38" t="str">
        <f>IF(ISNA(MATCH($N240,data!$A:$A,0)),"",INDEX(data!N:N,MATCH($N240,data!$A:$A,0)))</f>
        <v/>
      </c>
      <c r="BA240" s="38" t="str">
        <f>IF(ISNA(MATCH($N240,data!$A:$A,0)),"",INDEX(data!P:P,MATCH($N240,data!$A:$A,0)))</f>
        <v/>
      </c>
      <c r="BB240" s="38" t="str">
        <f>IF(ISNA(MATCH($N240,data!$A:$A,0)),"",INDEX(data!Q:Q,MATCH($N240,data!$A:$A,0)))</f>
        <v/>
      </c>
      <c r="BC240" s="38" t="str">
        <f>IF(ISNA(MATCH($N240,data!$A:$A,0)),"",INDEX(data!R:R,MATCH($N240,data!$A:$A,0)))</f>
        <v/>
      </c>
      <c r="BD240" s="38" t="str">
        <f>IF(ISNA(MATCH($N240,[1]data!$A:$A,0)),"",INDEX([1]data!U:U,MATCH($N240,[1]data!$A:$A,0)))</f>
        <v/>
      </c>
      <c r="BE240" s="61" t="e">
        <f>IF(COUNTIF([1]data!A:A,[1]!Table1[[#This Row],[UPC]])&lt;2,"","DUP")</f>
        <v>#VALUE!</v>
      </c>
      <c r="BF240" s="38" t="str">
        <f>IF(ISNA(MATCH($N240,data!$A:$A,0)),"",INDEX(data!W:W,MATCH($N240,data!$A:$A,0)))</f>
        <v/>
      </c>
    </row>
    <row r="241" spans="1:58" ht="12.75" customHeight="1">
      <c r="A241" s="35"/>
      <c r="B241" s="35"/>
      <c r="C241" s="35"/>
      <c r="D241" s="35"/>
      <c r="E241" s="67"/>
      <c r="F241" s="67"/>
      <c r="G241" s="36"/>
      <c r="H241" s="29"/>
      <c r="I241" s="78" t="str">
        <f t="shared" si="2"/>
        <v/>
      </c>
      <c r="J241" s="29"/>
      <c r="K241" s="29"/>
      <c r="L241" s="33"/>
      <c r="M241" s="33"/>
      <c r="N241" s="60"/>
      <c r="O241" s="71"/>
      <c r="P241" s="71"/>
      <c r="Q241" s="33"/>
      <c r="R241" s="31"/>
      <c r="S241" s="31"/>
      <c r="T241" s="59"/>
      <c r="U241" s="59"/>
      <c r="V241" s="59"/>
      <c r="W241" s="57">
        <f t="shared" si="3"/>
        <v>0</v>
      </c>
      <c r="X241" s="126" t="str">
        <f>IF(Table1[[#This Row],[Shipping Weight Pounds]]&gt;150,"See LTL Form","No")</f>
        <v>No</v>
      </c>
      <c r="Y241" s="28"/>
      <c r="Z241" s="33"/>
      <c r="AA241" s="34"/>
      <c r="AB241" s="30"/>
      <c r="AC241" s="30"/>
      <c r="AD241" s="32"/>
      <c r="AE241" s="32"/>
      <c r="AF241" s="2"/>
      <c r="AG241" s="2"/>
      <c r="AH241" s="2"/>
      <c r="AI241" s="2"/>
      <c r="AK241" s="73" t="str">
        <f>IF(ISNA(MATCH($N241,[1]data!$A:$A,0)),"",INDEX([1]data!S:S,MATCH($N241,[1]data!$A:$A,0)))</f>
        <v/>
      </c>
      <c r="AL241" s="73" t="str">
        <f>IF(ISNA(MATCH($N241,[1]data!$A:$A,0)),"",INDEX([1]data!V:V,MATCH($N241,[1]data!$A:$A,0)))</f>
        <v/>
      </c>
      <c r="AM241" s="38" t="str">
        <f>IF(ISNA(MATCH($N241,data!$A:$A,0)),"",INDEX(data!B:B,MATCH($N241,data!$A:$A,0)))</f>
        <v/>
      </c>
      <c r="AN241" s="38" t="str">
        <f>IF(ISNA(MATCH($N241,data!$A:$A,0)),"",INDEX(data!C:C,MATCH($N241,data!$A:$A,0)))</f>
        <v/>
      </c>
      <c r="AO241" s="38" t="str">
        <f>IF(ISNA(MATCH($N241,data!$A:$A,0)),"",INDEX(data!D:D,MATCH($N241,data!$A:$A,0)))</f>
        <v/>
      </c>
      <c r="AP241" s="38" t="str">
        <f>IF(ISNA(MATCH($N241,data!$A:$A,0)),"",INDEX(data!E:E,MATCH($N241,data!$A:$A,0)))</f>
        <v/>
      </c>
      <c r="AQ241" s="38" t="str">
        <f>IF(ISNA(MATCH($N241,data!$A:$A,0)),"",INDEX(data!F:F,MATCH($N241,data!$A:$A,0)))</f>
        <v/>
      </c>
      <c r="AR241" s="38" t="str">
        <f>IF(ISNA(MATCH($N241,data!$A:$A,0)),"",INDEX(data!G:G,MATCH($N241,data!$A:$A,0)))</f>
        <v/>
      </c>
      <c r="AS241" s="38" t="str">
        <f>IF(ISNA(MATCH($N241,data!$A:$A,0)),"",INDEX(data!H:H,MATCH($N241,data!$A:$A,0)))</f>
        <v/>
      </c>
      <c r="AT241" s="38" t="str">
        <f>IF(ISNA(MATCH($N241,data!$A:$A,0)),"",INDEX(data!I:I,MATCH($N241,data!$A:$A,0)))</f>
        <v/>
      </c>
      <c r="AU241" s="38" t="str">
        <f>IF(ISNA(MATCH($N241,[1]data!$A:$A,0)),"",INDEX([1]data!L:L,MATCH($N241,[1]data!$A:$A,0)))</f>
        <v/>
      </c>
      <c r="AV241" s="38" t="str">
        <f>IF(ISNA(MATCH($N241,[1]data!$A:$A,0)),"",INDEX([1]data!M:M,MATCH($N241,[1]data!$A:$A,0)))</f>
        <v/>
      </c>
      <c r="AW241" s="38" t="str">
        <f>IF(ISNA(MATCH($N241,data!$A:$A,0)),"",INDEX(data!J:J,MATCH($N241,data!$A:$A,0)))</f>
        <v/>
      </c>
      <c r="AX241" s="38" t="str">
        <f>IF(ISNA(MATCH($N241,data!$A:$A,0)),"",INDEX(data!K:K,MATCH($N241,data!$A:$A,0)))</f>
        <v/>
      </c>
      <c r="AY241" s="38" t="str">
        <f>IF(ISNA(MATCH($N241,data!$A:$A,0)),"",INDEX(data!O:O,MATCH($N241,data!$A:$A,0)))</f>
        <v/>
      </c>
      <c r="AZ241" s="38" t="str">
        <f>IF(ISNA(MATCH($N241,data!$A:$A,0)),"",INDEX(data!N:N,MATCH($N241,data!$A:$A,0)))</f>
        <v/>
      </c>
      <c r="BA241" s="38" t="str">
        <f>IF(ISNA(MATCH($N241,data!$A:$A,0)),"",INDEX(data!P:P,MATCH($N241,data!$A:$A,0)))</f>
        <v/>
      </c>
      <c r="BB241" s="38" t="str">
        <f>IF(ISNA(MATCH($N241,data!$A:$A,0)),"",INDEX(data!Q:Q,MATCH($N241,data!$A:$A,0)))</f>
        <v/>
      </c>
      <c r="BC241" s="38" t="str">
        <f>IF(ISNA(MATCH($N241,data!$A:$A,0)),"",INDEX(data!R:R,MATCH($N241,data!$A:$A,0)))</f>
        <v/>
      </c>
      <c r="BD241" s="38" t="str">
        <f>IF(ISNA(MATCH($N241,[1]data!$A:$A,0)),"",INDEX([1]data!U:U,MATCH($N241,[1]data!$A:$A,0)))</f>
        <v/>
      </c>
      <c r="BE241" s="61" t="e">
        <f>IF(COUNTIF([1]data!A:A,[1]!Table1[[#This Row],[UPC]])&lt;2,"","DUP")</f>
        <v>#VALUE!</v>
      </c>
      <c r="BF241" s="38" t="str">
        <f>IF(ISNA(MATCH($N241,data!$A:$A,0)),"",INDEX(data!W:W,MATCH($N241,data!$A:$A,0)))</f>
        <v/>
      </c>
    </row>
    <row r="242" spans="1:58" ht="12.75" customHeight="1">
      <c r="A242" s="35"/>
      <c r="B242" s="35"/>
      <c r="C242" s="35"/>
      <c r="D242" s="35"/>
      <c r="E242" s="67"/>
      <c r="F242" s="67"/>
      <c r="G242" s="36"/>
      <c r="H242" s="29"/>
      <c r="I242" s="78" t="str">
        <f t="shared" si="2"/>
        <v/>
      </c>
      <c r="J242" s="29"/>
      <c r="K242" s="29"/>
      <c r="L242" s="33"/>
      <c r="M242" s="33"/>
      <c r="N242" s="60"/>
      <c r="O242" s="71"/>
      <c r="P242" s="71"/>
      <c r="Q242" s="33"/>
      <c r="R242" s="31"/>
      <c r="S242" s="31"/>
      <c r="T242" s="59"/>
      <c r="U242" s="59"/>
      <c r="V242" s="59"/>
      <c r="W242" s="57">
        <f t="shared" si="3"/>
        <v>0</v>
      </c>
      <c r="X242" s="126" t="str">
        <f>IF(Table1[[#This Row],[Shipping Weight Pounds]]&gt;150,"See LTL Form","No")</f>
        <v>No</v>
      </c>
      <c r="Y242" s="28"/>
      <c r="Z242" s="33"/>
      <c r="AA242" s="34"/>
      <c r="AB242" s="30"/>
      <c r="AC242" s="30"/>
      <c r="AD242" s="32"/>
      <c r="AE242" s="32"/>
      <c r="AF242" s="2"/>
      <c r="AG242" s="2"/>
      <c r="AH242" s="2"/>
      <c r="AI242" s="2"/>
      <c r="AK242" s="73" t="str">
        <f>IF(ISNA(MATCH($N242,[1]data!$A:$A,0)),"",INDEX([1]data!S:S,MATCH($N242,[1]data!$A:$A,0)))</f>
        <v/>
      </c>
      <c r="AL242" s="73" t="str">
        <f>IF(ISNA(MATCH($N242,[1]data!$A:$A,0)),"",INDEX([1]data!V:V,MATCH($N242,[1]data!$A:$A,0)))</f>
        <v/>
      </c>
      <c r="AM242" s="38" t="str">
        <f>IF(ISNA(MATCH($N242,data!$A:$A,0)),"",INDEX(data!B:B,MATCH($N242,data!$A:$A,0)))</f>
        <v/>
      </c>
      <c r="AN242" s="38" t="str">
        <f>IF(ISNA(MATCH($N242,data!$A:$A,0)),"",INDEX(data!C:C,MATCH($N242,data!$A:$A,0)))</f>
        <v/>
      </c>
      <c r="AO242" s="38" t="str">
        <f>IF(ISNA(MATCH($N242,data!$A:$A,0)),"",INDEX(data!D:D,MATCH($N242,data!$A:$A,0)))</f>
        <v/>
      </c>
      <c r="AP242" s="38" t="str">
        <f>IF(ISNA(MATCH($N242,data!$A:$A,0)),"",INDEX(data!E:E,MATCH($N242,data!$A:$A,0)))</f>
        <v/>
      </c>
      <c r="AQ242" s="38" t="str">
        <f>IF(ISNA(MATCH($N242,data!$A:$A,0)),"",INDEX(data!F:F,MATCH($N242,data!$A:$A,0)))</f>
        <v/>
      </c>
      <c r="AR242" s="38" t="str">
        <f>IF(ISNA(MATCH($N242,data!$A:$A,0)),"",INDEX(data!G:G,MATCH($N242,data!$A:$A,0)))</f>
        <v/>
      </c>
      <c r="AS242" s="38" t="str">
        <f>IF(ISNA(MATCH($N242,data!$A:$A,0)),"",INDEX(data!H:H,MATCH($N242,data!$A:$A,0)))</f>
        <v/>
      </c>
      <c r="AT242" s="38" t="str">
        <f>IF(ISNA(MATCH($N242,data!$A:$A,0)),"",INDEX(data!I:I,MATCH($N242,data!$A:$A,0)))</f>
        <v/>
      </c>
      <c r="AU242" s="38" t="str">
        <f>IF(ISNA(MATCH($N242,[1]data!$A:$A,0)),"",INDEX([1]data!L:L,MATCH($N242,[1]data!$A:$A,0)))</f>
        <v/>
      </c>
      <c r="AV242" s="38" t="str">
        <f>IF(ISNA(MATCH($N242,[1]data!$A:$A,0)),"",INDEX([1]data!M:M,MATCH($N242,[1]data!$A:$A,0)))</f>
        <v/>
      </c>
      <c r="AW242" s="38" t="str">
        <f>IF(ISNA(MATCH($N242,data!$A:$A,0)),"",INDEX(data!J:J,MATCH($N242,data!$A:$A,0)))</f>
        <v/>
      </c>
      <c r="AX242" s="38" t="str">
        <f>IF(ISNA(MATCH($N242,data!$A:$A,0)),"",INDEX(data!K:K,MATCH($N242,data!$A:$A,0)))</f>
        <v/>
      </c>
      <c r="AY242" s="38" t="str">
        <f>IF(ISNA(MATCH($N242,data!$A:$A,0)),"",INDEX(data!O:O,MATCH($N242,data!$A:$A,0)))</f>
        <v/>
      </c>
      <c r="AZ242" s="38" t="str">
        <f>IF(ISNA(MATCH($N242,data!$A:$A,0)),"",INDEX(data!N:N,MATCH($N242,data!$A:$A,0)))</f>
        <v/>
      </c>
      <c r="BA242" s="38" t="str">
        <f>IF(ISNA(MATCH($N242,data!$A:$A,0)),"",INDEX(data!P:P,MATCH($N242,data!$A:$A,0)))</f>
        <v/>
      </c>
      <c r="BB242" s="38" t="str">
        <f>IF(ISNA(MATCH($N242,data!$A:$A,0)),"",INDEX(data!Q:Q,MATCH($N242,data!$A:$A,0)))</f>
        <v/>
      </c>
      <c r="BC242" s="38" t="str">
        <f>IF(ISNA(MATCH($N242,data!$A:$A,0)),"",INDEX(data!R:R,MATCH($N242,data!$A:$A,0)))</f>
        <v/>
      </c>
      <c r="BD242" s="38" t="str">
        <f>IF(ISNA(MATCH($N242,[1]data!$A:$A,0)),"",INDEX([1]data!U:U,MATCH($N242,[1]data!$A:$A,0)))</f>
        <v/>
      </c>
      <c r="BE242" s="61" t="e">
        <f>IF(COUNTIF([1]data!A:A,[1]!Table1[[#This Row],[UPC]])&lt;2,"","DUP")</f>
        <v>#VALUE!</v>
      </c>
      <c r="BF242" s="38" t="str">
        <f>IF(ISNA(MATCH($N242,data!$A:$A,0)),"",INDEX(data!W:W,MATCH($N242,data!$A:$A,0)))</f>
        <v/>
      </c>
    </row>
    <row r="243" spans="1:58" ht="12.75" customHeight="1">
      <c r="A243" s="35"/>
      <c r="B243" s="35"/>
      <c r="C243" s="35"/>
      <c r="D243" s="35"/>
      <c r="E243" s="67"/>
      <c r="F243" s="67"/>
      <c r="G243" s="36"/>
      <c r="H243" s="29"/>
      <c r="I243" s="78" t="str">
        <f t="shared" si="2"/>
        <v/>
      </c>
      <c r="J243" s="29"/>
      <c r="K243" s="29"/>
      <c r="L243" s="33"/>
      <c r="M243" s="33"/>
      <c r="N243" s="60"/>
      <c r="O243" s="71"/>
      <c r="P243" s="71"/>
      <c r="Q243" s="33"/>
      <c r="R243" s="31"/>
      <c r="S243" s="31"/>
      <c r="T243" s="59"/>
      <c r="U243" s="59"/>
      <c r="V243" s="59"/>
      <c r="W243" s="57">
        <f t="shared" si="3"/>
        <v>0</v>
      </c>
      <c r="X243" s="126" t="str">
        <f>IF(Table1[[#This Row],[Shipping Weight Pounds]]&gt;150,"See LTL Form","No")</f>
        <v>No</v>
      </c>
      <c r="Y243" s="28"/>
      <c r="Z243" s="33"/>
      <c r="AA243" s="34"/>
      <c r="AB243" s="30"/>
      <c r="AC243" s="30"/>
      <c r="AD243" s="32"/>
      <c r="AE243" s="32"/>
      <c r="AF243" s="2"/>
      <c r="AG243" s="2"/>
      <c r="AH243" s="2"/>
      <c r="AI243" s="2"/>
      <c r="AK243" s="73" t="str">
        <f>IF(ISNA(MATCH($N243,[1]data!$A:$A,0)),"",INDEX([1]data!S:S,MATCH($N243,[1]data!$A:$A,0)))</f>
        <v/>
      </c>
      <c r="AL243" s="73" t="str">
        <f>IF(ISNA(MATCH($N243,[1]data!$A:$A,0)),"",INDEX([1]data!V:V,MATCH($N243,[1]data!$A:$A,0)))</f>
        <v/>
      </c>
      <c r="AM243" s="38" t="str">
        <f>IF(ISNA(MATCH($N243,data!$A:$A,0)),"",INDEX(data!B:B,MATCH($N243,data!$A:$A,0)))</f>
        <v/>
      </c>
      <c r="AN243" s="38" t="str">
        <f>IF(ISNA(MATCH($N243,data!$A:$A,0)),"",INDEX(data!C:C,MATCH($N243,data!$A:$A,0)))</f>
        <v/>
      </c>
      <c r="AO243" s="38" t="str">
        <f>IF(ISNA(MATCH($N243,data!$A:$A,0)),"",INDEX(data!D:D,MATCH($N243,data!$A:$A,0)))</f>
        <v/>
      </c>
      <c r="AP243" s="38" t="str">
        <f>IF(ISNA(MATCH($N243,data!$A:$A,0)),"",INDEX(data!E:E,MATCH($N243,data!$A:$A,0)))</f>
        <v/>
      </c>
      <c r="AQ243" s="38" t="str">
        <f>IF(ISNA(MATCH($N243,data!$A:$A,0)),"",INDEX(data!F:F,MATCH($N243,data!$A:$A,0)))</f>
        <v/>
      </c>
      <c r="AR243" s="38" t="str">
        <f>IF(ISNA(MATCH($N243,data!$A:$A,0)),"",INDEX(data!G:G,MATCH($N243,data!$A:$A,0)))</f>
        <v/>
      </c>
      <c r="AS243" s="38" t="str">
        <f>IF(ISNA(MATCH($N243,data!$A:$A,0)),"",INDEX(data!H:H,MATCH($N243,data!$A:$A,0)))</f>
        <v/>
      </c>
      <c r="AT243" s="38" t="str">
        <f>IF(ISNA(MATCH($N243,data!$A:$A,0)),"",INDEX(data!I:I,MATCH($N243,data!$A:$A,0)))</f>
        <v/>
      </c>
      <c r="AU243" s="38" t="str">
        <f>IF(ISNA(MATCH($N243,[1]data!$A:$A,0)),"",INDEX([1]data!L:L,MATCH($N243,[1]data!$A:$A,0)))</f>
        <v/>
      </c>
      <c r="AV243" s="38" t="str">
        <f>IF(ISNA(MATCH($N243,[1]data!$A:$A,0)),"",INDEX([1]data!M:M,MATCH($N243,[1]data!$A:$A,0)))</f>
        <v/>
      </c>
      <c r="AW243" s="38" t="str">
        <f>IF(ISNA(MATCH($N243,data!$A:$A,0)),"",INDEX(data!J:J,MATCH($N243,data!$A:$A,0)))</f>
        <v/>
      </c>
      <c r="AX243" s="38" t="str">
        <f>IF(ISNA(MATCH($N243,data!$A:$A,0)),"",INDEX(data!K:K,MATCH($N243,data!$A:$A,0)))</f>
        <v/>
      </c>
      <c r="AY243" s="38" t="str">
        <f>IF(ISNA(MATCH($N243,data!$A:$A,0)),"",INDEX(data!O:O,MATCH($N243,data!$A:$A,0)))</f>
        <v/>
      </c>
      <c r="AZ243" s="38" t="str">
        <f>IF(ISNA(MATCH($N243,data!$A:$A,0)),"",INDEX(data!N:N,MATCH($N243,data!$A:$A,0)))</f>
        <v/>
      </c>
      <c r="BA243" s="38" t="str">
        <f>IF(ISNA(MATCH($N243,data!$A:$A,0)),"",INDEX(data!P:P,MATCH($N243,data!$A:$A,0)))</f>
        <v/>
      </c>
      <c r="BB243" s="38" t="str">
        <f>IF(ISNA(MATCH($N243,data!$A:$A,0)),"",INDEX(data!Q:Q,MATCH($N243,data!$A:$A,0)))</f>
        <v/>
      </c>
      <c r="BC243" s="38" t="str">
        <f>IF(ISNA(MATCH($N243,data!$A:$A,0)),"",INDEX(data!R:R,MATCH($N243,data!$A:$A,0)))</f>
        <v/>
      </c>
      <c r="BD243" s="38" t="str">
        <f>IF(ISNA(MATCH($N243,[1]data!$A:$A,0)),"",INDEX([1]data!U:U,MATCH($N243,[1]data!$A:$A,0)))</f>
        <v/>
      </c>
      <c r="BE243" s="61" t="e">
        <f>IF(COUNTIF([1]data!A:A,[1]!Table1[[#This Row],[UPC]])&lt;2,"","DUP")</f>
        <v>#VALUE!</v>
      </c>
      <c r="BF243" s="38" t="str">
        <f>IF(ISNA(MATCH($N243,data!$A:$A,0)),"",INDEX(data!W:W,MATCH($N243,data!$A:$A,0)))</f>
        <v/>
      </c>
    </row>
    <row r="244" spans="1:58" ht="12.75" customHeight="1">
      <c r="A244" s="35"/>
      <c r="B244" s="35"/>
      <c r="C244" s="35"/>
      <c r="D244" s="35"/>
      <c r="E244" s="67"/>
      <c r="F244" s="67"/>
      <c r="G244" s="36"/>
      <c r="H244" s="29"/>
      <c r="I244" s="78" t="str">
        <f t="shared" si="2"/>
        <v/>
      </c>
      <c r="J244" s="29"/>
      <c r="K244" s="29"/>
      <c r="L244" s="33"/>
      <c r="M244" s="33"/>
      <c r="N244" s="60"/>
      <c r="O244" s="71"/>
      <c r="P244" s="71"/>
      <c r="Q244" s="33"/>
      <c r="R244" s="31"/>
      <c r="S244" s="31"/>
      <c r="T244" s="59"/>
      <c r="U244" s="59"/>
      <c r="V244" s="59"/>
      <c r="W244" s="57">
        <f t="shared" si="3"/>
        <v>0</v>
      </c>
      <c r="X244" s="126" t="str">
        <f>IF(Table1[[#This Row],[Shipping Weight Pounds]]&gt;150,"See LTL Form","No")</f>
        <v>No</v>
      </c>
      <c r="Y244" s="28"/>
      <c r="Z244" s="33"/>
      <c r="AA244" s="34"/>
      <c r="AB244" s="30"/>
      <c r="AC244" s="30"/>
      <c r="AD244" s="32"/>
      <c r="AE244" s="32"/>
      <c r="AF244" s="2"/>
      <c r="AG244" s="2"/>
      <c r="AH244" s="2"/>
      <c r="AI244" s="2"/>
      <c r="AK244" s="73" t="str">
        <f>IF(ISNA(MATCH($N244,[1]data!$A:$A,0)),"",INDEX([1]data!S:S,MATCH($N244,[1]data!$A:$A,0)))</f>
        <v/>
      </c>
      <c r="AL244" s="73" t="str">
        <f>IF(ISNA(MATCH($N244,[1]data!$A:$A,0)),"",INDEX([1]data!V:V,MATCH($N244,[1]data!$A:$A,0)))</f>
        <v/>
      </c>
      <c r="AM244" s="38" t="str">
        <f>IF(ISNA(MATCH($N244,data!$A:$A,0)),"",INDEX(data!B:B,MATCH($N244,data!$A:$A,0)))</f>
        <v/>
      </c>
      <c r="AN244" s="38" t="str">
        <f>IF(ISNA(MATCH($N244,data!$A:$A,0)),"",INDEX(data!C:C,MATCH($N244,data!$A:$A,0)))</f>
        <v/>
      </c>
      <c r="AO244" s="38" t="str">
        <f>IF(ISNA(MATCH($N244,data!$A:$A,0)),"",INDEX(data!D:D,MATCH($N244,data!$A:$A,0)))</f>
        <v/>
      </c>
      <c r="AP244" s="38" t="str">
        <f>IF(ISNA(MATCH($N244,data!$A:$A,0)),"",INDEX(data!E:E,MATCH($N244,data!$A:$A,0)))</f>
        <v/>
      </c>
      <c r="AQ244" s="38" t="str">
        <f>IF(ISNA(MATCH($N244,data!$A:$A,0)),"",INDEX(data!F:F,MATCH($N244,data!$A:$A,0)))</f>
        <v/>
      </c>
      <c r="AR244" s="38" t="str">
        <f>IF(ISNA(MATCH($N244,data!$A:$A,0)),"",INDEX(data!G:G,MATCH($N244,data!$A:$A,0)))</f>
        <v/>
      </c>
      <c r="AS244" s="38" t="str">
        <f>IF(ISNA(MATCH($N244,data!$A:$A,0)),"",INDEX(data!H:H,MATCH($N244,data!$A:$A,0)))</f>
        <v/>
      </c>
      <c r="AT244" s="38" t="str">
        <f>IF(ISNA(MATCH($N244,data!$A:$A,0)),"",INDEX(data!I:I,MATCH($N244,data!$A:$A,0)))</f>
        <v/>
      </c>
      <c r="AU244" s="38" t="str">
        <f>IF(ISNA(MATCH($N244,[1]data!$A:$A,0)),"",INDEX([1]data!L:L,MATCH($N244,[1]data!$A:$A,0)))</f>
        <v/>
      </c>
      <c r="AV244" s="38" t="str">
        <f>IF(ISNA(MATCH($N244,[1]data!$A:$A,0)),"",INDEX([1]data!M:M,MATCH($N244,[1]data!$A:$A,0)))</f>
        <v/>
      </c>
      <c r="AW244" s="38" t="str">
        <f>IF(ISNA(MATCH($N244,data!$A:$A,0)),"",INDEX(data!J:J,MATCH($N244,data!$A:$A,0)))</f>
        <v/>
      </c>
      <c r="AX244" s="38" t="str">
        <f>IF(ISNA(MATCH($N244,data!$A:$A,0)),"",INDEX(data!K:K,MATCH($N244,data!$A:$A,0)))</f>
        <v/>
      </c>
      <c r="AY244" s="38" t="str">
        <f>IF(ISNA(MATCH($N244,data!$A:$A,0)),"",INDEX(data!O:O,MATCH($N244,data!$A:$A,0)))</f>
        <v/>
      </c>
      <c r="AZ244" s="38" t="str">
        <f>IF(ISNA(MATCH($N244,data!$A:$A,0)),"",INDEX(data!N:N,MATCH($N244,data!$A:$A,0)))</f>
        <v/>
      </c>
      <c r="BA244" s="38" t="str">
        <f>IF(ISNA(MATCH($N244,data!$A:$A,0)),"",INDEX(data!P:P,MATCH($N244,data!$A:$A,0)))</f>
        <v/>
      </c>
      <c r="BB244" s="38" t="str">
        <f>IF(ISNA(MATCH($N244,data!$A:$A,0)),"",INDEX(data!Q:Q,MATCH($N244,data!$A:$A,0)))</f>
        <v/>
      </c>
      <c r="BC244" s="38" t="str">
        <f>IF(ISNA(MATCH($N244,data!$A:$A,0)),"",INDEX(data!R:R,MATCH($N244,data!$A:$A,0)))</f>
        <v/>
      </c>
      <c r="BD244" s="38" t="str">
        <f>IF(ISNA(MATCH($N244,[1]data!$A:$A,0)),"",INDEX([1]data!U:U,MATCH($N244,[1]data!$A:$A,0)))</f>
        <v/>
      </c>
      <c r="BE244" s="61" t="e">
        <f>IF(COUNTIF([1]data!A:A,[1]!Table1[[#This Row],[UPC]])&lt;2,"","DUP")</f>
        <v>#VALUE!</v>
      </c>
      <c r="BF244" s="38" t="str">
        <f>IF(ISNA(MATCH($N244,data!$A:$A,0)),"",INDEX(data!W:W,MATCH($N244,data!$A:$A,0)))</f>
        <v/>
      </c>
    </row>
    <row r="245" spans="1:58" ht="12.75" customHeight="1">
      <c r="A245" s="35"/>
      <c r="B245" s="35"/>
      <c r="C245" s="35"/>
      <c r="D245" s="35"/>
      <c r="E245" s="67"/>
      <c r="F245" s="67"/>
      <c r="G245" s="36"/>
      <c r="H245" s="29"/>
      <c r="I245" s="78" t="str">
        <f t="shared" si="2"/>
        <v/>
      </c>
      <c r="J245" s="29"/>
      <c r="K245" s="29"/>
      <c r="L245" s="33"/>
      <c r="M245" s="33"/>
      <c r="N245" s="60"/>
      <c r="O245" s="71"/>
      <c r="P245" s="71"/>
      <c r="Q245" s="33"/>
      <c r="R245" s="31"/>
      <c r="S245" s="31"/>
      <c r="T245" s="59"/>
      <c r="U245" s="59"/>
      <c r="V245" s="59"/>
      <c r="W245" s="57">
        <f t="shared" si="3"/>
        <v>0</v>
      </c>
      <c r="X245" s="126" t="str">
        <f>IF(Table1[[#This Row],[Shipping Weight Pounds]]&gt;150,"See LTL Form","No")</f>
        <v>No</v>
      </c>
      <c r="Y245" s="28"/>
      <c r="Z245" s="33"/>
      <c r="AA245" s="34"/>
      <c r="AB245" s="30"/>
      <c r="AC245" s="30"/>
      <c r="AD245" s="32"/>
      <c r="AE245" s="32"/>
      <c r="AF245" s="2"/>
      <c r="AG245" s="2"/>
      <c r="AH245" s="2"/>
      <c r="AI245" s="2"/>
      <c r="AK245" s="73" t="str">
        <f>IF(ISNA(MATCH($N245,[1]data!$A:$A,0)),"",INDEX([1]data!S:S,MATCH($N245,[1]data!$A:$A,0)))</f>
        <v/>
      </c>
      <c r="AL245" s="73" t="str">
        <f>IF(ISNA(MATCH($N245,[1]data!$A:$A,0)),"",INDEX([1]data!V:V,MATCH($N245,[1]data!$A:$A,0)))</f>
        <v/>
      </c>
      <c r="AM245" s="38" t="str">
        <f>IF(ISNA(MATCH($N245,data!$A:$A,0)),"",INDEX(data!B:B,MATCH($N245,data!$A:$A,0)))</f>
        <v/>
      </c>
      <c r="AN245" s="38" t="str">
        <f>IF(ISNA(MATCH($N245,data!$A:$A,0)),"",INDEX(data!C:C,MATCH($N245,data!$A:$A,0)))</f>
        <v/>
      </c>
      <c r="AO245" s="38" t="str">
        <f>IF(ISNA(MATCH($N245,data!$A:$A,0)),"",INDEX(data!D:D,MATCH($N245,data!$A:$A,0)))</f>
        <v/>
      </c>
      <c r="AP245" s="38" t="str">
        <f>IF(ISNA(MATCH($N245,data!$A:$A,0)),"",INDEX(data!E:E,MATCH($N245,data!$A:$A,0)))</f>
        <v/>
      </c>
      <c r="AQ245" s="38" t="str">
        <f>IF(ISNA(MATCH($N245,data!$A:$A,0)),"",INDEX(data!F:F,MATCH($N245,data!$A:$A,0)))</f>
        <v/>
      </c>
      <c r="AR245" s="38" t="str">
        <f>IF(ISNA(MATCH($N245,data!$A:$A,0)),"",INDEX(data!G:G,MATCH($N245,data!$A:$A,0)))</f>
        <v/>
      </c>
      <c r="AS245" s="38" t="str">
        <f>IF(ISNA(MATCH($N245,data!$A:$A,0)),"",INDEX(data!H:H,MATCH($N245,data!$A:$A,0)))</f>
        <v/>
      </c>
      <c r="AT245" s="38" t="str">
        <f>IF(ISNA(MATCH($N245,data!$A:$A,0)),"",INDEX(data!I:I,MATCH($N245,data!$A:$A,0)))</f>
        <v/>
      </c>
      <c r="AU245" s="38" t="str">
        <f>IF(ISNA(MATCH($N245,[1]data!$A:$A,0)),"",INDEX([1]data!L:L,MATCH($N245,[1]data!$A:$A,0)))</f>
        <v/>
      </c>
      <c r="AV245" s="38" t="str">
        <f>IF(ISNA(MATCH($N245,[1]data!$A:$A,0)),"",INDEX([1]data!M:M,MATCH($N245,[1]data!$A:$A,0)))</f>
        <v/>
      </c>
      <c r="AW245" s="38" t="str">
        <f>IF(ISNA(MATCH($N245,data!$A:$A,0)),"",INDEX(data!J:J,MATCH($N245,data!$A:$A,0)))</f>
        <v/>
      </c>
      <c r="AX245" s="38" t="str">
        <f>IF(ISNA(MATCH($N245,data!$A:$A,0)),"",INDEX(data!K:K,MATCH($N245,data!$A:$A,0)))</f>
        <v/>
      </c>
      <c r="AY245" s="38" t="str">
        <f>IF(ISNA(MATCH($N245,data!$A:$A,0)),"",INDEX(data!O:O,MATCH($N245,data!$A:$A,0)))</f>
        <v/>
      </c>
      <c r="AZ245" s="38" t="str">
        <f>IF(ISNA(MATCH($N245,data!$A:$A,0)),"",INDEX(data!N:N,MATCH($N245,data!$A:$A,0)))</f>
        <v/>
      </c>
      <c r="BA245" s="38" t="str">
        <f>IF(ISNA(MATCH($N245,data!$A:$A,0)),"",INDEX(data!P:P,MATCH($N245,data!$A:$A,0)))</f>
        <v/>
      </c>
      <c r="BB245" s="38" t="str">
        <f>IF(ISNA(MATCH($N245,data!$A:$A,0)),"",INDEX(data!Q:Q,MATCH($N245,data!$A:$A,0)))</f>
        <v/>
      </c>
      <c r="BC245" s="38" t="str">
        <f>IF(ISNA(MATCH($N245,data!$A:$A,0)),"",INDEX(data!R:R,MATCH($N245,data!$A:$A,0)))</f>
        <v/>
      </c>
      <c r="BD245" s="38" t="str">
        <f>IF(ISNA(MATCH($N245,[1]data!$A:$A,0)),"",INDEX([1]data!U:U,MATCH($N245,[1]data!$A:$A,0)))</f>
        <v/>
      </c>
      <c r="BE245" s="61" t="e">
        <f>IF(COUNTIF([1]data!A:A,[1]!Table1[[#This Row],[UPC]])&lt;2,"","DUP")</f>
        <v>#VALUE!</v>
      </c>
      <c r="BF245" s="38" t="str">
        <f>IF(ISNA(MATCH($N245,data!$A:$A,0)),"",INDEX(data!W:W,MATCH($N245,data!$A:$A,0)))</f>
        <v/>
      </c>
    </row>
    <row r="246" spans="1:58" ht="12.75" customHeight="1">
      <c r="A246" s="35"/>
      <c r="B246" s="35"/>
      <c r="C246" s="35"/>
      <c r="D246" s="35"/>
      <c r="E246" s="67"/>
      <c r="F246" s="67"/>
      <c r="G246" s="36"/>
      <c r="H246" s="29"/>
      <c r="I246" s="78" t="str">
        <f t="shared" si="2"/>
        <v/>
      </c>
      <c r="J246" s="29"/>
      <c r="K246" s="29"/>
      <c r="L246" s="33"/>
      <c r="M246" s="33"/>
      <c r="N246" s="60"/>
      <c r="O246" s="71"/>
      <c r="P246" s="71"/>
      <c r="Q246" s="33"/>
      <c r="R246" s="31"/>
      <c r="S246" s="31"/>
      <c r="T246" s="59"/>
      <c r="U246" s="59"/>
      <c r="V246" s="59"/>
      <c r="W246" s="57">
        <f t="shared" si="3"/>
        <v>0</v>
      </c>
      <c r="X246" s="126" t="str">
        <f>IF(Table1[[#This Row],[Shipping Weight Pounds]]&gt;150,"See LTL Form","No")</f>
        <v>No</v>
      </c>
      <c r="Y246" s="28"/>
      <c r="Z246" s="33"/>
      <c r="AA246" s="34"/>
      <c r="AB246" s="30"/>
      <c r="AC246" s="30"/>
      <c r="AD246" s="32"/>
      <c r="AE246" s="32"/>
      <c r="AF246" s="2"/>
      <c r="AG246" s="2"/>
      <c r="AH246" s="2"/>
      <c r="AI246" s="2"/>
      <c r="AK246" s="73" t="str">
        <f>IF(ISNA(MATCH($N246,[1]data!$A:$A,0)),"",INDEX([1]data!S:S,MATCH($N246,[1]data!$A:$A,0)))</f>
        <v/>
      </c>
      <c r="AL246" s="73" t="str">
        <f>IF(ISNA(MATCH($N246,[1]data!$A:$A,0)),"",INDEX([1]data!V:V,MATCH($N246,[1]data!$A:$A,0)))</f>
        <v/>
      </c>
      <c r="AM246" s="38" t="str">
        <f>IF(ISNA(MATCH($N246,data!$A:$A,0)),"",INDEX(data!B:B,MATCH($N246,data!$A:$A,0)))</f>
        <v/>
      </c>
      <c r="AN246" s="38" t="str">
        <f>IF(ISNA(MATCH($N246,data!$A:$A,0)),"",INDEX(data!C:C,MATCH($N246,data!$A:$A,0)))</f>
        <v/>
      </c>
      <c r="AO246" s="38" t="str">
        <f>IF(ISNA(MATCH($N246,data!$A:$A,0)),"",INDEX(data!D:D,MATCH($N246,data!$A:$A,0)))</f>
        <v/>
      </c>
      <c r="AP246" s="38" t="str">
        <f>IF(ISNA(MATCH($N246,data!$A:$A,0)),"",INDEX(data!E:E,MATCH($N246,data!$A:$A,0)))</f>
        <v/>
      </c>
      <c r="AQ246" s="38" t="str">
        <f>IF(ISNA(MATCH($N246,data!$A:$A,0)),"",INDEX(data!F:F,MATCH($N246,data!$A:$A,0)))</f>
        <v/>
      </c>
      <c r="AR246" s="38" t="str">
        <f>IF(ISNA(MATCH($N246,data!$A:$A,0)),"",INDEX(data!G:G,MATCH($N246,data!$A:$A,0)))</f>
        <v/>
      </c>
      <c r="AS246" s="38" t="str">
        <f>IF(ISNA(MATCH($N246,data!$A:$A,0)),"",INDEX(data!H:H,MATCH($N246,data!$A:$A,0)))</f>
        <v/>
      </c>
      <c r="AT246" s="38" t="str">
        <f>IF(ISNA(MATCH($N246,data!$A:$A,0)),"",INDEX(data!I:I,MATCH($N246,data!$A:$A,0)))</f>
        <v/>
      </c>
      <c r="AU246" s="38" t="str">
        <f>IF(ISNA(MATCH($N246,[1]data!$A:$A,0)),"",INDEX([1]data!L:L,MATCH($N246,[1]data!$A:$A,0)))</f>
        <v/>
      </c>
      <c r="AV246" s="38" t="str">
        <f>IF(ISNA(MATCH($N246,[1]data!$A:$A,0)),"",INDEX([1]data!M:M,MATCH($N246,[1]data!$A:$A,0)))</f>
        <v/>
      </c>
      <c r="AW246" s="38" t="str">
        <f>IF(ISNA(MATCH($N246,data!$A:$A,0)),"",INDEX(data!J:J,MATCH($N246,data!$A:$A,0)))</f>
        <v/>
      </c>
      <c r="AX246" s="38" t="str">
        <f>IF(ISNA(MATCH($N246,data!$A:$A,0)),"",INDEX(data!K:K,MATCH($N246,data!$A:$A,0)))</f>
        <v/>
      </c>
      <c r="AY246" s="38" t="str">
        <f>IF(ISNA(MATCH($N246,data!$A:$A,0)),"",INDEX(data!O:O,MATCH($N246,data!$A:$A,0)))</f>
        <v/>
      </c>
      <c r="AZ246" s="38" t="str">
        <f>IF(ISNA(MATCH($N246,data!$A:$A,0)),"",INDEX(data!N:N,MATCH($N246,data!$A:$A,0)))</f>
        <v/>
      </c>
      <c r="BA246" s="38" t="str">
        <f>IF(ISNA(MATCH($N246,data!$A:$A,0)),"",INDEX(data!P:P,MATCH($N246,data!$A:$A,0)))</f>
        <v/>
      </c>
      <c r="BB246" s="38" t="str">
        <f>IF(ISNA(MATCH($N246,data!$A:$A,0)),"",INDEX(data!Q:Q,MATCH($N246,data!$A:$A,0)))</f>
        <v/>
      </c>
      <c r="BC246" s="38" t="str">
        <f>IF(ISNA(MATCH($N246,data!$A:$A,0)),"",INDEX(data!R:R,MATCH($N246,data!$A:$A,0)))</f>
        <v/>
      </c>
      <c r="BD246" s="38" t="str">
        <f>IF(ISNA(MATCH($N246,[1]data!$A:$A,0)),"",INDEX([1]data!U:U,MATCH($N246,[1]data!$A:$A,0)))</f>
        <v/>
      </c>
      <c r="BE246" s="61" t="e">
        <f>IF(COUNTIF([1]data!A:A,[1]!Table1[[#This Row],[UPC]])&lt;2,"","DUP")</f>
        <v>#VALUE!</v>
      </c>
      <c r="BF246" s="38" t="str">
        <f>IF(ISNA(MATCH($N246,data!$A:$A,0)),"",INDEX(data!W:W,MATCH($N246,data!$A:$A,0)))</f>
        <v/>
      </c>
    </row>
    <row r="247" spans="1:58" ht="12.75" customHeight="1">
      <c r="A247" s="35"/>
      <c r="B247" s="35"/>
      <c r="C247" s="35"/>
      <c r="D247" s="35"/>
      <c r="E247" s="67"/>
      <c r="F247" s="67"/>
      <c r="G247" s="36"/>
      <c r="H247" s="29"/>
      <c r="I247" s="78" t="str">
        <f t="shared" si="2"/>
        <v/>
      </c>
      <c r="J247" s="29"/>
      <c r="K247" s="29"/>
      <c r="L247" s="33"/>
      <c r="M247" s="33"/>
      <c r="N247" s="60"/>
      <c r="O247" s="71"/>
      <c r="P247" s="71"/>
      <c r="Q247" s="33"/>
      <c r="R247" s="31"/>
      <c r="S247" s="31"/>
      <c r="T247" s="59"/>
      <c r="U247" s="59"/>
      <c r="V247" s="59"/>
      <c r="W247" s="57">
        <f t="shared" si="3"/>
        <v>0</v>
      </c>
      <c r="X247" s="126" t="str">
        <f>IF(Table1[[#This Row],[Shipping Weight Pounds]]&gt;150,"See LTL Form","No")</f>
        <v>No</v>
      </c>
      <c r="Y247" s="28"/>
      <c r="Z247" s="33"/>
      <c r="AA247" s="34"/>
      <c r="AB247" s="30"/>
      <c r="AC247" s="30"/>
      <c r="AD247" s="32"/>
      <c r="AE247" s="32"/>
      <c r="AF247" s="2"/>
      <c r="AG247" s="2"/>
      <c r="AH247" s="2"/>
      <c r="AI247" s="2"/>
      <c r="AK247" s="73" t="str">
        <f>IF(ISNA(MATCH($N247,[1]data!$A:$A,0)),"",INDEX([1]data!S:S,MATCH($N247,[1]data!$A:$A,0)))</f>
        <v/>
      </c>
      <c r="AL247" s="73" t="str">
        <f>IF(ISNA(MATCH($N247,[1]data!$A:$A,0)),"",INDEX([1]data!V:V,MATCH($N247,[1]data!$A:$A,0)))</f>
        <v/>
      </c>
      <c r="AM247" s="38" t="str">
        <f>IF(ISNA(MATCH($N247,data!$A:$A,0)),"",INDEX(data!B:B,MATCH($N247,data!$A:$A,0)))</f>
        <v/>
      </c>
      <c r="AN247" s="38" t="str">
        <f>IF(ISNA(MATCH($N247,data!$A:$A,0)),"",INDEX(data!C:C,MATCH($N247,data!$A:$A,0)))</f>
        <v/>
      </c>
      <c r="AO247" s="38" t="str">
        <f>IF(ISNA(MATCH($N247,data!$A:$A,0)),"",INDEX(data!D:D,MATCH($N247,data!$A:$A,0)))</f>
        <v/>
      </c>
      <c r="AP247" s="38" t="str">
        <f>IF(ISNA(MATCH($N247,data!$A:$A,0)),"",INDEX(data!E:E,MATCH($N247,data!$A:$A,0)))</f>
        <v/>
      </c>
      <c r="AQ247" s="38" t="str">
        <f>IF(ISNA(MATCH($N247,data!$A:$A,0)),"",INDEX(data!F:F,MATCH($N247,data!$A:$A,0)))</f>
        <v/>
      </c>
      <c r="AR247" s="38" t="str">
        <f>IF(ISNA(MATCH($N247,data!$A:$A,0)),"",INDEX(data!G:G,MATCH($N247,data!$A:$A,0)))</f>
        <v/>
      </c>
      <c r="AS247" s="38" t="str">
        <f>IF(ISNA(MATCH($N247,data!$A:$A,0)),"",INDEX(data!H:H,MATCH($N247,data!$A:$A,0)))</f>
        <v/>
      </c>
      <c r="AT247" s="38" t="str">
        <f>IF(ISNA(MATCH($N247,data!$A:$A,0)),"",INDEX(data!I:I,MATCH($N247,data!$A:$A,0)))</f>
        <v/>
      </c>
      <c r="AU247" s="38" t="str">
        <f>IF(ISNA(MATCH($N247,[1]data!$A:$A,0)),"",INDEX([1]data!L:L,MATCH($N247,[1]data!$A:$A,0)))</f>
        <v/>
      </c>
      <c r="AV247" s="38" t="str">
        <f>IF(ISNA(MATCH($N247,[1]data!$A:$A,0)),"",INDEX([1]data!M:M,MATCH($N247,[1]data!$A:$A,0)))</f>
        <v/>
      </c>
      <c r="AW247" s="38" t="str">
        <f>IF(ISNA(MATCH($N247,data!$A:$A,0)),"",INDEX(data!J:J,MATCH($N247,data!$A:$A,0)))</f>
        <v/>
      </c>
      <c r="AX247" s="38" t="str">
        <f>IF(ISNA(MATCH($N247,data!$A:$A,0)),"",INDEX(data!K:K,MATCH($N247,data!$A:$A,0)))</f>
        <v/>
      </c>
      <c r="AY247" s="38" t="str">
        <f>IF(ISNA(MATCH($N247,data!$A:$A,0)),"",INDEX(data!O:O,MATCH($N247,data!$A:$A,0)))</f>
        <v/>
      </c>
      <c r="AZ247" s="38" t="str">
        <f>IF(ISNA(MATCH($N247,data!$A:$A,0)),"",INDEX(data!N:N,MATCH($N247,data!$A:$A,0)))</f>
        <v/>
      </c>
      <c r="BA247" s="38" t="str">
        <f>IF(ISNA(MATCH($N247,data!$A:$A,0)),"",INDEX(data!P:P,MATCH($N247,data!$A:$A,0)))</f>
        <v/>
      </c>
      <c r="BB247" s="38" t="str">
        <f>IF(ISNA(MATCH($N247,data!$A:$A,0)),"",INDEX(data!Q:Q,MATCH($N247,data!$A:$A,0)))</f>
        <v/>
      </c>
      <c r="BC247" s="38" t="str">
        <f>IF(ISNA(MATCH($N247,data!$A:$A,0)),"",INDEX(data!R:R,MATCH($N247,data!$A:$A,0)))</f>
        <v/>
      </c>
      <c r="BD247" s="38" t="str">
        <f>IF(ISNA(MATCH($N247,[1]data!$A:$A,0)),"",INDEX([1]data!U:U,MATCH($N247,[1]data!$A:$A,0)))</f>
        <v/>
      </c>
      <c r="BE247" s="61" t="e">
        <f>IF(COUNTIF([1]data!A:A,[1]!Table1[[#This Row],[UPC]])&lt;2,"","DUP")</f>
        <v>#VALUE!</v>
      </c>
      <c r="BF247" s="38" t="str">
        <f>IF(ISNA(MATCH($N247,data!$A:$A,0)),"",INDEX(data!W:W,MATCH($N247,data!$A:$A,0)))</f>
        <v/>
      </c>
    </row>
    <row r="248" spans="1:58" ht="12.75" customHeight="1">
      <c r="A248" s="35"/>
      <c r="B248" s="35"/>
      <c r="C248" s="35"/>
      <c r="D248" s="35"/>
      <c r="E248" s="67"/>
      <c r="F248" s="67"/>
      <c r="G248" s="36"/>
      <c r="H248" s="29"/>
      <c r="I248" s="78" t="str">
        <f t="shared" si="2"/>
        <v/>
      </c>
      <c r="J248" s="29"/>
      <c r="K248" s="29"/>
      <c r="L248" s="33"/>
      <c r="M248" s="33"/>
      <c r="N248" s="60"/>
      <c r="O248" s="71"/>
      <c r="P248" s="71"/>
      <c r="Q248" s="33"/>
      <c r="R248" s="31"/>
      <c r="S248" s="31"/>
      <c r="T248" s="59"/>
      <c r="U248" s="59"/>
      <c r="V248" s="59"/>
      <c r="W248" s="57">
        <f t="shared" si="3"/>
        <v>0</v>
      </c>
      <c r="X248" s="126" t="str">
        <f>IF(Table1[[#This Row],[Shipping Weight Pounds]]&gt;150,"See LTL Form","No")</f>
        <v>No</v>
      </c>
      <c r="Y248" s="28"/>
      <c r="Z248" s="33"/>
      <c r="AA248" s="34"/>
      <c r="AB248" s="30"/>
      <c r="AC248" s="30"/>
      <c r="AD248" s="32"/>
      <c r="AE248" s="32"/>
      <c r="AF248" s="2"/>
      <c r="AG248" s="2"/>
      <c r="AH248" s="2"/>
      <c r="AI248" s="2"/>
      <c r="AK248" s="73" t="str">
        <f>IF(ISNA(MATCH($N248,[1]data!$A:$A,0)),"",INDEX([1]data!S:S,MATCH($N248,[1]data!$A:$A,0)))</f>
        <v/>
      </c>
      <c r="AL248" s="73" t="str">
        <f>IF(ISNA(MATCH($N248,[1]data!$A:$A,0)),"",INDEX([1]data!V:V,MATCH($N248,[1]data!$A:$A,0)))</f>
        <v/>
      </c>
      <c r="AM248" s="38" t="str">
        <f>IF(ISNA(MATCH($N248,data!$A:$A,0)),"",INDEX(data!B:B,MATCH($N248,data!$A:$A,0)))</f>
        <v/>
      </c>
      <c r="AN248" s="38" t="str">
        <f>IF(ISNA(MATCH($N248,data!$A:$A,0)),"",INDEX(data!C:C,MATCH($N248,data!$A:$A,0)))</f>
        <v/>
      </c>
      <c r="AO248" s="38" t="str">
        <f>IF(ISNA(MATCH($N248,data!$A:$A,0)),"",INDEX(data!D:D,MATCH($N248,data!$A:$A,0)))</f>
        <v/>
      </c>
      <c r="AP248" s="38" t="str">
        <f>IF(ISNA(MATCH($N248,data!$A:$A,0)),"",INDEX(data!E:E,MATCH($N248,data!$A:$A,0)))</f>
        <v/>
      </c>
      <c r="AQ248" s="38" t="str">
        <f>IF(ISNA(MATCH($N248,data!$A:$A,0)),"",INDEX(data!F:F,MATCH($N248,data!$A:$A,0)))</f>
        <v/>
      </c>
      <c r="AR248" s="38" t="str">
        <f>IF(ISNA(MATCH($N248,data!$A:$A,0)),"",INDEX(data!G:G,MATCH($N248,data!$A:$A,0)))</f>
        <v/>
      </c>
      <c r="AS248" s="38" t="str">
        <f>IF(ISNA(MATCH($N248,data!$A:$A,0)),"",INDEX(data!H:H,MATCH($N248,data!$A:$A,0)))</f>
        <v/>
      </c>
      <c r="AT248" s="38" t="str">
        <f>IF(ISNA(MATCH($N248,data!$A:$A,0)),"",INDEX(data!I:I,MATCH($N248,data!$A:$A,0)))</f>
        <v/>
      </c>
      <c r="AU248" s="38" t="str">
        <f>IF(ISNA(MATCH($N248,[1]data!$A:$A,0)),"",INDEX([1]data!L:L,MATCH($N248,[1]data!$A:$A,0)))</f>
        <v/>
      </c>
      <c r="AV248" s="38" t="str">
        <f>IF(ISNA(MATCH($N248,[1]data!$A:$A,0)),"",INDEX([1]data!M:M,MATCH($N248,[1]data!$A:$A,0)))</f>
        <v/>
      </c>
      <c r="AW248" s="38" t="str">
        <f>IF(ISNA(MATCH($N248,data!$A:$A,0)),"",INDEX(data!J:J,MATCH($N248,data!$A:$A,0)))</f>
        <v/>
      </c>
      <c r="AX248" s="38" t="str">
        <f>IF(ISNA(MATCH($N248,data!$A:$A,0)),"",INDEX(data!K:K,MATCH($N248,data!$A:$A,0)))</f>
        <v/>
      </c>
      <c r="AY248" s="38" t="str">
        <f>IF(ISNA(MATCH($N248,data!$A:$A,0)),"",INDEX(data!O:O,MATCH($N248,data!$A:$A,0)))</f>
        <v/>
      </c>
      <c r="AZ248" s="38" t="str">
        <f>IF(ISNA(MATCH($N248,data!$A:$A,0)),"",INDEX(data!N:N,MATCH($N248,data!$A:$A,0)))</f>
        <v/>
      </c>
      <c r="BA248" s="38" t="str">
        <f>IF(ISNA(MATCH($N248,data!$A:$A,0)),"",INDEX(data!P:P,MATCH($N248,data!$A:$A,0)))</f>
        <v/>
      </c>
      <c r="BB248" s="38" t="str">
        <f>IF(ISNA(MATCH($N248,data!$A:$A,0)),"",INDEX(data!Q:Q,MATCH($N248,data!$A:$A,0)))</f>
        <v/>
      </c>
      <c r="BC248" s="38" t="str">
        <f>IF(ISNA(MATCH($N248,data!$A:$A,0)),"",INDEX(data!R:R,MATCH($N248,data!$A:$A,0)))</f>
        <v/>
      </c>
      <c r="BD248" s="38" t="str">
        <f>IF(ISNA(MATCH($N248,[1]data!$A:$A,0)),"",INDEX([1]data!U:U,MATCH($N248,[1]data!$A:$A,0)))</f>
        <v/>
      </c>
      <c r="BE248" s="61" t="e">
        <f>IF(COUNTIF([1]data!A:A,[1]!Table1[[#This Row],[UPC]])&lt;2,"","DUP")</f>
        <v>#VALUE!</v>
      </c>
      <c r="BF248" s="38" t="str">
        <f>IF(ISNA(MATCH($N248,data!$A:$A,0)),"",INDEX(data!W:W,MATCH($N248,data!$A:$A,0)))</f>
        <v/>
      </c>
    </row>
    <row r="249" spans="1:58" ht="12.75" customHeight="1">
      <c r="A249" s="35"/>
      <c r="B249" s="35"/>
      <c r="C249" s="35"/>
      <c r="D249" s="35"/>
      <c r="E249" s="67"/>
      <c r="F249" s="67"/>
      <c r="G249" s="36"/>
      <c r="H249" s="29"/>
      <c r="I249" s="78" t="str">
        <f t="shared" si="2"/>
        <v/>
      </c>
      <c r="J249" s="29"/>
      <c r="K249" s="29"/>
      <c r="L249" s="33"/>
      <c r="M249" s="33"/>
      <c r="N249" s="60"/>
      <c r="O249" s="71"/>
      <c r="P249" s="71"/>
      <c r="Q249" s="33"/>
      <c r="R249" s="31"/>
      <c r="S249" s="31"/>
      <c r="T249" s="59"/>
      <c r="U249" s="59"/>
      <c r="V249" s="59"/>
      <c r="W249" s="57">
        <f t="shared" si="3"/>
        <v>0</v>
      </c>
      <c r="X249" s="126" t="str">
        <f>IF(Table1[[#This Row],[Shipping Weight Pounds]]&gt;150,"See LTL Form","No")</f>
        <v>No</v>
      </c>
      <c r="Y249" s="28"/>
      <c r="Z249" s="33"/>
      <c r="AA249" s="34"/>
      <c r="AB249" s="30"/>
      <c r="AC249" s="30"/>
      <c r="AD249" s="32"/>
      <c r="AE249" s="32"/>
      <c r="AF249" s="2"/>
      <c r="AG249" s="2"/>
      <c r="AH249" s="2"/>
      <c r="AI249" s="2"/>
      <c r="AK249" s="73" t="str">
        <f>IF(ISNA(MATCH($N249,[1]data!$A:$A,0)),"",INDEX([1]data!S:S,MATCH($N249,[1]data!$A:$A,0)))</f>
        <v/>
      </c>
      <c r="AL249" s="73" t="str">
        <f>IF(ISNA(MATCH($N249,[1]data!$A:$A,0)),"",INDEX([1]data!V:V,MATCH($N249,[1]data!$A:$A,0)))</f>
        <v/>
      </c>
      <c r="AM249" s="38" t="str">
        <f>IF(ISNA(MATCH($N249,data!$A:$A,0)),"",INDEX(data!B:B,MATCH($N249,data!$A:$A,0)))</f>
        <v/>
      </c>
      <c r="AN249" s="38" t="str">
        <f>IF(ISNA(MATCH($N249,data!$A:$A,0)),"",INDEX(data!C:C,MATCH($N249,data!$A:$A,0)))</f>
        <v/>
      </c>
      <c r="AO249" s="38" t="str">
        <f>IF(ISNA(MATCH($N249,data!$A:$A,0)),"",INDEX(data!D:D,MATCH($N249,data!$A:$A,0)))</f>
        <v/>
      </c>
      <c r="AP249" s="38" t="str">
        <f>IF(ISNA(MATCH($N249,data!$A:$A,0)),"",INDEX(data!E:E,MATCH($N249,data!$A:$A,0)))</f>
        <v/>
      </c>
      <c r="AQ249" s="38" t="str">
        <f>IF(ISNA(MATCH($N249,data!$A:$A,0)),"",INDEX(data!F:F,MATCH($N249,data!$A:$A,0)))</f>
        <v/>
      </c>
      <c r="AR249" s="38" t="str">
        <f>IF(ISNA(MATCH($N249,data!$A:$A,0)),"",INDEX(data!G:G,MATCH($N249,data!$A:$A,0)))</f>
        <v/>
      </c>
      <c r="AS249" s="38" t="str">
        <f>IF(ISNA(MATCH($N249,data!$A:$A,0)),"",INDEX(data!H:H,MATCH($N249,data!$A:$A,0)))</f>
        <v/>
      </c>
      <c r="AT249" s="38" t="str">
        <f>IF(ISNA(MATCH($N249,data!$A:$A,0)),"",INDEX(data!I:I,MATCH($N249,data!$A:$A,0)))</f>
        <v/>
      </c>
      <c r="AU249" s="38" t="str">
        <f>IF(ISNA(MATCH($N249,[1]data!$A:$A,0)),"",INDEX([1]data!L:L,MATCH($N249,[1]data!$A:$A,0)))</f>
        <v/>
      </c>
      <c r="AV249" s="38" t="str">
        <f>IF(ISNA(MATCH($N249,[1]data!$A:$A,0)),"",INDEX([1]data!M:M,MATCH($N249,[1]data!$A:$A,0)))</f>
        <v/>
      </c>
      <c r="AW249" s="38" t="str">
        <f>IF(ISNA(MATCH($N249,data!$A:$A,0)),"",INDEX(data!J:J,MATCH($N249,data!$A:$A,0)))</f>
        <v/>
      </c>
      <c r="AX249" s="38" t="str">
        <f>IF(ISNA(MATCH($N249,data!$A:$A,0)),"",INDEX(data!K:K,MATCH($N249,data!$A:$A,0)))</f>
        <v/>
      </c>
      <c r="AY249" s="38" t="str">
        <f>IF(ISNA(MATCH($N249,data!$A:$A,0)),"",INDEX(data!O:O,MATCH($N249,data!$A:$A,0)))</f>
        <v/>
      </c>
      <c r="AZ249" s="38" t="str">
        <f>IF(ISNA(MATCH($N249,data!$A:$A,0)),"",INDEX(data!N:N,MATCH($N249,data!$A:$A,0)))</f>
        <v/>
      </c>
      <c r="BA249" s="38" t="str">
        <f>IF(ISNA(MATCH($N249,data!$A:$A,0)),"",INDEX(data!P:P,MATCH($N249,data!$A:$A,0)))</f>
        <v/>
      </c>
      <c r="BB249" s="38" t="str">
        <f>IF(ISNA(MATCH($N249,data!$A:$A,0)),"",INDEX(data!Q:Q,MATCH($N249,data!$A:$A,0)))</f>
        <v/>
      </c>
      <c r="BC249" s="38" t="str">
        <f>IF(ISNA(MATCH($N249,data!$A:$A,0)),"",INDEX(data!R:R,MATCH($N249,data!$A:$A,0)))</f>
        <v/>
      </c>
      <c r="BD249" s="38" t="str">
        <f>IF(ISNA(MATCH($N249,[1]data!$A:$A,0)),"",INDEX([1]data!U:U,MATCH($N249,[1]data!$A:$A,0)))</f>
        <v/>
      </c>
      <c r="BE249" s="61" t="e">
        <f>IF(COUNTIF([1]data!A:A,[1]!Table1[[#This Row],[UPC]])&lt;2,"","DUP")</f>
        <v>#VALUE!</v>
      </c>
      <c r="BF249" s="38" t="str">
        <f>IF(ISNA(MATCH($N249,data!$A:$A,0)),"",INDEX(data!W:W,MATCH($N249,data!$A:$A,0)))</f>
        <v/>
      </c>
    </row>
    <row r="250" spans="1:58" ht="12.75" customHeight="1">
      <c r="A250" s="35"/>
      <c r="B250" s="35"/>
      <c r="C250" s="35"/>
      <c r="D250" s="35"/>
      <c r="E250" s="67"/>
      <c r="F250" s="67"/>
      <c r="G250" s="36"/>
      <c r="H250" s="29"/>
      <c r="I250" s="78" t="str">
        <f t="shared" si="2"/>
        <v/>
      </c>
      <c r="J250" s="29"/>
      <c r="K250" s="29"/>
      <c r="L250" s="33"/>
      <c r="M250" s="33"/>
      <c r="N250" s="60"/>
      <c r="O250" s="71"/>
      <c r="P250" s="71"/>
      <c r="Q250" s="33"/>
      <c r="R250" s="31"/>
      <c r="S250" s="31"/>
      <c r="T250" s="59"/>
      <c r="U250" s="59"/>
      <c r="V250" s="59"/>
      <c r="W250" s="57">
        <f t="shared" si="3"/>
        <v>0</v>
      </c>
      <c r="X250" s="126" t="str">
        <f>IF(Table1[[#This Row],[Shipping Weight Pounds]]&gt;150,"See LTL Form","No")</f>
        <v>No</v>
      </c>
      <c r="Y250" s="28"/>
      <c r="Z250" s="33"/>
      <c r="AA250" s="34"/>
      <c r="AB250" s="30"/>
      <c r="AC250" s="30"/>
      <c r="AD250" s="32"/>
      <c r="AE250" s="32"/>
      <c r="AF250" s="2"/>
      <c r="AG250" s="2"/>
      <c r="AH250" s="2"/>
      <c r="AI250" s="2"/>
      <c r="AK250" s="73" t="str">
        <f>IF(ISNA(MATCH($N250,[1]data!$A:$A,0)),"",INDEX([1]data!S:S,MATCH($N250,[1]data!$A:$A,0)))</f>
        <v/>
      </c>
      <c r="AL250" s="73" t="str">
        <f>IF(ISNA(MATCH($N250,[1]data!$A:$A,0)),"",INDEX([1]data!V:V,MATCH($N250,[1]data!$A:$A,0)))</f>
        <v/>
      </c>
      <c r="AM250" s="38" t="str">
        <f>IF(ISNA(MATCH($N250,data!$A:$A,0)),"",INDEX(data!B:B,MATCH($N250,data!$A:$A,0)))</f>
        <v/>
      </c>
      <c r="AN250" s="38" t="str">
        <f>IF(ISNA(MATCH($N250,data!$A:$A,0)),"",INDEX(data!C:C,MATCH($N250,data!$A:$A,0)))</f>
        <v/>
      </c>
      <c r="AO250" s="38" t="str">
        <f>IF(ISNA(MATCH($N250,data!$A:$A,0)),"",INDEX(data!D:D,MATCH($N250,data!$A:$A,0)))</f>
        <v/>
      </c>
      <c r="AP250" s="38" t="str">
        <f>IF(ISNA(MATCH($N250,data!$A:$A,0)),"",INDEX(data!E:E,MATCH($N250,data!$A:$A,0)))</f>
        <v/>
      </c>
      <c r="AQ250" s="38" t="str">
        <f>IF(ISNA(MATCH($N250,data!$A:$A,0)),"",INDEX(data!F:F,MATCH($N250,data!$A:$A,0)))</f>
        <v/>
      </c>
      <c r="AR250" s="38" t="str">
        <f>IF(ISNA(MATCH($N250,data!$A:$A,0)),"",INDEX(data!G:G,MATCH($N250,data!$A:$A,0)))</f>
        <v/>
      </c>
      <c r="AS250" s="38" t="str">
        <f>IF(ISNA(MATCH($N250,data!$A:$A,0)),"",INDEX(data!H:H,MATCH($N250,data!$A:$A,0)))</f>
        <v/>
      </c>
      <c r="AT250" s="38" t="str">
        <f>IF(ISNA(MATCH($N250,data!$A:$A,0)),"",INDEX(data!I:I,MATCH($N250,data!$A:$A,0)))</f>
        <v/>
      </c>
      <c r="AU250" s="38" t="str">
        <f>IF(ISNA(MATCH($N250,[1]data!$A:$A,0)),"",INDEX([1]data!L:L,MATCH($N250,[1]data!$A:$A,0)))</f>
        <v/>
      </c>
      <c r="AV250" s="38" t="str">
        <f>IF(ISNA(MATCH($N250,[1]data!$A:$A,0)),"",INDEX([1]data!M:M,MATCH($N250,[1]data!$A:$A,0)))</f>
        <v/>
      </c>
      <c r="AW250" s="38" t="str">
        <f>IF(ISNA(MATCH($N250,data!$A:$A,0)),"",INDEX(data!J:J,MATCH($N250,data!$A:$A,0)))</f>
        <v/>
      </c>
      <c r="AX250" s="38" t="str">
        <f>IF(ISNA(MATCH($N250,data!$A:$A,0)),"",INDEX(data!K:K,MATCH($N250,data!$A:$A,0)))</f>
        <v/>
      </c>
      <c r="AY250" s="38" t="str">
        <f>IF(ISNA(MATCH($N250,data!$A:$A,0)),"",INDEX(data!O:O,MATCH($N250,data!$A:$A,0)))</f>
        <v/>
      </c>
      <c r="AZ250" s="38" t="str">
        <f>IF(ISNA(MATCH($N250,data!$A:$A,0)),"",INDEX(data!N:N,MATCH($N250,data!$A:$A,0)))</f>
        <v/>
      </c>
      <c r="BA250" s="38" t="str">
        <f>IF(ISNA(MATCH($N250,data!$A:$A,0)),"",INDEX(data!P:P,MATCH($N250,data!$A:$A,0)))</f>
        <v/>
      </c>
      <c r="BB250" s="38" t="str">
        <f>IF(ISNA(MATCH($N250,data!$A:$A,0)),"",INDEX(data!Q:Q,MATCH($N250,data!$A:$A,0)))</f>
        <v/>
      </c>
      <c r="BC250" s="38" t="str">
        <f>IF(ISNA(MATCH($N250,data!$A:$A,0)),"",INDEX(data!R:R,MATCH($N250,data!$A:$A,0)))</f>
        <v/>
      </c>
      <c r="BD250" s="38" t="str">
        <f>IF(ISNA(MATCH($N250,[1]data!$A:$A,0)),"",INDEX([1]data!U:U,MATCH($N250,[1]data!$A:$A,0)))</f>
        <v/>
      </c>
      <c r="BE250" s="61" t="e">
        <f>IF(COUNTIF([1]data!A:A,[1]!Table1[[#This Row],[UPC]])&lt;2,"","DUP")</f>
        <v>#VALUE!</v>
      </c>
      <c r="BF250" s="38" t="str">
        <f>IF(ISNA(MATCH($N250,data!$A:$A,0)),"",INDEX(data!W:W,MATCH($N250,data!$A:$A,0)))</f>
        <v/>
      </c>
    </row>
    <row r="251" spans="1:58" ht="12.75" customHeight="1">
      <c r="A251" s="35"/>
      <c r="B251" s="35"/>
      <c r="C251" s="35"/>
      <c r="D251" s="35"/>
      <c r="E251" s="67"/>
      <c r="F251" s="67"/>
      <c r="G251" s="36"/>
      <c r="H251" s="29"/>
      <c r="I251" s="78" t="str">
        <f t="shared" si="2"/>
        <v/>
      </c>
      <c r="J251" s="29"/>
      <c r="K251" s="29"/>
      <c r="L251" s="33"/>
      <c r="M251" s="33"/>
      <c r="N251" s="60"/>
      <c r="O251" s="71"/>
      <c r="P251" s="71"/>
      <c r="Q251" s="33"/>
      <c r="R251" s="31"/>
      <c r="S251" s="31"/>
      <c r="T251" s="59"/>
      <c r="U251" s="59"/>
      <c r="V251" s="59"/>
      <c r="W251" s="57">
        <f t="shared" si="3"/>
        <v>0</v>
      </c>
      <c r="X251" s="126" t="str">
        <f>IF(Table1[[#This Row],[Shipping Weight Pounds]]&gt;150,"See LTL Form","No")</f>
        <v>No</v>
      </c>
      <c r="Y251" s="28"/>
      <c r="Z251" s="33"/>
      <c r="AA251" s="34"/>
      <c r="AB251" s="30"/>
      <c r="AC251" s="30"/>
      <c r="AD251" s="32"/>
      <c r="AE251" s="32"/>
      <c r="AF251" s="2"/>
      <c r="AG251" s="2"/>
      <c r="AH251" s="2"/>
      <c r="AI251" s="2"/>
      <c r="AK251" s="73" t="str">
        <f>IF(ISNA(MATCH($N251,[1]data!$A:$A,0)),"",INDEX([1]data!S:S,MATCH($N251,[1]data!$A:$A,0)))</f>
        <v/>
      </c>
      <c r="AL251" s="73" t="str">
        <f>IF(ISNA(MATCH($N251,[1]data!$A:$A,0)),"",INDEX([1]data!V:V,MATCH($N251,[1]data!$A:$A,0)))</f>
        <v/>
      </c>
      <c r="AM251" s="38" t="str">
        <f>IF(ISNA(MATCH($N251,data!$A:$A,0)),"",INDEX(data!B:B,MATCH($N251,data!$A:$A,0)))</f>
        <v/>
      </c>
      <c r="AN251" s="38" t="str">
        <f>IF(ISNA(MATCH($N251,data!$A:$A,0)),"",INDEX(data!C:C,MATCH($N251,data!$A:$A,0)))</f>
        <v/>
      </c>
      <c r="AO251" s="38" t="str">
        <f>IF(ISNA(MATCH($N251,data!$A:$A,0)),"",INDEX(data!D:D,MATCH($N251,data!$A:$A,0)))</f>
        <v/>
      </c>
      <c r="AP251" s="38" t="str">
        <f>IF(ISNA(MATCH($N251,data!$A:$A,0)),"",INDEX(data!E:E,MATCH($N251,data!$A:$A,0)))</f>
        <v/>
      </c>
      <c r="AQ251" s="38" t="str">
        <f>IF(ISNA(MATCH($N251,data!$A:$A,0)),"",INDEX(data!F:F,MATCH($N251,data!$A:$A,0)))</f>
        <v/>
      </c>
      <c r="AR251" s="38" t="str">
        <f>IF(ISNA(MATCH($N251,data!$A:$A,0)),"",INDEX(data!G:G,MATCH($N251,data!$A:$A,0)))</f>
        <v/>
      </c>
      <c r="AS251" s="38" t="str">
        <f>IF(ISNA(MATCH($N251,data!$A:$A,0)),"",INDEX(data!H:H,MATCH($N251,data!$A:$A,0)))</f>
        <v/>
      </c>
      <c r="AT251" s="38" t="str">
        <f>IF(ISNA(MATCH($N251,data!$A:$A,0)),"",INDEX(data!I:I,MATCH($N251,data!$A:$A,0)))</f>
        <v/>
      </c>
      <c r="AU251" s="38" t="str">
        <f>IF(ISNA(MATCH($N251,[1]data!$A:$A,0)),"",INDEX([1]data!L:L,MATCH($N251,[1]data!$A:$A,0)))</f>
        <v/>
      </c>
      <c r="AV251" s="38" t="str">
        <f>IF(ISNA(MATCH($N251,[1]data!$A:$A,0)),"",INDEX([1]data!M:M,MATCH($N251,[1]data!$A:$A,0)))</f>
        <v/>
      </c>
      <c r="AW251" s="38" t="str">
        <f>IF(ISNA(MATCH($N251,data!$A:$A,0)),"",INDEX(data!J:J,MATCH($N251,data!$A:$A,0)))</f>
        <v/>
      </c>
      <c r="AX251" s="38" t="str">
        <f>IF(ISNA(MATCH($N251,data!$A:$A,0)),"",INDEX(data!K:K,MATCH($N251,data!$A:$A,0)))</f>
        <v/>
      </c>
      <c r="AY251" s="38" t="str">
        <f>IF(ISNA(MATCH($N251,data!$A:$A,0)),"",INDEX(data!O:O,MATCH($N251,data!$A:$A,0)))</f>
        <v/>
      </c>
      <c r="AZ251" s="38" t="str">
        <f>IF(ISNA(MATCH($N251,data!$A:$A,0)),"",INDEX(data!N:N,MATCH($N251,data!$A:$A,0)))</f>
        <v/>
      </c>
      <c r="BA251" s="38" t="str">
        <f>IF(ISNA(MATCH($N251,data!$A:$A,0)),"",INDEX(data!P:P,MATCH($N251,data!$A:$A,0)))</f>
        <v/>
      </c>
      <c r="BB251" s="38" t="str">
        <f>IF(ISNA(MATCH($N251,data!$A:$A,0)),"",INDEX(data!Q:Q,MATCH($N251,data!$A:$A,0)))</f>
        <v/>
      </c>
      <c r="BC251" s="38" t="str">
        <f>IF(ISNA(MATCH($N251,data!$A:$A,0)),"",INDEX(data!R:R,MATCH($N251,data!$A:$A,0)))</f>
        <v/>
      </c>
      <c r="BD251" s="38" t="str">
        <f>IF(ISNA(MATCH($N251,[1]data!$A:$A,0)),"",INDEX([1]data!U:U,MATCH($N251,[1]data!$A:$A,0)))</f>
        <v/>
      </c>
      <c r="BE251" s="61" t="e">
        <f>IF(COUNTIF([1]data!A:A,[1]!Table1[[#This Row],[UPC]])&lt;2,"","DUP")</f>
        <v>#VALUE!</v>
      </c>
      <c r="BF251" s="38" t="str">
        <f>IF(ISNA(MATCH($N251,data!$A:$A,0)),"",INDEX(data!W:W,MATCH($N251,data!$A:$A,0)))</f>
        <v/>
      </c>
    </row>
    <row r="252" spans="1:58" s="41" customFormat="1" ht="12.75" customHeight="1">
      <c r="A252" s="35"/>
      <c r="B252" s="35"/>
      <c r="C252" s="35"/>
      <c r="D252" s="35"/>
      <c r="E252" s="67"/>
      <c r="F252" s="67"/>
      <c r="G252" s="36"/>
      <c r="H252" s="29"/>
      <c r="I252" s="78" t="str">
        <f t="shared" si="2"/>
        <v/>
      </c>
      <c r="J252" s="29"/>
      <c r="K252" s="29"/>
      <c r="L252" s="33"/>
      <c r="M252" s="33"/>
      <c r="N252" s="60"/>
      <c r="O252" s="71"/>
      <c r="P252" s="71"/>
      <c r="Q252" s="33"/>
      <c r="R252" s="31"/>
      <c r="S252" s="31"/>
      <c r="T252" s="59"/>
      <c r="U252" s="59"/>
      <c r="V252" s="59"/>
      <c r="W252" s="57">
        <f t="shared" si="3"/>
        <v>0</v>
      </c>
      <c r="X252" s="126" t="str">
        <f>IF(Table1[[#This Row],[Shipping Weight Pounds]]&gt;150,"See LTL Form","No")</f>
        <v>No</v>
      </c>
      <c r="Y252" s="28"/>
      <c r="Z252" s="33"/>
      <c r="AA252" s="34"/>
      <c r="AB252" s="30"/>
      <c r="AC252" s="30"/>
      <c r="AD252" s="32"/>
      <c r="AE252" s="32"/>
      <c r="AF252" s="2"/>
      <c r="AG252" s="2"/>
      <c r="AH252" s="2"/>
      <c r="AI252" s="2"/>
      <c r="AJ252" s="44"/>
      <c r="AK252" s="73" t="str">
        <f>IF(ISNA(MATCH($N252,[1]data!$A:$A,0)),"",INDEX([1]data!S:S,MATCH($N252,[1]data!$A:$A,0)))</f>
        <v/>
      </c>
      <c r="AL252" s="73" t="str">
        <f>IF(ISNA(MATCH($N252,[1]data!$A:$A,0)),"",INDEX([1]data!V:V,MATCH($N252,[1]data!$A:$A,0)))</f>
        <v/>
      </c>
      <c r="AM252" s="38" t="str">
        <f>IF(ISNA(MATCH($N252,data!$A:$A,0)),"",INDEX(data!B:B,MATCH($N252,data!$A:$A,0)))</f>
        <v/>
      </c>
      <c r="AN252" s="38" t="str">
        <f>IF(ISNA(MATCH($N252,data!$A:$A,0)),"",INDEX(data!C:C,MATCH($N252,data!$A:$A,0)))</f>
        <v/>
      </c>
      <c r="AO252" s="38" t="str">
        <f>IF(ISNA(MATCH($N252,data!$A:$A,0)),"",INDEX(data!D:D,MATCH($N252,data!$A:$A,0)))</f>
        <v/>
      </c>
      <c r="AP252" s="38" t="str">
        <f>IF(ISNA(MATCH($N252,data!$A:$A,0)),"",INDEX(data!E:E,MATCH($N252,data!$A:$A,0)))</f>
        <v/>
      </c>
      <c r="AQ252" s="38" t="str">
        <f>IF(ISNA(MATCH($N252,data!$A:$A,0)),"",INDEX(data!F:F,MATCH($N252,data!$A:$A,0)))</f>
        <v/>
      </c>
      <c r="AR252" s="38" t="str">
        <f>IF(ISNA(MATCH($N252,data!$A:$A,0)),"",INDEX(data!G:G,MATCH($N252,data!$A:$A,0)))</f>
        <v/>
      </c>
      <c r="AS252" s="38" t="str">
        <f>IF(ISNA(MATCH($N252,data!$A:$A,0)),"",INDEX(data!H:H,MATCH($N252,data!$A:$A,0)))</f>
        <v/>
      </c>
      <c r="AT252" s="38" t="str">
        <f>IF(ISNA(MATCH($N252,data!$A:$A,0)),"",INDEX(data!I:I,MATCH($N252,data!$A:$A,0)))</f>
        <v/>
      </c>
      <c r="AU252" s="38" t="str">
        <f>IF(ISNA(MATCH($N252,[1]data!$A:$A,0)),"",INDEX([1]data!L:L,MATCH($N252,[1]data!$A:$A,0)))</f>
        <v/>
      </c>
      <c r="AV252" s="38" t="str">
        <f>IF(ISNA(MATCH($N252,[1]data!$A:$A,0)),"",INDEX([1]data!M:M,MATCH($N252,[1]data!$A:$A,0)))</f>
        <v/>
      </c>
      <c r="AW252" s="38" t="str">
        <f>IF(ISNA(MATCH($N252,data!$A:$A,0)),"",INDEX(data!J:J,MATCH($N252,data!$A:$A,0)))</f>
        <v/>
      </c>
      <c r="AX252" s="38" t="str">
        <f>IF(ISNA(MATCH($N252,data!$A:$A,0)),"",INDEX(data!K:K,MATCH($N252,data!$A:$A,0)))</f>
        <v/>
      </c>
      <c r="AY252" s="38" t="str">
        <f>IF(ISNA(MATCH($N252,data!$A:$A,0)),"",INDEX(data!O:O,MATCH($N252,data!$A:$A,0)))</f>
        <v/>
      </c>
      <c r="AZ252" s="38" t="str">
        <f>IF(ISNA(MATCH($N252,data!$A:$A,0)),"",INDEX(data!N:N,MATCH($N252,data!$A:$A,0)))</f>
        <v/>
      </c>
      <c r="BA252" s="38" t="str">
        <f>IF(ISNA(MATCH($N252,data!$A:$A,0)),"",INDEX(data!P:P,MATCH($N252,data!$A:$A,0)))</f>
        <v/>
      </c>
      <c r="BB252" s="38" t="str">
        <f>IF(ISNA(MATCH($N252,data!$A:$A,0)),"",INDEX(data!Q:Q,MATCH($N252,data!$A:$A,0)))</f>
        <v/>
      </c>
      <c r="BC252" s="38" t="str">
        <f>IF(ISNA(MATCH($N252,data!$A:$A,0)),"",INDEX(data!R:R,MATCH($N252,data!$A:$A,0)))</f>
        <v/>
      </c>
      <c r="BD252" s="38" t="str">
        <f>IF(ISNA(MATCH($N252,[1]data!$A:$A,0)),"",INDEX([1]data!U:U,MATCH($N252,[1]data!$A:$A,0)))</f>
        <v/>
      </c>
      <c r="BE252" s="61" t="e">
        <f>IF(COUNTIF([1]data!A:A,[1]!Table1[[#This Row],[UPC]])&lt;2,"","DUP")</f>
        <v>#VALUE!</v>
      </c>
      <c r="BF252" s="38" t="str">
        <f>IF(ISNA(MATCH($N252,data!$A:$A,0)),"",INDEX(data!W:W,MATCH($N252,data!$A:$A,0)))</f>
        <v/>
      </c>
    </row>
    <row r="253" spans="1:58" ht="12.75" customHeight="1">
      <c r="A253" s="35"/>
      <c r="B253" s="35"/>
      <c r="C253" s="35"/>
      <c r="D253" s="35"/>
      <c r="E253" s="67"/>
      <c r="F253" s="67"/>
      <c r="G253" s="36"/>
      <c r="H253" s="29"/>
      <c r="I253" s="78" t="str">
        <f t="shared" si="2"/>
        <v/>
      </c>
      <c r="J253" s="29"/>
      <c r="K253" s="29"/>
      <c r="L253" s="33"/>
      <c r="M253" s="33"/>
      <c r="N253" s="60"/>
      <c r="O253" s="71"/>
      <c r="P253" s="71"/>
      <c r="Q253" s="33"/>
      <c r="R253" s="31"/>
      <c r="S253" s="31"/>
      <c r="T253" s="59"/>
      <c r="U253" s="59"/>
      <c r="V253" s="59"/>
      <c r="W253" s="57">
        <f t="shared" si="3"/>
        <v>0</v>
      </c>
      <c r="X253" s="126" t="str">
        <f>IF(Table1[[#This Row],[Shipping Weight Pounds]]&gt;150,"See LTL Form","No")</f>
        <v>No</v>
      </c>
      <c r="Y253" s="28"/>
      <c r="Z253" s="33"/>
      <c r="AA253" s="34"/>
      <c r="AB253" s="30"/>
      <c r="AC253" s="30"/>
      <c r="AD253" s="32"/>
      <c r="AE253" s="32"/>
      <c r="AF253" s="2"/>
      <c r="AG253" s="2"/>
      <c r="AH253" s="2"/>
      <c r="AI253" s="2"/>
      <c r="AK253" s="73" t="str">
        <f>IF(ISNA(MATCH($N253,[1]data!$A:$A,0)),"",INDEX([1]data!S:S,MATCH($N253,[1]data!$A:$A,0)))</f>
        <v/>
      </c>
      <c r="AL253" s="73" t="str">
        <f>IF(ISNA(MATCH($N253,[1]data!$A:$A,0)),"",INDEX([1]data!V:V,MATCH($N253,[1]data!$A:$A,0)))</f>
        <v/>
      </c>
      <c r="AM253" s="38" t="str">
        <f>IF(ISNA(MATCH($N253,data!$A:$A,0)),"",INDEX(data!B:B,MATCH($N253,data!$A:$A,0)))</f>
        <v/>
      </c>
      <c r="AN253" s="38" t="str">
        <f>IF(ISNA(MATCH($N253,data!$A:$A,0)),"",INDEX(data!C:C,MATCH($N253,data!$A:$A,0)))</f>
        <v/>
      </c>
      <c r="AO253" s="38" t="str">
        <f>IF(ISNA(MATCH($N253,data!$A:$A,0)),"",INDEX(data!D:D,MATCH($N253,data!$A:$A,0)))</f>
        <v/>
      </c>
      <c r="AP253" s="38" t="str">
        <f>IF(ISNA(MATCH($N253,data!$A:$A,0)),"",INDEX(data!E:E,MATCH($N253,data!$A:$A,0)))</f>
        <v/>
      </c>
      <c r="AQ253" s="38" t="str">
        <f>IF(ISNA(MATCH($N253,data!$A:$A,0)),"",INDEX(data!F:F,MATCH($N253,data!$A:$A,0)))</f>
        <v/>
      </c>
      <c r="AR253" s="38" t="str">
        <f>IF(ISNA(MATCH($N253,data!$A:$A,0)),"",INDEX(data!G:G,MATCH($N253,data!$A:$A,0)))</f>
        <v/>
      </c>
      <c r="AS253" s="38" t="str">
        <f>IF(ISNA(MATCH($N253,data!$A:$A,0)),"",INDEX(data!H:H,MATCH($N253,data!$A:$A,0)))</f>
        <v/>
      </c>
      <c r="AT253" s="38" t="str">
        <f>IF(ISNA(MATCH($N253,data!$A:$A,0)),"",INDEX(data!I:I,MATCH($N253,data!$A:$A,0)))</f>
        <v/>
      </c>
      <c r="AU253" s="38" t="str">
        <f>IF(ISNA(MATCH($N253,[1]data!$A:$A,0)),"",INDEX([1]data!L:L,MATCH($N253,[1]data!$A:$A,0)))</f>
        <v/>
      </c>
      <c r="AV253" s="38" t="str">
        <f>IF(ISNA(MATCH($N253,[1]data!$A:$A,0)),"",INDEX([1]data!M:M,MATCH($N253,[1]data!$A:$A,0)))</f>
        <v/>
      </c>
      <c r="AW253" s="38" t="str">
        <f>IF(ISNA(MATCH($N253,data!$A:$A,0)),"",INDEX(data!J:J,MATCH($N253,data!$A:$A,0)))</f>
        <v/>
      </c>
      <c r="AX253" s="38" t="str">
        <f>IF(ISNA(MATCH($N253,data!$A:$A,0)),"",INDEX(data!K:K,MATCH($N253,data!$A:$A,0)))</f>
        <v/>
      </c>
      <c r="AY253" s="38" t="str">
        <f>IF(ISNA(MATCH($N253,data!$A:$A,0)),"",INDEX(data!O:O,MATCH($N253,data!$A:$A,0)))</f>
        <v/>
      </c>
      <c r="AZ253" s="38" t="str">
        <f>IF(ISNA(MATCH($N253,data!$A:$A,0)),"",INDEX(data!N:N,MATCH($N253,data!$A:$A,0)))</f>
        <v/>
      </c>
      <c r="BA253" s="38" t="str">
        <f>IF(ISNA(MATCH($N253,data!$A:$A,0)),"",INDEX(data!P:P,MATCH($N253,data!$A:$A,0)))</f>
        <v/>
      </c>
      <c r="BB253" s="38" t="str">
        <f>IF(ISNA(MATCH($N253,data!$A:$A,0)),"",INDEX(data!Q:Q,MATCH($N253,data!$A:$A,0)))</f>
        <v/>
      </c>
      <c r="BC253" s="38" t="str">
        <f>IF(ISNA(MATCH($N253,data!$A:$A,0)),"",INDEX(data!R:R,MATCH($N253,data!$A:$A,0)))</f>
        <v/>
      </c>
      <c r="BD253" s="38" t="str">
        <f>IF(ISNA(MATCH($N253,[1]data!$A:$A,0)),"",INDEX([1]data!U:U,MATCH($N253,[1]data!$A:$A,0)))</f>
        <v/>
      </c>
      <c r="BE253" s="61" t="e">
        <f>IF(COUNTIF([1]data!A:A,[1]!Table1[[#This Row],[UPC]])&lt;2,"","DUP")</f>
        <v>#VALUE!</v>
      </c>
      <c r="BF253" s="38" t="str">
        <f>IF(ISNA(MATCH($N253,data!$A:$A,0)),"",INDEX(data!W:W,MATCH($N253,data!$A:$A,0)))</f>
        <v/>
      </c>
    </row>
    <row r="254" spans="1:58" ht="12.75" customHeight="1">
      <c r="A254" s="35"/>
      <c r="B254" s="35"/>
      <c r="C254" s="35"/>
      <c r="D254" s="35"/>
      <c r="E254" s="67"/>
      <c r="F254" s="67"/>
      <c r="G254" s="36"/>
      <c r="H254" s="29"/>
      <c r="I254" s="78" t="str">
        <f t="shared" si="2"/>
        <v/>
      </c>
      <c r="J254" s="29"/>
      <c r="K254" s="29"/>
      <c r="L254" s="33"/>
      <c r="M254" s="33"/>
      <c r="N254" s="60"/>
      <c r="O254" s="71"/>
      <c r="P254" s="71"/>
      <c r="Q254" s="33"/>
      <c r="R254" s="31"/>
      <c r="S254" s="31"/>
      <c r="T254" s="59"/>
      <c r="U254" s="59"/>
      <c r="V254" s="59"/>
      <c r="W254" s="57">
        <f t="shared" si="3"/>
        <v>0</v>
      </c>
      <c r="X254" s="126" t="str">
        <f>IF(Table1[[#This Row],[Shipping Weight Pounds]]&gt;150,"See LTL Form","No")</f>
        <v>No</v>
      </c>
      <c r="Y254" s="28"/>
      <c r="Z254" s="33"/>
      <c r="AA254" s="34"/>
      <c r="AB254" s="30"/>
      <c r="AC254" s="30"/>
      <c r="AD254" s="32"/>
      <c r="AE254" s="32"/>
      <c r="AF254" s="2"/>
      <c r="AG254" s="2"/>
      <c r="AH254" s="2"/>
      <c r="AI254" s="2"/>
      <c r="AK254" s="73" t="str">
        <f>IF(ISNA(MATCH($N254,[1]data!$A:$A,0)),"",INDEX([1]data!S:S,MATCH($N254,[1]data!$A:$A,0)))</f>
        <v/>
      </c>
      <c r="AL254" s="73" t="str">
        <f>IF(ISNA(MATCH($N254,[1]data!$A:$A,0)),"",INDEX([1]data!V:V,MATCH($N254,[1]data!$A:$A,0)))</f>
        <v/>
      </c>
      <c r="AM254" s="38" t="str">
        <f>IF(ISNA(MATCH($N254,data!$A:$A,0)),"",INDEX(data!B:B,MATCH($N254,data!$A:$A,0)))</f>
        <v/>
      </c>
      <c r="AN254" s="38" t="str">
        <f>IF(ISNA(MATCH($N254,data!$A:$A,0)),"",INDEX(data!C:C,MATCH($N254,data!$A:$A,0)))</f>
        <v/>
      </c>
      <c r="AO254" s="38" t="str">
        <f>IF(ISNA(MATCH($N254,data!$A:$A,0)),"",INDEX(data!D:D,MATCH($N254,data!$A:$A,0)))</f>
        <v/>
      </c>
      <c r="AP254" s="38" t="str">
        <f>IF(ISNA(MATCH($N254,data!$A:$A,0)),"",INDEX(data!E:E,MATCH($N254,data!$A:$A,0)))</f>
        <v/>
      </c>
      <c r="AQ254" s="38" t="str">
        <f>IF(ISNA(MATCH($N254,data!$A:$A,0)),"",INDEX(data!F:F,MATCH($N254,data!$A:$A,0)))</f>
        <v/>
      </c>
      <c r="AR254" s="38" t="str">
        <f>IF(ISNA(MATCH($N254,data!$A:$A,0)),"",INDEX(data!G:G,MATCH($N254,data!$A:$A,0)))</f>
        <v/>
      </c>
      <c r="AS254" s="38" t="str">
        <f>IF(ISNA(MATCH($N254,data!$A:$A,0)),"",INDEX(data!H:H,MATCH($N254,data!$A:$A,0)))</f>
        <v/>
      </c>
      <c r="AT254" s="38" t="str">
        <f>IF(ISNA(MATCH($N254,data!$A:$A,0)),"",INDEX(data!I:I,MATCH($N254,data!$A:$A,0)))</f>
        <v/>
      </c>
      <c r="AU254" s="38" t="str">
        <f>IF(ISNA(MATCH($N254,[1]data!$A:$A,0)),"",INDEX([1]data!L:L,MATCH($N254,[1]data!$A:$A,0)))</f>
        <v/>
      </c>
      <c r="AV254" s="38" t="str">
        <f>IF(ISNA(MATCH($N254,[1]data!$A:$A,0)),"",INDEX([1]data!M:M,MATCH($N254,[1]data!$A:$A,0)))</f>
        <v/>
      </c>
      <c r="AW254" s="38" t="str">
        <f>IF(ISNA(MATCH($N254,data!$A:$A,0)),"",INDEX(data!J:J,MATCH($N254,data!$A:$A,0)))</f>
        <v/>
      </c>
      <c r="AX254" s="38" t="str">
        <f>IF(ISNA(MATCH($N254,data!$A:$A,0)),"",INDEX(data!K:K,MATCH($N254,data!$A:$A,0)))</f>
        <v/>
      </c>
      <c r="AY254" s="38" t="str">
        <f>IF(ISNA(MATCH($N254,data!$A:$A,0)),"",INDEX(data!O:O,MATCH($N254,data!$A:$A,0)))</f>
        <v/>
      </c>
      <c r="AZ254" s="38" t="str">
        <f>IF(ISNA(MATCH($N254,data!$A:$A,0)),"",INDEX(data!N:N,MATCH($N254,data!$A:$A,0)))</f>
        <v/>
      </c>
      <c r="BA254" s="38" t="str">
        <f>IF(ISNA(MATCH($N254,data!$A:$A,0)),"",INDEX(data!P:P,MATCH($N254,data!$A:$A,0)))</f>
        <v/>
      </c>
      <c r="BB254" s="38" t="str">
        <f>IF(ISNA(MATCH($N254,data!$A:$A,0)),"",INDEX(data!Q:Q,MATCH($N254,data!$A:$A,0)))</f>
        <v/>
      </c>
      <c r="BC254" s="38" t="str">
        <f>IF(ISNA(MATCH($N254,data!$A:$A,0)),"",INDEX(data!R:R,MATCH($N254,data!$A:$A,0)))</f>
        <v/>
      </c>
      <c r="BD254" s="38" t="str">
        <f>IF(ISNA(MATCH($N254,[1]data!$A:$A,0)),"",INDEX([1]data!U:U,MATCH($N254,[1]data!$A:$A,0)))</f>
        <v/>
      </c>
      <c r="BE254" s="61" t="e">
        <f>IF(COUNTIF([1]data!A:A,[1]!Table1[[#This Row],[UPC]])&lt;2,"","DUP")</f>
        <v>#VALUE!</v>
      </c>
      <c r="BF254" s="38" t="str">
        <f>IF(ISNA(MATCH($N254,data!$A:$A,0)),"",INDEX(data!W:W,MATCH($N254,data!$A:$A,0)))</f>
        <v/>
      </c>
    </row>
    <row r="255" spans="1:58" ht="12.75" customHeight="1">
      <c r="A255" s="35"/>
      <c r="B255" s="35"/>
      <c r="C255" s="35"/>
      <c r="D255" s="35"/>
      <c r="E255" s="67"/>
      <c r="F255" s="67"/>
      <c r="G255" s="36"/>
      <c r="H255" s="29"/>
      <c r="I255" s="78" t="str">
        <f t="shared" si="2"/>
        <v/>
      </c>
      <c r="J255" s="29"/>
      <c r="K255" s="29"/>
      <c r="L255" s="33"/>
      <c r="M255" s="33"/>
      <c r="N255" s="60"/>
      <c r="O255" s="71"/>
      <c r="P255" s="71"/>
      <c r="Q255" s="33"/>
      <c r="R255" s="31"/>
      <c r="S255" s="31"/>
      <c r="T255" s="59"/>
      <c r="U255" s="59"/>
      <c r="V255" s="59"/>
      <c r="W255" s="57">
        <f t="shared" si="3"/>
        <v>0</v>
      </c>
      <c r="X255" s="126" t="str">
        <f>IF(Table1[[#This Row],[Shipping Weight Pounds]]&gt;150,"See LTL Form","No")</f>
        <v>No</v>
      </c>
      <c r="Y255" s="28"/>
      <c r="Z255" s="33"/>
      <c r="AA255" s="34"/>
      <c r="AB255" s="30"/>
      <c r="AC255" s="30"/>
      <c r="AD255" s="32"/>
      <c r="AE255" s="32"/>
      <c r="AF255" s="2"/>
      <c r="AG255" s="2"/>
      <c r="AH255" s="2"/>
      <c r="AI255" s="2"/>
      <c r="AK255" s="73" t="str">
        <f>IF(ISNA(MATCH($N255,[1]data!$A:$A,0)),"",INDEX([1]data!S:S,MATCH($N255,[1]data!$A:$A,0)))</f>
        <v/>
      </c>
      <c r="AL255" s="73" t="str">
        <f>IF(ISNA(MATCH($N255,[1]data!$A:$A,0)),"",INDEX([1]data!V:V,MATCH($N255,[1]data!$A:$A,0)))</f>
        <v/>
      </c>
      <c r="AM255" s="38" t="str">
        <f>IF(ISNA(MATCH($N255,data!$A:$A,0)),"",INDEX(data!B:B,MATCH($N255,data!$A:$A,0)))</f>
        <v/>
      </c>
      <c r="AN255" s="38" t="str">
        <f>IF(ISNA(MATCH($N255,data!$A:$A,0)),"",INDEX(data!C:C,MATCH($N255,data!$A:$A,0)))</f>
        <v/>
      </c>
      <c r="AO255" s="38" t="str">
        <f>IF(ISNA(MATCH($N255,data!$A:$A,0)),"",INDEX(data!D:D,MATCH($N255,data!$A:$A,0)))</f>
        <v/>
      </c>
      <c r="AP255" s="38" t="str">
        <f>IF(ISNA(MATCH($N255,data!$A:$A,0)),"",INDEX(data!E:E,MATCH($N255,data!$A:$A,0)))</f>
        <v/>
      </c>
      <c r="AQ255" s="38" t="str">
        <f>IF(ISNA(MATCH($N255,data!$A:$A,0)),"",INDEX(data!F:F,MATCH($N255,data!$A:$A,0)))</f>
        <v/>
      </c>
      <c r="AR255" s="38" t="str">
        <f>IF(ISNA(MATCH($N255,data!$A:$A,0)),"",INDEX(data!G:G,MATCH($N255,data!$A:$A,0)))</f>
        <v/>
      </c>
      <c r="AS255" s="38" t="str">
        <f>IF(ISNA(MATCH($N255,data!$A:$A,0)),"",INDEX(data!H:H,MATCH($N255,data!$A:$A,0)))</f>
        <v/>
      </c>
      <c r="AT255" s="38" t="str">
        <f>IF(ISNA(MATCH($N255,data!$A:$A,0)),"",INDEX(data!I:I,MATCH($N255,data!$A:$A,0)))</f>
        <v/>
      </c>
      <c r="AU255" s="38" t="str">
        <f>IF(ISNA(MATCH($N255,[1]data!$A:$A,0)),"",INDEX([1]data!L:L,MATCH($N255,[1]data!$A:$A,0)))</f>
        <v/>
      </c>
      <c r="AV255" s="38" t="str">
        <f>IF(ISNA(MATCH($N255,[1]data!$A:$A,0)),"",INDEX([1]data!M:M,MATCH($N255,[1]data!$A:$A,0)))</f>
        <v/>
      </c>
      <c r="AW255" s="38" t="str">
        <f>IF(ISNA(MATCH($N255,data!$A:$A,0)),"",INDEX(data!J:J,MATCH($N255,data!$A:$A,0)))</f>
        <v/>
      </c>
      <c r="AX255" s="38" t="str">
        <f>IF(ISNA(MATCH($N255,data!$A:$A,0)),"",INDEX(data!K:K,MATCH($N255,data!$A:$A,0)))</f>
        <v/>
      </c>
      <c r="AY255" s="38" t="str">
        <f>IF(ISNA(MATCH($N255,data!$A:$A,0)),"",INDEX(data!O:O,MATCH($N255,data!$A:$A,0)))</f>
        <v/>
      </c>
      <c r="AZ255" s="38" t="str">
        <f>IF(ISNA(MATCH($N255,data!$A:$A,0)),"",INDEX(data!N:N,MATCH($N255,data!$A:$A,0)))</f>
        <v/>
      </c>
      <c r="BA255" s="38" t="str">
        <f>IF(ISNA(MATCH($N255,data!$A:$A,0)),"",INDEX(data!P:P,MATCH($N255,data!$A:$A,0)))</f>
        <v/>
      </c>
      <c r="BB255" s="38" t="str">
        <f>IF(ISNA(MATCH($N255,data!$A:$A,0)),"",INDEX(data!Q:Q,MATCH($N255,data!$A:$A,0)))</f>
        <v/>
      </c>
      <c r="BC255" s="38" t="str">
        <f>IF(ISNA(MATCH($N255,data!$A:$A,0)),"",INDEX(data!R:R,MATCH($N255,data!$A:$A,0)))</f>
        <v/>
      </c>
      <c r="BD255" s="38" t="str">
        <f>IF(ISNA(MATCH($N255,[1]data!$A:$A,0)),"",INDEX([1]data!U:U,MATCH($N255,[1]data!$A:$A,0)))</f>
        <v/>
      </c>
      <c r="BE255" s="61" t="e">
        <f>IF(COUNTIF([1]data!A:A,[1]!Table1[[#This Row],[UPC]])&lt;2,"","DUP")</f>
        <v>#VALUE!</v>
      </c>
      <c r="BF255" s="38" t="str">
        <f>IF(ISNA(MATCH($N255,data!$A:$A,0)),"",INDEX(data!W:W,MATCH($N255,data!$A:$A,0)))</f>
        <v/>
      </c>
    </row>
    <row r="256" spans="1:58" ht="12.75" customHeight="1">
      <c r="A256" s="35"/>
      <c r="B256" s="35"/>
      <c r="C256" s="35"/>
      <c r="D256" s="35"/>
      <c r="E256" s="67"/>
      <c r="F256" s="67"/>
      <c r="G256" s="36"/>
      <c r="H256" s="29"/>
      <c r="I256" s="78" t="str">
        <f t="shared" si="2"/>
        <v/>
      </c>
      <c r="J256" s="29"/>
      <c r="K256" s="29"/>
      <c r="L256" s="33"/>
      <c r="M256" s="33"/>
      <c r="N256" s="60"/>
      <c r="O256" s="71"/>
      <c r="P256" s="71"/>
      <c r="Q256" s="33"/>
      <c r="R256" s="31"/>
      <c r="S256" s="31"/>
      <c r="T256" s="59"/>
      <c r="U256" s="59"/>
      <c r="V256" s="59"/>
      <c r="W256" s="57">
        <f t="shared" si="3"/>
        <v>0</v>
      </c>
      <c r="X256" s="126" t="str">
        <f>IF(Table1[[#This Row],[Shipping Weight Pounds]]&gt;150,"See LTL Form","No")</f>
        <v>No</v>
      </c>
      <c r="Y256" s="28"/>
      <c r="Z256" s="33"/>
      <c r="AA256" s="34"/>
      <c r="AB256" s="30"/>
      <c r="AC256" s="30"/>
      <c r="AD256" s="32"/>
      <c r="AE256" s="32"/>
      <c r="AF256" s="2"/>
      <c r="AG256" s="2"/>
      <c r="AH256" s="2"/>
      <c r="AI256" s="2"/>
      <c r="AK256" s="73" t="str">
        <f>IF(ISNA(MATCH($N256,[1]data!$A:$A,0)),"",INDEX([1]data!S:S,MATCH($N256,[1]data!$A:$A,0)))</f>
        <v/>
      </c>
      <c r="AL256" s="73" t="str">
        <f>IF(ISNA(MATCH($N256,[1]data!$A:$A,0)),"",INDEX([1]data!V:V,MATCH($N256,[1]data!$A:$A,0)))</f>
        <v/>
      </c>
      <c r="AM256" s="38" t="str">
        <f>IF(ISNA(MATCH($N256,data!$A:$A,0)),"",INDEX(data!B:B,MATCH($N256,data!$A:$A,0)))</f>
        <v/>
      </c>
      <c r="AN256" s="38" t="str">
        <f>IF(ISNA(MATCH($N256,data!$A:$A,0)),"",INDEX(data!C:C,MATCH($N256,data!$A:$A,0)))</f>
        <v/>
      </c>
      <c r="AO256" s="38" t="str">
        <f>IF(ISNA(MATCH($N256,data!$A:$A,0)),"",INDEX(data!D:D,MATCH($N256,data!$A:$A,0)))</f>
        <v/>
      </c>
      <c r="AP256" s="38" t="str">
        <f>IF(ISNA(MATCH($N256,data!$A:$A,0)),"",INDEX(data!E:E,MATCH($N256,data!$A:$A,0)))</f>
        <v/>
      </c>
      <c r="AQ256" s="38" t="str">
        <f>IF(ISNA(MATCH($N256,data!$A:$A,0)),"",INDEX(data!F:F,MATCH($N256,data!$A:$A,0)))</f>
        <v/>
      </c>
      <c r="AR256" s="38" t="str">
        <f>IF(ISNA(MATCH($N256,data!$A:$A,0)),"",INDEX(data!G:G,MATCH($N256,data!$A:$A,0)))</f>
        <v/>
      </c>
      <c r="AS256" s="38" t="str">
        <f>IF(ISNA(MATCH($N256,data!$A:$A,0)),"",INDEX(data!H:H,MATCH($N256,data!$A:$A,0)))</f>
        <v/>
      </c>
      <c r="AT256" s="38" t="str">
        <f>IF(ISNA(MATCH($N256,data!$A:$A,0)),"",INDEX(data!I:I,MATCH($N256,data!$A:$A,0)))</f>
        <v/>
      </c>
      <c r="AU256" s="38" t="str">
        <f>IF(ISNA(MATCH($N256,[1]data!$A:$A,0)),"",INDEX([1]data!L:L,MATCH($N256,[1]data!$A:$A,0)))</f>
        <v/>
      </c>
      <c r="AV256" s="38" t="str">
        <f>IF(ISNA(MATCH($N256,[1]data!$A:$A,0)),"",INDEX([1]data!M:M,MATCH($N256,[1]data!$A:$A,0)))</f>
        <v/>
      </c>
      <c r="AW256" s="38" t="str">
        <f>IF(ISNA(MATCH($N256,data!$A:$A,0)),"",INDEX(data!J:J,MATCH($N256,data!$A:$A,0)))</f>
        <v/>
      </c>
      <c r="AX256" s="38" t="str">
        <f>IF(ISNA(MATCH($N256,data!$A:$A,0)),"",INDEX(data!K:K,MATCH($N256,data!$A:$A,0)))</f>
        <v/>
      </c>
      <c r="AY256" s="38" t="str">
        <f>IF(ISNA(MATCH($N256,data!$A:$A,0)),"",INDEX(data!O:O,MATCH($N256,data!$A:$A,0)))</f>
        <v/>
      </c>
      <c r="AZ256" s="38" t="str">
        <f>IF(ISNA(MATCH($N256,data!$A:$A,0)),"",INDEX(data!N:N,MATCH($N256,data!$A:$A,0)))</f>
        <v/>
      </c>
      <c r="BA256" s="38" t="str">
        <f>IF(ISNA(MATCH($N256,data!$A:$A,0)),"",INDEX(data!P:P,MATCH($N256,data!$A:$A,0)))</f>
        <v/>
      </c>
      <c r="BB256" s="38" t="str">
        <f>IF(ISNA(MATCH($N256,data!$A:$A,0)),"",INDEX(data!Q:Q,MATCH($N256,data!$A:$A,0)))</f>
        <v/>
      </c>
      <c r="BC256" s="38" t="str">
        <f>IF(ISNA(MATCH($N256,data!$A:$A,0)),"",INDEX(data!R:R,MATCH($N256,data!$A:$A,0)))</f>
        <v/>
      </c>
      <c r="BD256" s="38" t="str">
        <f>IF(ISNA(MATCH($N256,[1]data!$A:$A,0)),"",INDEX([1]data!U:U,MATCH($N256,[1]data!$A:$A,0)))</f>
        <v/>
      </c>
      <c r="BE256" s="61" t="e">
        <f>IF(COUNTIF([1]data!A:A,[1]!Table1[[#This Row],[UPC]])&lt;2,"","DUP")</f>
        <v>#VALUE!</v>
      </c>
      <c r="BF256" s="38" t="str">
        <f>IF(ISNA(MATCH($N256,data!$A:$A,0)),"",INDEX(data!W:W,MATCH($N256,data!$A:$A,0)))</f>
        <v/>
      </c>
    </row>
    <row r="257" spans="1:58" ht="12.75" customHeight="1">
      <c r="A257" s="35"/>
      <c r="B257" s="35"/>
      <c r="C257" s="35"/>
      <c r="D257" s="35"/>
      <c r="E257" s="67"/>
      <c r="F257" s="67"/>
      <c r="G257" s="36"/>
      <c r="H257" s="29"/>
      <c r="I257" s="78" t="str">
        <f t="shared" si="2"/>
        <v/>
      </c>
      <c r="J257" s="29"/>
      <c r="K257" s="29"/>
      <c r="L257" s="33"/>
      <c r="M257" s="33"/>
      <c r="N257" s="60"/>
      <c r="O257" s="71"/>
      <c r="P257" s="71"/>
      <c r="Q257" s="33"/>
      <c r="R257" s="31"/>
      <c r="S257" s="31"/>
      <c r="T257" s="59"/>
      <c r="U257" s="59"/>
      <c r="V257" s="59"/>
      <c r="W257" s="57">
        <f t="shared" si="3"/>
        <v>0</v>
      </c>
      <c r="X257" s="126" t="str">
        <f>IF(Table1[[#This Row],[Shipping Weight Pounds]]&gt;150,"See LTL Form","No")</f>
        <v>No</v>
      </c>
      <c r="Y257" s="28"/>
      <c r="Z257" s="33"/>
      <c r="AA257" s="34"/>
      <c r="AB257" s="30"/>
      <c r="AC257" s="30"/>
      <c r="AD257" s="32"/>
      <c r="AE257" s="32"/>
      <c r="AF257" s="2"/>
      <c r="AG257" s="2"/>
      <c r="AH257" s="2"/>
      <c r="AI257" s="2"/>
      <c r="AK257" s="73" t="str">
        <f>IF(ISNA(MATCH($N257,[1]data!$A:$A,0)),"",INDEX([1]data!S:S,MATCH($N257,[1]data!$A:$A,0)))</f>
        <v/>
      </c>
      <c r="AL257" s="73" t="str">
        <f>IF(ISNA(MATCH($N257,[1]data!$A:$A,0)),"",INDEX([1]data!V:V,MATCH($N257,[1]data!$A:$A,0)))</f>
        <v/>
      </c>
      <c r="AM257" s="38" t="str">
        <f>IF(ISNA(MATCH($N257,data!$A:$A,0)),"",INDEX(data!B:B,MATCH($N257,data!$A:$A,0)))</f>
        <v/>
      </c>
      <c r="AN257" s="38" t="str">
        <f>IF(ISNA(MATCH($N257,data!$A:$A,0)),"",INDEX(data!C:C,MATCH($N257,data!$A:$A,0)))</f>
        <v/>
      </c>
      <c r="AO257" s="38" t="str">
        <f>IF(ISNA(MATCH($N257,data!$A:$A,0)),"",INDEX(data!D:D,MATCH($N257,data!$A:$A,0)))</f>
        <v/>
      </c>
      <c r="AP257" s="38" t="str">
        <f>IF(ISNA(MATCH($N257,data!$A:$A,0)),"",INDEX(data!E:E,MATCH($N257,data!$A:$A,0)))</f>
        <v/>
      </c>
      <c r="AQ257" s="38" t="str">
        <f>IF(ISNA(MATCH($N257,data!$A:$A,0)),"",INDEX(data!F:F,MATCH($N257,data!$A:$A,0)))</f>
        <v/>
      </c>
      <c r="AR257" s="38" t="str">
        <f>IF(ISNA(MATCH($N257,data!$A:$A,0)),"",INDEX(data!G:G,MATCH($N257,data!$A:$A,0)))</f>
        <v/>
      </c>
      <c r="AS257" s="38" t="str">
        <f>IF(ISNA(MATCH($N257,data!$A:$A,0)),"",INDEX(data!H:H,MATCH($N257,data!$A:$A,0)))</f>
        <v/>
      </c>
      <c r="AT257" s="38" t="str">
        <f>IF(ISNA(MATCH($N257,data!$A:$A,0)),"",INDEX(data!I:I,MATCH($N257,data!$A:$A,0)))</f>
        <v/>
      </c>
      <c r="AU257" s="38" t="str">
        <f>IF(ISNA(MATCH($N257,[1]data!$A:$A,0)),"",INDEX([1]data!L:L,MATCH($N257,[1]data!$A:$A,0)))</f>
        <v/>
      </c>
      <c r="AV257" s="38" t="str">
        <f>IF(ISNA(MATCH($N257,[1]data!$A:$A,0)),"",INDEX([1]data!M:M,MATCH($N257,[1]data!$A:$A,0)))</f>
        <v/>
      </c>
      <c r="AW257" s="38" t="str">
        <f>IF(ISNA(MATCH($N257,data!$A:$A,0)),"",INDEX(data!J:J,MATCH($N257,data!$A:$A,0)))</f>
        <v/>
      </c>
      <c r="AX257" s="38" t="str">
        <f>IF(ISNA(MATCH($N257,data!$A:$A,0)),"",INDEX(data!K:K,MATCH($N257,data!$A:$A,0)))</f>
        <v/>
      </c>
      <c r="AY257" s="38" t="str">
        <f>IF(ISNA(MATCH($N257,data!$A:$A,0)),"",INDEX(data!O:O,MATCH($N257,data!$A:$A,0)))</f>
        <v/>
      </c>
      <c r="AZ257" s="38" t="str">
        <f>IF(ISNA(MATCH($N257,data!$A:$A,0)),"",INDEX(data!N:N,MATCH($N257,data!$A:$A,0)))</f>
        <v/>
      </c>
      <c r="BA257" s="38" t="str">
        <f>IF(ISNA(MATCH($N257,data!$A:$A,0)),"",INDEX(data!P:P,MATCH($N257,data!$A:$A,0)))</f>
        <v/>
      </c>
      <c r="BB257" s="38" t="str">
        <f>IF(ISNA(MATCH($N257,data!$A:$A,0)),"",INDEX(data!Q:Q,MATCH($N257,data!$A:$A,0)))</f>
        <v/>
      </c>
      <c r="BC257" s="38" t="str">
        <f>IF(ISNA(MATCH($N257,data!$A:$A,0)),"",INDEX(data!R:R,MATCH($N257,data!$A:$A,0)))</f>
        <v/>
      </c>
      <c r="BD257" s="38" t="str">
        <f>IF(ISNA(MATCH($N257,[1]data!$A:$A,0)),"",INDEX([1]data!U:U,MATCH($N257,[1]data!$A:$A,0)))</f>
        <v/>
      </c>
      <c r="BE257" s="61" t="e">
        <f>IF(COUNTIF([1]data!A:A,[1]!Table1[[#This Row],[UPC]])&lt;2,"","DUP")</f>
        <v>#VALUE!</v>
      </c>
      <c r="BF257" s="38" t="str">
        <f>IF(ISNA(MATCH($N257,data!$A:$A,0)),"",INDEX(data!W:W,MATCH($N257,data!$A:$A,0)))</f>
        <v/>
      </c>
    </row>
    <row r="258" spans="1:58" ht="12.75" customHeight="1">
      <c r="A258" s="35"/>
      <c r="B258" s="35"/>
      <c r="C258" s="35"/>
      <c r="D258" s="35"/>
      <c r="E258" s="67"/>
      <c r="F258" s="67"/>
      <c r="G258" s="36"/>
      <c r="H258" s="29"/>
      <c r="I258" s="78" t="str">
        <f t="shared" si="2"/>
        <v/>
      </c>
      <c r="J258" s="29"/>
      <c r="K258" s="29"/>
      <c r="L258" s="33"/>
      <c r="M258" s="33"/>
      <c r="N258" s="60"/>
      <c r="O258" s="71"/>
      <c r="P258" s="71"/>
      <c r="Q258" s="33"/>
      <c r="R258" s="31"/>
      <c r="S258" s="31"/>
      <c r="T258" s="59"/>
      <c r="U258" s="59"/>
      <c r="V258" s="59"/>
      <c r="W258" s="57">
        <f t="shared" si="3"/>
        <v>0</v>
      </c>
      <c r="X258" s="126" t="str">
        <f>IF(Table1[[#This Row],[Shipping Weight Pounds]]&gt;150,"See LTL Form","No")</f>
        <v>No</v>
      </c>
      <c r="Y258" s="28"/>
      <c r="Z258" s="33"/>
      <c r="AA258" s="34"/>
      <c r="AB258" s="30"/>
      <c r="AC258" s="30"/>
      <c r="AD258" s="32"/>
      <c r="AE258" s="32"/>
      <c r="AF258" s="2"/>
      <c r="AG258" s="2"/>
      <c r="AH258" s="2"/>
      <c r="AI258" s="2"/>
      <c r="AK258" s="73" t="str">
        <f>IF(ISNA(MATCH($N258,[1]data!$A:$A,0)),"",INDEX([1]data!S:S,MATCH($N258,[1]data!$A:$A,0)))</f>
        <v/>
      </c>
      <c r="AL258" s="73" t="str">
        <f>IF(ISNA(MATCH($N258,[1]data!$A:$A,0)),"",INDEX([1]data!V:V,MATCH($N258,[1]data!$A:$A,0)))</f>
        <v/>
      </c>
      <c r="AM258" s="38" t="str">
        <f>IF(ISNA(MATCH($N258,data!$A:$A,0)),"",INDEX(data!B:B,MATCH($N258,data!$A:$A,0)))</f>
        <v/>
      </c>
      <c r="AN258" s="38" t="str">
        <f>IF(ISNA(MATCH($N258,data!$A:$A,0)),"",INDEX(data!C:C,MATCH($N258,data!$A:$A,0)))</f>
        <v/>
      </c>
      <c r="AO258" s="38" t="str">
        <f>IF(ISNA(MATCH($N258,data!$A:$A,0)),"",INDEX(data!D:D,MATCH($N258,data!$A:$A,0)))</f>
        <v/>
      </c>
      <c r="AP258" s="38" t="str">
        <f>IF(ISNA(MATCH($N258,data!$A:$A,0)),"",INDEX(data!E:E,MATCH($N258,data!$A:$A,0)))</f>
        <v/>
      </c>
      <c r="AQ258" s="38" t="str">
        <f>IF(ISNA(MATCH($N258,data!$A:$A,0)),"",INDEX(data!F:F,MATCH($N258,data!$A:$A,0)))</f>
        <v/>
      </c>
      <c r="AR258" s="38" t="str">
        <f>IF(ISNA(MATCH($N258,data!$A:$A,0)),"",INDEX(data!G:G,MATCH($N258,data!$A:$A,0)))</f>
        <v/>
      </c>
      <c r="AS258" s="38" t="str">
        <f>IF(ISNA(MATCH($N258,data!$A:$A,0)),"",INDEX(data!H:H,MATCH($N258,data!$A:$A,0)))</f>
        <v/>
      </c>
      <c r="AT258" s="38" t="str">
        <f>IF(ISNA(MATCH($N258,data!$A:$A,0)),"",INDEX(data!I:I,MATCH($N258,data!$A:$A,0)))</f>
        <v/>
      </c>
      <c r="AU258" s="38" t="str">
        <f>IF(ISNA(MATCH($N258,[1]data!$A:$A,0)),"",INDEX([1]data!L:L,MATCH($N258,[1]data!$A:$A,0)))</f>
        <v/>
      </c>
      <c r="AV258" s="38" t="str">
        <f>IF(ISNA(MATCH($N258,[1]data!$A:$A,0)),"",INDEX([1]data!M:M,MATCH($N258,[1]data!$A:$A,0)))</f>
        <v/>
      </c>
      <c r="AW258" s="38" t="str">
        <f>IF(ISNA(MATCH($N258,data!$A:$A,0)),"",INDEX(data!J:J,MATCH($N258,data!$A:$A,0)))</f>
        <v/>
      </c>
      <c r="AX258" s="38" t="str">
        <f>IF(ISNA(MATCH($N258,data!$A:$A,0)),"",INDEX(data!K:K,MATCH($N258,data!$A:$A,0)))</f>
        <v/>
      </c>
      <c r="AY258" s="38" t="str">
        <f>IF(ISNA(MATCH($N258,data!$A:$A,0)),"",INDEX(data!O:O,MATCH($N258,data!$A:$A,0)))</f>
        <v/>
      </c>
      <c r="AZ258" s="38" t="str">
        <f>IF(ISNA(MATCH($N258,data!$A:$A,0)),"",INDEX(data!N:N,MATCH($N258,data!$A:$A,0)))</f>
        <v/>
      </c>
      <c r="BA258" s="38" t="str">
        <f>IF(ISNA(MATCH($N258,data!$A:$A,0)),"",INDEX(data!P:P,MATCH($N258,data!$A:$A,0)))</f>
        <v/>
      </c>
      <c r="BB258" s="38" t="str">
        <f>IF(ISNA(MATCH($N258,data!$A:$A,0)),"",INDEX(data!Q:Q,MATCH($N258,data!$A:$A,0)))</f>
        <v/>
      </c>
      <c r="BC258" s="38" t="str">
        <f>IF(ISNA(MATCH($N258,data!$A:$A,0)),"",INDEX(data!R:R,MATCH($N258,data!$A:$A,0)))</f>
        <v/>
      </c>
      <c r="BD258" s="38" t="str">
        <f>IF(ISNA(MATCH($N258,[1]data!$A:$A,0)),"",INDEX([1]data!U:U,MATCH($N258,[1]data!$A:$A,0)))</f>
        <v/>
      </c>
      <c r="BE258" s="61" t="e">
        <f>IF(COUNTIF([1]data!A:A,[1]!Table1[[#This Row],[UPC]])&lt;2,"","DUP")</f>
        <v>#VALUE!</v>
      </c>
      <c r="BF258" s="38" t="str">
        <f>IF(ISNA(MATCH($N258,data!$A:$A,0)),"",INDEX(data!W:W,MATCH($N258,data!$A:$A,0)))</f>
        <v/>
      </c>
    </row>
    <row r="259" spans="1:58" ht="12.75" customHeight="1">
      <c r="A259" s="35"/>
      <c r="B259" s="35"/>
      <c r="C259" s="35"/>
      <c r="D259" s="35"/>
      <c r="E259" s="67"/>
      <c r="F259" s="67"/>
      <c r="G259" s="36"/>
      <c r="H259" s="29"/>
      <c r="I259" s="78" t="str">
        <f t="shared" si="2"/>
        <v/>
      </c>
      <c r="J259" s="29"/>
      <c r="K259" s="29"/>
      <c r="L259" s="33"/>
      <c r="M259" s="33"/>
      <c r="N259" s="60"/>
      <c r="O259" s="71"/>
      <c r="P259" s="71"/>
      <c r="Q259" s="33"/>
      <c r="R259" s="31"/>
      <c r="S259" s="31"/>
      <c r="T259" s="59"/>
      <c r="U259" s="59"/>
      <c r="V259" s="59"/>
      <c r="W259" s="57">
        <f t="shared" si="3"/>
        <v>0</v>
      </c>
      <c r="X259" s="126" t="str">
        <f>IF(Table1[[#This Row],[Shipping Weight Pounds]]&gt;150,"See LTL Form","No")</f>
        <v>No</v>
      </c>
      <c r="Y259" s="28"/>
      <c r="Z259" s="33"/>
      <c r="AA259" s="34"/>
      <c r="AB259" s="30"/>
      <c r="AC259" s="30"/>
      <c r="AD259" s="32"/>
      <c r="AE259" s="32"/>
      <c r="AF259" s="2"/>
      <c r="AG259" s="2"/>
      <c r="AH259" s="2"/>
      <c r="AI259" s="2"/>
      <c r="AK259" s="73" t="str">
        <f>IF(ISNA(MATCH($N259,[1]data!$A:$A,0)),"",INDEX([1]data!S:S,MATCH($N259,[1]data!$A:$A,0)))</f>
        <v/>
      </c>
      <c r="AL259" s="73" t="str">
        <f>IF(ISNA(MATCH($N259,[1]data!$A:$A,0)),"",INDEX([1]data!V:V,MATCH($N259,[1]data!$A:$A,0)))</f>
        <v/>
      </c>
      <c r="AM259" s="38" t="str">
        <f>IF(ISNA(MATCH($N259,data!$A:$A,0)),"",INDEX(data!B:B,MATCH($N259,data!$A:$A,0)))</f>
        <v/>
      </c>
      <c r="AN259" s="38" t="str">
        <f>IF(ISNA(MATCH($N259,data!$A:$A,0)),"",INDEX(data!C:C,MATCH($N259,data!$A:$A,0)))</f>
        <v/>
      </c>
      <c r="AO259" s="38" t="str">
        <f>IF(ISNA(MATCH($N259,data!$A:$A,0)),"",INDEX(data!D:D,MATCH($N259,data!$A:$A,0)))</f>
        <v/>
      </c>
      <c r="AP259" s="38" t="str">
        <f>IF(ISNA(MATCH($N259,data!$A:$A,0)),"",INDEX(data!E:E,MATCH($N259,data!$A:$A,0)))</f>
        <v/>
      </c>
      <c r="AQ259" s="38" t="str">
        <f>IF(ISNA(MATCH($N259,data!$A:$A,0)),"",INDEX(data!F:F,MATCH($N259,data!$A:$A,0)))</f>
        <v/>
      </c>
      <c r="AR259" s="38" t="str">
        <f>IF(ISNA(MATCH($N259,data!$A:$A,0)),"",INDEX(data!G:G,MATCH($N259,data!$A:$A,0)))</f>
        <v/>
      </c>
      <c r="AS259" s="38" t="str">
        <f>IF(ISNA(MATCH($N259,data!$A:$A,0)),"",INDEX(data!H:H,MATCH($N259,data!$A:$A,0)))</f>
        <v/>
      </c>
      <c r="AT259" s="38" t="str">
        <f>IF(ISNA(MATCH($N259,data!$A:$A,0)),"",INDEX(data!I:I,MATCH($N259,data!$A:$A,0)))</f>
        <v/>
      </c>
      <c r="AU259" s="38" t="str">
        <f>IF(ISNA(MATCH($N259,[1]data!$A:$A,0)),"",INDEX([1]data!L:L,MATCH($N259,[1]data!$A:$A,0)))</f>
        <v/>
      </c>
      <c r="AV259" s="38" t="str">
        <f>IF(ISNA(MATCH($N259,[1]data!$A:$A,0)),"",INDEX([1]data!M:M,MATCH($N259,[1]data!$A:$A,0)))</f>
        <v/>
      </c>
      <c r="AW259" s="38" t="str">
        <f>IF(ISNA(MATCH($N259,data!$A:$A,0)),"",INDEX(data!J:J,MATCH($N259,data!$A:$A,0)))</f>
        <v/>
      </c>
      <c r="AX259" s="38" t="str">
        <f>IF(ISNA(MATCH($N259,data!$A:$A,0)),"",INDEX(data!K:K,MATCH($N259,data!$A:$A,0)))</f>
        <v/>
      </c>
      <c r="AY259" s="38" t="str">
        <f>IF(ISNA(MATCH($N259,data!$A:$A,0)),"",INDEX(data!O:O,MATCH($N259,data!$A:$A,0)))</f>
        <v/>
      </c>
      <c r="AZ259" s="38" t="str">
        <f>IF(ISNA(MATCH($N259,data!$A:$A,0)),"",INDEX(data!N:N,MATCH($N259,data!$A:$A,0)))</f>
        <v/>
      </c>
      <c r="BA259" s="38" t="str">
        <f>IF(ISNA(MATCH($N259,data!$A:$A,0)),"",INDEX(data!P:P,MATCH($N259,data!$A:$A,0)))</f>
        <v/>
      </c>
      <c r="BB259" s="38" t="str">
        <f>IF(ISNA(MATCH($N259,data!$A:$A,0)),"",INDEX(data!Q:Q,MATCH($N259,data!$A:$A,0)))</f>
        <v/>
      </c>
      <c r="BC259" s="38" t="str">
        <f>IF(ISNA(MATCH($N259,data!$A:$A,0)),"",INDEX(data!R:R,MATCH($N259,data!$A:$A,0)))</f>
        <v/>
      </c>
      <c r="BD259" s="38" t="str">
        <f>IF(ISNA(MATCH($N259,[1]data!$A:$A,0)),"",INDEX([1]data!U:U,MATCH($N259,[1]data!$A:$A,0)))</f>
        <v/>
      </c>
      <c r="BE259" s="61" t="e">
        <f>IF(COUNTIF([1]data!A:A,[1]!Table1[[#This Row],[UPC]])&lt;2,"","DUP")</f>
        <v>#VALUE!</v>
      </c>
      <c r="BF259" s="38" t="str">
        <f>IF(ISNA(MATCH($N259,data!$A:$A,0)),"",INDEX(data!W:W,MATCH($N259,data!$A:$A,0)))</f>
        <v/>
      </c>
    </row>
    <row r="260" spans="1:58" ht="12.75" customHeight="1">
      <c r="A260" s="35"/>
      <c r="B260" s="35"/>
      <c r="C260" s="35"/>
      <c r="D260" s="35"/>
      <c r="E260" s="67"/>
      <c r="F260" s="67"/>
      <c r="G260" s="36"/>
      <c r="H260" s="29"/>
      <c r="I260" s="78" t="str">
        <f t="shared" si="2"/>
        <v/>
      </c>
      <c r="J260" s="29"/>
      <c r="K260" s="29"/>
      <c r="L260" s="33"/>
      <c r="M260" s="33"/>
      <c r="N260" s="60"/>
      <c r="O260" s="71"/>
      <c r="P260" s="71"/>
      <c r="Q260" s="33"/>
      <c r="R260" s="31"/>
      <c r="S260" s="31"/>
      <c r="T260" s="59"/>
      <c r="U260" s="59"/>
      <c r="V260" s="59"/>
      <c r="W260" s="57">
        <f t="shared" si="3"/>
        <v>0</v>
      </c>
      <c r="X260" s="126" t="str">
        <f>IF(Table1[[#This Row],[Shipping Weight Pounds]]&gt;150,"See LTL Form","No")</f>
        <v>No</v>
      </c>
      <c r="Y260" s="28"/>
      <c r="Z260" s="33"/>
      <c r="AA260" s="34"/>
      <c r="AB260" s="30"/>
      <c r="AC260" s="30"/>
      <c r="AD260" s="32"/>
      <c r="AE260" s="32"/>
      <c r="AF260" s="2"/>
      <c r="AG260" s="2"/>
      <c r="AH260" s="2"/>
      <c r="AI260" s="2"/>
      <c r="AK260" s="73" t="str">
        <f>IF(ISNA(MATCH($N260,[1]data!$A:$A,0)),"",INDEX([1]data!S:S,MATCH($N260,[1]data!$A:$A,0)))</f>
        <v/>
      </c>
      <c r="AL260" s="73" t="str">
        <f>IF(ISNA(MATCH($N260,[1]data!$A:$A,0)),"",INDEX([1]data!V:V,MATCH($N260,[1]data!$A:$A,0)))</f>
        <v/>
      </c>
      <c r="AM260" s="38" t="str">
        <f>IF(ISNA(MATCH($N260,data!$A:$A,0)),"",INDEX(data!B:B,MATCH($N260,data!$A:$A,0)))</f>
        <v/>
      </c>
      <c r="AN260" s="38" t="str">
        <f>IF(ISNA(MATCH($N260,data!$A:$A,0)),"",INDEX(data!C:C,MATCH($N260,data!$A:$A,0)))</f>
        <v/>
      </c>
      <c r="AO260" s="38" t="str">
        <f>IF(ISNA(MATCH($N260,data!$A:$A,0)),"",INDEX(data!D:D,MATCH($N260,data!$A:$A,0)))</f>
        <v/>
      </c>
      <c r="AP260" s="38" t="str">
        <f>IF(ISNA(MATCH($N260,data!$A:$A,0)),"",INDEX(data!E:E,MATCH($N260,data!$A:$A,0)))</f>
        <v/>
      </c>
      <c r="AQ260" s="38" t="str">
        <f>IF(ISNA(MATCH($N260,data!$A:$A,0)),"",INDEX(data!F:F,MATCH($N260,data!$A:$A,0)))</f>
        <v/>
      </c>
      <c r="AR260" s="38" t="str">
        <f>IF(ISNA(MATCH($N260,data!$A:$A,0)),"",INDEX(data!G:G,MATCH($N260,data!$A:$A,0)))</f>
        <v/>
      </c>
      <c r="AS260" s="38" t="str">
        <f>IF(ISNA(MATCH($N260,data!$A:$A,0)),"",INDEX(data!H:H,MATCH($N260,data!$A:$A,0)))</f>
        <v/>
      </c>
      <c r="AT260" s="38" t="str">
        <f>IF(ISNA(MATCH($N260,data!$A:$A,0)),"",INDEX(data!I:I,MATCH($N260,data!$A:$A,0)))</f>
        <v/>
      </c>
      <c r="AU260" s="38" t="str">
        <f>IF(ISNA(MATCH($N260,[1]data!$A:$A,0)),"",INDEX([1]data!L:L,MATCH($N260,[1]data!$A:$A,0)))</f>
        <v/>
      </c>
      <c r="AV260" s="38" t="str">
        <f>IF(ISNA(MATCH($N260,[1]data!$A:$A,0)),"",INDEX([1]data!M:M,MATCH($N260,[1]data!$A:$A,0)))</f>
        <v/>
      </c>
      <c r="AW260" s="38" t="str">
        <f>IF(ISNA(MATCH($N260,data!$A:$A,0)),"",INDEX(data!J:J,MATCH($N260,data!$A:$A,0)))</f>
        <v/>
      </c>
      <c r="AX260" s="38" t="str">
        <f>IF(ISNA(MATCH($N260,data!$A:$A,0)),"",INDEX(data!K:K,MATCH($N260,data!$A:$A,0)))</f>
        <v/>
      </c>
      <c r="AY260" s="38" t="str">
        <f>IF(ISNA(MATCH($N260,data!$A:$A,0)),"",INDEX(data!O:O,MATCH($N260,data!$A:$A,0)))</f>
        <v/>
      </c>
      <c r="AZ260" s="38" t="str">
        <f>IF(ISNA(MATCH($N260,data!$A:$A,0)),"",INDEX(data!N:N,MATCH($N260,data!$A:$A,0)))</f>
        <v/>
      </c>
      <c r="BA260" s="38" t="str">
        <f>IF(ISNA(MATCH($N260,data!$A:$A,0)),"",INDEX(data!P:P,MATCH($N260,data!$A:$A,0)))</f>
        <v/>
      </c>
      <c r="BB260" s="38" t="str">
        <f>IF(ISNA(MATCH($N260,data!$A:$A,0)),"",INDEX(data!Q:Q,MATCH($N260,data!$A:$A,0)))</f>
        <v/>
      </c>
      <c r="BC260" s="38" t="str">
        <f>IF(ISNA(MATCH($N260,data!$A:$A,0)),"",INDEX(data!R:R,MATCH($N260,data!$A:$A,0)))</f>
        <v/>
      </c>
      <c r="BD260" s="38" t="str">
        <f>IF(ISNA(MATCH($N260,[1]data!$A:$A,0)),"",INDEX([1]data!U:U,MATCH($N260,[1]data!$A:$A,0)))</f>
        <v/>
      </c>
      <c r="BE260" s="61" t="e">
        <f>IF(COUNTIF([1]data!A:A,[1]!Table1[[#This Row],[UPC]])&lt;2,"","DUP")</f>
        <v>#VALUE!</v>
      </c>
      <c r="BF260" s="38" t="str">
        <f>IF(ISNA(MATCH($N260,data!$A:$A,0)),"",INDEX(data!W:W,MATCH($N260,data!$A:$A,0)))</f>
        <v/>
      </c>
    </row>
    <row r="261" spans="1:58" ht="12.75" customHeight="1">
      <c r="A261" s="35"/>
      <c r="B261" s="35"/>
      <c r="C261" s="35"/>
      <c r="D261" s="35"/>
      <c r="E261" s="67"/>
      <c r="F261" s="67"/>
      <c r="G261" s="36"/>
      <c r="H261" s="29"/>
      <c r="I261" s="78" t="str">
        <f t="shared" si="2"/>
        <v/>
      </c>
      <c r="J261" s="29"/>
      <c r="K261" s="29"/>
      <c r="L261" s="33"/>
      <c r="M261" s="33"/>
      <c r="N261" s="60"/>
      <c r="O261" s="71"/>
      <c r="P261" s="71"/>
      <c r="Q261" s="33"/>
      <c r="R261" s="31"/>
      <c r="S261" s="31"/>
      <c r="T261" s="59"/>
      <c r="U261" s="59"/>
      <c r="V261" s="59"/>
      <c r="W261" s="57">
        <f t="shared" si="3"/>
        <v>0</v>
      </c>
      <c r="X261" s="126" t="str">
        <f>IF(Table1[[#This Row],[Shipping Weight Pounds]]&gt;150,"See LTL Form","No")</f>
        <v>No</v>
      </c>
      <c r="Y261" s="28"/>
      <c r="Z261" s="33"/>
      <c r="AA261" s="34"/>
      <c r="AB261" s="30"/>
      <c r="AC261" s="30"/>
      <c r="AD261" s="32"/>
      <c r="AE261" s="32"/>
      <c r="AF261" s="2"/>
      <c r="AG261" s="2"/>
      <c r="AH261" s="2"/>
      <c r="AI261" s="2"/>
      <c r="AK261" s="73" t="str">
        <f>IF(ISNA(MATCH($N261,[1]data!$A:$A,0)),"",INDEX([1]data!S:S,MATCH($N261,[1]data!$A:$A,0)))</f>
        <v/>
      </c>
      <c r="AL261" s="73" t="str">
        <f>IF(ISNA(MATCH($N261,[1]data!$A:$A,0)),"",INDEX([1]data!V:V,MATCH($N261,[1]data!$A:$A,0)))</f>
        <v/>
      </c>
      <c r="AM261" s="38" t="str">
        <f>IF(ISNA(MATCH($N261,data!$A:$A,0)),"",INDEX(data!B:B,MATCH($N261,data!$A:$A,0)))</f>
        <v/>
      </c>
      <c r="AN261" s="38" t="str">
        <f>IF(ISNA(MATCH($N261,data!$A:$A,0)),"",INDEX(data!C:C,MATCH($N261,data!$A:$A,0)))</f>
        <v/>
      </c>
      <c r="AO261" s="38" t="str">
        <f>IF(ISNA(MATCH($N261,data!$A:$A,0)),"",INDEX(data!D:D,MATCH($N261,data!$A:$A,0)))</f>
        <v/>
      </c>
      <c r="AP261" s="38" t="str">
        <f>IF(ISNA(MATCH($N261,data!$A:$A,0)),"",INDEX(data!E:E,MATCH($N261,data!$A:$A,0)))</f>
        <v/>
      </c>
      <c r="AQ261" s="38" t="str">
        <f>IF(ISNA(MATCH($N261,data!$A:$A,0)),"",INDEX(data!F:F,MATCH($N261,data!$A:$A,0)))</f>
        <v/>
      </c>
      <c r="AR261" s="38" t="str">
        <f>IF(ISNA(MATCH($N261,data!$A:$A,0)),"",INDEX(data!G:G,MATCH($N261,data!$A:$A,0)))</f>
        <v/>
      </c>
      <c r="AS261" s="38" t="str">
        <f>IF(ISNA(MATCH($N261,data!$A:$A,0)),"",INDEX(data!H:H,MATCH($N261,data!$A:$A,0)))</f>
        <v/>
      </c>
      <c r="AT261" s="38" t="str">
        <f>IF(ISNA(MATCH($N261,data!$A:$A,0)),"",INDEX(data!I:I,MATCH($N261,data!$A:$A,0)))</f>
        <v/>
      </c>
      <c r="AU261" s="38" t="str">
        <f>IF(ISNA(MATCH($N261,[1]data!$A:$A,0)),"",INDEX([1]data!L:L,MATCH($N261,[1]data!$A:$A,0)))</f>
        <v/>
      </c>
      <c r="AV261" s="38" t="str">
        <f>IF(ISNA(MATCH($N261,[1]data!$A:$A,0)),"",INDEX([1]data!M:M,MATCH($N261,[1]data!$A:$A,0)))</f>
        <v/>
      </c>
      <c r="AW261" s="38" t="str">
        <f>IF(ISNA(MATCH($N261,data!$A:$A,0)),"",INDEX(data!J:J,MATCH($N261,data!$A:$A,0)))</f>
        <v/>
      </c>
      <c r="AX261" s="38" t="str">
        <f>IF(ISNA(MATCH($N261,data!$A:$A,0)),"",INDEX(data!K:K,MATCH($N261,data!$A:$A,0)))</f>
        <v/>
      </c>
      <c r="AY261" s="38" t="str">
        <f>IF(ISNA(MATCH($N261,data!$A:$A,0)),"",INDEX(data!O:O,MATCH($N261,data!$A:$A,0)))</f>
        <v/>
      </c>
      <c r="AZ261" s="38" t="str">
        <f>IF(ISNA(MATCH($N261,data!$A:$A,0)),"",INDEX(data!N:N,MATCH($N261,data!$A:$A,0)))</f>
        <v/>
      </c>
      <c r="BA261" s="38" t="str">
        <f>IF(ISNA(MATCH($N261,data!$A:$A,0)),"",INDEX(data!P:P,MATCH($N261,data!$A:$A,0)))</f>
        <v/>
      </c>
      <c r="BB261" s="38" t="str">
        <f>IF(ISNA(MATCH($N261,data!$A:$A,0)),"",INDEX(data!Q:Q,MATCH($N261,data!$A:$A,0)))</f>
        <v/>
      </c>
      <c r="BC261" s="38" t="str">
        <f>IF(ISNA(MATCH($N261,data!$A:$A,0)),"",INDEX(data!R:R,MATCH($N261,data!$A:$A,0)))</f>
        <v/>
      </c>
      <c r="BD261" s="38" t="str">
        <f>IF(ISNA(MATCH($N261,[1]data!$A:$A,0)),"",INDEX([1]data!U:U,MATCH($N261,[1]data!$A:$A,0)))</f>
        <v/>
      </c>
      <c r="BE261" s="61" t="e">
        <f>IF(COUNTIF([1]data!A:A,[1]!Table1[[#This Row],[UPC]])&lt;2,"","DUP")</f>
        <v>#VALUE!</v>
      </c>
      <c r="BF261" s="38" t="str">
        <f>IF(ISNA(MATCH($N261,data!$A:$A,0)),"",INDEX(data!W:W,MATCH($N261,data!$A:$A,0)))</f>
        <v/>
      </c>
    </row>
    <row r="262" spans="1:58" ht="12.75" customHeight="1">
      <c r="A262" s="35"/>
      <c r="B262" s="35"/>
      <c r="C262" s="35"/>
      <c r="D262" s="35"/>
      <c r="E262" s="67"/>
      <c r="F262" s="67"/>
      <c r="G262" s="36"/>
      <c r="H262" s="29"/>
      <c r="I262" s="78" t="str">
        <f t="shared" si="2"/>
        <v/>
      </c>
      <c r="J262" s="29"/>
      <c r="K262" s="29"/>
      <c r="L262" s="33"/>
      <c r="M262" s="33"/>
      <c r="N262" s="60"/>
      <c r="O262" s="71"/>
      <c r="P262" s="71"/>
      <c r="Q262" s="33"/>
      <c r="R262" s="31"/>
      <c r="S262" s="31"/>
      <c r="T262" s="59"/>
      <c r="U262" s="59"/>
      <c r="V262" s="59"/>
      <c r="W262" s="57">
        <f t="shared" si="3"/>
        <v>0</v>
      </c>
      <c r="X262" s="126" t="str">
        <f>IF(Table1[[#This Row],[Shipping Weight Pounds]]&gt;150,"See LTL Form","No")</f>
        <v>No</v>
      </c>
      <c r="Y262" s="28"/>
      <c r="Z262" s="33"/>
      <c r="AA262" s="34"/>
      <c r="AB262" s="30"/>
      <c r="AC262" s="30"/>
      <c r="AD262" s="32"/>
      <c r="AE262" s="32"/>
      <c r="AF262" s="2"/>
      <c r="AG262" s="2"/>
      <c r="AH262" s="2"/>
      <c r="AI262" s="2"/>
      <c r="AK262" s="73" t="str">
        <f>IF(ISNA(MATCH($N262,[1]data!$A:$A,0)),"",INDEX([1]data!S:S,MATCH($N262,[1]data!$A:$A,0)))</f>
        <v/>
      </c>
      <c r="AL262" s="73" t="str">
        <f>IF(ISNA(MATCH($N262,[1]data!$A:$A,0)),"",INDEX([1]data!V:V,MATCH($N262,[1]data!$A:$A,0)))</f>
        <v/>
      </c>
      <c r="AM262" s="38" t="str">
        <f>IF(ISNA(MATCH($N262,data!$A:$A,0)),"",INDEX(data!B:B,MATCH($N262,data!$A:$A,0)))</f>
        <v/>
      </c>
      <c r="AN262" s="38" t="str">
        <f>IF(ISNA(MATCH($N262,data!$A:$A,0)),"",INDEX(data!C:C,MATCH($N262,data!$A:$A,0)))</f>
        <v/>
      </c>
      <c r="AO262" s="38" t="str">
        <f>IF(ISNA(MATCH($N262,data!$A:$A,0)),"",INDEX(data!D:D,MATCH($N262,data!$A:$A,0)))</f>
        <v/>
      </c>
      <c r="AP262" s="38" t="str">
        <f>IF(ISNA(MATCH($N262,data!$A:$A,0)),"",INDEX(data!E:E,MATCH($N262,data!$A:$A,0)))</f>
        <v/>
      </c>
      <c r="AQ262" s="38" t="str">
        <f>IF(ISNA(MATCH($N262,data!$A:$A,0)),"",INDEX(data!F:F,MATCH($N262,data!$A:$A,0)))</f>
        <v/>
      </c>
      <c r="AR262" s="38" t="str">
        <f>IF(ISNA(MATCH($N262,data!$A:$A,0)),"",INDEX(data!G:G,MATCH($N262,data!$A:$A,0)))</f>
        <v/>
      </c>
      <c r="AS262" s="38" t="str">
        <f>IF(ISNA(MATCH($N262,data!$A:$A,0)),"",INDEX(data!H:H,MATCH($N262,data!$A:$A,0)))</f>
        <v/>
      </c>
      <c r="AT262" s="38" t="str">
        <f>IF(ISNA(MATCH($N262,data!$A:$A,0)),"",INDEX(data!I:I,MATCH($N262,data!$A:$A,0)))</f>
        <v/>
      </c>
      <c r="AU262" s="38" t="str">
        <f>IF(ISNA(MATCH($N262,[1]data!$A:$A,0)),"",INDEX([1]data!L:L,MATCH($N262,[1]data!$A:$A,0)))</f>
        <v/>
      </c>
      <c r="AV262" s="38" t="str">
        <f>IF(ISNA(MATCH($N262,[1]data!$A:$A,0)),"",INDEX([1]data!M:M,MATCH($N262,[1]data!$A:$A,0)))</f>
        <v/>
      </c>
      <c r="AW262" s="38" t="str">
        <f>IF(ISNA(MATCH($N262,data!$A:$A,0)),"",INDEX(data!J:J,MATCH($N262,data!$A:$A,0)))</f>
        <v/>
      </c>
      <c r="AX262" s="38" t="str">
        <f>IF(ISNA(MATCH($N262,data!$A:$A,0)),"",INDEX(data!K:K,MATCH($N262,data!$A:$A,0)))</f>
        <v/>
      </c>
      <c r="AY262" s="38" t="str">
        <f>IF(ISNA(MATCH($N262,data!$A:$A,0)),"",INDEX(data!O:O,MATCH($N262,data!$A:$A,0)))</f>
        <v/>
      </c>
      <c r="AZ262" s="38" t="str">
        <f>IF(ISNA(MATCH($N262,data!$A:$A,0)),"",INDEX(data!N:N,MATCH($N262,data!$A:$A,0)))</f>
        <v/>
      </c>
      <c r="BA262" s="38" t="str">
        <f>IF(ISNA(MATCH($N262,data!$A:$A,0)),"",INDEX(data!P:P,MATCH($N262,data!$A:$A,0)))</f>
        <v/>
      </c>
      <c r="BB262" s="38" t="str">
        <f>IF(ISNA(MATCH($N262,data!$A:$A,0)),"",INDEX(data!Q:Q,MATCH($N262,data!$A:$A,0)))</f>
        <v/>
      </c>
      <c r="BC262" s="38" t="str">
        <f>IF(ISNA(MATCH($N262,data!$A:$A,0)),"",INDEX(data!R:R,MATCH($N262,data!$A:$A,0)))</f>
        <v/>
      </c>
      <c r="BD262" s="38" t="str">
        <f>IF(ISNA(MATCH($N262,[1]data!$A:$A,0)),"",INDEX([1]data!U:U,MATCH($N262,[1]data!$A:$A,0)))</f>
        <v/>
      </c>
      <c r="BE262" s="61" t="e">
        <f>IF(COUNTIF([1]data!A:A,[1]!Table1[[#This Row],[UPC]])&lt;2,"","DUP")</f>
        <v>#VALUE!</v>
      </c>
      <c r="BF262" s="38" t="str">
        <f>IF(ISNA(MATCH($N262,data!$A:$A,0)),"",INDEX(data!W:W,MATCH($N262,data!$A:$A,0)))</f>
        <v/>
      </c>
    </row>
    <row r="263" spans="1:58" ht="12.75" customHeight="1">
      <c r="A263" s="35"/>
      <c r="B263" s="35"/>
      <c r="C263" s="35"/>
      <c r="D263" s="35"/>
      <c r="E263" s="67"/>
      <c r="F263" s="67"/>
      <c r="G263" s="36"/>
      <c r="H263" s="29"/>
      <c r="I263" s="78" t="str">
        <f t="shared" si="2"/>
        <v/>
      </c>
      <c r="J263" s="29"/>
      <c r="K263" s="29"/>
      <c r="L263" s="33"/>
      <c r="M263" s="33"/>
      <c r="N263" s="60"/>
      <c r="O263" s="71"/>
      <c r="P263" s="71"/>
      <c r="Q263" s="33"/>
      <c r="R263" s="31"/>
      <c r="S263" s="31"/>
      <c r="T263" s="59"/>
      <c r="U263" s="59"/>
      <c r="V263" s="59"/>
      <c r="W263" s="57">
        <f t="shared" si="3"/>
        <v>0</v>
      </c>
      <c r="X263" s="126" t="str">
        <f>IF(Table1[[#This Row],[Shipping Weight Pounds]]&gt;150,"See LTL Form","No")</f>
        <v>No</v>
      </c>
      <c r="Y263" s="28"/>
      <c r="Z263" s="33"/>
      <c r="AA263" s="34"/>
      <c r="AB263" s="30"/>
      <c r="AC263" s="30"/>
      <c r="AD263" s="32"/>
      <c r="AE263" s="32"/>
      <c r="AF263" s="2"/>
      <c r="AG263" s="2"/>
      <c r="AH263" s="2"/>
      <c r="AI263" s="2"/>
      <c r="AK263" s="73" t="str">
        <f>IF(ISNA(MATCH($N263,[1]data!$A:$A,0)),"",INDEX([1]data!S:S,MATCH($N263,[1]data!$A:$A,0)))</f>
        <v/>
      </c>
      <c r="AL263" s="73" t="str">
        <f>IF(ISNA(MATCH($N263,[1]data!$A:$A,0)),"",INDEX([1]data!V:V,MATCH($N263,[1]data!$A:$A,0)))</f>
        <v/>
      </c>
      <c r="AM263" s="38" t="str">
        <f>IF(ISNA(MATCH($N263,data!$A:$A,0)),"",INDEX(data!B:B,MATCH($N263,data!$A:$A,0)))</f>
        <v/>
      </c>
      <c r="AN263" s="38" t="str">
        <f>IF(ISNA(MATCH($N263,data!$A:$A,0)),"",INDEX(data!C:C,MATCH($N263,data!$A:$A,0)))</f>
        <v/>
      </c>
      <c r="AO263" s="38" t="str">
        <f>IF(ISNA(MATCH($N263,data!$A:$A,0)),"",INDEX(data!D:D,MATCH($N263,data!$A:$A,0)))</f>
        <v/>
      </c>
      <c r="AP263" s="38" t="str">
        <f>IF(ISNA(MATCH($N263,data!$A:$A,0)),"",INDEX(data!E:E,MATCH($N263,data!$A:$A,0)))</f>
        <v/>
      </c>
      <c r="AQ263" s="38" t="str">
        <f>IF(ISNA(MATCH($N263,data!$A:$A,0)),"",INDEX(data!F:F,MATCH($N263,data!$A:$A,0)))</f>
        <v/>
      </c>
      <c r="AR263" s="38" t="str">
        <f>IF(ISNA(MATCH($N263,data!$A:$A,0)),"",INDEX(data!G:G,MATCH($N263,data!$A:$A,0)))</f>
        <v/>
      </c>
      <c r="AS263" s="38" t="str">
        <f>IF(ISNA(MATCH($N263,data!$A:$A,0)),"",INDEX(data!H:H,MATCH($N263,data!$A:$A,0)))</f>
        <v/>
      </c>
      <c r="AT263" s="38" t="str">
        <f>IF(ISNA(MATCH($N263,data!$A:$A,0)),"",INDEX(data!I:I,MATCH($N263,data!$A:$A,0)))</f>
        <v/>
      </c>
      <c r="AU263" s="38" t="str">
        <f>IF(ISNA(MATCH($N263,[1]data!$A:$A,0)),"",INDEX([1]data!L:L,MATCH($N263,[1]data!$A:$A,0)))</f>
        <v/>
      </c>
      <c r="AV263" s="38" t="str">
        <f>IF(ISNA(MATCH($N263,[1]data!$A:$A,0)),"",INDEX([1]data!M:M,MATCH($N263,[1]data!$A:$A,0)))</f>
        <v/>
      </c>
      <c r="AW263" s="38" t="str">
        <f>IF(ISNA(MATCH($N263,data!$A:$A,0)),"",INDEX(data!J:J,MATCH($N263,data!$A:$A,0)))</f>
        <v/>
      </c>
      <c r="AX263" s="38" t="str">
        <f>IF(ISNA(MATCH($N263,data!$A:$A,0)),"",INDEX(data!K:K,MATCH($N263,data!$A:$A,0)))</f>
        <v/>
      </c>
      <c r="AY263" s="38" t="str">
        <f>IF(ISNA(MATCH($N263,data!$A:$A,0)),"",INDEX(data!O:O,MATCH($N263,data!$A:$A,0)))</f>
        <v/>
      </c>
      <c r="AZ263" s="38" t="str">
        <f>IF(ISNA(MATCH($N263,data!$A:$A,0)),"",INDEX(data!N:N,MATCH($N263,data!$A:$A,0)))</f>
        <v/>
      </c>
      <c r="BA263" s="38" t="str">
        <f>IF(ISNA(MATCH($N263,data!$A:$A,0)),"",INDEX(data!P:P,MATCH($N263,data!$A:$A,0)))</f>
        <v/>
      </c>
      <c r="BB263" s="38" t="str">
        <f>IF(ISNA(MATCH($N263,data!$A:$A,0)),"",INDEX(data!Q:Q,MATCH($N263,data!$A:$A,0)))</f>
        <v/>
      </c>
      <c r="BC263" s="38" t="str">
        <f>IF(ISNA(MATCH($N263,data!$A:$A,0)),"",INDEX(data!R:R,MATCH($N263,data!$A:$A,0)))</f>
        <v/>
      </c>
      <c r="BD263" s="38" t="str">
        <f>IF(ISNA(MATCH($N263,[1]data!$A:$A,0)),"",INDEX([1]data!U:U,MATCH($N263,[1]data!$A:$A,0)))</f>
        <v/>
      </c>
      <c r="BE263" s="61" t="e">
        <f>IF(COUNTIF([1]data!A:A,[1]!Table1[[#This Row],[UPC]])&lt;2,"","DUP")</f>
        <v>#VALUE!</v>
      </c>
      <c r="BF263" s="38" t="str">
        <f>IF(ISNA(MATCH($N263,data!$A:$A,0)),"",INDEX(data!W:W,MATCH($N263,data!$A:$A,0)))</f>
        <v/>
      </c>
    </row>
    <row r="264" spans="1:58" ht="12.75" customHeight="1">
      <c r="A264" s="35"/>
      <c r="B264" s="35"/>
      <c r="C264" s="35"/>
      <c r="D264" s="35"/>
      <c r="E264" s="67"/>
      <c r="F264" s="67"/>
      <c r="G264" s="36"/>
      <c r="H264" s="29"/>
      <c r="I264" s="78" t="str">
        <f t="shared" ref="I264:I327" si="4">IF(H264&lt;&gt;0,(H264-G264)/H264,"")</f>
        <v/>
      </c>
      <c r="J264" s="29"/>
      <c r="K264" s="29"/>
      <c r="L264" s="33"/>
      <c r="M264" s="33"/>
      <c r="N264" s="60"/>
      <c r="O264" s="71"/>
      <c r="P264" s="71"/>
      <c r="Q264" s="33"/>
      <c r="R264" s="31"/>
      <c r="S264" s="31"/>
      <c r="T264" s="59"/>
      <c r="U264" s="59"/>
      <c r="V264" s="59"/>
      <c r="W264" s="57">
        <f t="shared" ref="W264:W327" si="5">IF(ISERR(Q264*R264*S264),"",(Q264*R264*S264))</f>
        <v>0</v>
      </c>
      <c r="X264" s="126" t="str">
        <f>IF(Table1[[#This Row],[Shipping Weight Pounds]]&gt;150,"See LTL Form","No")</f>
        <v>No</v>
      </c>
      <c r="Y264" s="28"/>
      <c r="Z264" s="33"/>
      <c r="AA264" s="34"/>
      <c r="AB264" s="30"/>
      <c r="AC264" s="30"/>
      <c r="AD264" s="32"/>
      <c r="AE264" s="32"/>
      <c r="AF264" s="2"/>
      <c r="AG264" s="2"/>
      <c r="AH264" s="2"/>
      <c r="AI264" s="2"/>
      <c r="AK264" s="73" t="str">
        <f>IF(ISNA(MATCH($N264,[1]data!$A:$A,0)),"",INDEX([1]data!S:S,MATCH($N264,[1]data!$A:$A,0)))</f>
        <v/>
      </c>
      <c r="AL264" s="73" t="str">
        <f>IF(ISNA(MATCH($N264,[1]data!$A:$A,0)),"",INDEX([1]data!V:V,MATCH($N264,[1]data!$A:$A,0)))</f>
        <v/>
      </c>
      <c r="AM264" s="38" t="str">
        <f>IF(ISNA(MATCH($N264,data!$A:$A,0)),"",INDEX(data!B:B,MATCH($N264,data!$A:$A,0)))</f>
        <v/>
      </c>
      <c r="AN264" s="38" t="str">
        <f>IF(ISNA(MATCH($N264,data!$A:$A,0)),"",INDEX(data!C:C,MATCH($N264,data!$A:$A,0)))</f>
        <v/>
      </c>
      <c r="AO264" s="38" t="str">
        <f>IF(ISNA(MATCH($N264,data!$A:$A,0)),"",INDEX(data!D:D,MATCH($N264,data!$A:$A,0)))</f>
        <v/>
      </c>
      <c r="AP264" s="38" t="str">
        <f>IF(ISNA(MATCH($N264,data!$A:$A,0)),"",INDEX(data!E:E,MATCH($N264,data!$A:$A,0)))</f>
        <v/>
      </c>
      <c r="AQ264" s="38" t="str">
        <f>IF(ISNA(MATCH($N264,data!$A:$A,0)),"",INDEX(data!F:F,MATCH($N264,data!$A:$A,0)))</f>
        <v/>
      </c>
      <c r="AR264" s="38" t="str">
        <f>IF(ISNA(MATCH($N264,data!$A:$A,0)),"",INDEX(data!G:G,MATCH($N264,data!$A:$A,0)))</f>
        <v/>
      </c>
      <c r="AS264" s="38" t="str">
        <f>IF(ISNA(MATCH($N264,data!$A:$A,0)),"",INDEX(data!H:H,MATCH($N264,data!$A:$A,0)))</f>
        <v/>
      </c>
      <c r="AT264" s="38" t="str">
        <f>IF(ISNA(MATCH($N264,data!$A:$A,0)),"",INDEX(data!I:I,MATCH($N264,data!$A:$A,0)))</f>
        <v/>
      </c>
      <c r="AU264" s="38" t="str">
        <f>IF(ISNA(MATCH($N264,[1]data!$A:$A,0)),"",INDEX([1]data!L:L,MATCH($N264,[1]data!$A:$A,0)))</f>
        <v/>
      </c>
      <c r="AV264" s="38" t="str">
        <f>IF(ISNA(MATCH($N264,[1]data!$A:$A,0)),"",INDEX([1]data!M:M,MATCH($N264,[1]data!$A:$A,0)))</f>
        <v/>
      </c>
      <c r="AW264" s="38" t="str">
        <f>IF(ISNA(MATCH($N264,data!$A:$A,0)),"",INDEX(data!J:J,MATCH($N264,data!$A:$A,0)))</f>
        <v/>
      </c>
      <c r="AX264" s="38" t="str">
        <f>IF(ISNA(MATCH($N264,data!$A:$A,0)),"",INDEX(data!K:K,MATCH($N264,data!$A:$A,0)))</f>
        <v/>
      </c>
      <c r="AY264" s="38" t="str">
        <f>IF(ISNA(MATCH($N264,data!$A:$A,0)),"",INDEX(data!O:O,MATCH($N264,data!$A:$A,0)))</f>
        <v/>
      </c>
      <c r="AZ264" s="38" t="str">
        <f>IF(ISNA(MATCH($N264,data!$A:$A,0)),"",INDEX(data!N:N,MATCH($N264,data!$A:$A,0)))</f>
        <v/>
      </c>
      <c r="BA264" s="38" t="str">
        <f>IF(ISNA(MATCH($N264,data!$A:$A,0)),"",INDEX(data!P:P,MATCH($N264,data!$A:$A,0)))</f>
        <v/>
      </c>
      <c r="BB264" s="38" t="str">
        <f>IF(ISNA(MATCH($N264,data!$A:$A,0)),"",INDEX(data!Q:Q,MATCH($N264,data!$A:$A,0)))</f>
        <v/>
      </c>
      <c r="BC264" s="38" t="str">
        <f>IF(ISNA(MATCH($N264,data!$A:$A,0)),"",INDEX(data!R:R,MATCH($N264,data!$A:$A,0)))</f>
        <v/>
      </c>
      <c r="BD264" s="38" t="str">
        <f>IF(ISNA(MATCH($N264,[1]data!$A:$A,0)),"",INDEX([1]data!U:U,MATCH($N264,[1]data!$A:$A,0)))</f>
        <v/>
      </c>
      <c r="BE264" s="61" t="e">
        <f>IF(COUNTIF([1]data!A:A,[1]!Table1[[#This Row],[UPC]])&lt;2,"","DUP")</f>
        <v>#VALUE!</v>
      </c>
      <c r="BF264" s="38" t="str">
        <f>IF(ISNA(MATCH($N264,data!$A:$A,0)),"",INDEX(data!W:W,MATCH($N264,data!$A:$A,0)))</f>
        <v/>
      </c>
    </row>
    <row r="265" spans="1:58" s="40" customFormat="1" ht="12.75" customHeight="1">
      <c r="A265" s="35"/>
      <c r="B265" s="35"/>
      <c r="C265" s="35"/>
      <c r="D265" s="35"/>
      <c r="E265" s="67"/>
      <c r="F265" s="67"/>
      <c r="G265" s="36"/>
      <c r="H265" s="29"/>
      <c r="I265" s="78" t="str">
        <f t="shared" si="4"/>
        <v/>
      </c>
      <c r="J265" s="29"/>
      <c r="K265" s="29"/>
      <c r="L265" s="33"/>
      <c r="M265" s="33"/>
      <c r="N265" s="60"/>
      <c r="O265" s="71"/>
      <c r="P265" s="71"/>
      <c r="Q265" s="33"/>
      <c r="R265" s="31"/>
      <c r="S265" s="31"/>
      <c r="T265" s="59"/>
      <c r="U265" s="59"/>
      <c r="V265" s="59"/>
      <c r="W265" s="57">
        <f t="shared" si="5"/>
        <v>0</v>
      </c>
      <c r="X265" s="126" t="str">
        <f>IF(Table1[[#This Row],[Shipping Weight Pounds]]&gt;150,"See LTL Form","No")</f>
        <v>No</v>
      </c>
      <c r="Y265" s="28"/>
      <c r="Z265" s="33"/>
      <c r="AA265" s="34"/>
      <c r="AB265" s="30"/>
      <c r="AC265" s="30"/>
      <c r="AD265" s="32"/>
      <c r="AE265" s="32"/>
      <c r="AF265" s="2"/>
      <c r="AG265" s="2"/>
      <c r="AH265" s="2"/>
      <c r="AI265" s="2"/>
      <c r="AK265" s="73" t="str">
        <f>IF(ISNA(MATCH($N265,[1]data!$A:$A,0)),"",INDEX([1]data!S:S,MATCH($N265,[1]data!$A:$A,0)))</f>
        <v/>
      </c>
      <c r="AL265" s="73" t="str">
        <f>IF(ISNA(MATCH($N265,[1]data!$A:$A,0)),"",INDEX([1]data!V:V,MATCH($N265,[1]data!$A:$A,0)))</f>
        <v/>
      </c>
      <c r="AM265" s="38" t="str">
        <f>IF(ISNA(MATCH($N265,data!$A:$A,0)),"",INDEX(data!B:B,MATCH($N265,data!$A:$A,0)))</f>
        <v/>
      </c>
      <c r="AN265" s="38" t="str">
        <f>IF(ISNA(MATCH($N265,data!$A:$A,0)),"",INDEX(data!C:C,MATCH($N265,data!$A:$A,0)))</f>
        <v/>
      </c>
      <c r="AO265" s="38" t="str">
        <f>IF(ISNA(MATCH($N265,data!$A:$A,0)),"",INDEX(data!D:D,MATCH($N265,data!$A:$A,0)))</f>
        <v/>
      </c>
      <c r="AP265" s="38" t="str">
        <f>IF(ISNA(MATCH($N265,data!$A:$A,0)),"",INDEX(data!E:E,MATCH($N265,data!$A:$A,0)))</f>
        <v/>
      </c>
      <c r="AQ265" s="38" t="str">
        <f>IF(ISNA(MATCH($N265,data!$A:$A,0)),"",INDEX(data!F:F,MATCH($N265,data!$A:$A,0)))</f>
        <v/>
      </c>
      <c r="AR265" s="38" t="str">
        <f>IF(ISNA(MATCH($N265,data!$A:$A,0)),"",INDEX(data!G:G,MATCH($N265,data!$A:$A,0)))</f>
        <v/>
      </c>
      <c r="AS265" s="38" t="str">
        <f>IF(ISNA(MATCH($N265,data!$A:$A,0)),"",INDEX(data!H:H,MATCH($N265,data!$A:$A,0)))</f>
        <v/>
      </c>
      <c r="AT265" s="38" t="str">
        <f>IF(ISNA(MATCH($N265,data!$A:$A,0)),"",INDEX(data!I:I,MATCH($N265,data!$A:$A,0)))</f>
        <v/>
      </c>
      <c r="AU265" s="38" t="str">
        <f>IF(ISNA(MATCH($N265,[1]data!$A:$A,0)),"",INDEX([1]data!L:L,MATCH($N265,[1]data!$A:$A,0)))</f>
        <v/>
      </c>
      <c r="AV265" s="38" t="str">
        <f>IF(ISNA(MATCH($N265,[1]data!$A:$A,0)),"",INDEX([1]data!M:M,MATCH($N265,[1]data!$A:$A,0)))</f>
        <v/>
      </c>
      <c r="AW265" s="38" t="str">
        <f>IF(ISNA(MATCH($N265,data!$A:$A,0)),"",INDEX(data!J:J,MATCH($N265,data!$A:$A,0)))</f>
        <v/>
      </c>
      <c r="AX265" s="38" t="str">
        <f>IF(ISNA(MATCH($N265,data!$A:$A,0)),"",INDEX(data!K:K,MATCH($N265,data!$A:$A,0)))</f>
        <v/>
      </c>
      <c r="AY265" s="38" t="str">
        <f>IF(ISNA(MATCH($N265,data!$A:$A,0)),"",INDEX(data!O:O,MATCH($N265,data!$A:$A,0)))</f>
        <v/>
      </c>
      <c r="AZ265" s="38" t="str">
        <f>IF(ISNA(MATCH($N265,data!$A:$A,0)),"",INDEX(data!N:N,MATCH($N265,data!$A:$A,0)))</f>
        <v/>
      </c>
      <c r="BA265" s="38" t="str">
        <f>IF(ISNA(MATCH($N265,data!$A:$A,0)),"",INDEX(data!P:P,MATCH($N265,data!$A:$A,0)))</f>
        <v/>
      </c>
      <c r="BB265" s="38" t="str">
        <f>IF(ISNA(MATCH($N265,data!$A:$A,0)),"",INDEX(data!Q:Q,MATCH($N265,data!$A:$A,0)))</f>
        <v/>
      </c>
      <c r="BC265" s="38" t="str">
        <f>IF(ISNA(MATCH($N265,data!$A:$A,0)),"",INDEX(data!R:R,MATCH($N265,data!$A:$A,0)))</f>
        <v/>
      </c>
      <c r="BD265" s="38" t="str">
        <f>IF(ISNA(MATCH($N265,[1]data!$A:$A,0)),"",INDEX([1]data!U:U,MATCH($N265,[1]data!$A:$A,0)))</f>
        <v/>
      </c>
      <c r="BE265" s="61" t="e">
        <f>IF(COUNTIF([1]data!A:A,[1]!Table1[[#This Row],[UPC]])&lt;2,"","DUP")</f>
        <v>#VALUE!</v>
      </c>
      <c r="BF265" s="38" t="str">
        <f>IF(ISNA(MATCH($N265,data!$A:$A,0)),"",INDEX(data!W:W,MATCH($N265,data!$A:$A,0)))</f>
        <v/>
      </c>
    </row>
    <row r="266" spans="1:58" ht="12.75" customHeight="1">
      <c r="A266" s="35"/>
      <c r="B266" s="35"/>
      <c r="C266" s="35"/>
      <c r="D266" s="35"/>
      <c r="E266" s="67"/>
      <c r="F266" s="67"/>
      <c r="G266" s="36"/>
      <c r="H266" s="29"/>
      <c r="I266" s="78" t="str">
        <f t="shared" si="4"/>
        <v/>
      </c>
      <c r="J266" s="29"/>
      <c r="K266" s="29"/>
      <c r="L266" s="33"/>
      <c r="M266" s="33"/>
      <c r="N266" s="60"/>
      <c r="O266" s="71"/>
      <c r="P266" s="71"/>
      <c r="Q266" s="33"/>
      <c r="R266" s="31"/>
      <c r="S266" s="31"/>
      <c r="T266" s="59"/>
      <c r="U266" s="59"/>
      <c r="V266" s="59"/>
      <c r="W266" s="57">
        <f t="shared" si="5"/>
        <v>0</v>
      </c>
      <c r="X266" s="126" t="str">
        <f>IF(Table1[[#This Row],[Shipping Weight Pounds]]&gt;150,"See LTL Form","No")</f>
        <v>No</v>
      </c>
      <c r="Y266" s="28"/>
      <c r="Z266" s="33"/>
      <c r="AA266" s="34"/>
      <c r="AB266" s="30"/>
      <c r="AC266" s="30"/>
      <c r="AD266" s="32"/>
      <c r="AE266" s="32"/>
      <c r="AF266" s="2"/>
      <c r="AG266" s="2"/>
      <c r="AH266" s="2"/>
      <c r="AI266" s="2"/>
      <c r="AK266" s="73" t="str">
        <f>IF(ISNA(MATCH($N266,[1]data!$A:$A,0)),"",INDEX([1]data!S:S,MATCH($N266,[1]data!$A:$A,0)))</f>
        <v/>
      </c>
      <c r="AL266" s="73" t="str">
        <f>IF(ISNA(MATCH($N266,[1]data!$A:$A,0)),"",INDEX([1]data!V:V,MATCH($N266,[1]data!$A:$A,0)))</f>
        <v/>
      </c>
      <c r="AM266" s="38" t="str">
        <f>IF(ISNA(MATCH($N266,data!$A:$A,0)),"",INDEX(data!B:B,MATCH($N266,data!$A:$A,0)))</f>
        <v/>
      </c>
      <c r="AN266" s="38" t="str">
        <f>IF(ISNA(MATCH($N266,data!$A:$A,0)),"",INDEX(data!C:C,MATCH($N266,data!$A:$A,0)))</f>
        <v/>
      </c>
      <c r="AO266" s="38" t="str">
        <f>IF(ISNA(MATCH($N266,data!$A:$A,0)),"",INDEX(data!D:D,MATCH($N266,data!$A:$A,0)))</f>
        <v/>
      </c>
      <c r="AP266" s="38" t="str">
        <f>IF(ISNA(MATCH($N266,data!$A:$A,0)),"",INDEX(data!E:E,MATCH($N266,data!$A:$A,0)))</f>
        <v/>
      </c>
      <c r="AQ266" s="38" t="str">
        <f>IF(ISNA(MATCH($N266,data!$A:$A,0)),"",INDEX(data!F:F,MATCH($N266,data!$A:$A,0)))</f>
        <v/>
      </c>
      <c r="AR266" s="38" t="str">
        <f>IF(ISNA(MATCH($N266,data!$A:$A,0)),"",INDEX(data!G:G,MATCH($N266,data!$A:$A,0)))</f>
        <v/>
      </c>
      <c r="AS266" s="38" t="str">
        <f>IF(ISNA(MATCH($N266,data!$A:$A,0)),"",INDEX(data!H:H,MATCH($N266,data!$A:$A,0)))</f>
        <v/>
      </c>
      <c r="AT266" s="38" t="str">
        <f>IF(ISNA(MATCH($N266,data!$A:$A,0)),"",INDEX(data!I:I,MATCH($N266,data!$A:$A,0)))</f>
        <v/>
      </c>
      <c r="AU266" s="38" t="str">
        <f>IF(ISNA(MATCH($N266,[1]data!$A:$A,0)),"",INDEX([1]data!L:L,MATCH($N266,[1]data!$A:$A,0)))</f>
        <v/>
      </c>
      <c r="AV266" s="38" t="str">
        <f>IF(ISNA(MATCH($N266,[1]data!$A:$A,0)),"",INDEX([1]data!M:M,MATCH($N266,[1]data!$A:$A,0)))</f>
        <v/>
      </c>
      <c r="AW266" s="38" t="str">
        <f>IF(ISNA(MATCH($N266,data!$A:$A,0)),"",INDEX(data!J:J,MATCH($N266,data!$A:$A,0)))</f>
        <v/>
      </c>
      <c r="AX266" s="38" t="str">
        <f>IF(ISNA(MATCH($N266,data!$A:$A,0)),"",INDEX(data!K:K,MATCH($N266,data!$A:$A,0)))</f>
        <v/>
      </c>
      <c r="AY266" s="38" t="str">
        <f>IF(ISNA(MATCH($N266,data!$A:$A,0)),"",INDEX(data!O:O,MATCH($N266,data!$A:$A,0)))</f>
        <v/>
      </c>
      <c r="AZ266" s="38" t="str">
        <f>IF(ISNA(MATCH($N266,data!$A:$A,0)),"",INDEX(data!N:N,MATCH($N266,data!$A:$A,0)))</f>
        <v/>
      </c>
      <c r="BA266" s="38" t="str">
        <f>IF(ISNA(MATCH($N266,data!$A:$A,0)),"",INDEX(data!P:P,MATCH($N266,data!$A:$A,0)))</f>
        <v/>
      </c>
      <c r="BB266" s="38" t="str">
        <f>IF(ISNA(MATCH($N266,data!$A:$A,0)),"",INDEX(data!Q:Q,MATCH($N266,data!$A:$A,0)))</f>
        <v/>
      </c>
      <c r="BC266" s="38" t="str">
        <f>IF(ISNA(MATCH($N266,data!$A:$A,0)),"",INDEX(data!R:R,MATCH($N266,data!$A:$A,0)))</f>
        <v/>
      </c>
      <c r="BD266" s="38" t="str">
        <f>IF(ISNA(MATCH($N266,[1]data!$A:$A,0)),"",INDEX([1]data!U:U,MATCH($N266,[1]data!$A:$A,0)))</f>
        <v/>
      </c>
      <c r="BE266" s="61" t="e">
        <f>IF(COUNTIF([1]data!A:A,[1]!Table1[[#This Row],[UPC]])&lt;2,"","DUP")</f>
        <v>#VALUE!</v>
      </c>
      <c r="BF266" s="38" t="str">
        <f>IF(ISNA(MATCH($N266,data!$A:$A,0)),"",INDEX(data!W:W,MATCH($N266,data!$A:$A,0)))</f>
        <v/>
      </c>
    </row>
    <row r="267" spans="1:58" ht="12.75" customHeight="1">
      <c r="A267" s="35"/>
      <c r="B267" s="35"/>
      <c r="C267" s="35"/>
      <c r="D267" s="35"/>
      <c r="E267" s="67"/>
      <c r="F267" s="67"/>
      <c r="G267" s="36"/>
      <c r="H267" s="29"/>
      <c r="I267" s="78" t="str">
        <f t="shared" si="4"/>
        <v/>
      </c>
      <c r="J267" s="29"/>
      <c r="K267" s="29"/>
      <c r="L267" s="33"/>
      <c r="M267" s="33"/>
      <c r="N267" s="60"/>
      <c r="O267" s="71"/>
      <c r="P267" s="71"/>
      <c r="Q267" s="33"/>
      <c r="R267" s="31"/>
      <c r="S267" s="31"/>
      <c r="T267" s="59"/>
      <c r="U267" s="59"/>
      <c r="V267" s="59"/>
      <c r="W267" s="57">
        <f t="shared" si="5"/>
        <v>0</v>
      </c>
      <c r="X267" s="126" t="str">
        <f>IF(Table1[[#This Row],[Shipping Weight Pounds]]&gt;150,"See LTL Form","No")</f>
        <v>No</v>
      </c>
      <c r="Y267" s="28"/>
      <c r="Z267" s="33"/>
      <c r="AA267" s="34"/>
      <c r="AB267" s="30"/>
      <c r="AC267" s="30"/>
      <c r="AD267" s="32"/>
      <c r="AE267" s="32"/>
      <c r="AF267" s="2"/>
      <c r="AG267" s="2"/>
      <c r="AH267" s="2"/>
      <c r="AI267" s="2"/>
      <c r="AK267" s="73" t="str">
        <f>IF(ISNA(MATCH($N267,[1]data!$A:$A,0)),"",INDEX([1]data!S:S,MATCH($N267,[1]data!$A:$A,0)))</f>
        <v/>
      </c>
      <c r="AL267" s="73" t="str">
        <f>IF(ISNA(MATCH($N267,[1]data!$A:$A,0)),"",INDEX([1]data!V:V,MATCH($N267,[1]data!$A:$A,0)))</f>
        <v/>
      </c>
      <c r="AM267" s="38" t="str">
        <f>IF(ISNA(MATCH($N267,data!$A:$A,0)),"",INDEX(data!B:B,MATCH($N267,data!$A:$A,0)))</f>
        <v/>
      </c>
      <c r="AN267" s="38" t="str">
        <f>IF(ISNA(MATCH($N267,data!$A:$A,0)),"",INDEX(data!C:C,MATCH($N267,data!$A:$A,0)))</f>
        <v/>
      </c>
      <c r="AO267" s="38" t="str">
        <f>IF(ISNA(MATCH($N267,data!$A:$A,0)),"",INDEX(data!D:D,MATCH($N267,data!$A:$A,0)))</f>
        <v/>
      </c>
      <c r="AP267" s="38" t="str">
        <f>IF(ISNA(MATCH($N267,data!$A:$A,0)),"",INDEX(data!E:E,MATCH($N267,data!$A:$A,0)))</f>
        <v/>
      </c>
      <c r="AQ267" s="38" t="str">
        <f>IF(ISNA(MATCH($N267,data!$A:$A,0)),"",INDEX(data!F:F,MATCH($N267,data!$A:$A,0)))</f>
        <v/>
      </c>
      <c r="AR267" s="38" t="str">
        <f>IF(ISNA(MATCH($N267,data!$A:$A,0)),"",INDEX(data!G:G,MATCH($N267,data!$A:$A,0)))</f>
        <v/>
      </c>
      <c r="AS267" s="38" t="str">
        <f>IF(ISNA(MATCH($N267,data!$A:$A,0)),"",INDEX(data!H:H,MATCH($N267,data!$A:$A,0)))</f>
        <v/>
      </c>
      <c r="AT267" s="38" t="str">
        <f>IF(ISNA(MATCH($N267,data!$A:$A,0)),"",INDEX(data!I:I,MATCH($N267,data!$A:$A,0)))</f>
        <v/>
      </c>
      <c r="AU267" s="38" t="str">
        <f>IF(ISNA(MATCH($N267,[1]data!$A:$A,0)),"",INDEX([1]data!L:L,MATCH($N267,[1]data!$A:$A,0)))</f>
        <v/>
      </c>
      <c r="AV267" s="38" t="str">
        <f>IF(ISNA(MATCH($N267,[1]data!$A:$A,0)),"",INDEX([1]data!M:M,MATCH($N267,[1]data!$A:$A,0)))</f>
        <v/>
      </c>
      <c r="AW267" s="38" t="str">
        <f>IF(ISNA(MATCH($N267,data!$A:$A,0)),"",INDEX(data!J:J,MATCH($N267,data!$A:$A,0)))</f>
        <v/>
      </c>
      <c r="AX267" s="38" t="str">
        <f>IF(ISNA(MATCH($N267,data!$A:$A,0)),"",INDEX(data!K:K,MATCH($N267,data!$A:$A,0)))</f>
        <v/>
      </c>
      <c r="AY267" s="38" t="str">
        <f>IF(ISNA(MATCH($N267,data!$A:$A,0)),"",INDEX(data!O:O,MATCH($N267,data!$A:$A,0)))</f>
        <v/>
      </c>
      <c r="AZ267" s="38" t="str">
        <f>IF(ISNA(MATCH($N267,data!$A:$A,0)),"",INDEX(data!N:N,MATCH($N267,data!$A:$A,0)))</f>
        <v/>
      </c>
      <c r="BA267" s="38" t="str">
        <f>IF(ISNA(MATCH($N267,data!$A:$A,0)),"",INDEX(data!P:P,MATCH($N267,data!$A:$A,0)))</f>
        <v/>
      </c>
      <c r="BB267" s="38" t="str">
        <f>IF(ISNA(MATCH($N267,data!$A:$A,0)),"",INDEX(data!Q:Q,MATCH($N267,data!$A:$A,0)))</f>
        <v/>
      </c>
      <c r="BC267" s="38" t="str">
        <f>IF(ISNA(MATCH($N267,data!$A:$A,0)),"",INDEX(data!R:R,MATCH($N267,data!$A:$A,0)))</f>
        <v/>
      </c>
      <c r="BD267" s="38" t="str">
        <f>IF(ISNA(MATCH($N267,[1]data!$A:$A,0)),"",INDEX([1]data!U:U,MATCH($N267,[1]data!$A:$A,0)))</f>
        <v/>
      </c>
      <c r="BE267" s="61" t="e">
        <f>IF(COUNTIF([1]data!A:A,[1]!Table1[[#This Row],[UPC]])&lt;2,"","DUP")</f>
        <v>#VALUE!</v>
      </c>
      <c r="BF267" s="38" t="str">
        <f>IF(ISNA(MATCH($N267,data!$A:$A,0)),"",INDEX(data!W:W,MATCH($N267,data!$A:$A,0)))</f>
        <v/>
      </c>
    </row>
    <row r="268" spans="1:58" ht="12.75" customHeight="1">
      <c r="A268" s="35"/>
      <c r="B268" s="35"/>
      <c r="C268" s="35"/>
      <c r="D268" s="35"/>
      <c r="E268" s="67"/>
      <c r="F268" s="67"/>
      <c r="G268" s="36"/>
      <c r="H268" s="29"/>
      <c r="I268" s="78" t="str">
        <f t="shared" si="4"/>
        <v/>
      </c>
      <c r="J268" s="29"/>
      <c r="K268" s="29"/>
      <c r="L268" s="33"/>
      <c r="M268" s="33"/>
      <c r="N268" s="60"/>
      <c r="O268" s="71"/>
      <c r="P268" s="71"/>
      <c r="Q268" s="33"/>
      <c r="R268" s="31"/>
      <c r="S268" s="31"/>
      <c r="T268" s="59"/>
      <c r="U268" s="59"/>
      <c r="V268" s="59"/>
      <c r="W268" s="57">
        <f t="shared" si="5"/>
        <v>0</v>
      </c>
      <c r="X268" s="126" t="str">
        <f>IF(Table1[[#This Row],[Shipping Weight Pounds]]&gt;150,"See LTL Form","No")</f>
        <v>No</v>
      </c>
      <c r="Y268" s="28"/>
      <c r="Z268" s="33"/>
      <c r="AA268" s="34"/>
      <c r="AB268" s="30"/>
      <c r="AC268" s="30"/>
      <c r="AD268" s="32"/>
      <c r="AE268" s="32"/>
      <c r="AF268" s="2"/>
      <c r="AG268" s="2"/>
      <c r="AH268" s="2"/>
      <c r="AI268" s="2"/>
      <c r="AK268" s="73" t="str">
        <f>IF(ISNA(MATCH($N268,[1]data!$A:$A,0)),"",INDEX([1]data!S:S,MATCH($N268,[1]data!$A:$A,0)))</f>
        <v/>
      </c>
      <c r="AL268" s="73" t="str">
        <f>IF(ISNA(MATCH($N268,[1]data!$A:$A,0)),"",INDEX([1]data!V:V,MATCH($N268,[1]data!$A:$A,0)))</f>
        <v/>
      </c>
      <c r="AM268" s="38" t="str">
        <f>IF(ISNA(MATCH($N268,data!$A:$A,0)),"",INDEX(data!B:B,MATCH($N268,data!$A:$A,0)))</f>
        <v/>
      </c>
      <c r="AN268" s="38" t="str">
        <f>IF(ISNA(MATCH($N268,data!$A:$A,0)),"",INDEX(data!C:C,MATCH($N268,data!$A:$A,0)))</f>
        <v/>
      </c>
      <c r="AO268" s="38" t="str">
        <f>IF(ISNA(MATCH($N268,data!$A:$A,0)),"",INDEX(data!D:D,MATCH($N268,data!$A:$A,0)))</f>
        <v/>
      </c>
      <c r="AP268" s="38" t="str">
        <f>IF(ISNA(MATCH($N268,data!$A:$A,0)),"",INDEX(data!E:E,MATCH($N268,data!$A:$A,0)))</f>
        <v/>
      </c>
      <c r="AQ268" s="38" t="str">
        <f>IF(ISNA(MATCH($N268,data!$A:$A,0)),"",INDEX(data!F:F,MATCH($N268,data!$A:$A,0)))</f>
        <v/>
      </c>
      <c r="AR268" s="38" t="str">
        <f>IF(ISNA(MATCH($N268,data!$A:$A,0)),"",INDEX(data!G:G,MATCH($N268,data!$A:$A,0)))</f>
        <v/>
      </c>
      <c r="AS268" s="38" t="str">
        <f>IF(ISNA(MATCH($N268,data!$A:$A,0)),"",INDEX(data!H:H,MATCH($N268,data!$A:$A,0)))</f>
        <v/>
      </c>
      <c r="AT268" s="38" t="str">
        <f>IF(ISNA(MATCH($N268,data!$A:$A,0)),"",INDEX(data!I:I,MATCH($N268,data!$A:$A,0)))</f>
        <v/>
      </c>
      <c r="AU268" s="38" t="str">
        <f>IF(ISNA(MATCH($N268,[1]data!$A:$A,0)),"",INDEX([1]data!L:L,MATCH($N268,[1]data!$A:$A,0)))</f>
        <v/>
      </c>
      <c r="AV268" s="38" t="str">
        <f>IF(ISNA(MATCH($N268,[1]data!$A:$A,0)),"",INDEX([1]data!M:M,MATCH($N268,[1]data!$A:$A,0)))</f>
        <v/>
      </c>
      <c r="AW268" s="38" t="str">
        <f>IF(ISNA(MATCH($N268,data!$A:$A,0)),"",INDEX(data!J:J,MATCH($N268,data!$A:$A,0)))</f>
        <v/>
      </c>
      <c r="AX268" s="38" t="str">
        <f>IF(ISNA(MATCH($N268,data!$A:$A,0)),"",INDEX(data!K:K,MATCH($N268,data!$A:$A,0)))</f>
        <v/>
      </c>
      <c r="AY268" s="38" t="str">
        <f>IF(ISNA(MATCH($N268,data!$A:$A,0)),"",INDEX(data!O:O,MATCH($N268,data!$A:$A,0)))</f>
        <v/>
      </c>
      <c r="AZ268" s="38" t="str">
        <f>IF(ISNA(MATCH($N268,data!$A:$A,0)),"",INDEX(data!N:N,MATCH($N268,data!$A:$A,0)))</f>
        <v/>
      </c>
      <c r="BA268" s="38" t="str">
        <f>IF(ISNA(MATCH($N268,data!$A:$A,0)),"",INDEX(data!P:P,MATCH($N268,data!$A:$A,0)))</f>
        <v/>
      </c>
      <c r="BB268" s="38" t="str">
        <f>IF(ISNA(MATCH($N268,data!$A:$A,0)),"",INDEX(data!Q:Q,MATCH($N268,data!$A:$A,0)))</f>
        <v/>
      </c>
      <c r="BC268" s="38" t="str">
        <f>IF(ISNA(MATCH($N268,data!$A:$A,0)),"",INDEX(data!R:R,MATCH($N268,data!$A:$A,0)))</f>
        <v/>
      </c>
      <c r="BD268" s="38" t="str">
        <f>IF(ISNA(MATCH($N268,[1]data!$A:$A,0)),"",INDEX([1]data!U:U,MATCH($N268,[1]data!$A:$A,0)))</f>
        <v/>
      </c>
      <c r="BE268" s="61" t="e">
        <f>IF(COUNTIF([1]data!A:A,[1]!Table1[[#This Row],[UPC]])&lt;2,"","DUP")</f>
        <v>#VALUE!</v>
      </c>
      <c r="BF268" s="38" t="str">
        <f>IF(ISNA(MATCH($N268,data!$A:$A,0)),"",INDEX(data!W:W,MATCH($N268,data!$A:$A,0)))</f>
        <v/>
      </c>
    </row>
    <row r="269" spans="1:58" ht="12.75" customHeight="1">
      <c r="A269" s="35"/>
      <c r="B269" s="35"/>
      <c r="C269" s="35"/>
      <c r="D269" s="35"/>
      <c r="E269" s="67"/>
      <c r="F269" s="67"/>
      <c r="G269" s="36"/>
      <c r="H269" s="29"/>
      <c r="I269" s="78" t="str">
        <f t="shared" si="4"/>
        <v/>
      </c>
      <c r="J269" s="29"/>
      <c r="K269" s="29"/>
      <c r="L269" s="33"/>
      <c r="M269" s="33"/>
      <c r="N269" s="60"/>
      <c r="O269" s="71"/>
      <c r="P269" s="71"/>
      <c r="Q269" s="33"/>
      <c r="R269" s="31"/>
      <c r="S269" s="31"/>
      <c r="T269" s="59"/>
      <c r="U269" s="59"/>
      <c r="V269" s="59"/>
      <c r="W269" s="57">
        <f t="shared" si="5"/>
        <v>0</v>
      </c>
      <c r="X269" s="126" t="str">
        <f>IF(Table1[[#This Row],[Shipping Weight Pounds]]&gt;150,"See LTL Form","No")</f>
        <v>No</v>
      </c>
      <c r="Y269" s="28"/>
      <c r="Z269" s="33"/>
      <c r="AA269" s="34"/>
      <c r="AB269" s="30"/>
      <c r="AC269" s="30"/>
      <c r="AD269" s="32"/>
      <c r="AE269" s="32"/>
      <c r="AF269" s="2"/>
      <c r="AG269" s="2"/>
      <c r="AH269" s="2"/>
      <c r="AI269" s="2"/>
      <c r="AK269" s="73" t="str">
        <f>IF(ISNA(MATCH($N269,[1]data!$A:$A,0)),"",INDEX([1]data!S:S,MATCH($N269,[1]data!$A:$A,0)))</f>
        <v/>
      </c>
      <c r="AL269" s="73" t="str">
        <f>IF(ISNA(MATCH($N269,[1]data!$A:$A,0)),"",INDEX([1]data!V:V,MATCH($N269,[1]data!$A:$A,0)))</f>
        <v/>
      </c>
      <c r="AM269" s="38" t="str">
        <f>IF(ISNA(MATCH($N269,data!$A:$A,0)),"",INDEX(data!B:B,MATCH($N269,data!$A:$A,0)))</f>
        <v/>
      </c>
      <c r="AN269" s="38" t="str">
        <f>IF(ISNA(MATCH($N269,data!$A:$A,0)),"",INDEX(data!C:C,MATCH($N269,data!$A:$A,0)))</f>
        <v/>
      </c>
      <c r="AO269" s="38" t="str">
        <f>IF(ISNA(MATCH($N269,data!$A:$A,0)),"",INDEX(data!D:D,MATCH($N269,data!$A:$A,0)))</f>
        <v/>
      </c>
      <c r="AP269" s="38" t="str">
        <f>IF(ISNA(MATCH($N269,data!$A:$A,0)),"",INDEX(data!E:E,MATCH($N269,data!$A:$A,0)))</f>
        <v/>
      </c>
      <c r="AQ269" s="38" t="str">
        <f>IF(ISNA(MATCH($N269,data!$A:$A,0)),"",INDEX(data!F:F,MATCH($N269,data!$A:$A,0)))</f>
        <v/>
      </c>
      <c r="AR269" s="38" t="str">
        <f>IF(ISNA(MATCH($N269,data!$A:$A,0)),"",INDEX(data!G:G,MATCH($N269,data!$A:$A,0)))</f>
        <v/>
      </c>
      <c r="AS269" s="38" t="str">
        <f>IF(ISNA(MATCH($N269,data!$A:$A,0)),"",INDEX(data!H:H,MATCH($N269,data!$A:$A,0)))</f>
        <v/>
      </c>
      <c r="AT269" s="38" t="str">
        <f>IF(ISNA(MATCH($N269,data!$A:$A,0)),"",INDEX(data!I:I,MATCH($N269,data!$A:$A,0)))</f>
        <v/>
      </c>
      <c r="AU269" s="38" t="str">
        <f>IF(ISNA(MATCH($N269,[1]data!$A:$A,0)),"",INDEX([1]data!L:L,MATCH($N269,[1]data!$A:$A,0)))</f>
        <v/>
      </c>
      <c r="AV269" s="38" t="str">
        <f>IF(ISNA(MATCH($N269,[1]data!$A:$A,0)),"",INDEX([1]data!M:M,MATCH($N269,[1]data!$A:$A,0)))</f>
        <v/>
      </c>
      <c r="AW269" s="38" t="str">
        <f>IF(ISNA(MATCH($N269,data!$A:$A,0)),"",INDEX(data!J:J,MATCH($N269,data!$A:$A,0)))</f>
        <v/>
      </c>
      <c r="AX269" s="38" t="str">
        <f>IF(ISNA(MATCH($N269,data!$A:$A,0)),"",INDEX(data!K:K,MATCH($N269,data!$A:$A,0)))</f>
        <v/>
      </c>
      <c r="AY269" s="38" t="str">
        <f>IF(ISNA(MATCH($N269,data!$A:$A,0)),"",INDEX(data!O:O,MATCH($N269,data!$A:$A,0)))</f>
        <v/>
      </c>
      <c r="AZ269" s="38" t="str">
        <f>IF(ISNA(MATCH($N269,data!$A:$A,0)),"",INDEX(data!N:N,MATCH($N269,data!$A:$A,0)))</f>
        <v/>
      </c>
      <c r="BA269" s="38" t="str">
        <f>IF(ISNA(MATCH($N269,data!$A:$A,0)),"",INDEX(data!P:P,MATCH($N269,data!$A:$A,0)))</f>
        <v/>
      </c>
      <c r="BB269" s="38" t="str">
        <f>IF(ISNA(MATCH($N269,data!$A:$A,0)),"",INDEX(data!Q:Q,MATCH($N269,data!$A:$A,0)))</f>
        <v/>
      </c>
      <c r="BC269" s="38" t="str">
        <f>IF(ISNA(MATCH($N269,data!$A:$A,0)),"",INDEX(data!R:R,MATCH($N269,data!$A:$A,0)))</f>
        <v/>
      </c>
      <c r="BD269" s="38" t="str">
        <f>IF(ISNA(MATCH($N269,[1]data!$A:$A,0)),"",INDEX([1]data!U:U,MATCH($N269,[1]data!$A:$A,0)))</f>
        <v/>
      </c>
      <c r="BE269" s="61" t="e">
        <f>IF(COUNTIF([1]data!A:A,[1]!Table1[[#This Row],[UPC]])&lt;2,"","DUP")</f>
        <v>#VALUE!</v>
      </c>
      <c r="BF269" s="38" t="str">
        <f>IF(ISNA(MATCH($N269,data!$A:$A,0)),"",INDEX(data!W:W,MATCH($N269,data!$A:$A,0)))</f>
        <v/>
      </c>
    </row>
    <row r="270" spans="1:58" ht="12.75" customHeight="1">
      <c r="A270" s="35"/>
      <c r="B270" s="35"/>
      <c r="C270" s="35"/>
      <c r="D270" s="35"/>
      <c r="E270" s="67"/>
      <c r="F270" s="67"/>
      <c r="G270" s="36"/>
      <c r="H270" s="29"/>
      <c r="I270" s="78" t="str">
        <f t="shared" si="4"/>
        <v/>
      </c>
      <c r="J270" s="29"/>
      <c r="K270" s="29"/>
      <c r="L270" s="33"/>
      <c r="M270" s="33"/>
      <c r="N270" s="60"/>
      <c r="O270" s="71"/>
      <c r="P270" s="71"/>
      <c r="Q270" s="33"/>
      <c r="R270" s="31"/>
      <c r="S270" s="31"/>
      <c r="T270" s="59"/>
      <c r="U270" s="59"/>
      <c r="V270" s="59"/>
      <c r="W270" s="57">
        <f t="shared" si="5"/>
        <v>0</v>
      </c>
      <c r="X270" s="126" t="str">
        <f>IF(Table1[[#This Row],[Shipping Weight Pounds]]&gt;150,"See LTL Form","No")</f>
        <v>No</v>
      </c>
      <c r="Y270" s="28"/>
      <c r="Z270" s="33"/>
      <c r="AA270" s="34"/>
      <c r="AB270" s="30"/>
      <c r="AC270" s="30"/>
      <c r="AD270" s="32"/>
      <c r="AE270" s="32"/>
      <c r="AF270" s="2"/>
      <c r="AG270" s="2"/>
      <c r="AH270" s="2"/>
      <c r="AI270" s="2"/>
      <c r="AK270" s="73" t="str">
        <f>IF(ISNA(MATCH($N270,[1]data!$A:$A,0)),"",INDEX([1]data!S:S,MATCH($N270,[1]data!$A:$A,0)))</f>
        <v/>
      </c>
      <c r="AL270" s="73" t="str">
        <f>IF(ISNA(MATCH($N270,[1]data!$A:$A,0)),"",INDEX([1]data!V:V,MATCH($N270,[1]data!$A:$A,0)))</f>
        <v/>
      </c>
      <c r="AM270" s="38" t="str">
        <f>IF(ISNA(MATCH($N270,data!$A:$A,0)),"",INDEX(data!B:B,MATCH($N270,data!$A:$A,0)))</f>
        <v/>
      </c>
      <c r="AN270" s="38" t="str">
        <f>IF(ISNA(MATCH($N270,data!$A:$A,0)),"",INDEX(data!C:C,MATCH($N270,data!$A:$A,0)))</f>
        <v/>
      </c>
      <c r="AO270" s="38" t="str">
        <f>IF(ISNA(MATCH($N270,data!$A:$A,0)),"",INDEX(data!D:D,MATCH($N270,data!$A:$A,0)))</f>
        <v/>
      </c>
      <c r="AP270" s="38" t="str">
        <f>IF(ISNA(MATCH($N270,data!$A:$A,0)),"",INDEX(data!E:E,MATCH($N270,data!$A:$A,0)))</f>
        <v/>
      </c>
      <c r="AQ270" s="38" t="str">
        <f>IF(ISNA(MATCH($N270,data!$A:$A,0)),"",INDEX(data!F:F,MATCH($N270,data!$A:$A,0)))</f>
        <v/>
      </c>
      <c r="AR270" s="38" t="str">
        <f>IF(ISNA(MATCH($N270,data!$A:$A,0)),"",INDEX(data!G:G,MATCH($N270,data!$A:$A,0)))</f>
        <v/>
      </c>
      <c r="AS270" s="38" t="str">
        <f>IF(ISNA(MATCH($N270,data!$A:$A,0)),"",INDEX(data!H:H,MATCH($N270,data!$A:$A,0)))</f>
        <v/>
      </c>
      <c r="AT270" s="38" t="str">
        <f>IF(ISNA(MATCH($N270,data!$A:$A,0)),"",INDEX(data!I:I,MATCH($N270,data!$A:$A,0)))</f>
        <v/>
      </c>
      <c r="AU270" s="38" t="str">
        <f>IF(ISNA(MATCH($N270,[1]data!$A:$A,0)),"",INDEX([1]data!L:L,MATCH($N270,[1]data!$A:$A,0)))</f>
        <v/>
      </c>
      <c r="AV270" s="38" t="str">
        <f>IF(ISNA(MATCH($N270,[1]data!$A:$A,0)),"",INDEX([1]data!M:M,MATCH($N270,[1]data!$A:$A,0)))</f>
        <v/>
      </c>
      <c r="AW270" s="38" t="str">
        <f>IF(ISNA(MATCH($N270,data!$A:$A,0)),"",INDEX(data!J:J,MATCH($N270,data!$A:$A,0)))</f>
        <v/>
      </c>
      <c r="AX270" s="38" t="str">
        <f>IF(ISNA(MATCH($N270,data!$A:$A,0)),"",INDEX(data!K:K,MATCH($N270,data!$A:$A,0)))</f>
        <v/>
      </c>
      <c r="AY270" s="38" t="str">
        <f>IF(ISNA(MATCH($N270,data!$A:$A,0)),"",INDEX(data!O:O,MATCH($N270,data!$A:$A,0)))</f>
        <v/>
      </c>
      <c r="AZ270" s="38" t="str">
        <f>IF(ISNA(MATCH($N270,data!$A:$A,0)),"",INDEX(data!N:N,MATCH($N270,data!$A:$A,0)))</f>
        <v/>
      </c>
      <c r="BA270" s="38" t="str">
        <f>IF(ISNA(MATCH($N270,data!$A:$A,0)),"",INDEX(data!P:P,MATCH($N270,data!$A:$A,0)))</f>
        <v/>
      </c>
      <c r="BB270" s="38" t="str">
        <f>IF(ISNA(MATCH($N270,data!$A:$A,0)),"",INDEX(data!Q:Q,MATCH($N270,data!$A:$A,0)))</f>
        <v/>
      </c>
      <c r="BC270" s="38" t="str">
        <f>IF(ISNA(MATCH($N270,data!$A:$A,0)),"",INDEX(data!R:R,MATCH($N270,data!$A:$A,0)))</f>
        <v/>
      </c>
      <c r="BD270" s="38" t="str">
        <f>IF(ISNA(MATCH($N270,[1]data!$A:$A,0)),"",INDEX([1]data!U:U,MATCH($N270,[1]data!$A:$A,0)))</f>
        <v/>
      </c>
      <c r="BE270" s="61" t="e">
        <f>IF(COUNTIF([1]data!A:A,[1]!Table1[[#This Row],[UPC]])&lt;2,"","DUP")</f>
        <v>#VALUE!</v>
      </c>
      <c r="BF270" s="38" t="str">
        <f>IF(ISNA(MATCH($N270,data!$A:$A,0)),"",INDEX(data!W:W,MATCH($N270,data!$A:$A,0)))</f>
        <v/>
      </c>
    </row>
    <row r="271" spans="1:58" ht="12.75" customHeight="1">
      <c r="A271" s="35"/>
      <c r="B271" s="35"/>
      <c r="C271" s="35"/>
      <c r="D271" s="35"/>
      <c r="E271" s="67"/>
      <c r="F271" s="67"/>
      <c r="G271" s="36"/>
      <c r="H271" s="29"/>
      <c r="I271" s="78" t="str">
        <f t="shared" si="4"/>
        <v/>
      </c>
      <c r="J271" s="29"/>
      <c r="K271" s="29"/>
      <c r="L271" s="33"/>
      <c r="M271" s="33"/>
      <c r="N271" s="60"/>
      <c r="O271" s="71"/>
      <c r="P271" s="71"/>
      <c r="Q271" s="33"/>
      <c r="R271" s="31"/>
      <c r="S271" s="31"/>
      <c r="T271" s="59"/>
      <c r="U271" s="59"/>
      <c r="V271" s="59"/>
      <c r="W271" s="57">
        <f t="shared" si="5"/>
        <v>0</v>
      </c>
      <c r="X271" s="126" t="str">
        <f>IF(Table1[[#This Row],[Shipping Weight Pounds]]&gt;150,"See LTL Form","No")</f>
        <v>No</v>
      </c>
      <c r="Y271" s="28"/>
      <c r="Z271" s="33"/>
      <c r="AA271" s="34"/>
      <c r="AB271" s="30"/>
      <c r="AC271" s="30"/>
      <c r="AD271" s="32"/>
      <c r="AE271" s="32"/>
      <c r="AF271" s="2"/>
      <c r="AG271" s="2"/>
      <c r="AH271" s="2"/>
      <c r="AI271" s="2"/>
      <c r="AK271" s="73" t="str">
        <f>IF(ISNA(MATCH($N271,[1]data!$A:$A,0)),"",INDEX([1]data!S:S,MATCH($N271,[1]data!$A:$A,0)))</f>
        <v/>
      </c>
      <c r="AL271" s="73" t="str">
        <f>IF(ISNA(MATCH($N271,[1]data!$A:$A,0)),"",INDEX([1]data!V:V,MATCH($N271,[1]data!$A:$A,0)))</f>
        <v/>
      </c>
      <c r="AM271" s="38" t="str">
        <f>IF(ISNA(MATCH($N271,data!$A:$A,0)),"",INDEX(data!B:B,MATCH($N271,data!$A:$A,0)))</f>
        <v/>
      </c>
      <c r="AN271" s="38" t="str">
        <f>IF(ISNA(MATCH($N271,data!$A:$A,0)),"",INDEX(data!C:C,MATCH($N271,data!$A:$A,0)))</f>
        <v/>
      </c>
      <c r="AO271" s="38" t="str">
        <f>IF(ISNA(MATCH($N271,data!$A:$A,0)),"",INDEX(data!D:D,MATCH($N271,data!$A:$A,0)))</f>
        <v/>
      </c>
      <c r="AP271" s="38" t="str">
        <f>IF(ISNA(MATCH($N271,data!$A:$A,0)),"",INDEX(data!E:E,MATCH($N271,data!$A:$A,0)))</f>
        <v/>
      </c>
      <c r="AQ271" s="38" t="str">
        <f>IF(ISNA(MATCH($N271,data!$A:$A,0)),"",INDEX(data!F:F,MATCH($N271,data!$A:$A,0)))</f>
        <v/>
      </c>
      <c r="AR271" s="38" t="str">
        <f>IF(ISNA(MATCH($N271,data!$A:$A,0)),"",INDEX(data!G:G,MATCH($N271,data!$A:$A,0)))</f>
        <v/>
      </c>
      <c r="AS271" s="38" t="str">
        <f>IF(ISNA(MATCH($N271,data!$A:$A,0)),"",INDEX(data!H:H,MATCH($N271,data!$A:$A,0)))</f>
        <v/>
      </c>
      <c r="AT271" s="38" t="str">
        <f>IF(ISNA(MATCH($N271,data!$A:$A,0)),"",INDEX(data!I:I,MATCH($N271,data!$A:$A,0)))</f>
        <v/>
      </c>
      <c r="AU271" s="38" t="str">
        <f>IF(ISNA(MATCH($N271,[1]data!$A:$A,0)),"",INDEX([1]data!L:L,MATCH($N271,[1]data!$A:$A,0)))</f>
        <v/>
      </c>
      <c r="AV271" s="38" t="str">
        <f>IF(ISNA(MATCH($N271,[1]data!$A:$A,0)),"",INDEX([1]data!M:M,MATCH($N271,[1]data!$A:$A,0)))</f>
        <v/>
      </c>
      <c r="AW271" s="38" t="str">
        <f>IF(ISNA(MATCH($N271,data!$A:$A,0)),"",INDEX(data!J:J,MATCH($N271,data!$A:$A,0)))</f>
        <v/>
      </c>
      <c r="AX271" s="38" t="str">
        <f>IF(ISNA(MATCH($N271,data!$A:$A,0)),"",INDEX(data!K:K,MATCH($N271,data!$A:$A,0)))</f>
        <v/>
      </c>
      <c r="AY271" s="38" t="str">
        <f>IF(ISNA(MATCH($N271,data!$A:$A,0)),"",INDEX(data!O:O,MATCH($N271,data!$A:$A,0)))</f>
        <v/>
      </c>
      <c r="AZ271" s="38" t="str">
        <f>IF(ISNA(MATCH($N271,data!$A:$A,0)),"",INDEX(data!N:N,MATCH($N271,data!$A:$A,0)))</f>
        <v/>
      </c>
      <c r="BA271" s="38" t="str">
        <f>IF(ISNA(MATCH($N271,data!$A:$A,0)),"",INDEX(data!P:P,MATCH($N271,data!$A:$A,0)))</f>
        <v/>
      </c>
      <c r="BB271" s="38" t="str">
        <f>IF(ISNA(MATCH($N271,data!$A:$A,0)),"",INDEX(data!Q:Q,MATCH($N271,data!$A:$A,0)))</f>
        <v/>
      </c>
      <c r="BC271" s="38" t="str">
        <f>IF(ISNA(MATCH($N271,data!$A:$A,0)),"",INDEX(data!R:R,MATCH($N271,data!$A:$A,0)))</f>
        <v/>
      </c>
      <c r="BD271" s="38" t="str">
        <f>IF(ISNA(MATCH($N271,[1]data!$A:$A,0)),"",INDEX([1]data!U:U,MATCH($N271,[1]data!$A:$A,0)))</f>
        <v/>
      </c>
      <c r="BE271" s="61" t="e">
        <f>IF(COUNTIF([1]data!A:A,[1]!Table1[[#This Row],[UPC]])&lt;2,"","DUP")</f>
        <v>#VALUE!</v>
      </c>
      <c r="BF271" s="38" t="str">
        <f>IF(ISNA(MATCH($N271,data!$A:$A,0)),"",INDEX(data!W:W,MATCH($N271,data!$A:$A,0)))</f>
        <v/>
      </c>
    </row>
    <row r="272" spans="1:58" ht="12.75" customHeight="1">
      <c r="A272" s="35"/>
      <c r="B272" s="35"/>
      <c r="C272" s="35"/>
      <c r="D272" s="35"/>
      <c r="E272" s="67"/>
      <c r="F272" s="67"/>
      <c r="G272" s="36"/>
      <c r="H272" s="29"/>
      <c r="I272" s="78" t="str">
        <f t="shared" si="4"/>
        <v/>
      </c>
      <c r="J272" s="29"/>
      <c r="K272" s="29"/>
      <c r="L272" s="33"/>
      <c r="M272" s="33"/>
      <c r="N272" s="60"/>
      <c r="O272" s="71"/>
      <c r="P272" s="71"/>
      <c r="Q272" s="33"/>
      <c r="R272" s="31"/>
      <c r="S272" s="31"/>
      <c r="T272" s="59"/>
      <c r="U272" s="59"/>
      <c r="V272" s="59"/>
      <c r="W272" s="57">
        <f t="shared" si="5"/>
        <v>0</v>
      </c>
      <c r="X272" s="126" t="str">
        <f>IF(Table1[[#This Row],[Shipping Weight Pounds]]&gt;150,"See LTL Form","No")</f>
        <v>No</v>
      </c>
      <c r="Y272" s="28"/>
      <c r="Z272" s="33"/>
      <c r="AA272" s="34"/>
      <c r="AB272" s="30"/>
      <c r="AC272" s="30"/>
      <c r="AD272" s="32"/>
      <c r="AE272" s="32"/>
      <c r="AF272" s="2"/>
      <c r="AG272" s="2"/>
      <c r="AH272" s="2"/>
      <c r="AI272" s="2"/>
      <c r="AK272" s="73" t="str">
        <f>IF(ISNA(MATCH($N272,[1]data!$A:$A,0)),"",INDEX([1]data!S:S,MATCH($N272,[1]data!$A:$A,0)))</f>
        <v/>
      </c>
      <c r="AL272" s="73" t="str">
        <f>IF(ISNA(MATCH($N272,[1]data!$A:$A,0)),"",INDEX([1]data!V:V,MATCH($N272,[1]data!$A:$A,0)))</f>
        <v/>
      </c>
      <c r="AM272" s="38" t="str">
        <f>IF(ISNA(MATCH($N272,data!$A:$A,0)),"",INDEX(data!B:B,MATCH($N272,data!$A:$A,0)))</f>
        <v/>
      </c>
      <c r="AN272" s="38" t="str">
        <f>IF(ISNA(MATCH($N272,data!$A:$A,0)),"",INDEX(data!C:C,MATCH($N272,data!$A:$A,0)))</f>
        <v/>
      </c>
      <c r="AO272" s="38" t="str">
        <f>IF(ISNA(MATCH($N272,data!$A:$A,0)),"",INDEX(data!D:D,MATCH($N272,data!$A:$A,0)))</f>
        <v/>
      </c>
      <c r="AP272" s="38" t="str">
        <f>IF(ISNA(MATCH($N272,data!$A:$A,0)),"",INDEX(data!E:E,MATCH($N272,data!$A:$A,0)))</f>
        <v/>
      </c>
      <c r="AQ272" s="38" t="str">
        <f>IF(ISNA(MATCH($N272,data!$A:$A,0)),"",INDEX(data!F:F,MATCH($N272,data!$A:$A,0)))</f>
        <v/>
      </c>
      <c r="AR272" s="38" t="str">
        <f>IF(ISNA(MATCH($N272,data!$A:$A,0)),"",INDEX(data!G:G,MATCH($N272,data!$A:$A,0)))</f>
        <v/>
      </c>
      <c r="AS272" s="38" t="str">
        <f>IF(ISNA(MATCH($N272,data!$A:$A,0)),"",INDEX(data!H:H,MATCH($N272,data!$A:$A,0)))</f>
        <v/>
      </c>
      <c r="AT272" s="38" t="str">
        <f>IF(ISNA(MATCH($N272,data!$A:$A,0)),"",INDEX(data!I:I,MATCH($N272,data!$A:$A,0)))</f>
        <v/>
      </c>
      <c r="AU272" s="38" t="str">
        <f>IF(ISNA(MATCH($N272,[1]data!$A:$A,0)),"",INDEX([1]data!L:L,MATCH($N272,[1]data!$A:$A,0)))</f>
        <v/>
      </c>
      <c r="AV272" s="38" t="str">
        <f>IF(ISNA(MATCH($N272,[1]data!$A:$A,0)),"",INDEX([1]data!M:M,MATCH($N272,[1]data!$A:$A,0)))</f>
        <v/>
      </c>
      <c r="AW272" s="38" t="str">
        <f>IF(ISNA(MATCH($N272,data!$A:$A,0)),"",INDEX(data!J:J,MATCH($N272,data!$A:$A,0)))</f>
        <v/>
      </c>
      <c r="AX272" s="38" t="str">
        <f>IF(ISNA(MATCH($N272,data!$A:$A,0)),"",INDEX(data!K:K,MATCH($N272,data!$A:$A,0)))</f>
        <v/>
      </c>
      <c r="AY272" s="38" t="str">
        <f>IF(ISNA(MATCH($N272,data!$A:$A,0)),"",INDEX(data!O:O,MATCH($N272,data!$A:$A,0)))</f>
        <v/>
      </c>
      <c r="AZ272" s="38" t="str">
        <f>IF(ISNA(MATCH($N272,data!$A:$A,0)),"",INDEX(data!N:N,MATCH($N272,data!$A:$A,0)))</f>
        <v/>
      </c>
      <c r="BA272" s="38" t="str">
        <f>IF(ISNA(MATCH($N272,data!$A:$A,0)),"",INDEX(data!P:P,MATCH($N272,data!$A:$A,0)))</f>
        <v/>
      </c>
      <c r="BB272" s="38" t="str">
        <f>IF(ISNA(MATCH($N272,data!$A:$A,0)),"",INDEX(data!Q:Q,MATCH($N272,data!$A:$A,0)))</f>
        <v/>
      </c>
      <c r="BC272" s="38" t="str">
        <f>IF(ISNA(MATCH($N272,data!$A:$A,0)),"",INDEX(data!R:R,MATCH($N272,data!$A:$A,0)))</f>
        <v/>
      </c>
      <c r="BD272" s="38" t="str">
        <f>IF(ISNA(MATCH($N272,[1]data!$A:$A,0)),"",INDEX([1]data!U:U,MATCH($N272,[1]data!$A:$A,0)))</f>
        <v/>
      </c>
      <c r="BE272" s="61" t="e">
        <f>IF(COUNTIF([1]data!A:A,[1]!Table1[[#This Row],[UPC]])&lt;2,"","DUP")</f>
        <v>#VALUE!</v>
      </c>
      <c r="BF272" s="38" t="str">
        <f>IF(ISNA(MATCH($N272,data!$A:$A,0)),"",INDEX(data!W:W,MATCH($N272,data!$A:$A,0)))</f>
        <v/>
      </c>
    </row>
    <row r="273" spans="1:58" ht="12.75" customHeight="1">
      <c r="A273" s="35"/>
      <c r="B273" s="35"/>
      <c r="C273" s="35"/>
      <c r="D273" s="35"/>
      <c r="E273" s="67"/>
      <c r="F273" s="67"/>
      <c r="G273" s="36"/>
      <c r="H273" s="29"/>
      <c r="I273" s="78" t="str">
        <f t="shared" si="4"/>
        <v/>
      </c>
      <c r="J273" s="29"/>
      <c r="K273" s="29"/>
      <c r="L273" s="33"/>
      <c r="M273" s="33"/>
      <c r="N273" s="60"/>
      <c r="O273" s="71"/>
      <c r="P273" s="71"/>
      <c r="Q273" s="33"/>
      <c r="R273" s="31"/>
      <c r="S273" s="31"/>
      <c r="T273" s="59"/>
      <c r="U273" s="59"/>
      <c r="V273" s="59"/>
      <c r="W273" s="57">
        <f t="shared" si="5"/>
        <v>0</v>
      </c>
      <c r="X273" s="126" t="str">
        <f>IF(Table1[[#This Row],[Shipping Weight Pounds]]&gt;150,"See LTL Form","No")</f>
        <v>No</v>
      </c>
      <c r="Y273" s="28"/>
      <c r="Z273" s="33"/>
      <c r="AA273" s="34"/>
      <c r="AB273" s="30"/>
      <c r="AC273" s="30"/>
      <c r="AD273" s="32"/>
      <c r="AE273" s="32"/>
      <c r="AF273" s="2"/>
      <c r="AG273" s="2"/>
      <c r="AH273" s="2"/>
      <c r="AI273" s="2"/>
      <c r="AK273" s="73" t="str">
        <f>IF(ISNA(MATCH($N273,[1]data!$A:$A,0)),"",INDEX([1]data!S:S,MATCH($N273,[1]data!$A:$A,0)))</f>
        <v/>
      </c>
      <c r="AL273" s="73" t="str">
        <f>IF(ISNA(MATCH($N273,[1]data!$A:$A,0)),"",INDEX([1]data!V:V,MATCH($N273,[1]data!$A:$A,0)))</f>
        <v/>
      </c>
      <c r="AM273" s="38" t="str">
        <f>IF(ISNA(MATCH($N273,data!$A:$A,0)),"",INDEX(data!B:B,MATCH($N273,data!$A:$A,0)))</f>
        <v/>
      </c>
      <c r="AN273" s="38" t="str">
        <f>IF(ISNA(MATCH($N273,data!$A:$A,0)),"",INDEX(data!C:C,MATCH($N273,data!$A:$A,0)))</f>
        <v/>
      </c>
      <c r="AO273" s="38" t="str">
        <f>IF(ISNA(MATCH($N273,data!$A:$A,0)),"",INDEX(data!D:D,MATCH($N273,data!$A:$A,0)))</f>
        <v/>
      </c>
      <c r="AP273" s="38" t="str">
        <f>IF(ISNA(MATCH($N273,data!$A:$A,0)),"",INDEX(data!E:E,MATCH($N273,data!$A:$A,0)))</f>
        <v/>
      </c>
      <c r="AQ273" s="38" t="str">
        <f>IF(ISNA(MATCH($N273,data!$A:$A,0)),"",INDEX(data!F:F,MATCH($N273,data!$A:$A,0)))</f>
        <v/>
      </c>
      <c r="AR273" s="38" t="str">
        <f>IF(ISNA(MATCH($N273,data!$A:$A,0)),"",INDEX(data!G:G,MATCH($N273,data!$A:$A,0)))</f>
        <v/>
      </c>
      <c r="AS273" s="38" t="str">
        <f>IF(ISNA(MATCH($N273,data!$A:$A,0)),"",INDEX(data!H:H,MATCH($N273,data!$A:$A,0)))</f>
        <v/>
      </c>
      <c r="AT273" s="38" t="str">
        <f>IF(ISNA(MATCH($N273,data!$A:$A,0)),"",INDEX(data!I:I,MATCH($N273,data!$A:$A,0)))</f>
        <v/>
      </c>
      <c r="AU273" s="38" t="str">
        <f>IF(ISNA(MATCH($N273,[1]data!$A:$A,0)),"",INDEX([1]data!L:L,MATCH($N273,[1]data!$A:$A,0)))</f>
        <v/>
      </c>
      <c r="AV273" s="38" t="str">
        <f>IF(ISNA(MATCH($N273,[1]data!$A:$A,0)),"",INDEX([1]data!M:M,MATCH($N273,[1]data!$A:$A,0)))</f>
        <v/>
      </c>
      <c r="AW273" s="38" t="str">
        <f>IF(ISNA(MATCH($N273,data!$A:$A,0)),"",INDEX(data!J:J,MATCH($N273,data!$A:$A,0)))</f>
        <v/>
      </c>
      <c r="AX273" s="38" t="str">
        <f>IF(ISNA(MATCH($N273,data!$A:$A,0)),"",INDEX(data!K:K,MATCH($N273,data!$A:$A,0)))</f>
        <v/>
      </c>
      <c r="AY273" s="38" t="str">
        <f>IF(ISNA(MATCH($N273,data!$A:$A,0)),"",INDEX(data!O:O,MATCH($N273,data!$A:$A,0)))</f>
        <v/>
      </c>
      <c r="AZ273" s="38" t="str">
        <f>IF(ISNA(MATCH($N273,data!$A:$A,0)),"",INDEX(data!N:N,MATCH($N273,data!$A:$A,0)))</f>
        <v/>
      </c>
      <c r="BA273" s="38" t="str">
        <f>IF(ISNA(MATCH($N273,data!$A:$A,0)),"",INDEX(data!P:P,MATCH($N273,data!$A:$A,0)))</f>
        <v/>
      </c>
      <c r="BB273" s="38" t="str">
        <f>IF(ISNA(MATCH($N273,data!$A:$A,0)),"",INDEX(data!Q:Q,MATCH($N273,data!$A:$A,0)))</f>
        <v/>
      </c>
      <c r="BC273" s="38" t="str">
        <f>IF(ISNA(MATCH($N273,data!$A:$A,0)),"",INDEX(data!R:R,MATCH($N273,data!$A:$A,0)))</f>
        <v/>
      </c>
      <c r="BD273" s="38" t="str">
        <f>IF(ISNA(MATCH($N273,[1]data!$A:$A,0)),"",INDEX([1]data!U:U,MATCH($N273,[1]data!$A:$A,0)))</f>
        <v/>
      </c>
      <c r="BE273" s="61" t="e">
        <f>IF(COUNTIF([1]data!A:A,[1]!Table1[[#This Row],[UPC]])&lt;2,"","DUP")</f>
        <v>#VALUE!</v>
      </c>
      <c r="BF273" s="38" t="str">
        <f>IF(ISNA(MATCH($N273,data!$A:$A,0)),"",INDEX(data!W:W,MATCH($N273,data!$A:$A,0)))</f>
        <v/>
      </c>
    </row>
    <row r="274" spans="1:58" ht="12.75" customHeight="1">
      <c r="A274" s="35"/>
      <c r="B274" s="35"/>
      <c r="C274" s="35"/>
      <c r="D274" s="35"/>
      <c r="E274" s="67"/>
      <c r="F274" s="67"/>
      <c r="G274" s="36"/>
      <c r="H274" s="29"/>
      <c r="I274" s="78" t="str">
        <f t="shared" si="4"/>
        <v/>
      </c>
      <c r="J274" s="29"/>
      <c r="K274" s="29"/>
      <c r="L274" s="33"/>
      <c r="M274" s="33"/>
      <c r="N274" s="60"/>
      <c r="O274" s="71"/>
      <c r="P274" s="71"/>
      <c r="Q274" s="33"/>
      <c r="R274" s="31"/>
      <c r="S274" s="31"/>
      <c r="T274" s="59"/>
      <c r="U274" s="59"/>
      <c r="V274" s="59"/>
      <c r="W274" s="57">
        <f t="shared" si="5"/>
        <v>0</v>
      </c>
      <c r="X274" s="126" t="str">
        <f>IF(Table1[[#This Row],[Shipping Weight Pounds]]&gt;150,"See LTL Form","No")</f>
        <v>No</v>
      </c>
      <c r="Y274" s="28"/>
      <c r="Z274" s="33"/>
      <c r="AA274" s="34"/>
      <c r="AB274" s="30"/>
      <c r="AC274" s="30"/>
      <c r="AD274" s="32"/>
      <c r="AE274" s="32"/>
      <c r="AF274" s="2"/>
      <c r="AG274" s="2"/>
      <c r="AH274" s="2"/>
      <c r="AI274" s="2"/>
      <c r="AK274" s="73" t="str">
        <f>IF(ISNA(MATCH($N274,[1]data!$A:$A,0)),"",INDEX([1]data!S:S,MATCH($N274,[1]data!$A:$A,0)))</f>
        <v/>
      </c>
      <c r="AL274" s="73" t="str">
        <f>IF(ISNA(MATCH($N274,[1]data!$A:$A,0)),"",INDEX([1]data!V:V,MATCH($N274,[1]data!$A:$A,0)))</f>
        <v/>
      </c>
      <c r="AM274" s="38" t="str">
        <f>IF(ISNA(MATCH($N274,data!$A:$A,0)),"",INDEX(data!B:B,MATCH($N274,data!$A:$A,0)))</f>
        <v/>
      </c>
      <c r="AN274" s="38" t="str">
        <f>IF(ISNA(MATCH($N274,data!$A:$A,0)),"",INDEX(data!C:C,MATCH($N274,data!$A:$A,0)))</f>
        <v/>
      </c>
      <c r="AO274" s="38" t="str">
        <f>IF(ISNA(MATCH($N274,data!$A:$A,0)),"",INDEX(data!D:D,MATCH($N274,data!$A:$A,0)))</f>
        <v/>
      </c>
      <c r="AP274" s="38" t="str">
        <f>IF(ISNA(MATCH($N274,data!$A:$A,0)),"",INDEX(data!E:E,MATCH($N274,data!$A:$A,0)))</f>
        <v/>
      </c>
      <c r="AQ274" s="38" t="str">
        <f>IF(ISNA(MATCH($N274,data!$A:$A,0)),"",INDEX(data!F:F,MATCH($N274,data!$A:$A,0)))</f>
        <v/>
      </c>
      <c r="AR274" s="38" t="str">
        <f>IF(ISNA(MATCH($N274,data!$A:$A,0)),"",INDEX(data!G:G,MATCH($N274,data!$A:$A,0)))</f>
        <v/>
      </c>
      <c r="AS274" s="38" t="str">
        <f>IF(ISNA(MATCH($N274,data!$A:$A,0)),"",INDEX(data!H:H,MATCH($N274,data!$A:$A,0)))</f>
        <v/>
      </c>
      <c r="AT274" s="38" t="str">
        <f>IF(ISNA(MATCH($N274,data!$A:$A,0)),"",INDEX(data!I:I,MATCH($N274,data!$A:$A,0)))</f>
        <v/>
      </c>
      <c r="AU274" s="38" t="str">
        <f>IF(ISNA(MATCH($N274,[1]data!$A:$A,0)),"",INDEX([1]data!L:L,MATCH($N274,[1]data!$A:$A,0)))</f>
        <v/>
      </c>
      <c r="AV274" s="38" t="str">
        <f>IF(ISNA(MATCH($N274,[1]data!$A:$A,0)),"",INDEX([1]data!M:M,MATCH($N274,[1]data!$A:$A,0)))</f>
        <v/>
      </c>
      <c r="AW274" s="38" t="str">
        <f>IF(ISNA(MATCH($N274,data!$A:$A,0)),"",INDEX(data!J:J,MATCH($N274,data!$A:$A,0)))</f>
        <v/>
      </c>
      <c r="AX274" s="38" t="str">
        <f>IF(ISNA(MATCH($N274,data!$A:$A,0)),"",INDEX(data!K:K,MATCH($N274,data!$A:$A,0)))</f>
        <v/>
      </c>
      <c r="AY274" s="38" t="str">
        <f>IF(ISNA(MATCH($N274,data!$A:$A,0)),"",INDEX(data!O:O,MATCH($N274,data!$A:$A,0)))</f>
        <v/>
      </c>
      <c r="AZ274" s="38" t="str">
        <f>IF(ISNA(MATCH($N274,data!$A:$A,0)),"",INDEX(data!N:N,MATCH($N274,data!$A:$A,0)))</f>
        <v/>
      </c>
      <c r="BA274" s="38" t="str">
        <f>IF(ISNA(MATCH($N274,data!$A:$A,0)),"",INDEX(data!P:P,MATCH($N274,data!$A:$A,0)))</f>
        <v/>
      </c>
      <c r="BB274" s="38" t="str">
        <f>IF(ISNA(MATCH($N274,data!$A:$A,0)),"",INDEX(data!Q:Q,MATCH($N274,data!$A:$A,0)))</f>
        <v/>
      </c>
      <c r="BC274" s="38" t="str">
        <f>IF(ISNA(MATCH($N274,data!$A:$A,0)),"",INDEX(data!R:R,MATCH($N274,data!$A:$A,0)))</f>
        <v/>
      </c>
      <c r="BD274" s="38" t="str">
        <f>IF(ISNA(MATCH($N274,[1]data!$A:$A,0)),"",INDEX([1]data!U:U,MATCH($N274,[1]data!$A:$A,0)))</f>
        <v/>
      </c>
      <c r="BE274" s="61" t="e">
        <f>IF(COUNTIF([1]data!A:A,[1]!Table1[[#This Row],[UPC]])&lt;2,"","DUP")</f>
        <v>#VALUE!</v>
      </c>
      <c r="BF274" s="38" t="str">
        <f>IF(ISNA(MATCH($N274,data!$A:$A,0)),"",INDEX(data!W:W,MATCH($N274,data!$A:$A,0)))</f>
        <v/>
      </c>
    </row>
    <row r="275" spans="1:58" s="39" customFormat="1" ht="12.75" customHeight="1">
      <c r="A275" s="35"/>
      <c r="B275" s="35"/>
      <c r="C275" s="35"/>
      <c r="D275" s="35"/>
      <c r="E275" s="67"/>
      <c r="F275" s="67"/>
      <c r="G275" s="36"/>
      <c r="H275" s="29"/>
      <c r="I275" s="78" t="str">
        <f t="shared" si="4"/>
        <v/>
      </c>
      <c r="J275" s="29"/>
      <c r="K275" s="29"/>
      <c r="L275" s="33"/>
      <c r="M275" s="33"/>
      <c r="N275" s="60"/>
      <c r="O275" s="71"/>
      <c r="P275" s="71"/>
      <c r="Q275" s="33"/>
      <c r="R275" s="31"/>
      <c r="S275" s="31"/>
      <c r="T275" s="59"/>
      <c r="U275" s="59"/>
      <c r="V275" s="59"/>
      <c r="W275" s="57">
        <f t="shared" si="5"/>
        <v>0</v>
      </c>
      <c r="X275" s="126" t="str">
        <f>IF(Table1[[#This Row],[Shipping Weight Pounds]]&gt;150,"See LTL Form","No")</f>
        <v>No</v>
      </c>
      <c r="Y275" s="28"/>
      <c r="Z275" s="33"/>
      <c r="AA275" s="34"/>
      <c r="AB275" s="30"/>
      <c r="AC275" s="30"/>
      <c r="AD275" s="32"/>
      <c r="AE275" s="32"/>
      <c r="AF275" s="2"/>
      <c r="AG275" s="2"/>
      <c r="AH275" s="2"/>
      <c r="AI275" s="2"/>
      <c r="AJ275" s="45"/>
      <c r="AK275" s="73" t="str">
        <f>IF(ISNA(MATCH($N275,[1]data!$A:$A,0)),"",INDEX([1]data!S:S,MATCH($N275,[1]data!$A:$A,0)))</f>
        <v/>
      </c>
      <c r="AL275" s="73" t="str">
        <f>IF(ISNA(MATCH($N275,[1]data!$A:$A,0)),"",INDEX([1]data!V:V,MATCH($N275,[1]data!$A:$A,0)))</f>
        <v/>
      </c>
      <c r="AM275" s="38" t="str">
        <f>IF(ISNA(MATCH($N275,data!$A:$A,0)),"",INDEX(data!B:B,MATCH($N275,data!$A:$A,0)))</f>
        <v/>
      </c>
      <c r="AN275" s="38" t="str">
        <f>IF(ISNA(MATCH($N275,data!$A:$A,0)),"",INDEX(data!C:C,MATCH($N275,data!$A:$A,0)))</f>
        <v/>
      </c>
      <c r="AO275" s="38" t="str">
        <f>IF(ISNA(MATCH($N275,data!$A:$A,0)),"",INDEX(data!D:D,MATCH($N275,data!$A:$A,0)))</f>
        <v/>
      </c>
      <c r="AP275" s="38" t="str">
        <f>IF(ISNA(MATCH($N275,data!$A:$A,0)),"",INDEX(data!E:E,MATCH($N275,data!$A:$A,0)))</f>
        <v/>
      </c>
      <c r="AQ275" s="38" t="str">
        <f>IF(ISNA(MATCH($N275,data!$A:$A,0)),"",INDEX(data!F:F,MATCH($N275,data!$A:$A,0)))</f>
        <v/>
      </c>
      <c r="AR275" s="38" t="str">
        <f>IF(ISNA(MATCH($N275,data!$A:$A,0)),"",INDEX(data!G:G,MATCH($N275,data!$A:$A,0)))</f>
        <v/>
      </c>
      <c r="AS275" s="38" t="str">
        <f>IF(ISNA(MATCH($N275,data!$A:$A,0)),"",INDEX(data!H:H,MATCH($N275,data!$A:$A,0)))</f>
        <v/>
      </c>
      <c r="AT275" s="38" t="str">
        <f>IF(ISNA(MATCH($N275,data!$A:$A,0)),"",INDEX(data!I:I,MATCH($N275,data!$A:$A,0)))</f>
        <v/>
      </c>
      <c r="AU275" s="38" t="str">
        <f>IF(ISNA(MATCH($N275,[1]data!$A:$A,0)),"",INDEX([1]data!L:L,MATCH($N275,[1]data!$A:$A,0)))</f>
        <v/>
      </c>
      <c r="AV275" s="38" t="str">
        <f>IF(ISNA(MATCH($N275,[1]data!$A:$A,0)),"",INDEX([1]data!M:M,MATCH($N275,[1]data!$A:$A,0)))</f>
        <v/>
      </c>
      <c r="AW275" s="38" t="str">
        <f>IF(ISNA(MATCH($N275,data!$A:$A,0)),"",INDEX(data!J:J,MATCH($N275,data!$A:$A,0)))</f>
        <v/>
      </c>
      <c r="AX275" s="38" t="str">
        <f>IF(ISNA(MATCH($N275,data!$A:$A,0)),"",INDEX(data!K:K,MATCH($N275,data!$A:$A,0)))</f>
        <v/>
      </c>
      <c r="AY275" s="38" t="str">
        <f>IF(ISNA(MATCH($N275,data!$A:$A,0)),"",INDEX(data!O:O,MATCH($N275,data!$A:$A,0)))</f>
        <v/>
      </c>
      <c r="AZ275" s="38" t="str">
        <f>IF(ISNA(MATCH($N275,data!$A:$A,0)),"",INDEX(data!N:N,MATCH($N275,data!$A:$A,0)))</f>
        <v/>
      </c>
      <c r="BA275" s="38" t="str">
        <f>IF(ISNA(MATCH($N275,data!$A:$A,0)),"",INDEX(data!P:P,MATCH($N275,data!$A:$A,0)))</f>
        <v/>
      </c>
      <c r="BB275" s="38" t="str">
        <f>IF(ISNA(MATCH($N275,data!$A:$A,0)),"",INDEX(data!Q:Q,MATCH($N275,data!$A:$A,0)))</f>
        <v/>
      </c>
      <c r="BC275" s="38" t="str">
        <f>IF(ISNA(MATCH($N275,data!$A:$A,0)),"",INDEX(data!R:R,MATCH($N275,data!$A:$A,0)))</f>
        <v/>
      </c>
      <c r="BD275" s="38" t="str">
        <f>IF(ISNA(MATCH($N275,[1]data!$A:$A,0)),"",INDEX([1]data!U:U,MATCH($N275,[1]data!$A:$A,0)))</f>
        <v/>
      </c>
      <c r="BE275" s="61" t="e">
        <f>IF(COUNTIF([1]data!A:A,[1]!Table1[[#This Row],[UPC]])&lt;2,"","DUP")</f>
        <v>#VALUE!</v>
      </c>
      <c r="BF275" s="38" t="str">
        <f>IF(ISNA(MATCH($N275,data!$A:$A,0)),"",INDEX(data!W:W,MATCH($N275,data!$A:$A,0)))</f>
        <v/>
      </c>
    </row>
    <row r="276" spans="1:58" ht="12.75" customHeight="1">
      <c r="A276" s="35"/>
      <c r="B276" s="35"/>
      <c r="C276" s="35"/>
      <c r="D276" s="35"/>
      <c r="E276" s="67"/>
      <c r="F276" s="67"/>
      <c r="G276" s="36"/>
      <c r="H276" s="29"/>
      <c r="I276" s="78" t="str">
        <f t="shared" si="4"/>
        <v/>
      </c>
      <c r="J276" s="29"/>
      <c r="K276" s="29"/>
      <c r="L276" s="33"/>
      <c r="M276" s="33"/>
      <c r="N276" s="60"/>
      <c r="O276" s="71"/>
      <c r="P276" s="71"/>
      <c r="Q276" s="33"/>
      <c r="R276" s="31"/>
      <c r="S276" s="31"/>
      <c r="T276" s="59"/>
      <c r="U276" s="59"/>
      <c r="V276" s="59"/>
      <c r="W276" s="57">
        <f t="shared" si="5"/>
        <v>0</v>
      </c>
      <c r="X276" s="126" t="str">
        <f>IF(Table1[[#This Row],[Shipping Weight Pounds]]&gt;150,"See LTL Form","No")</f>
        <v>No</v>
      </c>
      <c r="Y276" s="28"/>
      <c r="Z276" s="33"/>
      <c r="AA276" s="34"/>
      <c r="AB276" s="30"/>
      <c r="AC276" s="30"/>
      <c r="AD276" s="32"/>
      <c r="AE276" s="32"/>
      <c r="AF276" s="2"/>
      <c r="AG276" s="2"/>
      <c r="AH276" s="2"/>
      <c r="AI276" s="2"/>
      <c r="AK276" s="73" t="str">
        <f>IF(ISNA(MATCH($N276,[1]data!$A:$A,0)),"",INDEX([1]data!S:S,MATCH($N276,[1]data!$A:$A,0)))</f>
        <v/>
      </c>
      <c r="AL276" s="73" t="str">
        <f>IF(ISNA(MATCH($N276,[1]data!$A:$A,0)),"",INDEX([1]data!V:V,MATCH($N276,[1]data!$A:$A,0)))</f>
        <v/>
      </c>
      <c r="AM276" s="38" t="str">
        <f>IF(ISNA(MATCH($N276,data!$A:$A,0)),"",INDEX(data!B:B,MATCH($N276,data!$A:$A,0)))</f>
        <v/>
      </c>
      <c r="AN276" s="38" t="str">
        <f>IF(ISNA(MATCH($N276,data!$A:$A,0)),"",INDEX(data!C:C,MATCH($N276,data!$A:$A,0)))</f>
        <v/>
      </c>
      <c r="AO276" s="38" t="str">
        <f>IF(ISNA(MATCH($N276,data!$A:$A,0)),"",INDEX(data!D:D,MATCH($N276,data!$A:$A,0)))</f>
        <v/>
      </c>
      <c r="AP276" s="38" t="str">
        <f>IF(ISNA(MATCH($N276,data!$A:$A,0)),"",INDEX(data!E:E,MATCH($N276,data!$A:$A,0)))</f>
        <v/>
      </c>
      <c r="AQ276" s="38" t="str">
        <f>IF(ISNA(MATCH($N276,data!$A:$A,0)),"",INDEX(data!F:F,MATCH($N276,data!$A:$A,0)))</f>
        <v/>
      </c>
      <c r="AR276" s="38" t="str">
        <f>IF(ISNA(MATCH($N276,data!$A:$A,0)),"",INDEX(data!G:G,MATCH($N276,data!$A:$A,0)))</f>
        <v/>
      </c>
      <c r="AS276" s="38" t="str">
        <f>IF(ISNA(MATCH($N276,data!$A:$A,0)),"",INDEX(data!H:H,MATCH($N276,data!$A:$A,0)))</f>
        <v/>
      </c>
      <c r="AT276" s="38" t="str">
        <f>IF(ISNA(MATCH($N276,data!$A:$A,0)),"",INDEX(data!I:I,MATCH($N276,data!$A:$A,0)))</f>
        <v/>
      </c>
      <c r="AU276" s="38" t="str">
        <f>IF(ISNA(MATCH($N276,[1]data!$A:$A,0)),"",INDEX([1]data!L:L,MATCH($N276,[1]data!$A:$A,0)))</f>
        <v/>
      </c>
      <c r="AV276" s="38" t="str">
        <f>IF(ISNA(MATCH($N276,[1]data!$A:$A,0)),"",INDEX([1]data!M:M,MATCH($N276,[1]data!$A:$A,0)))</f>
        <v/>
      </c>
      <c r="AW276" s="38" t="str">
        <f>IF(ISNA(MATCH($N276,data!$A:$A,0)),"",INDEX(data!J:J,MATCH($N276,data!$A:$A,0)))</f>
        <v/>
      </c>
      <c r="AX276" s="38" t="str">
        <f>IF(ISNA(MATCH($N276,data!$A:$A,0)),"",INDEX(data!K:K,MATCH($N276,data!$A:$A,0)))</f>
        <v/>
      </c>
      <c r="AY276" s="38" t="str">
        <f>IF(ISNA(MATCH($N276,data!$A:$A,0)),"",INDEX(data!O:O,MATCH($N276,data!$A:$A,0)))</f>
        <v/>
      </c>
      <c r="AZ276" s="38" t="str">
        <f>IF(ISNA(MATCH($N276,data!$A:$A,0)),"",INDEX(data!N:N,MATCH($N276,data!$A:$A,0)))</f>
        <v/>
      </c>
      <c r="BA276" s="38" t="str">
        <f>IF(ISNA(MATCH($N276,data!$A:$A,0)),"",INDEX(data!P:P,MATCH($N276,data!$A:$A,0)))</f>
        <v/>
      </c>
      <c r="BB276" s="38" t="str">
        <f>IF(ISNA(MATCH($N276,data!$A:$A,0)),"",INDEX(data!Q:Q,MATCH($N276,data!$A:$A,0)))</f>
        <v/>
      </c>
      <c r="BC276" s="38" t="str">
        <f>IF(ISNA(MATCH($N276,data!$A:$A,0)),"",INDEX(data!R:R,MATCH($N276,data!$A:$A,0)))</f>
        <v/>
      </c>
      <c r="BD276" s="38" t="str">
        <f>IF(ISNA(MATCH($N276,[1]data!$A:$A,0)),"",INDEX([1]data!U:U,MATCH($N276,[1]data!$A:$A,0)))</f>
        <v/>
      </c>
      <c r="BE276" s="61" t="e">
        <f>IF(COUNTIF([1]data!A:A,[1]!Table1[[#This Row],[UPC]])&lt;2,"","DUP")</f>
        <v>#VALUE!</v>
      </c>
      <c r="BF276" s="38" t="str">
        <f>IF(ISNA(MATCH($N276,data!$A:$A,0)),"",INDEX(data!W:W,MATCH($N276,data!$A:$A,0)))</f>
        <v/>
      </c>
    </row>
    <row r="277" spans="1:58" ht="12.75" customHeight="1">
      <c r="A277" s="35"/>
      <c r="B277" s="35"/>
      <c r="C277" s="35"/>
      <c r="D277" s="35"/>
      <c r="E277" s="67"/>
      <c r="F277" s="67"/>
      <c r="G277" s="36"/>
      <c r="H277" s="29"/>
      <c r="I277" s="78" t="str">
        <f t="shared" si="4"/>
        <v/>
      </c>
      <c r="J277" s="29"/>
      <c r="K277" s="29"/>
      <c r="L277" s="33"/>
      <c r="M277" s="33"/>
      <c r="N277" s="60"/>
      <c r="O277" s="71"/>
      <c r="P277" s="71"/>
      <c r="Q277" s="33"/>
      <c r="R277" s="31"/>
      <c r="S277" s="31"/>
      <c r="T277" s="59"/>
      <c r="U277" s="59"/>
      <c r="V277" s="59"/>
      <c r="W277" s="57">
        <f t="shared" si="5"/>
        <v>0</v>
      </c>
      <c r="X277" s="126" t="str">
        <f>IF(Table1[[#This Row],[Shipping Weight Pounds]]&gt;150,"See LTL Form","No")</f>
        <v>No</v>
      </c>
      <c r="Y277" s="28"/>
      <c r="Z277" s="33"/>
      <c r="AA277" s="34"/>
      <c r="AB277" s="30"/>
      <c r="AC277" s="30"/>
      <c r="AD277" s="32"/>
      <c r="AE277" s="32"/>
      <c r="AF277" s="2"/>
      <c r="AG277" s="2"/>
      <c r="AH277" s="2"/>
      <c r="AI277" s="2"/>
      <c r="AK277" s="73" t="str">
        <f>IF(ISNA(MATCH($N277,[1]data!$A:$A,0)),"",INDEX([1]data!S:S,MATCH($N277,[1]data!$A:$A,0)))</f>
        <v/>
      </c>
      <c r="AL277" s="73" t="str">
        <f>IF(ISNA(MATCH($N277,[1]data!$A:$A,0)),"",INDEX([1]data!V:V,MATCH($N277,[1]data!$A:$A,0)))</f>
        <v/>
      </c>
      <c r="AM277" s="38" t="str">
        <f>IF(ISNA(MATCH($N277,data!$A:$A,0)),"",INDEX(data!B:B,MATCH($N277,data!$A:$A,0)))</f>
        <v/>
      </c>
      <c r="AN277" s="38" t="str">
        <f>IF(ISNA(MATCH($N277,data!$A:$A,0)),"",INDEX(data!C:C,MATCH($N277,data!$A:$A,0)))</f>
        <v/>
      </c>
      <c r="AO277" s="38" t="str">
        <f>IF(ISNA(MATCH($N277,data!$A:$A,0)),"",INDEX(data!D:D,MATCH($N277,data!$A:$A,0)))</f>
        <v/>
      </c>
      <c r="AP277" s="38" t="str">
        <f>IF(ISNA(MATCH($N277,data!$A:$A,0)),"",INDEX(data!E:E,MATCH($N277,data!$A:$A,0)))</f>
        <v/>
      </c>
      <c r="AQ277" s="38" t="str">
        <f>IF(ISNA(MATCH($N277,data!$A:$A,0)),"",INDEX(data!F:F,MATCH($N277,data!$A:$A,0)))</f>
        <v/>
      </c>
      <c r="AR277" s="38" t="str">
        <f>IF(ISNA(MATCH($N277,data!$A:$A,0)),"",INDEX(data!G:G,MATCH($N277,data!$A:$A,0)))</f>
        <v/>
      </c>
      <c r="AS277" s="38" t="str">
        <f>IF(ISNA(MATCH($N277,data!$A:$A,0)),"",INDEX(data!H:H,MATCH($N277,data!$A:$A,0)))</f>
        <v/>
      </c>
      <c r="AT277" s="38" t="str">
        <f>IF(ISNA(MATCH($N277,data!$A:$A,0)),"",INDEX(data!I:I,MATCH($N277,data!$A:$A,0)))</f>
        <v/>
      </c>
      <c r="AU277" s="38" t="str">
        <f>IF(ISNA(MATCH($N277,[1]data!$A:$A,0)),"",INDEX([1]data!L:L,MATCH($N277,[1]data!$A:$A,0)))</f>
        <v/>
      </c>
      <c r="AV277" s="38" t="str">
        <f>IF(ISNA(MATCH($N277,[1]data!$A:$A,0)),"",INDEX([1]data!M:M,MATCH($N277,[1]data!$A:$A,0)))</f>
        <v/>
      </c>
      <c r="AW277" s="38" t="str">
        <f>IF(ISNA(MATCH($N277,data!$A:$A,0)),"",INDEX(data!J:J,MATCH($N277,data!$A:$A,0)))</f>
        <v/>
      </c>
      <c r="AX277" s="38" t="str">
        <f>IF(ISNA(MATCH($N277,data!$A:$A,0)),"",INDEX(data!K:K,MATCH($N277,data!$A:$A,0)))</f>
        <v/>
      </c>
      <c r="AY277" s="38" t="str">
        <f>IF(ISNA(MATCH($N277,data!$A:$A,0)),"",INDEX(data!O:O,MATCH($N277,data!$A:$A,0)))</f>
        <v/>
      </c>
      <c r="AZ277" s="38" t="str">
        <f>IF(ISNA(MATCH($N277,data!$A:$A,0)),"",INDEX(data!N:N,MATCH($N277,data!$A:$A,0)))</f>
        <v/>
      </c>
      <c r="BA277" s="38" t="str">
        <f>IF(ISNA(MATCH($N277,data!$A:$A,0)),"",INDEX(data!P:P,MATCH($N277,data!$A:$A,0)))</f>
        <v/>
      </c>
      <c r="BB277" s="38" t="str">
        <f>IF(ISNA(MATCH($N277,data!$A:$A,0)),"",INDEX(data!Q:Q,MATCH($N277,data!$A:$A,0)))</f>
        <v/>
      </c>
      <c r="BC277" s="38" t="str">
        <f>IF(ISNA(MATCH($N277,data!$A:$A,0)),"",INDEX(data!R:R,MATCH($N277,data!$A:$A,0)))</f>
        <v/>
      </c>
      <c r="BD277" s="38" t="str">
        <f>IF(ISNA(MATCH($N277,[1]data!$A:$A,0)),"",INDEX([1]data!U:U,MATCH($N277,[1]data!$A:$A,0)))</f>
        <v/>
      </c>
      <c r="BE277" s="61" t="e">
        <f>IF(COUNTIF([1]data!A:A,[1]!Table1[[#This Row],[UPC]])&lt;2,"","DUP")</f>
        <v>#VALUE!</v>
      </c>
      <c r="BF277" s="38" t="str">
        <f>IF(ISNA(MATCH($N277,data!$A:$A,0)),"",INDEX(data!W:W,MATCH($N277,data!$A:$A,0)))</f>
        <v/>
      </c>
    </row>
    <row r="278" spans="1:58" ht="12.75" customHeight="1">
      <c r="A278" s="35"/>
      <c r="B278" s="35"/>
      <c r="C278" s="35"/>
      <c r="D278" s="35"/>
      <c r="E278" s="67"/>
      <c r="F278" s="67"/>
      <c r="G278" s="36"/>
      <c r="H278" s="29"/>
      <c r="I278" s="78" t="str">
        <f t="shared" si="4"/>
        <v/>
      </c>
      <c r="J278" s="29"/>
      <c r="K278" s="29"/>
      <c r="L278" s="33"/>
      <c r="M278" s="33"/>
      <c r="N278" s="60"/>
      <c r="O278" s="71"/>
      <c r="P278" s="71"/>
      <c r="Q278" s="33"/>
      <c r="R278" s="31"/>
      <c r="S278" s="31"/>
      <c r="T278" s="59"/>
      <c r="U278" s="59"/>
      <c r="V278" s="59"/>
      <c r="W278" s="57">
        <f t="shared" si="5"/>
        <v>0</v>
      </c>
      <c r="X278" s="126" t="str">
        <f>IF(Table1[[#This Row],[Shipping Weight Pounds]]&gt;150,"See LTL Form","No")</f>
        <v>No</v>
      </c>
      <c r="Y278" s="28"/>
      <c r="Z278" s="33"/>
      <c r="AA278" s="34"/>
      <c r="AB278" s="30"/>
      <c r="AC278" s="30"/>
      <c r="AD278" s="32"/>
      <c r="AE278" s="32"/>
      <c r="AF278" s="2"/>
      <c r="AG278" s="2"/>
      <c r="AH278" s="2"/>
      <c r="AI278" s="2"/>
      <c r="AK278" s="73" t="str">
        <f>IF(ISNA(MATCH($N278,[1]data!$A:$A,0)),"",INDEX([1]data!S:S,MATCH($N278,[1]data!$A:$A,0)))</f>
        <v/>
      </c>
      <c r="AL278" s="73" t="str">
        <f>IF(ISNA(MATCH($N278,[1]data!$A:$A,0)),"",INDEX([1]data!V:V,MATCH($N278,[1]data!$A:$A,0)))</f>
        <v/>
      </c>
      <c r="AM278" s="38" t="str">
        <f>IF(ISNA(MATCH($N278,data!$A:$A,0)),"",INDEX(data!B:B,MATCH($N278,data!$A:$A,0)))</f>
        <v/>
      </c>
      <c r="AN278" s="38" t="str">
        <f>IF(ISNA(MATCH($N278,data!$A:$A,0)),"",INDEX(data!C:C,MATCH($N278,data!$A:$A,0)))</f>
        <v/>
      </c>
      <c r="AO278" s="38" t="str">
        <f>IF(ISNA(MATCH($N278,data!$A:$A,0)),"",INDEX(data!D:D,MATCH($N278,data!$A:$A,0)))</f>
        <v/>
      </c>
      <c r="AP278" s="38" t="str">
        <f>IF(ISNA(MATCH($N278,data!$A:$A,0)),"",INDEX(data!E:E,MATCH($N278,data!$A:$A,0)))</f>
        <v/>
      </c>
      <c r="AQ278" s="38" t="str">
        <f>IF(ISNA(MATCH($N278,data!$A:$A,0)),"",INDEX(data!F:F,MATCH($N278,data!$A:$A,0)))</f>
        <v/>
      </c>
      <c r="AR278" s="38" t="str">
        <f>IF(ISNA(MATCH($N278,data!$A:$A,0)),"",INDEX(data!G:G,MATCH($N278,data!$A:$A,0)))</f>
        <v/>
      </c>
      <c r="AS278" s="38" t="str">
        <f>IF(ISNA(MATCH($N278,data!$A:$A,0)),"",INDEX(data!H:H,MATCH($N278,data!$A:$A,0)))</f>
        <v/>
      </c>
      <c r="AT278" s="38" t="str">
        <f>IF(ISNA(MATCH($N278,data!$A:$A,0)),"",INDEX(data!I:I,MATCH($N278,data!$A:$A,0)))</f>
        <v/>
      </c>
      <c r="AU278" s="38" t="str">
        <f>IF(ISNA(MATCH($N278,[1]data!$A:$A,0)),"",INDEX([1]data!L:L,MATCH($N278,[1]data!$A:$A,0)))</f>
        <v/>
      </c>
      <c r="AV278" s="38" t="str">
        <f>IF(ISNA(MATCH($N278,[1]data!$A:$A,0)),"",INDEX([1]data!M:M,MATCH($N278,[1]data!$A:$A,0)))</f>
        <v/>
      </c>
      <c r="AW278" s="38" t="str">
        <f>IF(ISNA(MATCH($N278,data!$A:$A,0)),"",INDEX(data!J:J,MATCH($N278,data!$A:$A,0)))</f>
        <v/>
      </c>
      <c r="AX278" s="38" t="str">
        <f>IF(ISNA(MATCH($N278,data!$A:$A,0)),"",INDEX(data!K:K,MATCH($N278,data!$A:$A,0)))</f>
        <v/>
      </c>
      <c r="AY278" s="38" t="str">
        <f>IF(ISNA(MATCH($N278,data!$A:$A,0)),"",INDEX(data!O:O,MATCH($N278,data!$A:$A,0)))</f>
        <v/>
      </c>
      <c r="AZ278" s="38" t="str">
        <f>IF(ISNA(MATCH($N278,data!$A:$A,0)),"",INDEX(data!N:N,MATCH($N278,data!$A:$A,0)))</f>
        <v/>
      </c>
      <c r="BA278" s="38" t="str">
        <f>IF(ISNA(MATCH($N278,data!$A:$A,0)),"",INDEX(data!P:P,MATCH($N278,data!$A:$A,0)))</f>
        <v/>
      </c>
      <c r="BB278" s="38" t="str">
        <f>IF(ISNA(MATCH($N278,data!$A:$A,0)),"",INDEX(data!Q:Q,MATCH($N278,data!$A:$A,0)))</f>
        <v/>
      </c>
      <c r="BC278" s="38" t="str">
        <f>IF(ISNA(MATCH($N278,data!$A:$A,0)),"",INDEX(data!R:R,MATCH($N278,data!$A:$A,0)))</f>
        <v/>
      </c>
      <c r="BD278" s="38" t="str">
        <f>IF(ISNA(MATCH($N278,[1]data!$A:$A,0)),"",INDEX([1]data!U:U,MATCH($N278,[1]data!$A:$A,0)))</f>
        <v/>
      </c>
      <c r="BE278" s="61" t="e">
        <f>IF(COUNTIF([1]data!A:A,[1]!Table1[[#This Row],[UPC]])&lt;2,"","DUP")</f>
        <v>#VALUE!</v>
      </c>
      <c r="BF278" s="38" t="str">
        <f>IF(ISNA(MATCH($N278,data!$A:$A,0)),"",INDEX(data!W:W,MATCH($N278,data!$A:$A,0)))</f>
        <v/>
      </c>
    </row>
    <row r="279" spans="1:58" ht="12.75" customHeight="1">
      <c r="A279" s="35"/>
      <c r="B279" s="35"/>
      <c r="C279" s="35"/>
      <c r="D279" s="35"/>
      <c r="E279" s="67"/>
      <c r="F279" s="67"/>
      <c r="G279" s="36"/>
      <c r="H279" s="29"/>
      <c r="I279" s="78" t="str">
        <f t="shared" si="4"/>
        <v/>
      </c>
      <c r="J279" s="29"/>
      <c r="K279" s="29"/>
      <c r="L279" s="33"/>
      <c r="M279" s="33"/>
      <c r="N279" s="60"/>
      <c r="O279" s="71"/>
      <c r="P279" s="71"/>
      <c r="Q279" s="33"/>
      <c r="R279" s="31"/>
      <c r="S279" s="31"/>
      <c r="T279" s="59"/>
      <c r="U279" s="59"/>
      <c r="V279" s="59"/>
      <c r="W279" s="57">
        <f t="shared" si="5"/>
        <v>0</v>
      </c>
      <c r="X279" s="126" t="str">
        <f>IF(Table1[[#This Row],[Shipping Weight Pounds]]&gt;150,"See LTL Form","No")</f>
        <v>No</v>
      </c>
      <c r="Y279" s="28"/>
      <c r="Z279" s="33"/>
      <c r="AA279" s="34"/>
      <c r="AB279" s="30"/>
      <c r="AC279" s="30"/>
      <c r="AD279" s="32"/>
      <c r="AE279" s="32"/>
      <c r="AF279" s="2"/>
      <c r="AG279" s="2"/>
      <c r="AH279" s="2"/>
      <c r="AI279" s="2"/>
      <c r="AK279" s="73" t="str">
        <f>IF(ISNA(MATCH($N279,[1]data!$A:$A,0)),"",INDEX([1]data!S:S,MATCH($N279,[1]data!$A:$A,0)))</f>
        <v/>
      </c>
      <c r="AL279" s="73" t="str">
        <f>IF(ISNA(MATCH($N279,[1]data!$A:$A,0)),"",INDEX([1]data!V:V,MATCH($N279,[1]data!$A:$A,0)))</f>
        <v/>
      </c>
      <c r="AM279" s="38" t="str">
        <f>IF(ISNA(MATCH($N279,data!$A:$A,0)),"",INDEX(data!B:B,MATCH($N279,data!$A:$A,0)))</f>
        <v/>
      </c>
      <c r="AN279" s="38" t="str">
        <f>IF(ISNA(MATCH($N279,data!$A:$A,0)),"",INDEX(data!C:C,MATCH($N279,data!$A:$A,0)))</f>
        <v/>
      </c>
      <c r="AO279" s="38" t="str">
        <f>IF(ISNA(MATCH($N279,data!$A:$A,0)),"",INDEX(data!D:D,MATCH($N279,data!$A:$A,0)))</f>
        <v/>
      </c>
      <c r="AP279" s="38" t="str">
        <f>IF(ISNA(MATCH($N279,data!$A:$A,0)),"",INDEX(data!E:E,MATCH($N279,data!$A:$A,0)))</f>
        <v/>
      </c>
      <c r="AQ279" s="38" t="str">
        <f>IF(ISNA(MATCH($N279,data!$A:$A,0)),"",INDEX(data!F:F,MATCH($N279,data!$A:$A,0)))</f>
        <v/>
      </c>
      <c r="AR279" s="38" t="str">
        <f>IF(ISNA(MATCH($N279,data!$A:$A,0)),"",INDEX(data!G:G,MATCH($N279,data!$A:$A,0)))</f>
        <v/>
      </c>
      <c r="AS279" s="38" t="str">
        <f>IF(ISNA(MATCH($N279,data!$A:$A,0)),"",INDEX(data!H:H,MATCH($N279,data!$A:$A,0)))</f>
        <v/>
      </c>
      <c r="AT279" s="38" t="str">
        <f>IF(ISNA(MATCH($N279,data!$A:$A,0)),"",INDEX(data!I:I,MATCH($N279,data!$A:$A,0)))</f>
        <v/>
      </c>
      <c r="AU279" s="38" t="str">
        <f>IF(ISNA(MATCH($N279,[1]data!$A:$A,0)),"",INDEX([1]data!L:L,MATCH($N279,[1]data!$A:$A,0)))</f>
        <v/>
      </c>
      <c r="AV279" s="38" t="str">
        <f>IF(ISNA(MATCH($N279,[1]data!$A:$A,0)),"",INDEX([1]data!M:M,MATCH($N279,[1]data!$A:$A,0)))</f>
        <v/>
      </c>
      <c r="AW279" s="38" t="str">
        <f>IF(ISNA(MATCH($N279,data!$A:$A,0)),"",INDEX(data!J:J,MATCH($N279,data!$A:$A,0)))</f>
        <v/>
      </c>
      <c r="AX279" s="38" t="str">
        <f>IF(ISNA(MATCH($N279,data!$A:$A,0)),"",INDEX(data!K:K,MATCH($N279,data!$A:$A,0)))</f>
        <v/>
      </c>
      <c r="AY279" s="38" t="str">
        <f>IF(ISNA(MATCH($N279,data!$A:$A,0)),"",INDEX(data!O:O,MATCH($N279,data!$A:$A,0)))</f>
        <v/>
      </c>
      <c r="AZ279" s="38" t="str">
        <f>IF(ISNA(MATCH($N279,data!$A:$A,0)),"",INDEX(data!N:N,MATCH($N279,data!$A:$A,0)))</f>
        <v/>
      </c>
      <c r="BA279" s="38" t="str">
        <f>IF(ISNA(MATCH($N279,data!$A:$A,0)),"",INDEX(data!P:P,MATCH($N279,data!$A:$A,0)))</f>
        <v/>
      </c>
      <c r="BB279" s="38" t="str">
        <f>IF(ISNA(MATCH($N279,data!$A:$A,0)),"",INDEX(data!Q:Q,MATCH($N279,data!$A:$A,0)))</f>
        <v/>
      </c>
      <c r="BC279" s="38" t="str">
        <f>IF(ISNA(MATCH($N279,data!$A:$A,0)),"",INDEX(data!R:R,MATCH($N279,data!$A:$A,0)))</f>
        <v/>
      </c>
      <c r="BD279" s="38" t="str">
        <f>IF(ISNA(MATCH($N279,[1]data!$A:$A,0)),"",INDEX([1]data!U:U,MATCH($N279,[1]data!$A:$A,0)))</f>
        <v/>
      </c>
      <c r="BE279" s="61" t="e">
        <f>IF(COUNTIF([1]data!A:A,[1]!Table1[[#This Row],[UPC]])&lt;2,"","DUP")</f>
        <v>#VALUE!</v>
      </c>
      <c r="BF279" s="38" t="str">
        <f>IF(ISNA(MATCH($N279,data!$A:$A,0)),"",INDEX(data!W:W,MATCH($N279,data!$A:$A,0)))</f>
        <v/>
      </c>
    </row>
    <row r="280" spans="1:58" ht="12.75" customHeight="1">
      <c r="A280" s="35"/>
      <c r="B280" s="35"/>
      <c r="C280" s="35"/>
      <c r="D280" s="35"/>
      <c r="E280" s="67"/>
      <c r="F280" s="67"/>
      <c r="G280" s="36"/>
      <c r="H280" s="29"/>
      <c r="I280" s="78" t="str">
        <f t="shared" si="4"/>
        <v/>
      </c>
      <c r="J280" s="29"/>
      <c r="K280" s="29"/>
      <c r="L280" s="33"/>
      <c r="M280" s="33"/>
      <c r="N280" s="60"/>
      <c r="O280" s="71"/>
      <c r="P280" s="71"/>
      <c r="Q280" s="33"/>
      <c r="R280" s="31"/>
      <c r="S280" s="31"/>
      <c r="T280" s="59"/>
      <c r="U280" s="59"/>
      <c r="V280" s="59"/>
      <c r="W280" s="57">
        <f t="shared" si="5"/>
        <v>0</v>
      </c>
      <c r="X280" s="126" t="str">
        <f>IF(Table1[[#This Row],[Shipping Weight Pounds]]&gt;150,"See LTL Form","No")</f>
        <v>No</v>
      </c>
      <c r="Y280" s="28"/>
      <c r="Z280" s="33"/>
      <c r="AA280" s="34"/>
      <c r="AB280" s="30"/>
      <c r="AC280" s="30"/>
      <c r="AD280" s="32"/>
      <c r="AE280" s="32"/>
      <c r="AF280" s="2"/>
      <c r="AG280" s="2"/>
      <c r="AH280" s="2"/>
      <c r="AI280" s="2"/>
      <c r="AK280" s="73" t="str">
        <f>IF(ISNA(MATCH($N280,[1]data!$A:$A,0)),"",INDEX([1]data!S:S,MATCH($N280,[1]data!$A:$A,0)))</f>
        <v/>
      </c>
      <c r="AL280" s="73" t="str">
        <f>IF(ISNA(MATCH($N280,[1]data!$A:$A,0)),"",INDEX([1]data!V:V,MATCH($N280,[1]data!$A:$A,0)))</f>
        <v/>
      </c>
      <c r="AM280" s="38" t="str">
        <f>IF(ISNA(MATCH($N280,data!$A:$A,0)),"",INDEX(data!B:B,MATCH($N280,data!$A:$A,0)))</f>
        <v/>
      </c>
      <c r="AN280" s="38" t="str">
        <f>IF(ISNA(MATCH($N280,data!$A:$A,0)),"",INDEX(data!C:C,MATCH($N280,data!$A:$A,0)))</f>
        <v/>
      </c>
      <c r="AO280" s="38" t="str">
        <f>IF(ISNA(MATCH($N280,data!$A:$A,0)),"",INDEX(data!D:D,MATCH($N280,data!$A:$A,0)))</f>
        <v/>
      </c>
      <c r="AP280" s="38" t="str">
        <f>IF(ISNA(MATCH($N280,data!$A:$A,0)),"",INDEX(data!E:E,MATCH($N280,data!$A:$A,0)))</f>
        <v/>
      </c>
      <c r="AQ280" s="38" t="str">
        <f>IF(ISNA(MATCH($N280,data!$A:$A,0)),"",INDEX(data!F:F,MATCH($N280,data!$A:$A,0)))</f>
        <v/>
      </c>
      <c r="AR280" s="38" t="str">
        <f>IF(ISNA(MATCH($N280,data!$A:$A,0)),"",INDEX(data!G:G,MATCH($N280,data!$A:$A,0)))</f>
        <v/>
      </c>
      <c r="AS280" s="38" t="str">
        <f>IF(ISNA(MATCH($N280,data!$A:$A,0)),"",INDEX(data!H:H,MATCH($N280,data!$A:$A,0)))</f>
        <v/>
      </c>
      <c r="AT280" s="38" t="str">
        <f>IF(ISNA(MATCH($N280,data!$A:$A,0)),"",INDEX(data!I:I,MATCH($N280,data!$A:$A,0)))</f>
        <v/>
      </c>
      <c r="AU280" s="38" t="str">
        <f>IF(ISNA(MATCH($N280,[1]data!$A:$A,0)),"",INDEX([1]data!L:L,MATCH($N280,[1]data!$A:$A,0)))</f>
        <v/>
      </c>
      <c r="AV280" s="38" t="str">
        <f>IF(ISNA(MATCH($N280,[1]data!$A:$A,0)),"",INDEX([1]data!M:M,MATCH($N280,[1]data!$A:$A,0)))</f>
        <v/>
      </c>
      <c r="AW280" s="38" t="str">
        <f>IF(ISNA(MATCH($N280,data!$A:$A,0)),"",INDEX(data!J:J,MATCH($N280,data!$A:$A,0)))</f>
        <v/>
      </c>
      <c r="AX280" s="38" t="str">
        <f>IF(ISNA(MATCH($N280,data!$A:$A,0)),"",INDEX(data!K:K,MATCH($N280,data!$A:$A,0)))</f>
        <v/>
      </c>
      <c r="AY280" s="38" t="str">
        <f>IF(ISNA(MATCH($N280,data!$A:$A,0)),"",INDEX(data!O:O,MATCH($N280,data!$A:$A,0)))</f>
        <v/>
      </c>
      <c r="AZ280" s="38" t="str">
        <f>IF(ISNA(MATCH($N280,data!$A:$A,0)),"",INDEX(data!N:N,MATCH($N280,data!$A:$A,0)))</f>
        <v/>
      </c>
      <c r="BA280" s="38" t="str">
        <f>IF(ISNA(MATCH($N280,data!$A:$A,0)),"",INDEX(data!P:P,MATCH($N280,data!$A:$A,0)))</f>
        <v/>
      </c>
      <c r="BB280" s="38" t="str">
        <f>IF(ISNA(MATCH($N280,data!$A:$A,0)),"",INDEX(data!Q:Q,MATCH($N280,data!$A:$A,0)))</f>
        <v/>
      </c>
      <c r="BC280" s="38" t="str">
        <f>IF(ISNA(MATCH($N280,data!$A:$A,0)),"",INDEX(data!R:R,MATCH($N280,data!$A:$A,0)))</f>
        <v/>
      </c>
      <c r="BD280" s="38" t="str">
        <f>IF(ISNA(MATCH($N280,[1]data!$A:$A,0)),"",INDEX([1]data!U:U,MATCH($N280,[1]data!$A:$A,0)))</f>
        <v/>
      </c>
      <c r="BE280" s="61" t="e">
        <f>IF(COUNTIF([1]data!A:A,[1]!Table1[[#This Row],[UPC]])&lt;2,"","DUP")</f>
        <v>#VALUE!</v>
      </c>
      <c r="BF280" s="38" t="str">
        <f>IF(ISNA(MATCH($N280,data!$A:$A,0)),"",INDEX(data!W:W,MATCH($N280,data!$A:$A,0)))</f>
        <v/>
      </c>
    </row>
    <row r="281" spans="1:58" ht="12.75" customHeight="1">
      <c r="A281" s="35"/>
      <c r="B281" s="35"/>
      <c r="C281" s="35"/>
      <c r="D281" s="35"/>
      <c r="E281" s="67"/>
      <c r="F281" s="67"/>
      <c r="G281" s="36"/>
      <c r="H281" s="29"/>
      <c r="I281" s="78" t="str">
        <f t="shared" si="4"/>
        <v/>
      </c>
      <c r="J281" s="29"/>
      <c r="K281" s="29"/>
      <c r="L281" s="33"/>
      <c r="M281" s="33"/>
      <c r="N281" s="60"/>
      <c r="O281" s="71"/>
      <c r="P281" s="71"/>
      <c r="Q281" s="33"/>
      <c r="R281" s="31"/>
      <c r="S281" s="31"/>
      <c r="T281" s="59"/>
      <c r="U281" s="59"/>
      <c r="V281" s="59"/>
      <c r="W281" s="57">
        <f t="shared" si="5"/>
        <v>0</v>
      </c>
      <c r="X281" s="126" t="str">
        <f>IF(Table1[[#This Row],[Shipping Weight Pounds]]&gt;150,"See LTL Form","No")</f>
        <v>No</v>
      </c>
      <c r="Y281" s="28"/>
      <c r="Z281" s="33"/>
      <c r="AA281" s="34"/>
      <c r="AB281" s="30"/>
      <c r="AC281" s="30"/>
      <c r="AD281" s="32"/>
      <c r="AE281" s="32"/>
      <c r="AF281" s="2"/>
      <c r="AG281" s="2"/>
      <c r="AH281" s="2"/>
      <c r="AI281" s="2"/>
      <c r="AK281" s="73" t="str">
        <f>IF(ISNA(MATCH($N281,[1]data!$A:$A,0)),"",INDEX([1]data!S:S,MATCH($N281,[1]data!$A:$A,0)))</f>
        <v/>
      </c>
      <c r="AL281" s="73" t="str">
        <f>IF(ISNA(MATCH($N281,[1]data!$A:$A,0)),"",INDEX([1]data!V:V,MATCH($N281,[1]data!$A:$A,0)))</f>
        <v/>
      </c>
      <c r="AM281" s="38" t="str">
        <f>IF(ISNA(MATCH($N281,data!$A:$A,0)),"",INDEX(data!B:B,MATCH($N281,data!$A:$A,0)))</f>
        <v/>
      </c>
      <c r="AN281" s="38" t="str">
        <f>IF(ISNA(MATCH($N281,data!$A:$A,0)),"",INDEX(data!C:C,MATCH($N281,data!$A:$A,0)))</f>
        <v/>
      </c>
      <c r="AO281" s="38" t="str">
        <f>IF(ISNA(MATCH($N281,data!$A:$A,0)),"",INDEX(data!D:D,MATCH($N281,data!$A:$A,0)))</f>
        <v/>
      </c>
      <c r="AP281" s="38" t="str">
        <f>IF(ISNA(MATCH($N281,data!$A:$A,0)),"",INDEX(data!E:E,MATCH($N281,data!$A:$A,0)))</f>
        <v/>
      </c>
      <c r="AQ281" s="38" t="str">
        <f>IF(ISNA(MATCH($N281,data!$A:$A,0)),"",INDEX(data!F:F,MATCH($N281,data!$A:$A,0)))</f>
        <v/>
      </c>
      <c r="AR281" s="38" t="str">
        <f>IF(ISNA(MATCH($N281,data!$A:$A,0)),"",INDEX(data!G:G,MATCH($N281,data!$A:$A,0)))</f>
        <v/>
      </c>
      <c r="AS281" s="38" t="str">
        <f>IF(ISNA(MATCH($N281,data!$A:$A,0)),"",INDEX(data!H:H,MATCH($N281,data!$A:$A,0)))</f>
        <v/>
      </c>
      <c r="AT281" s="38" t="str">
        <f>IF(ISNA(MATCH($N281,data!$A:$A,0)),"",INDEX(data!I:I,MATCH($N281,data!$A:$A,0)))</f>
        <v/>
      </c>
      <c r="AU281" s="38" t="str">
        <f>IF(ISNA(MATCH($N281,[1]data!$A:$A,0)),"",INDEX([1]data!L:L,MATCH($N281,[1]data!$A:$A,0)))</f>
        <v/>
      </c>
      <c r="AV281" s="38" t="str">
        <f>IF(ISNA(MATCH($N281,[1]data!$A:$A,0)),"",INDEX([1]data!M:M,MATCH($N281,[1]data!$A:$A,0)))</f>
        <v/>
      </c>
      <c r="AW281" s="38" t="str">
        <f>IF(ISNA(MATCH($N281,data!$A:$A,0)),"",INDEX(data!J:J,MATCH($N281,data!$A:$A,0)))</f>
        <v/>
      </c>
      <c r="AX281" s="38" t="str">
        <f>IF(ISNA(MATCH($N281,data!$A:$A,0)),"",INDEX(data!K:K,MATCH($N281,data!$A:$A,0)))</f>
        <v/>
      </c>
      <c r="AY281" s="38" t="str">
        <f>IF(ISNA(MATCH($N281,data!$A:$A,0)),"",INDEX(data!O:O,MATCH($N281,data!$A:$A,0)))</f>
        <v/>
      </c>
      <c r="AZ281" s="38" t="str">
        <f>IF(ISNA(MATCH($N281,data!$A:$A,0)),"",INDEX(data!N:N,MATCH($N281,data!$A:$A,0)))</f>
        <v/>
      </c>
      <c r="BA281" s="38" t="str">
        <f>IF(ISNA(MATCH($N281,data!$A:$A,0)),"",INDEX(data!P:P,MATCH($N281,data!$A:$A,0)))</f>
        <v/>
      </c>
      <c r="BB281" s="38" t="str">
        <f>IF(ISNA(MATCH($N281,data!$A:$A,0)),"",INDEX(data!Q:Q,MATCH($N281,data!$A:$A,0)))</f>
        <v/>
      </c>
      <c r="BC281" s="38" t="str">
        <f>IF(ISNA(MATCH($N281,data!$A:$A,0)),"",INDEX(data!R:R,MATCH($N281,data!$A:$A,0)))</f>
        <v/>
      </c>
      <c r="BD281" s="38" t="str">
        <f>IF(ISNA(MATCH($N281,[1]data!$A:$A,0)),"",INDEX([1]data!U:U,MATCH($N281,[1]data!$A:$A,0)))</f>
        <v/>
      </c>
      <c r="BE281" s="61" t="e">
        <f>IF(COUNTIF([1]data!A:A,[1]!Table1[[#This Row],[UPC]])&lt;2,"","DUP")</f>
        <v>#VALUE!</v>
      </c>
      <c r="BF281" s="38" t="str">
        <f>IF(ISNA(MATCH($N281,data!$A:$A,0)),"",INDEX(data!W:W,MATCH($N281,data!$A:$A,0)))</f>
        <v/>
      </c>
    </row>
    <row r="282" spans="1:58" ht="12.75" customHeight="1">
      <c r="A282" s="35"/>
      <c r="B282" s="35"/>
      <c r="C282" s="35"/>
      <c r="D282" s="35"/>
      <c r="E282" s="67"/>
      <c r="F282" s="67"/>
      <c r="G282" s="36"/>
      <c r="H282" s="29"/>
      <c r="I282" s="78" t="str">
        <f t="shared" si="4"/>
        <v/>
      </c>
      <c r="J282" s="29"/>
      <c r="K282" s="29"/>
      <c r="L282" s="33"/>
      <c r="M282" s="33"/>
      <c r="N282" s="60"/>
      <c r="O282" s="71"/>
      <c r="P282" s="71"/>
      <c r="Q282" s="33"/>
      <c r="R282" s="31"/>
      <c r="S282" s="31"/>
      <c r="T282" s="59"/>
      <c r="U282" s="59"/>
      <c r="V282" s="59"/>
      <c r="W282" s="57">
        <f t="shared" si="5"/>
        <v>0</v>
      </c>
      <c r="X282" s="126" t="str">
        <f>IF(Table1[[#This Row],[Shipping Weight Pounds]]&gt;150,"See LTL Form","No")</f>
        <v>No</v>
      </c>
      <c r="Y282" s="28"/>
      <c r="Z282" s="33"/>
      <c r="AA282" s="34"/>
      <c r="AB282" s="30"/>
      <c r="AC282" s="30"/>
      <c r="AD282" s="32"/>
      <c r="AE282" s="32"/>
      <c r="AF282" s="2"/>
      <c r="AG282" s="2"/>
      <c r="AH282" s="2"/>
      <c r="AI282" s="2"/>
      <c r="AK282" s="73" t="str">
        <f>IF(ISNA(MATCH($N282,[1]data!$A:$A,0)),"",INDEX([1]data!S:S,MATCH($N282,[1]data!$A:$A,0)))</f>
        <v/>
      </c>
      <c r="AL282" s="73" t="str">
        <f>IF(ISNA(MATCH($N282,[1]data!$A:$A,0)),"",INDEX([1]data!V:V,MATCH($N282,[1]data!$A:$A,0)))</f>
        <v/>
      </c>
      <c r="AM282" s="38" t="str">
        <f>IF(ISNA(MATCH($N282,data!$A:$A,0)),"",INDEX(data!B:B,MATCH($N282,data!$A:$A,0)))</f>
        <v/>
      </c>
      <c r="AN282" s="38" t="str">
        <f>IF(ISNA(MATCH($N282,data!$A:$A,0)),"",INDEX(data!C:C,MATCH($N282,data!$A:$A,0)))</f>
        <v/>
      </c>
      <c r="AO282" s="38" t="str">
        <f>IF(ISNA(MATCH($N282,data!$A:$A,0)),"",INDEX(data!D:D,MATCH($N282,data!$A:$A,0)))</f>
        <v/>
      </c>
      <c r="AP282" s="38" t="str">
        <f>IF(ISNA(MATCH($N282,data!$A:$A,0)),"",INDEX(data!E:E,MATCH($N282,data!$A:$A,0)))</f>
        <v/>
      </c>
      <c r="AQ282" s="38" t="str">
        <f>IF(ISNA(MATCH($N282,data!$A:$A,0)),"",INDEX(data!F:F,MATCH($N282,data!$A:$A,0)))</f>
        <v/>
      </c>
      <c r="AR282" s="38" t="str">
        <f>IF(ISNA(MATCH($N282,data!$A:$A,0)),"",INDEX(data!G:G,MATCH($N282,data!$A:$A,0)))</f>
        <v/>
      </c>
      <c r="AS282" s="38" t="str">
        <f>IF(ISNA(MATCH($N282,data!$A:$A,0)),"",INDEX(data!H:H,MATCH($N282,data!$A:$A,0)))</f>
        <v/>
      </c>
      <c r="AT282" s="38" t="str">
        <f>IF(ISNA(MATCH($N282,data!$A:$A,0)),"",INDEX(data!I:I,MATCH($N282,data!$A:$A,0)))</f>
        <v/>
      </c>
      <c r="AU282" s="38" t="str">
        <f>IF(ISNA(MATCH($N282,[1]data!$A:$A,0)),"",INDEX([1]data!L:L,MATCH($N282,[1]data!$A:$A,0)))</f>
        <v/>
      </c>
      <c r="AV282" s="38" t="str">
        <f>IF(ISNA(MATCH($N282,[1]data!$A:$A,0)),"",INDEX([1]data!M:M,MATCH($N282,[1]data!$A:$A,0)))</f>
        <v/>
      </c>
      <c r="AW282" s="38" t="str">
        <f>IF(ISNA(MATCH($N282,data!$A:$A,0)),"",INDEX(data!J:J,MATCH($N282,data!$A:$A,0)))</f>
        <v/>
      </c>
      <c r="AX282" s="38" t="str">
        <f>IF(ISNA(MATCH($N282,data!$A:$A,0)),"",INDEX(data!K:K,MATCH($N282,data!$A:$A,0)))</f>
        <v/>
      </c>
      <c r="AY282" s="38" t="str">
        <f>IF(ISNA(MATCH($N282,data!$A:$A,0)),"",INDEX(data!O:O,MATCH($N282,data!$A:$A,0)))</f>
        <v/>
      </c>
      <c r="AZ282" s="38" t="str">
        <f>IF(ISNA(MATCH($N282,data!$A:$A,0)),"",INDEX(data!N:N,MATCH($N282,data!$A:$A,0)))</f>
        <v/>
      </c>
      <c r="BA282" s="38" t="str">
        <f>IF(ISNA(MATCH($N282,data!$A:$A,0)),"",INDEX(data!P:P,MATCH($N282,data!$A:$A,0)))</f>
        <v/>
      </c>
      <c r="BB282" s="38" t="str">
        <f>IF(ISNA(MATCH($N282,data!$A:$A,0)),"",INDEX(data!Q:Q,MATCH($N282,data!$A:$A,0)))</f>
        <v/>
      </c>
      <c r="BC282" s="38" t="str">
        <f>IF(ISNA(MATCH($N282,data!$A:$A,0)),"",INDEX(data!R:R,MATCH($N282,data!$A:$A,0)))</f>
        <v/>
      </c>
      <c r="BD282" s="38" t="str">
        <f>IF(ISNA(MATCH($N282,[1]data!$A:$A,0)),"",INDEX([1]data!U:U,MATCH($N282,[1]data!$A:$A,0)))</f>
        <v/>
      </c>
      <c r="BE282" s="61" t="e">
        <f>IF(COUNTIF([1]data!A:A,[1]!Table1[[#This Row],[UPC]])&lt;2,"","DUP")</f>
        <v>#VALUE!</v>
      </c>
      <c r="BF282" s="38" t="str">
        <f>IF(ISNA(MATCH($N282,data!$A:$A,0)),"",INDEX(data!W:W,MATCH($N282,data!$A:$A,0)))</f>
        <v/>
      </c>
    </row>
    <row r="283" spans="1:58" ht="12.75" customHeight="1">
      <c r="A283" s="35"/>
      <c r="B283" s="35"/>
      <c r="C283" s="35"/>
      <c r="D283" s="35"/>
      <c r="E283" s="67"/>
      <c r="F283" s="67"/>
      <c r="G283" s="36"/>
      <c r="H283" s="29"/>
      <c r="I283" s="78" t="str">
        <f t="shared" si="4"/>
        <v/>
      </c>
      <c r="J283" s="29"/>
      <c r="K283" s="29"/>
      <c r="L283" s="33"/>
      <c r="M283" s="33"/>
      <c r="N283" s="60"/>
      <c r="O283" s="71"/>
      <c r="P283" s="71"/>
      <c r="Q283" s="33"/>
      <c r="R283" s="31"/>
      <c r="S283" s="31"/>
      <c r="T283" s="59"/>
      <c r="U283" s="59"/>
      <c r="V283" s="59"/>
      <c r="W283" s="57">
        <f t="shared" si="5"/>
        <v>0</v>
      </c>
      <c r="X283" s="126" t="str">
        <f>IF(Table1[[#This Row],[Shipping Weight Pounds]]&gt;150,"See LTL Form","No")</f>
        <v>No</v>
      </c>
      <c r="Y283" s="28"/>
      <c r="Z283" s="33"/>
      <c r="AA283" s="34"/>
      <c r="AB283" s="30"/>
      <c r="AC283" s="30"/>
      <c r="AD283" s="32"/>
      <c r="AE283" s="32"/>
      <c r="AF283" s="2"/>
      <c r="AG283" s="2"/>
      <c r="AH283" s="2"/>
      <c r="AI283" s="2"/>
      <c r="AK283" s="73" t="str">
        <f>IF(ISNA(MATCH($N283,[1]data!$A:$A,0)),"",INDEX([1]data!S:S,MATCH($N283,[1]data!$A:$A,0)))</f>
        <v/>
      </c>
      <c r="AL283" s="73" t="str">
        <f>IF(ISNA(MATCH($N283,[1]data!$A:$A,0)),"",INDEX([1]data!V:V,MATCH($N283,[1]data!$A:$A,0)))</f>
        <v/>
      </c>
      <c r="AM283" s="38" t="str">
        <f>IF(ISNA(MATCH($N283,data!$A:$A,0)),"",INDEX(data!B:B,MATCH($N283,data!$A:$A,0)))</f>
        <v/>
      </c>
      <c r="AN283" s="38" t="str">
        <f>IF(ISNA(MATCH($N283,data!$A:$A,0)),"",INDEX(data!C:C,MATCH($N283,data!$A:$A,0)))</f>
        <v/>
      </c>
      <c r="AO283" s="38" t="str">
        <f>IF(ISNA(MATCH($N283,data!$A:$A,0)),"",INDEX(data!D:D,MATCH($N283,data!$A:$A,0)))</f>
        <v/>
      </c>
      <c r="AP283" s="38" t="str">
        <f>IF(ISNA(MATCH($N283,data!$A:$A,0)),"",INDEX(data!E:E,MATCH($N283,data!$A:$A,0)))</f>
        <v/>
      </c>
      <c r="AQ283" s="38" t="str">
        <f>IF(ISNA(MATCH($N283,data!$A:$A,0)),"",INDEX(data!F:F,MATCH($N283,data!$A:$A,0)))</f>
        <v/>
      </c>
      <c r="AR283" s="38" t="str">
        <f>IF(ISNA(MATCH($N283,data!$A:$A,0)),"",INDEX(data!G:G,MATCH($N283,data!$A:$A,0)))</f>
        <v/>
      </c>
      <c r="AS283" s="38" t="str">
        <f>IF(ISNA(MATCH($N283,data!$A:$A,0)),"",INDEX(data!H:H,MATCH($N283,data!$A:$A,0)))</f>
        <v/>
      </c>
      <c r="AT283" s="38" t="str">
        <f>IF(ISNA(MATCH($N283,data!$A:$A,0)),"",INDEX(data!I:I,MATCH($N283,data!$A:$A,0)))</f>
        <v/>
      </c>
      <c r="AU283" s="38" t="str">
        <f>IF(ISNA(MATCH($N283,[1]data!$A:$A,0)),"",INDEX([1]data!L:L,MATCH($N283,[1]data!$A:$A,0)))</f>
        <v/>
      </c>
      <c r="AV283" s="38" t="str">
        <f>IF(ISNA(MATCH($N283,[1]data!$A:$A,0)),"",INDEX([1]data!M:M,MATCH($N283,[1]data!$A:$A,0)))</f>
        <v/>
      </c>
      <c r="AW283" s="38" t="str">
        <f>IF(ISNA(MATCH($N283,data!$A:$A,0)),"",INDEX(data!J:J,MATCH($N283,data!$A:$A,0)))</f>
        <v/>
      </c>
      <c r="AX283" s="38" t="str">
        <f>IF(ISNA(MATCH($N283,data!$A:$A,0)),"",INDEX(data!K:K,MATCH($N283,data!$A:$A,0)))</f>
        <v/>
      </c>
      <c r="AY283" s="38" t="str">
        <f>IF(ISNA(MATCH($N283,data!$A:$A,0)),"",INDEX(data!O:O,MATCH($N283,data!$A:$A,0)))</f>
        <v/>
      </c>
      <c r="AZ283" s="38" t="str">
        <f>IF(ISNA(MATCH($N283,data!$A:$A,0)),"",INDEX(data!N:N,MATCH($N283,data!$A:$A,0)))</f>
        <v/>
      </c>
      <c r="BA283" s="38" t="str">
        <f>IF(ISNA(MATCH($N283,data!$A:$A,0)),"",INDEX(data!P:P,MATCH($N283,data!$A:$A,0)))</f>
        <v/>
      </c>
      <c r="BB283" s="38" t="str">
        <f>IF(ISNA(MATCH($N283,data!$A:$A,0)),"",INDEX(data!Q:Q,MATCH($N283,data!$A:$A,0)))</f>
        <v/>
      </c>
      <c r="BC283" s="38" t="str">
        <f>IF(ISNA(MATCH($N283,data!$A:$A,0)),"",INDEX(data!R:R,MATCH($N283,data!$A:$A,0)))</f>
        <v/>
      </c>
      <c r="BD283" s="38" t="str">
        <f>IF(ISNA(MATCH($N283,[1]data!$A:$A,0)),"",INDEX([1]data!U:U,MATCH($N283,[1]data!$A:$A,0)))</f>
        <v/>
      </c>
      <c r="BE283" s="61" t="e">
        <f>IF(COUNTIF([1]data!A:A,[1]!Table1[[#This Row],[UPC]])&lt;2,"","DUP")</f>
        <v>#VALUE!</v>
      </c>
      <c r="BF283" s="38" t="str">
        <f>IF(ISNA(MATCH($N283,data!$A:$A,0)),"",INDEX(data!W:W,MATCH($N283,data!$A:$A,0)))</f>
        <v/>
      </c>
    </row>
    <row r="284" spans="1:58" ht="12.75" customHeight="1">
      <c r="A284" s="35"/>
      <c r="B284" s="35"/>
      <c r="C284" s="35"/>
      <c r="D284" s="35"/>
      <c r="E284" s="67"/>
      <c r="F284" s="67"/>
      <c r="G284" s="36"/>
      <c r="H284" s="29"/>
      <c r="I284" s="78" t="str">
        <f t="shared" si="4"/>
        <v/>
      </c>
      <c r="J284" s="29"/>
      <c r="K284" s="29"/>
      <c r="L284" s="33"/>
      <c r="M284" s="33"/>
      <c r="N284" s="60"/>
      <c r="O284" s="71"/>
      <c r="P284" s="71"/>
      <c r="Q284" s="33"/>
      <c r="R284" s="31"/>
      <c r="S284" s="31"/>
      <c r="T284" s="59"/>
      <c r="U284" s="59"/>
      <c r="V284" s="59"/>
      <c r="W284" s="57">
        <f t="shared" si="5"/>
        <v>0</v>
      </c>
      <c r="X284" s="126" t="str">
        <f>IF(Table1[[#This Row],[Shipping Weight Pounds]]&gt;150,"See LTL Form","No")</f>
        <v>No</v>
      </c>
      <c r="Y284" s="28"/>
      <c r="Z284" s="33"/>
      <c r="AA284" s="34"/>
      <c r="AB284" s="30"/>
      <c r="AC284" s="30"/>
      <c r="AD284" s="32"/>
      <c r="AE284" s="32"/>
      <c r="AF284" s="2"/>
      <c r="AG284" s="2"/>
      <c r="AH284" s="2"/>
      <c r="AI284" s="2"/>
      <c r="AK284" s="73" t="str">
        <f>IF(ISNA(MATCH($N284,[1]data!$A:$A,0)),"",INDEX([1]data!S:S,MATCH($N284,[1]data!$A:$A,0)))</f>
        <v/>
      </c>
      <c r="AL284" s="73" t="str">
        <f>IF(ISNA(MATCH($N284,[1]data!$A:$A,0)),"",INDEX([1]data!V:V,MATCH($N284,[1]data!$A:$A,0)))</f>
        <v/>
      </c>
      <c r="AM284" s="38" t="str">
        <f>IF(ISNA(MATCH($N284,data!$A:$A,0)),"",INDEX(data!B:B,MATCH($N284,data!$A:$A,0)))</f>
        <v/>
      </c>
      <c r="AN284" s="38" t="str">
        <f>IF(ISNA(MATCH($N284,data!$A:$A,0)),"",INDEX(data!C:C,MATCH($N284,data!$A:$A,0)))</f>
        <v/>
      </c>
      <c r="AO284" s="38" t="str">
        <f>IF(ISNA(MATCH($N284,data!$A:$A,0)),"",INDEX(data!D:D,MATCH($N284,data!$A:$A,0)))</f>
        <v/>
      </c>
      <c r="AP284" s="38" t="str">
        <f>IF(ISNA(MATCH($N284,data!$A:$A,0)),"",INDEX(data!E:E,MATCH($N284,data!$A:$A,0)))</f>
        <v/>
      </c>
      <c r="AQ284" s="38" t="str">
        <f>IF(ISNA(MATCH($N284,data!$A:$A,0)),"",INDEX(data!F:F,MATCH($N284,data!$A:$A,0)))</f>
        <v/>
      </c>
      <c r="AR284" s="38" t="str">
        <f>IF(ISNA(MATCH($N284,data!$A:$A,0)),"",INDEX(data!G:G,MATCH($N284,data!$A:$A,0)))</f>
        <v/>
      </c>
      <c r="AS284" s="38" t="str">
        <f>IF(ISNA(MATCH($N284,data!$A:$A,0)),"",INDEX(data!H:H,MATCH($N284,data!$A:$A,0)))</f>
        <v/>
      </c>
      <c r="AT284" s="38" t="str">
        <f>IF(ISNA(MATCH($N284,data!$A:$A,0)),"",INDEX(data!I:I,MATCH($N284,data!$A:$A,0)))</f>
        <v/>
      </c>
      <c r="AU284" s="38" t="str">
        <f>IF(ISNA(MATCH($N284,[1]data!$A:$A,0)),"",INDEX([1]data!L:L,MATCH($N284,[1]data!$A:$A,0)))</f>
        <v/>
      </c>
      <c r="AV284" s="38" t="str">
        <f>IF(ISNA(MATCH($N284,[1]data!$A:$A,0)),"",INDEX([1]data!M:M,MATCH($N284,[1]data!$A:$A,0)))</f>
        <v/>
      </c>
      <c r="AW284" s="38" t="str">
        <f>IF(ISNA(MATCH($N284,data!$A:$A,0)),"",INDEX(data!J:J,MATCH($N284,data!$A:$A,0)))</f>
        <v/>
      </c>
      <c r="AX284" s="38" t="str">
        <f>IF(ISNA(MATCH($N284,data!$A:$A,0)),"",INDEX(data!K:K,MATCH($N284,data!$A:$A,0)))</f>
        <v/>
      </c>
      <c r="AY284" s="38" t="str">
        <f>IF(ISNA(MATCH($N284,data!$A:$A,0)),"",INDEX(data!O:O,MATCH($N284,data!$A:$A,0)))</f>
        <v/>
      </c>
      <c r="AZ284" s="38" t="str">
        <f>IF(ISNA(MATCH($N284,data!$A:$A,0)),"",INDEX(data!N:N,MATCH($N284,data!$A:$A,0)))</f>
        <v/>
      </c>
      <c r="BA284" s="38" t="str">
        <f>IF(ISNA(MATCH($N284,data!$A:$A,0)),"",INDEX(data!P:P,MATCH($N284,data!$A:$A,0)))</f>
        <v/>
      </c>
      <c r="BB284" s="38" t="str">
        <f>IF(ISNA(MATCH($N284,data!$A:$A,0)),"",INDEX(data!Q:Q,MATCH($N284,data!$A:$A,0)))</f>
        <v/>
      </c>
      <c r="BC284" s="38" t="str">
        <f>IF(ISNA(MATCH($N284,data!$A:$A,0)),"",INDEX(data!R:R,MATCH($N284,data!$A:$A,0)))</f>
        <v/>
      </c>
      <c r="BD284" s="38" t="str">
        <f>IF(ISNA(MATCH($N284,[1]data!$A:$A,0)),"",INDEX([1]data!U:U,MATCH($N284,[1]data!$A:$A,0)))</f>
        <v/>
      </c>
      <c r="BE284" s="61" t="e">
        <f>IF(COUNTIF([1]data!A:A,[1]!Table1[[#This Row],[UPC]])&lt;2,"","DUP")</f>
        <v>#VALUE!</v>
      </c>
      <c r="BF284" s="38" t="str">
        <f>IF(ISNA(MATCH($N284,data!$A:$A,0)),"",INDEX(data!W:W,MATCH($N284,data!$A:$A,0)))</f>
        <v/>
      </c>
    </row>
    <row r="285" spans="1:58" ht="12.75" customHeight="1">
      <c r="A285" s="35"/>
      <c r="B285" s="35"/>
      <c r="C285" s="35"/>
      <c r="D285" s="35"/>
      <c r="E285" s="67"/>
      <c r="F285" s="67"/>
      <c r="G285" s="36"/>
      <c r="H285" s="29"/>
      <c r="I285" s="78" t="str">
        <f t="shared" si="4"/>
        <v/>
      </c>
      <c r="J285" s="29"/>
      <c r="K285" s="29"/>
      <c r="L285" s="33"/>
      <c r="M285" s="33"/>
      <c r="N285" s="60"/>
      <c r="O285" s="71"/>
      <c r="P285" s="71"/>
      <c r="Q285" s="33"/>
      <c r="R285" s="31"/>
      <c r="S285" s="31"/>
      <c r="T285" s="59"/>
      <c r="U285" s="59"/>
      <c r="V285" s="59"/>
      <c r="W285" s="57">
        <f t="shared" si="5"/>
        <v>0</v>
      </c>
      <c r="X285" s="126" t="str">
        <f>IF(Table1[[#This Row],[Shipping Weight Pounds]]&gt;150,"See LTL Form","No")</f>
        <v>No</v>
      </c>
      <c r="Y285" s="28"/>
      <c r="Z285" s="33"/>
      <c r="AA285" s="34"/>
      <c r="AB285" s="30"/>
      <c r="AC285" s="30"/>
      <c r="AD285" s="32"/>
      <c r="AE285" s="32"/>
      <c r="AF285" s="2"/>
      <c r="AG285" s="2"/>
      <c r="AH285" s="2"/>
      <c r="AI285" s="2"/>
      <c r="AK285" s="73" t="str">
        <f>IF(ISNA(MATCH($N285,[1]data!$A:$A,0)),"",INDEX([1]data!S:S,MATCH($N285,[1]data!$A:$A,0)))</f>
        <v/>
      </c>
      <c r="AL285" s="73" t="str">
        <f>IF(ISNA(MATCH($N285,[1]data!$A:$A,0)),"",INDEX([1]data!V:V,MATCH($N285,[1]data!$A:$A,0)))</f>
        <v/>
      </c>
      <c r="AM285" s="38" t="str">
        <f>IF(ISNA(MATCH($N285,data!$A:$A,0)),"",INDEX(data!B:B,MATCH($N285,data!$A:$A,0)))</f>
        <v/>
      </c>
      <c r="AN285" s="38" t="str">
        <f>IF(ISNA(MATCH($N285,data!$A:$A,0)),"",INDEX(data!C:C,MATCH($N285,data!$A:$A,0)))</f>
        <v/>
      </c>
      <c r="AO285" s="38" t="str">
        <f>IF(ISNA(MATCH($N285,data!$A:$A,0)),"",INDEX(data!D:D,MATCH($N285,data!$A:$A,0)))</f>
        <v/>
      </c>
      <c r="AP285" s="38" t="str">
        <f>IF(ISNA(MATCH($N285,data!$A:$A,0)),"",INDEX(data!E:E,MATCH($N285,data!$A:$A,0)))</f>
        <v/>
      </c>
      <c r="AQ285" s="38" t="str">
        <f>IF(ISNA(MATCH($N285,data!$A:$A,0)),"",INDEX(data!F:F,MATCH($N285,data!$A:$A,0)))</f>
        <v/>
      </c>
      <c r="AR285" s="38" t="str">
        <f>IF(ISNA(MATCH($N285,data!$A:$A,0)),"",INDEX(data!G:G,MATCH($N285,data!$A:$A,0)))</f>
        <v/>
      </c>
      <c r="AS285" s="38" t="str">
        <f>IF(ISNA(MATCH($N285,data!$A:$A,0)),"",INDEX(data!H:H,MATCH($N285,data!$A:$A,0)))</f>
        <v/>
      </c>
      <c r="AT285" s="38" t="str">
        <f>IF(ISNA(MATCH($N285,data!$A:$A,0)),"",INDEX(data!I:I,MATCH($N285,data!$A:$A,0)))</f>
        <v/>
      </c>
      <c r="AU285" s="38" t="str">
        <f>IF(ISNA(MATCH($N285,[1]data!$A:$A,0)),"",INDEX([1]data!L:L,MATCH($N285,[1]data!$A:$A,0)))</f>
        <v/>
      </c>
      <c r="AV285" s="38" t="str">
        <f>IF(ISNA(MATCH($N285,[1]data!$A:$A,0)),"",INDEX([1]data!M:M,MATCH($N285,[1]data!$A:$A,0)))</f>
        <v/>
      </c>
      <c r="AW285" s="38" t="str">
        <f>IF(ISNA(MATCH($N285,data!$A:$A,0)),"",INDEX(data!J:J,MATCH($N285,data!$A:$A,0)))</f>
        <v/>
      </c>
      <c r="AX285" s="38" t="str">
        <f>IF(ISNA(MATCH($N285,data!$A:$A,0)),"",INDEX(data!K:K,MATCH($N285,data!$A:$A,0)))</f>
        <v/>
      </c>
      <c r="AY285" s="38" t="str">
        <f>IF(ISNA(MATCH($N285,data!$A:$A,0)),"",INDEX(data!O:O,MATCH($N285,data!$A:$A,0)))</f>
        <v/>
      </c>
      <c r="AZ285" s="38" t="str">
        <f>IF(ISNA(MATCH($N285,data!$A:$A,0)),"",INDEX(data!N:N,MATCH($N285,data!$A:$A,0)))</f>
        <v/>
      </c>
      <c r="BA285" s="38" t="str">
        <f>IF(ISNA(MATCH($N285,data!$A:$A,0)),"",INDEX(data!P:P,MATCH($N285,data!$A:$A,0)))</f>
        <v/>
      </c>
      <c r="BB285" s="38" t="str">
        <f>IF(ISNA(MATCH($N285,data!$A:$A,0)),"",INDEX(data!Q:Q,MATCH($N285,data!$A:$A,0)))</f>
        <v/>
      </c>
      <c r="BC285" s="38" t="str">
        <f>IF(ISNA(MATCH($N285,data!$A:$A,0)),"",INDEX(data!R:R,MATCH($N285,data!$A:$A,0)))</f>
        <v/>
      </c>
      <c r="BD285" s="38" t="str">
        <f>IF(ISNA(MATCH($N285,[1]data!$A:$A,0)),"",INDEX([1]data!U:U,MATCH($N285,[1]data!$A:$A,0)))</f>
        <v/>
      </c>
      <c r="BE285" s="61" t="e">
        <f>IF(COUNTIF([1]data!A:A,[1]!Table1[[#This Row],[UPC]])&lt;2,"","DUP")</f>
        <v>#VALUE!</v>
      </c>
      <c r="BF285" s="38" t="str">
        <f>IF(ISNA(MATCH($N285,data!$A:$A,0)),"",INDEX(data!W:W,MATCH($N285,data!$A:$A,0)))</f>
        <v/>
      </c>
    </row>
    <row r="286" spans="1:58" ht="12.75" customHeight="1">
      <c r="A286" s="35"/>
      <c r="B286" s="35"/>
      <c r="C286" s="35"/>
      <c r="D286" s="35"/>
      <c r="E286" s="67"/>
      <c r="F286" s="67"/>
      <c r="G286" s="36"/>
      <c r="H286" s="29"/>
      <c r="I286" s="78" t="str">
        <f t="shared" si="4"/>
        <v/>
      </c>
      <c r="J286" s="29"/>
      <c r="K286" s="29"/>
      <c r="L286" s="33"/>
      <c r="M286" s="33"/>
      <c r="N286" s="60"/>
      <c r="O286" s="71"/>
      <c r="P286" s="71"/>
      <c r="Q286" s="33"/>
      <c r="R286" s="31"/>
      <c r="S286" s="31"/>
      <c r="T286" s="59"/>
      <c r="U286" s="59"/>
      <c r="V286" s="59"/>
      <c r="W286" s="57">
        <f t="shared" si="5"/>
        <v>0</v>
      </c>
      <c r="X286" s="126" t="str">
        <f>IF(Table1[[#This Row],[Shipping Weight Pounds]]&gt;150,"See LTL Form","No")</f>
        <v>No</v>
      </c>
      <c r="Y286" s="28"/>
      <c r="Z286" s="33"/>
      <c r="AA286" s="34"/>
      <c r="AB286" s="30"/>
      <c r="AC286" s="30"/>
      <c r="AD286" s="32"/>
      <c r="AE286" s="32"/>
      <c r="AF286" s="2"/>
      <c r="AG286" s="2"/>
      <c r="AH286" s="2"/>
      <c r="AI286" s="2"/>
      <c r="AK286" s="73" t="str">
        <f>IF(ISNA(MATCH($N286,[1]data!$A:$A,0)),"",INDEX([1]data!S:S,MATCH($N286,[1]data!$A:$A,0)))</f>
        <v/>
      </c>
      <c r="AL286" s="73" t="str">
        <f>IF(ISNA(MATCH($N286,[1]data!$A:$A,0)),"",INDEX([1]data!V:V,MATCH($N286,[1]data!$A:$A,0)))</f>
        <v/>
      </c>
      <c r="AM286" s="38" t="str">
        <f>IF(ISNA(MATCH($N286,data!$A:$A,0)),"",INDEX(data!B:B,MATCH($N286,data!$A:$A,0)))</f>
        <v/>
      </c>
      <c r="AN286" s="38" t="str">
        <f>IF(ISNA(MATCH($N286,data!$A:$A,0)),"",INDEX(data!C:C,MATCH($N286,data!$A:$A,0)))</f>
        <v/>
      </c>
      <c r="AO286" s="38" t="str">
        <f>IF(ISNA(MATCH($N286,data!$A:$A,0)),"",INDEX(data!D:D,MATCH($N286,data!$A:$A,0)))</f>
        <v/>
      </c>
      <c r="AP286" s="38" t="str">
        <f>IF(ISNA(MATCH($N286,data!$A:$A,0)),"",INDEX(data!E:E,MATCH($N286,data!$A:$A,0)))</f>
        <v/>
      </c>
      <c r="AQ286" s="38" t="str">
        <f>IF(ISNA(MATCH($N286,data!$A:$A,0)),"",INDEX(data!F:F,MATCH($N286,data!$A:$A,0)))</f>
        <v/>
      </c>
      <c r="AR286" s="38" t="str">
        <f>IF(ISNA(MATCH($N286,data!$A:$A,0)),"",INDEX(data!G:G,MATCH($N286,data!$A:$A,0)))</f>
        <v/>
      </c>
      <c r="AS286" s="38" t="str">
        <f>IF(ISNA(MATCH($N286,data!$A:$A,0)),"",INDEX(data!H:H,MATCH($N286,data!$A:$A,0)))</f>
        <v/>
      </c>
      <c r="AT286" s="38" t="str">
        <f>IF(ISNA(MATCH($N286,data!$A:$A,0)),"",INDEX(data!I:I,MATCH($N286,data!$A:$A,0)))</f>
        <v/>
      </c>
      <c r="AU286" s="38" t="str">
        <f>IF(ISNA(MATCH($N286,[1]data!$A:$A,0)),"",INDEX([1]data!L:L,MATCH($N286,[1]data!$A:$A,0)))</f>
        <v/>
      </c>
      <c r="AV286" s="38" t="str">
        <f>IF(ISNA(MATCH($N286,[1]data!$A:$A,0)),"",INDEX([1]data!M:M,MATCH($N286,[1]data!$A:$A,0)))</f>
        <v/>
      </c>
      <c r="AW286" s="38" t="str">
        <f>IF(ISNA(MATCH($N286,data!$A:$A,0)),"",INDEX(data!J:J,MATCH($N286,data!$A:$A,0)))</f>
        <v/>
      </c>
      <c r="AX286" s="38" t="str">
        <f>IF(ISNA(MATCH($N286,data!$A:$A,0)),"",INDEX(data!K:K,MATCH($N286,data!$A:$A,0)))</f>
        <v/>
      </c>
      <c r="AY286" s="38" t="str">
        <f>IF(ISNA(MATCH($N286,data!$A:$A,0)),"",INDEX(data!O:O,MATCH($N286,data!$A:$A,0)))</f>
        <v/>
      </c>
      <c r="AZ286" s="38" t="str">
        <f>IF(ISNA(MATCH($N286,data!$A:$A,0)),"",INDEX(data!N:N,MATCH($N286,data!$A:$A,0)))</f>
        <v/>
      </c>
      <c r="BA286" s="38" t="str">
        <f>IF(ISNA(MATCH($N286,data!$A:$A,0)),"",INDEX(data!P:P,MATCH($N286,data!$A:$A,0)))</f>
        <v/>
      </c>
      <c r="BB286" s="38" t="str">
        <f>IF(ISNA(MATCH($N286,data!$A:$A,0)),"",INDEX(data!Q:Q,MATCH($N286,data!$A:$A,0)))</f>
        <v/>
      </c>
      <c r="BC286" s="38" t="str">
        <f>IF(ISNA(MATCH($N286,data!$A:$A,0)),"",INDEX(data!R:R,MATCH($N286,data!$A:$A,0)))</f>
        <v/>
      </c>
      <c r="BD286" s="38" t="str">
        <f>IF(ISNA(MATCH($N286,[1]data!$A:$A,0)),"",INDEX([1]data!U:U,MATCH($N286,[1]data!$A:$A,0)))</f>
        <v/>
      </c>
      <c r="BE286" s="61" t="e">
        <f>IF(COUNTIF([1]data!A:A,[1]!Table1[[#This Row],[UPC]])&lt;2,"","DUP")</f>
        <v>#VALUE!</v>
      </c>
      <c r="BF286" s="38" t="str">
        <f>IF(ISNA(MATCH($N286,data!$A:$A,0)),"",INDEX(data!W:W,MATCH($N286,data!$A:$A,0)))</f>
        <v/>
      </c>
    </row>
    <row r="287" spans="1:58" ht="12.75" customHeight="1">
      <c r="A287" s="35"/>
      <c r="B287" s="35"/>
      <c r="C287" s="35"/>
      <c r="D287" s="35"/>
      <c r="E287" s="67"/>
      <c r="F287" s="67"/>
      <c r="G287" s="36"/>
      <c r="H287" s="29"/>
      <c r="I287" s="78" t="str">
        <f t="shared" si="4"/>
        <v/>
      </c>
      <c r="J287" s="29"/>
      <c r="K287" s="29"/>
      <c r="L287" s="33"/>
      <c r="M287" s="33"/>
      <c r="N287" s="60"/>
      <c r="O287" s="71"/>
      <c r="P287" s="71"/>
      <c r="Q287" s="33"/>
      <c r="R287" s="31"/>
      <c r="S287" s="31"/>
      <c r="T287" s="59"/>
      <c r="U287" s="59"/>
      <c r="V287" s="59"/>
      <c r="W287" s="57">
        <f t="shared" si="5"/>
        <v>0</v>
      </c>
      <c r="X287" s="126" t="str">
        <f>IF(Table1[[#This Row],[Shipping Weight Pounds]]&gt;150,"See LTL Form","No")</f>
        <v>No</v>
      </c>
      <c r="Y287" s="28"/>
      <c r="Z287" s="33"/>
      <c r="AA287" s="34"/>
      <c r="AB287" s="30"/>
      <c r="AC287" s="30"/>
      <c r="AD287" s="32"/>
      <c r="AE287" s="32"/>
      <c r="AF287" s="2"/>
      <c r="AG287" s="2"/>
      <c r="AH287" s="2"/>
      <c r="AI287" s="2"/>
      <c r="AK287" s="73" t="str">
        <f>IF(ISNA(MATCH($N287,[1]data!$A:$A,0)),"",INDEX([1]data!S:S,MATCH($N287,[1]data!$A:$A,0)))</f>
        <v/>
      </c>
      <c r="AL287" s="73" t="str">
        <f>IF(ISNA(MATCH($N287,[1]data!$A:$A,0)),"",INDEX([1]data!V:V,MATCH($N287,[1]data!$A:$A,0)))</f>
        <v/>
      </c>
      <c r="AM287" s="38" t="str">
        <f>IF(ISNA(MATCH($N287,data!$A:$A,0)),"",INDEX(data!B:B,MATCH($N287,data!$A:$A,0)))</f>
        <v/>
      </c>
      <c r="AN287" s="38" t="str">
        <f>IF(ISNA(MATCH($N287,data!$A:$A,0)),"",INDEX(data!C:C,MATCH($N287,data!$A:$A,0)))</f>
        <v/>
      </c>
      <c r="AO287" s="38" t="str">
        <f>IF(ISNA(MATCH($N287,data!$A:$A,0)),"",INDEX(data!D:D,MATCH($N287,data!$A:$A,0)))</f>
        <v/>
      </c>
      <c r="AP287" s="38" t="str">
        <f>IF(ISNA(MATCH($N287,data!$A:$A,0)),"",INDEX(data!E:E,MATCH($N287,data!$A:$A,0)))</f>
        <v/>
      </c>
      <c r="AQ287" s="38" t="str">
        <f>IF(ISNA(MATCH($N287,data!$A:$A,0)),"",INDEX(data!F:F,MATCH($N287,data!$A:$A,0)))</f>
        <v/>
      </c>
      <c r="AR287" s="38" t="str">
        <f>IF(ISNA(MATCH($N287,data!$A:$A,0)),"",INDEX(data!G:G,MATCH($N287,data!$A:$A,0)))</f>
        <v/>
      </c>
      <c r="AS287" s="38" t="str">
        <f>IF(ISNA(MATCH($N287,data!$A:$A,0)),"",INDEX(data!H:H,MATCH($N287,data!$A:$A,0)))</f>
        <v/>
      </c>
      <c r="AT287" s="38" t="str">
        <f>IF(ISNA(MATCH($N287,data!$A:$A,0)),"",INDEX(data!I:I,MATCH($N287,data!$A:$A,0)))</f>
        <v/>
      </c>
      <c r="AU287" s="38" t="str">
        <f>IF(ISNA(MATCH($N287,[1]data!$A:$A,0)),"",INDEX([1]data!L:L,MATCH($N287,[1]data!$A:$A,0)))</f>
        <v/>
      </c>
      <c r="AV287" s="38" t="str">
        <f>IF(ISNA(MATCH($N287,[1]data!$A:$A,0)),"",INDEX([1]data!M:M,MATCH($N287,[1]data!$A:$A,0)))</f>
        <v/>
      </c>
      <c r="AW287" s="38" t="str">
        <f>IF(ISNA(MATCH($N287,data!$A:$A,0)),"",INDEX(data!J:J,MATCH($N287,data!$A:$A,0)))</f>
        <v/>
      </c>
      <c r="AX287" s="38" t="str">
        <f>IF(ISNA(MATCH($N287,data!$A:$A,0)),"",INDEX(data!K:K,MATCH($N287,data!$A:$A,0)))</f>
        <v/>
      </c>
      <c r="AY287" s="38" t="str">
        <f>IF(ISNA(MATCH($N287,data!$A:$A,0)),"",INDEX(data!O:O,MATCH($N287,data!$A:$A,0)))</f>
        <v/>
      </c>
      <c r="AZ287" s="38" t="str">
        <f>IF(ISNA(MATCH($N287,data!$A:$A,0)),"",INDEX(data!N:N,MATCH($N287,data!$A:$A,0)))</f>
        <v/>
      </c>
      <c r="BA287" s="38" t="str">
        <f>IF(ISNA(MATCH($N287,data!$A:$A,0)),"",INDEX(data!P:P,MATCH($N287,data!$A:$A,0)))</f>
        <v/>
      </c>
      <c r="BB287" s="38" t="str">
        <f>IF(ISNA(MATCH($N287,data!$A:$A,0)),"",INDEX(data!Q:Q,MATCH($N287,data!$A:$A,0)))</f>
        <v/>
      </c>
      <c r="BC287" s="38" t="str">
        <f>IF(ISNA(MATCH($N287,data!$A:$A,0)),"",INDEX(data!R:R,MATCH($N287,data!$A:$A,0)))</f>
        <v/>
      </c>
      <c r="BD287" s="38" t="str">
        <f>IF(ISNA(MATCH($N287,[1]data!$A:$A,0)),"",INDEX([1]data!U:U,MATCH($N287,[1]data!$A:$A,0)))</f>
        <v/>
      </c>
      <c r="BE287" s="61" t="e">
        <f>IF(COUNTIF([1]data!A:A,[1]!Table1[[#This Row],[UPC]])&lt;2,"","DUP")</f>
        <v>#VALUE!</v>
      </c>
      <c r="BF287" s="38" t="str">
        <f>IF(ISNA(MATCH($N287,data!$A:$A,0)),"",INDEX(data!W:W,MATCH($N287,data!$A:$A,0)))</f>
        <v/>
      </c>
    </row>
    <row r="288" spans="1:58" ht="12.75" customHeight="1">
      <c r="A288" s="35"/>
      <c r="B288" s="35"/>
      <c r="C288" s="35"/>
      <c r="D288" s="35"/>
      <c r="E288" s="67"/>
      <c r="F288" s="67"/>
      <c r="G288" s="36"/>
      <c r="H288" s="29"/>
      <c r="I288" s="78" t="str">
        <f t="shared" si="4"/>
        <v/>
      </c>
      <c r="J288" s="29"/>
      <c r="K288" s="29"/>
      <c r="L288" s="33"/>
      <c r="M288" s="33"/>
      <c r="N288" s="60"/>
      <c r="O288" s="71"/>
      <c r="P288" s="71"/>
      <c r="Q288" s="33"/>
      <c r="R288" s="31"/>
      <c r="S288" s="31"/>
      <c r="T288" s="59"/>
      <c r="U288" s="59"/>
      <c r="V288" s="59"/>
      <c r="W288" s="57">
        <f t="shared" si="5"/>
        <v>0</v>
      </c>
      <c r="X288" s="126" t="str">
        <f>IF(Table1[[#This Row],[Shipping Weight Pounds]]&gt;150,"See LTL Form","No")</f>
        <v>No</v>
      </c>
      <c r="Y288" s="28"/>
      <c r="Z288" s="33"/>
      <c r="AA288" s="34"/>
      <c r="AB288" s="30"/>
      <c r="AC288" s="30"/>
      <c r="AD288" s="32"/>
      <c r="AE288" s="32"/>
      <c r="AF288" s="2"/>
      <c r="AG288" s="2"/>
      <c r="AH288" s="2"/>
      <c r="AI288" s="2"/>
      <c r="AK288" s="73" t="str">
        <f>IF(ISNA(MATCH($N288,[1]data!$A:$A,0)),"",INDEX([1]data!S:S,MATCH($N288,[1]data!$A:$A,0)))</f>
        <v/>
      </c>
      <c r="AL288" s="73" t="str">
        <f>IF(ISNA(MATCH($N288,[1]data!$A:$A,0)),"",INDEX([1]data!V:V,MATCH($N288,[1]data!$A:$A,0)))</f>
        <v/>
      </c>
      <c r="AM288" s="38" t="str">
        <f>IF(ISNA(MATCH($N288,data!$A:$A,0)),"",INDEX(data!B:B,MATCH($N288,data!$A:$A,0)))</f>
        <v/>
      </c>
      <c r="AN288" s="38" t="str">
        <f>IF(ISNA(MATCH($N288,data!$A:$A,0)),"",INDEX(data!C:C,MATCH($N288,data!$A:$A,0)))</f>
        <v/>
      </c>
      <c r="AO288" s="38" t="str">
        <f>IF(ISNA(MATCH($N288,data!$A:$A,0)),"",INDEX(data!D:D,MATCH($N288,data!$A:$A,0)))</f>
        <v/>
      </c>
      <c r="AP288" s="38" t="str">
        <f>IF(ISNA(MATCH($N288,data!$A:$A,0)),"",INDEX(data!E:E,MATCH($N288,data!$A:$A,0)))</f>
        <v/>
      </c>
      <c r="AQ288" s="38" t="str">
        <f>IF(ISNA(MATCH($N288,data!$A:$A,0)),"",INDEX(data!F:F,MATCH($N288,data!$A:$A,0)))</f>
        <v/>
      </c>
      <c r="AR288" s="38" t="str">
        <f>IF(ISNA(MATCH($N288,data!$A:$A,0)),"",INDEX(data!G:G,MATCH($N288,data!$A:$A,0)))</f>
        <v/>
      </c>
      <c r="AS288" s="38" t="str">
        <f>IF(ISNA(MATCH($N288,data!$A:$A,0)),"",INDEX(data!H:H,MATCH($N288,data!$A:$A,0)))</f>
        <v/>
      </c>
      <c r="AT288" s="38" t="str">
        <f>IF(ISNA(MATCH($N288,data!$A:$A,0)),"",INDEX(data!I:I,MATCH($N288,data!$A:$A,0)))</f>
        <v/>
      </c>
      <c r="AU288" s="38" t="str">
        <f>IF(ISNA(MATCH($N288,[1]data!$A:$A,0)),"",INDEX([1]data!L:L,MATCH($N288,[1]data!$A:$A,0)))</f>
        <v/>
      </c>
      <c r="AV288" s="38" t="str">
        <f>IF(ISNA(MATCH($N288,[1]data!$A:$A,0)),"",INDEX([1]data!M:M,MATCH($N288,[1]data!$A:$A,0)))</f>
        <v/>
      </c>
      <c r="AW288" s="38" t="str">
        <f>IF(ISNA(MATCH($N288,data!$A:$A,0)),"",INDEX(data!J:J,MATCH($N288,data!$A:$A,0)))</f>
        <v/>
      </c>
      <c r="AX288" s="38" t="str">
        <f>IF(ISNA(MATCH($N288,data!$A:$A,0)),"",INDEX(data!K:K,MATCH($N288,data!$A:$A,0)))</f>
        <v/>
      </c>
      <c r="AY288" s="38" t="str">
        <f>IF(ISNA(MATCH($N288,data!$A:$A,0)),"",INDEX(data!O:O,MATCH($N288,data!$A:$A,0)))</f>
        <v/>
      </c>
      <c r="AZ288" s="38" t="str">
        <f>IF(ISNA(MATCH($N288,data!$A:$A,0)),"",INDEX(data!N:N,MATCH($N288,data!$A:$A,0)))</f>
        <v/>
      </c>
      <c r="BA288" s="38" t="str">
        <f>IF(ISNA(MATCH($N288,data!$A:$A,0)),"",INDEX(data!P:P,MATCH($N288,data!$A:$A,0)))</f>
        <v/>
      </c>
      <c r="BB288" s="38" t="str">
        <f>IF(ISNA(MATCH($N288,data!$A:$A,0)),"",INDEX(data!Q:Q,MATCH($N288,data!$A:$A,0)))</f>
        <v/>
      </c>
      <c r="BC288" s="38" t="str">
        <f>IF(ISNA(MATCH($N288,data!$A:$A,0)),"",INDEX(data!R:R,MATCH($N288,data!$A:$A,0)))</f>
        <v/>
      </c>
      <c r="BD288" s="38" t="str">
        <f>IF(ISNA(MATCH($N288,[1]data!$A:$A,0)),"",INDEX([1]data!U:U,MATCH($N288,[1]data!$A:$A,0)))</f>
        <v/>
      </c>
      <c r="BE288" s="61" t="e">
        <f>IF(COUNTIF([1]data!A:A,[1]!Table1[[#This Row],[UPC]])&lt;2,"","DUP")</f>
        <v>#VALUE!</v>
      </c>
      <c r="BF288" s="38" t="str">
        <f>IF(ISNA(MATCH($N288,data!$A:$A,0)),"",INDEX(data!W:W,MATCH($N288,data!$A:$A,0)))</f>
        <v/>
      </c>
    </row>
    <row r="289" spans="1:58" ht="12.75" customHeight="1">
      <c r="A289" s="35"/>
      <c r="B289" s="35"/>
      <c r="C289" s="35"/>
      <c r="D289" s="35"/>
      <c r="E289" s="67"/>
      <c r="F289" s="67"/>
      <c r="G289" s="36"/>
      <c r="H289" s="29"/>
      <c r="I289" s="78" t="str">
        <f t="shared" si="4"/>
        <v/>
      </c>
      <c r="J289" s="29"/>
      <c r="K289" s="29"/>
      <c r="L289" s="33"/>
      <c r="M289" s="33"/>
      <c r="N289" s="60"/>
      <c r="O289" s="71"/>
      <c r="P289" s="71"/>
      <c r="Q289" s="33"/>
      <c r="R289" s="31"/>
      <c r="S289" s="31"/>
      <c r="T289" s="59"/>
      <c r="U289" s="59"/>
      <c r="V289" s="59"/>
      <c r="W289" s="57">
        <f t="shared" si="5"/>
        <v>0</v>
      </c>
      <c r="X289" s="126" t="str">
        <f>IF(Table1[[#This Row],[Shipping Weight Pounds]]&gt;150,"See LTL Form","No")</f>
        <v>No</v>
      </c>
      <c r="Y289" s="28"/>
      <c r="Z289" s="33"/>
      <c r="AA289" s="34"/>
      <c r="AB289" s="30"/>
      <c r="AC289" s="30"/>
      <c r="AD289" s="32"/>
      <c r="AE289" s="32"/>
      <c r="AF289" s="2"/>
      <c r="AG289" s="2"/>
      <c r="AH289" s="2"/>
      <c r="AI289" s="2"/>
      <c r="AK289" s="73" t="str">
        <f>IF(ISNA(MATCH($N289,[1]data!$A:$A,0)),"",INDEX([1]data!S:S,MATCH($N289,[1]data!$A:$A,0)))</f>
        <v/>
      </c>
      <c r="AL289" s="73" t="str">
        <f>IF(ISNA(MATCH($N289,[1]data!$A:$A,0)),"",INDEX([1]data!V:V,MATCH($N289,[1]data!$A:$A,0)))</f>
        <v/>
      </c>
      <c r="AM289" s="38" t="str">
        <f>IF(ISNA(MATCH($N289,data!$A:$A,0)),"",INDEX(data!B:B,MATCH($N289,data!$A:$A,0)))</f>
        <v/>
      </c>
      <c r="AN289" s="38" t="str">
        <f>IF(ISNA(MATCH($N289,data!$A:$A,0)),"",INDEX(data!C:C,MATCH($N289,data!$A:$A,0)))</f>
        <v/>
      </c>
      <c r="AO289" s="38" t="str">
        <f>IF(ISNA(MATCH($N289,data!$A:$A,0)),"",INDEX(data!D:D,MATCH($N289,data!$A:$A,0)))</f>
        <v/>
      </c>
      <c r="AP289" s="38" t="str">
        <f>IF(ISNA(MATCH($N289,data!$A:$A,0)),"",INDEX(data!E:E,MATCH($N289,data!$A:$A,0)))</f>
        <v/>
      </c>
      <c r="AQ289" s="38" t="str">
        <f>IF(ISNA(MATCH($N289,data!$A:$A,0)),"",INDEX(data!F:F,MATCH($N289,data!$A:$A,0)))</f>
        <v/>
      </c>
      <c r="AR289" s="38" t="str">
        <f>IF(ISNA(MATCH($N289,data!$A:$A,0)),"",INDEX(data!G:G,MATCH($N289,data!$A:$A,0)))</f>
        <v/>
      </c>
      <c r="AS289" s="38" t="str">
        <f>IF(ISNA(MATCH($N289,data!$A:$A,0)),"",INDEX(data!H:H,MATCH($N289,data!$A:$A,0)))</f>
        <v/>
      </c>
      <c r="AT289" s="38" t="str">
        <f>IF(ISNA(MATCH($N289,data!$A:$A,0)),"",INDEX(data!I:I,MATCH($N289,data!$A:$A,0)))</f>
        <v/>
      </c>
      <c r="AU289" s="38" t="str">
        <f>IF(ISNA(MATCH($N289,[1]data!$A:$A,0)),"",INDEX([1]data!L:L,MATCH($N289,[1]data!$A:$A,0)))</f>
        <v/>
      </c>
      <c r="AV289" s="38" t="str">
        <f>IF(ISNA(MATCH($N289,[1]data!$A:$A,0)),"",INDEX([1]data!M:M,MATCH($N289,[1]data!$A:$A,0)))</f>
        <v/>
      </c>
      <c r="AW289" s="38" t="str">
        <f>IF(ISNA(MATCH($N289,data!$A:$A,0)),"",INDEX(data!J:J,MATCH($N289,data!$A:$A,0)))</f>
        <v/>
      </c>
      <c r="AX289" s="38" t="str">
        <f>IF(ISNA(MATCH($N289,data!$A:$A,0)),"",INDEX(data!K:K,MATCH($N289,data!$A:$A,0)))</f>
        <v/>
      </c>
      <c r="AY289" s="38" t="str">
        <f>IF(ISNA(MATCH($N289,data!$A:$A,0)),"",INDEX(data!O:O,MATCH($N289,data!$A:$A,0)))</f>
        <v/>
      </c>
      <c r="AZ289" s="38" t="str">
        <f>IF(ISNA(MATCH($N289,data!$A:$A,0)),"",INDEX(data!N:N,MATCH($N289,data!$A:$A,0)))</f>
        <v/>
      </c>
      <c r="BA289" s="38" t="str">
        <f>IF(ISNA(MATCH($N289,data!$A:$A,0)),"",INDEX(data!P:P,MATCH($N289,data!$A:$A,0)))</f>
        <v/>
      </c>
      <c r="BB289" s="38" t="str">
        <f>IF(ISNA(MATCH($N289,data!$A:$A,0)),"",INDEX(data!Q:Q,MATCH($N289,data!$A:$A,0)))</f>
        <v/>
      </c>
      <c r="BC289" s="38" t="str">
        <f>IF(ISNA(MATCH($N289,data!$A:$A,0)),"",INDEX(data!R:R,MATCH($N289,data!$A:$A,0)))</f>
        <v/>
      </c>
      <c r="BD289" s="38" t="str">
        <f>IF(ISNA(MATCH($N289,[1]data!$A:$A,0)),"",INDEX([1]data!U:U,MATCH($N289,[1]data!$A:$A,0)))</f>
        <v/>
      </c>
      <c r="BE289" s="61" t="e">
        <f>IF(COUNTIF([1]data!A:A,[1]!Table1[[#This Row],[UPC]])&lt;2,"","DUP")</f>
        <v>#VALUE!</v>
      </c>
      <c r="BF289" s="38" t="str">
        <f>IF(ISNA(MATCH($N289,data!$A:$A,0)),"",INDEX(data!W:W,MATCH($N289,data!$A:$A,0)))</f>
        <v/>
      </c>
    </row>
    <row r="290" spans="1:58" ht="12.75" customHeight="1">
      <c r="A290" s="35"/>
      <c r="B290" s="35"/>
      <c r="C290" s="35"/>
      <c r="D290" s="35"/>
      <c r="E290" s="67"/>
      <c r="F290" s="67"/>
      <c r="G290" s="36"/>
      <c r="H290" s="29"/>
      <c r="I290" s="78" t="str">
        <f t="shared" si="4"/>
        <v/>
      </c>
      <c r="J290" s="29"/>
      <c r="K290" s="29"/>
      <c r="L290" s="33"/>
      <c r="M290" s="33"/>
      <c r="N290" s="60"/>
      <c r="O290" s="71"/>
      <c r="P290" s="71"/>
      <c r="Q290" s="33"/>
      <c r="R290" s="31"/>
      <c r="S290" s="31"/>
      <c r="T290" s="59"/>
      <c r="U290" s="59"/>
      <c r="V290" s="59"/>
      <c r="W290" s="57">
        <f t="shared" si="5"/>
        <v>0</v>
      </c>
      <c r="X290" s="126" t="str">
        <f>IF(Table1[[#This Row],[Shipping Weight Pounds]]&gt;150,"See LTL Form","No")</f>
        <v>No</v>
      </c>
      <c r="Y290" s="28"/>
      <c r="Z290" s="33"/>
      <c r="AA290" s="34"/>
      <c r="AB290" s="30"/>
      <c r="AC290" s="30"/>
      <c r="AD290" s="32"/>
      <c r="AE290" s="32"/>
      <c r="AF290" s="2"/>
      <c r="AG290" s="2"/>
      <c r="AH290" s="2"/>
      <c r="AI290" s="2"/>
      <c r="AK290" s="73" t="str">
        <f>IF(ISNA(MATCH($N290,[1]data!$A:$A,0)),"",INDEX([1]data!S:S,MATCH($N290,[1]data!$A:$A,0)))</f>
        <v/>
      </c>
      <c r="AL290" s="73" t="str">
        <f>IF(ISNA(MATCH($N290,[1]data!$A:$A,0)),"",INDEX([1]data!V:V,MATCH($N290,[1]data!$A:$A,0)))</f>
        <v/>
      </c>
      <c r="AM290" s="38" t="str">
        <f>IF(ISNA(MATCH($N290,data!$A:$A,0)),"",INDEX(data!B:B,MATCH($N290,data!$A:$A,0)))</f>
        <v/>
      </c>
      <c r="AN290" s="38" t="str">
        <f>IF(ISNA(MATCH($N290,data!$A:$A,0)),"",INDEX(data!C:C,MATCH($N290,data!$A:$A,0)))</f>
        <v/>
      </c>
      <c r="AO290" s="38" t="str">
        <f>IF(ISNA(MATCH($N290,data!$A:$A,0)),"",INDEX(data!D:D,MATCH($N290,data!$A:$A,0)))</f>
        <v/>
      </c>
      <c r="AP290" s="38" t="str">
        <f>IF(ISNA(MATCH($N290,data!$A:$A,0)),"",INDEX(data!E:E,MATCH($N290,data!$A:$A,0)))</f>
        <v/>
      </c>
      <c r="AQ290" s="38" t="str">
        <f>IF(ISNA(MATCH($N290,data!$A:$A,0)),"",INDEX(data!F:F,MATCH($N290,data!$A:$A,0)))</f>
        <v/>
      </c>
      <c r="AR290" s="38" t="str">
        <f>IF(ISNA(MATCH($N290,data!$A:$A,0)),"",INDEX(data!G:G,MATCH($N290,data!$A:$A,0)))</f>
        <v/>
      </c>
      <c r="AS290" s="38" t="str">
        <f>IF(ISNA(MATCH($N290,data!$A:$A,0)),"",INDEX(data!H:H,MATCH($N290,data!$A:$A,0)))</f>
        <v/>
      </c>
      <c r="AT290" s="38" t="str">
        <f>IF(ISNA(MATCH($N290,data!$A:$A,0)),"",INDEX(data!I:I,MATCH($N290,data!$A:$A,0)))</f>
        <v/>
      </c>
      <c r="AU290" s="38" t="str">
        <f>IF(ISNA(MATCH($N290,[1]data!$A:$A,0)),"",INDEX([1]data!L:L,MATCH($N290,[1]data!$A:$A,0)))</f>
        <v/>
      </c>
      <c r="AV290" s="38" t="str">
        <f>IF(ISNA(MATCH($N290,[1]data!$A:$A,0)),"",INDEX([1]data!M:M,MATCH($N290,[1]data!$A:$A,0)))</f>
        <v/>
      </c>
      <c r="AW290" s="38" t="str">
        <f>IF(ISNA(MATCH($N290,data!$A:$A,0)),"",INDEX(data!J:J,MATCH($N290,data!$A:$A,0)))</f>
        <v/>
      </c>
      <c r="AX290" s="38" t="str">
        <f>IF(ISNA(MATCH($N290,data!$A:$A,0)),"",INDEX(data!K:K,MATCH($N290,data!$A:$A,0)))</f>
        <v/>
      </c>
      <c r="AY290" s="38" t="str">
        <f>IF(ISNA(MATCH($N290,data!$A:$A,0)),"",INDEX(data!O:O,MATCH($N290,data!$A:$A,0)))</f>
        <v/>
      </c>
      <c r="AZ290" s="38" t="str">
        <f>IF(ISNA(MATCH($N290,data!$A:$A,0)),"",INDEX(data!N:N,MATCH($N290,data!$A:$A,0)))</f>
        <v/>
      </c>
      <c r="BA290" s="38" t="str">
        <f>IF(ISNA(MATCH($N290,data!$A:$A,0)),"",INDEX(data!P:P,MATCH($N290,data!$A:$A,0)))</f>
        <v/>
      </c>
      <c r="BB290" s="38" t="str">
        <f>IF(ISNA(MATCH($N290,data!$A:$A,0)),"",INDEX(data!Q:Q,MATCH($N290,data!$A:$A,0)))</f>
        <v/>
      </c>
      <c r="BC290" s="38" t="str">
        <f>IF(ISNA(MATCH($N290,data!$A:$A,0)),"",INDEX(data!R:R,MATCH($N290,data!$A:$A,0)))</f>
        <v/>
      </c>
      <c r="BD290" s="38" t="str">
        <f>IF(ISNA(MATCH($N290,[1]data!$A:$A,0)),"",INDEX([1]data!U:U,MATCH($N290,[1]data!$A:$A,0)))</f>
        <v/>
      </c>
      <c r="BE290" s="61" t="e">
        <f>IF(COUNTIF([1]data!A:A,[1]!Table1[[#This Row],[UPC]])&lt;2,"","DUP")</f>
        <v>#VALUE!</v>
      </c>
      <c r="BF290" s="38" t="str">
        <f>IF(ISNA(MATCH($N290,data!$A:$A,0)),"",INDEX(data!W:W,MATCH($N290,data!$A:$A,0)))</f>
        <v/>
      </c>
    </row>
    <row r="291" spans="1:58" ht="12.75" customHeight="1">
      <c r="A291" s="35"/>
      <c r="B291" s="35"/>
      <c r="C291" s="35"/>
      <c r="D291" s="35"/>
      <c r="E291" s="67"/>
      <c r="F291" s="67"/>
      <c r="G291" s="36"/>
      <c r="H291" s="29"/>
      <c r="I291" s="78" t="str">
        <f t="shared" si="4"/>
        <v/>
      </c>
      <c r="J291" s="29"/>
      <c r="K291" s="29"/>
      <c r="L291" s="33"/>
      <c r="M291" s="33"/>
      <c r="N291" s="60"/>
      <c r="O291" s="71"/>
      <c r="P291" s="71"/>
      <c r="Q291" s="33"/>
      <c r="R291" s="31"/>
      <c r="S291" s="31"/>
      <c r="T291" s="59"/>
      <c r="U291" s="59"/>
      <c r="V291" s="59"/>
      <c r="W291" s="57">
        <f t="shared" si="5"/>
        <v>0</v>
      </c>
      <c r="X291" s="126" t="str">
        <f>IF(Table1[[#This Row],[Shipping Weight Pounds]]&gt;150,"See LTL Form","No")</f>
        <v>No</v>
      </c>
      <c r="Y291" s="28"/>
      <c r="Z291" s="33"/>
      <c r="AA291" s="34"/>
      <c r="AB291" s="30"/>
      <c r="AC291" s="30"/>
      <c r="AD291" s="32"/>
      <c r="AE291" s="32"/>
      <c r="AF291" s="2"/>
      <c r="AG291" s="2"/>
      <c r="AH291" s="2"/>
      <c r="AI291" s="2"/>
      <c r="AK291" s="73" t="str">
        <f>IF(ISNA(MATCH($N291,[1]data!$A:$A,0)),"",INDEX([1]data!S:S,MATCH($N291,[1]data!$A:$A,0)))</f>
        <v/>
      </c>
      <c r="AL291" s="73" t="str">
        <f>IF(ISNA(MATCH($N291,[1]data!$A:$A,0)),"",INDEX([1]data!V:V,MATCH($N291,[1]data!$A:$A,0)))</f>
        <v/>
      </c>
      <c r="AM291" s="38" t="str">
        <f>IF(ISNA(MATCH($N291,data!$A:$A,0)),"",INDEX(data!B:B,MATCH($N291,data!$A:$A,0)))</f>
        <v/>
      </c>
      <c r="AN291" s="38" t="str">
        <f>IF(ISNA(MATCH($N291,data!$A:$A,0)),"",INDEX(data!C:C,MATCH($N291,data!$A:$A,0)))</f>
        <v/>
      </c>
      <c r="AO291" s="38" t="str">
        <f>IF(ISNA(MATCH($N291,data!$A:$A,0)),"",INDEX(data!D:D,MATCH($N291,data!$A:$A,0)))</f>
        <v/>
      </c>
      <c r="AP291" s="38" t="str">
        <f>IF(ISNA(MATCH($N291,data!$A:$A,0)),"",INDEX(data!E:E,MATCH($N291,data!$A:$A,0)))</f>
        <v/>
      </c>
      <c r="AQ291" s="38" t="str">
        <f>IF(ISNA(MATCH($N291,data!$A:$A,0)),"",INDEX(data!F:F,MATCH($N291,data!$A:$A,0)))</f>
        <v/>
      </c>
      <c r="AR291" s="38" t="str">
        <f>IF(ISNA(MATCH($N291,data!$A:$A,0)),"",INDEX(data!G:G,MATCH($N291,data!$A:$A,0)))</f>
        <v/>
      </c>
      <c r="AS291" s="38" t="str">
        <f>IF(ISNA(MATCH($N291,data!$A:$A,0)),"",INDEX(data!H:H,MATCH($N291,data!$A:$A,0)))</f>
        <v/>
      </c>
      <c r="AT291" s="38" t="str">
        <f>IF(ISNA(MATCH($N291,data!$A:$A,0)),"",INDEX(data!I:I,MATCH($N291,data!$A:$A,0)))</f>
        <v/>
      </c>
      <c r="AU291" s="38" t="str">
        <f>IF(ISNA(MATCH($N291,[1]data!$A:$A,0)),"",INDEX([1]data!L:L,MATCH($N291,[1]data!$A:$A,0)))</f>
        <v/>
      </c>
      <c r="AV291" s="38" t="str">
        <f>IF(ISNA(MATCH($N291,[1]data!$A:$A,0)),"",INDEX([1]data!M:M,MATCH($N291,[1]data!$A:$A,0)))</f>
        <v/>
      </c>
      <c r="AW291" s="38" t="str">
        <f>IF(ISNA(MATCH($N291,data!$A:$A,0)),"",INDEX(data!J:J,MATCH($N291,data!$A:$A,0)))</f>
        <v/>
      </c>
      <c r="AX291" s="38" t="str">
        <f>IF(ISNA(MATCH($N291,data!$A:$A,0)),"",INDEX(data!K:K,MATCH($N291,data!$A:$A,0)))</f>
        <v/>
      </c>
      <c r="AY291" s="38" t="str">
        <f>IF(ISNA(MATCH($N291,data!$A:$A,0)),"",INDEX(data!O:O,MATCH($N291,data!$A:$A,0)))</f>
        <v/>
      </c>
      <c r="AZ291" s="38" t="str">
        <f>IF(ISNA(MATCH($N291,data!$A:$A,0)),"",INDEX(data!N:N,MATCH($N291,data!$A:$A,0)))</f>
        <v/>
      </c>
      <c r="BA291" s="38" t="str">
        <f>IF(ISNA(MATCH($N291,data!$A:$A,0)),"",INDEX(data!P:P,MATCH($N291,data!$A:$A,0)))</f>
        <v/>
      </c>
      <c r="BB291" s="38" t="str">
        <f>IF(ISNA(MATCH($N291,data!$A:$A,0)),"",INDEX(data!Q:Q,MATCH($N291,data!$A:$A,0)))</f>
        <v/>
      </c>
      <c r="BC291" s="38" t="str">
        <f>IF(ISNA(MATCH($N291,data!$A:$A,0)),"",INDEX(data!R:R,MATCH($N291,data!$A:$A,0)))</f>
        <v/>
      </c>
      <c r="BD291" s="38" t="str">
        <f>IF(ISNA(MATCH($N291,[1]data!$A:$A,0)),"",INDEX([1]data!U:U,MATCH($N291,[1]data!$A:$A,0)))</f>
        <v/>
      </c>
      <c r="BE291" s="61" t="e">
        <f>IF(COUNTIF([1]data!A:A,[1]!Table1[[#This Row],[UPC]])&lt;2,"","DUP")</f>
        <v>#VALUE!</v>
      </c>
      <c r="BF291" s="38" t="str">
        <f>IF(ISNA(MATCH($N291,data!$A:$A,0)),"",INDEX(data!W:W,MATCH($N291,data!$A:$A,0)))</f>
        <v/>
      </c>
    </row>
    <row r="292" spans="1:58" ht="12.75" customHeight="1">
      <c r="A292" s="35"/>
      <c r="B292" s="35"/>
      <c r="C292" s="35"/>
      <c r="D292" s="35"/>
      <c r="E292" s="67"/>
      <c r="F292" s="67"/>
      <c r="G292" s="36"/>
      <c r="H292" s="29"/>
      <c r="I292" s="78" t="str">
        <f t="shared" si="4"/>
        <v/>
      </c>
      <c r="J292" s="29"/>
      <c r="K292" s="29"/>
      <c r="L292" s="33"/>
      <c r="M292" s="33"/>
      <c r="N292" s="60"/>
      <c r="O292" s="71"/>
      <c r="P292" s="71"/>
      <c r="Q292" s="33"/>
      <c r="R292" s="31"/>
      <c r="S292" s="31"/>
      <c r="T292" s="59"/>
      <c r="U292" s="59"/>
      <c r="V292" s="59"/>
      <c r="W292" s="57">
        <f t="shared" si="5"/>
        <v>0</v>
      </c>
      <c r="X292" s="126" t="str">
        <f>IF(Table1[[#This Row],[Shipping Weight Pounds]]&gt;150,"See LTL Form","No")</f>
        <v>No</v>
      </c>
      <c r="Y292" s="28"/>
      <c r="Z292" s="33"/>
      <c r="AA292" s="34"/>
      <c r="AB292" s="30"/>
      <c r="AC292" s="30"/>
      <c r="AD292" s="32"/>
      <c r="AE292" s="32"/>
      <c r="AF292" s="2"/>
      <c r="AG292" s="2"/>
      <c r="AH292" s="2"/>
      <c r="AI292" s="2"/>
      <c r="AK292" s="73" t="str">
        <f>IF(ISNA(MATCH($N292,[1]data!$A:$A,0)),"",INDEX([1]data!S:S,MATCH($N292,[1]data!$A:$A,0)))</f>
        <v/>
      </c>
      <c r="AL292" s="73" t="str">
        <f>IF(ISNA(MATCH($N292,[1]data!$A:$A,0)),"",INDEX([1]data!V:V,MATCH($N292,[1]data!$A:$A,0)))</f>
        <v/>
      </c>
      <c r="AM292" s="38" t="str">
        <f>IF(ISNA(MATCH($N292,data!$A:$A,0)),"",INDEX(data!B:B,MATCH($N292,data!$A:$A,0)))</f>
        <v/>
      </c>
      <c r="AN292" s="38" t="str">
        <f>IF(ISNA(MATCH($N292,data!$A:$A,0)),"",INDEX(data!C:C,MATCH($N292,data!$A:$A,0)))</f>
        <v/>
      </c>
      <c r="AO292" s="38" t="str">
        <f>IF(ISNA(MATCH($N292,data!$A:$A,0)),"",INDEX(data!D:D,MATCH($N292,data!$A:$A,0)))</f>
        <v/>
      </c>
      <c r="AP292" s="38" t="str">
        <f>IF(ISNA(MATCH($N292,data!$A:$A,0)),"",INDEX(data!E:E,MATCH($N292,data!$A:$A,0)))</f>
        <v/>
      </c>
      <c r="AQ292" s="38" t="str">
        <f>IF(ISNA(MATCH($N292,data!$A:$A,0)),"",INDEX(data!F:F,MATCH($N292,data!$A:$A,0)))</f>
        <v/>
      </c>
      <c r="AR292" s="38" t="str">
        <f>IF(ISNA(MATCH($N292,data!$A:$A,0)),"",INDEX(data!G:G,MATCH($N292,data!$A:$A,0)))</f>
        <v/>
      </c>
      <c r="AS292" s="38" t="str">
        <f>IF(ISNA(MATCH($N292,data!$A:$A,0)),"",INDEX(data!H:H,MATCH($N292,data!$A:$A,0)))</f>
        <v/>
      </c>
      <c r="AT292" s="38" t="str">
        <f>IF(ISNA(MATCH($N292,data!$A:$A,0)),"",INDEX(data!I:I,MATCH($N292,data!$A:$A,0)))</f>
        <v/>
      </c>
      <c r="AU292" s="38" t="str">
        <f>IF(ISNA(MATCH($N292,[1]data!$A:$A,0)),"",INDEX([1]data!L:L,MATCH($N292,[1]data!$A:$A,0)))</f>
        <v/>
      </c>
      <c r="AV292" s="38" t="str">
        <f>IF(ISNA(MATCH($N292,[1]data!$A:$A,0)),"",INDEX([1]data!M:M,MATCH($N292,[1]data!$A:$A,0)))</f>
        <v/>
      </c>
      <c r="AW292" s="38" t="str">
        <f>IF(ISNA(MATCH($N292,data!$A:$A,0)),"",INDEX(data!J:J,MATCH($N292,data!$A:$A,0)))</f>
        <v/>
      </c>
      <c r="AX292" s="38" t="str">
        <f>IF(ISNA(MATCH($N292,data!$A:$A,0)),"",INDEX(data!K:K,MATCH($N292,data!$A:$A,0)))</f>
        <v/>
      </c>
      <c r="AY292" s="38" t="str">
        <f>IF(ISNA(MATCH($N292,data!$A:$A,0)),"",INDEX(data!O:O,MATCH($N292,data!$A:$A,0)))</f>
        <v/>
      </c>
      <c r="AZ292" s="38" t="str">
        <f>IF(ISNA(MATCH($N292,data!$A:$A,0)),"",INDEX(data!N:N,MATCH($N292,data!$A:$A,0)))</f>
        <v/>
      </c>
      <c r="BA292" s="38" t="str">
        <f>IF(ISNA(MATCH($N292,data!$A:$A,0)),"",INDEX(data!P:P,MATCH($N292,data!$A:$A,0)))</f>
        <v/>
      </c>
      <c r="BB292" s="38" t="str">
        <f>IF(ISNA(MATCH($N292,data!$A:$A,0)),"",INDEX(data!Q:Q,MATCH($N292,data!$A:$A,0)))</f>
        <v/>
      </c>
      <c r="BC292" s="38" t="str">
        <f>IF(ISNA(MATCH($N292,data!$A:$A,0)),"",INDEX(data!R:R,MATCH($N292,data!$A:$A,0)))</f>
        <v/>
      </c>
      <c r="BD292" s="38" t="str">
        <f>IF(ISNA(MATCH($N292,[1]data!$A:$A,0)),"",INDEX([1]data!U:U,MATCH($N292,[1]data!$A:$A,0)))</f>
        <v/>
      </c>
      <c r="BE292" s="61" t="e">
        <f>IF(COUNTIF([1]data!A:A,[1]!Table1[[#This Row],[UPC]])&lt;2,"","DUP")</f>
        <v>#VALUE!</v>
      </c>
      <c r="BF292" s="38" t="str">
        <f>IF(ISNA(MATCH($N292,data!$A:$A,0)),"",INDEX(data!W:W,MATCH($N292,data!$A:$A,0)))</f>
        <v/>
      </c>
    </row>
    <row r="293" spans="1:58" s="37" customFormat="1" ht="12.75" customHeight="1">
      <c r="A293" s="35"/>
      <c r="B293" s="35"/>
      <c r="C293" s="35"/>
      <c r="D293" s="35"/>
      <c r="E293" s="67"/>
      <c r="F293" s="67"/>
      <c r="G293" s="36"/>
      <c r="H293" s="29"/>
      <c r="I293" s="78" t="str">
        <f t="shared" si="4"/>
        <v/>
      </c>
      <c r="J293" s="29"/>
      <c r="K293" s="29"/>
      <c r="L293" s="33"/>
      <c r="M293" s="33"/>
      <c r="N293" s="60"/>
      <c r="O293" s="71"/>
      <c r="P293" s="71"/>
      <c r="Q293" s="33"/>
      <c r="R293" s="31"/>
      <c r="S293" s="31"/>
      <c r="T293" s="59"/>
      <c r="U293" s="59"/>
      <c r="V293" s="59"/>
      <c r="W293" s="57">
        <f t="shared" si="5"/>
        <v>0</v>
      </c>
      <c r="X293" s="126" t="str">
        <f>IF(Table1[[#This Row],[Shipping Weight Pounds]]&gt;150,"See LTL Form","No")</f>
        <v>No</v>
      </c>
      <c r="Y293" s="28"/>
      <c r="Z293" s="33"/>
      <c r="AA293" s="34"/>
      <c r="AB293" s="30"/>
      <c r="AC293" s="30"/>
      <c r="AD293" s="32"/>
      <c r="AE293" s="32"/>
      <c r="AF293" s="2"/>
      <c r="AG293" s="2"/>
      <c r="AH293" s="2"/>
      <c r="AI293" s="2"/>
      <c r="AJ293" s="45"/>
      <c r="AK293" s="73" t="str">
        <f>IF(ISNA(MATCH($N293,[1]data!$A:$A,0)),"",INDEX([1]data!S:S,MATCH($N293,[1]data!$A:$A,0)))</f>
        <v/>
      </c>
      <c r="AL293" s="73" t="str">
        <f>IF(ISNA(MATCH($N293,[1]data!$A:$A,0)),"",INDEX([1]data!V:V,MATCH($N293,[1]data!$A:$A,0)))</f>
        <v/>
      </c>
      <c r="AM293" s="38" t="str">
        <f>IF(ISNA(MATCH($N293,data!$A:$A,0)),"",INDEX(data!B:B,MATCH($N293,data!$A:$A,0)))</f>
        <v/>
      </c>
      <c r="AN293" s="38" t="str">
        <f>IF(ISNA(MATCH($N293,data!$A:$A,0)),"",INDEX(data!C:C,MATCH($N293,data!$A:$A,0)))</f>
        <v/>
      </c>
      <c r="AO293" s="38" t="str">
        <f>IF(ISNA(MATCH($N293,data!$A:$A,0)),"",INDEX(data!D:D,MATCH($N293,data!$A:$A,0)))</f>
        <v/>
      </c>
      <c r="AP293" s="38" t="str">
        <f>IF(ISNA(MATCH($N293,data!$A:$A,0)),"",INDEX(data!E:E,MATCH($N293,data!$A:$A,0)))</f>
        <v/>
      </c>
      <c r="AQ293" s="38" t="str">
        <f>IF(ISNA(MATCH($N293,data!$A:$A,0)),"",INDEX(data!F:F,MATCH($N293,data!$A:$A,0)))</f>
        <v/>
      </c>
      <c r="AR293" s="38" t="str">
        <f>IF(ISNA(MATCH($N293,data!$A:$A,0)),"",INDEX(data!G:G,MATCH($N293,data!$A:$A,0)))</f>
        <v/>
      </c>
      <c r="AS293" s="38" t="str">
        <f>IF(ISNA(MATCH($N293,data!$A:$A,0)),"",INDEX(data!H:H,MATCH($N293,data!$A:$A,0)))</f>
        <v/>
      </c>
      <c r="AT293" s="38" t="str">
        <f>IF(ISNA(MATCH($N293,data!$A:$A,0)),"",INDEX(data!I:I,MATCH($N293,data!$A:$A,0)))</f>
        <v/>
      </c>
      <c r="AU293" s="38" t="str">
        <f>IF(ISNA(MATCH($N293,[1]data!$A:$A,0)),"",INDEX([1]data!L:L,MATCH($N293,[1]data!$A:$A,0)))</f>
        <v/>
      </c>
      <c r="AV293" s="38" t="str">
        <f>IF(ISNA(MATCH($N293,[1]data!$A:$A,0)),"",INDEX([1]data!M:M,MATCH($N293,[1]data!$A:$A,0)))</f>
        <v/>
      </c>
      <c r="AW293" s="38" t="str">
        <f>IF(ISNA(MATCH($N293,data!$A:$A,0)),"",INDEX(data!J:J,MATCH($N293,data!$A:$A,0)))</f>
        <v/>
      </c>
      <c r="AX293" s="38" t="str">
        <f>IF(ISNA(MATCH($N293,data!$A:$A,0)),"",INDEX(data!K:K,MATCH($N293,data!$A:$A,0)))</f>
        <v/>
      </c>
      <c r="AY293" s="38" t="str">
        <f>IF(ISNA(MATCH($N293,data!$A:$A,0)),"",INDEX(data!O:O,MATCH($N293,data!$A:$A,0)))</f>
        <v/>
      </c>
      <c r="AZ293" s="38" t="str">
        <f>IF(ISNA(MATCH($N293,data!$A:$A,0)),"",INDEX(data!N:N,MATCH($N293,data!$A:$A,0)))</f>
        <v/>
      </c>
      <c r="BA293" s="38" t="str">
        <f>IF(ISNA(MATCH($N293,data!$A:$A,0)),"",INDEX(data!P:P,MATCH($N293,data!$A:$A,0)))</f>
        <v/>
      </c>
      <c r="BB293" s="38" t="str">
        <f>IF(ISNA(MATCH($N293,data!$A:$A,0)),"",INDEX(data!Q:Q,MATCH($N293,data!$A:$A,0)))</f>
        <v/>
      </c>
      <c r="BC293" s="38" t="str">
        <f>IF(ISNA(MATCH($N293,data!$A:$A,0)),"",INDEX(data!R:R,MATCH($N293,data!$A:$A,0)))</f>
        <v/>
      </c>
      <c r="BD293" s="38" t="str">
        <f>IF(ISNA(MATCH($N293,[1]data!$A:$A,0)),"",INDEX([1]data!U:U,MATCH($N293,[1]data!$A:$A,0)))</f>
        <v/>
      </c>
      <c r="BE293" s="61" t="e">
        <f>IF(COUNTIF([1]data!A:A,[1]!Table1[[#This Row],[UPC]])&lt;2,"","DUP")</f>
        <v>#VALUE!</v>
      </c>
      <c r="BF293" s="38" t="str">
        <f>IF(ISNA(MATCH($N293,data!$A:$A,0)),"",INDEX(data!W:W,MATCH($N293,data!$A:$A,0)))</f>
        <v/>
      </c>
    </row>
    <row r="294" spans="1:58" s="37" customFormat="1" ht="12.75" customHeight="1">
      <c r="A294" s="35"/>
      <c r="B294" s="35"/>
      <c r="C294" s="35"/>
      <c r="D294" s="35"/>
      <c r="E294" s="67"/>
      <c r="F294" s="67"/>
      <c r="G294" s="36"/>
      <c r="H294" s="29"/>
      <c r="I294" s="78" t="str">
        <f t="shared" si="4"/>
        <v/>
      </c>
      <c r="J294" s="29"/>
      <c r="K294" s="29"/>
      <c r="L294" s="33"/>
      <c r="M294" s="33"/>
      <c r="N294" s="60"/>
      <c r="O294" s="71"/>
      <c r="P294" s="71"/>
      <c r="Q294" s="33"/>
      <c r="R294" s="31"/>
      <c r="S294" s="31"/>
      <c r="T294" s="59"/>
      <c r="U294" s="59"/>
      <c r="V294" s="59"/>
      <c r="W294" s="57">
        <f t="shared" si="5"/>
        <v>0</v>
      </c>
      <c r="X294" s="126" t="str">
        <f>IF(Table1[[#This Row],[Shipping Weight Pounds]]&gt;150,"See LTL Form","No")</f>
        <v>No</v>
      </c>
      <c r="Y294" s="28"/>
      <c r="Z294" s="33"/>
      <c r="AA294" s="34"/>
      <c r="AB294" s="30"/>
      <c r="AC294" s="30"/>
      <c r="AD294" s="32"/>
      <c r="AE294" s="32"/>
      <c r="AF294" s="2"/>
      <c r="AG294" s="2"/>
      <c r="AH294" s="2"/>
      <c r="AI294" s="2"/>
      <c r="AJ294" s="45"/>
      <c r="AK294" s="73" t="str">
        <f>IF(ISNA(MATCH($N294,[1]data!$A:$A,0)),"",INDEX([1]data!S:S,MATCH($N294,[1]data!$A:$A,0)))</f>
        <v/>
      </c>
      <c r="AL294" s="73" t="str">
        <f>IF(ISNA(MATCH($N294,[1]data!$A:$A,0)),"",INDEX([1]data!V:V,MATCH($N294,[1]data!$A:$A,0)))</f>
        <v/>
      </c>
      <c r="AM294" s="38" t="str">
        <f>IF(ISNA(MATCH($N294,data!$A:$A,0)),"",INDEX(data!B:B,MATCH($N294,data!$A:$A,0)))</f>
        <v/>
      </c>
      <c r="AN294" s="38" t="str">
        <f>IF(ISNA(MATCH($N294,data!$A:$A,0)),"",INDEX(data!C:C,MATCH($N294,data!$A:$A,0)))</f>
        <v/>
      </c>
      <c r="AO294" s="38" t="str">
        <f>IF(ISNA(MATCH($N294,data!$A:$A,0)),"",INDEX(data!D:D,MATCH($N294,data!$A:$A,0)))</f>
        <v/>
      </c>
      <c r="AP294" s="38" t="str">
        <f>IF(ISNA(MATCH($N294,data!$A:$A,0)),"",INDEX(data!E:E,MATCH($N294,data!$A:$A,0)))</f>
        <v/>
      </c>
      <c r="AQ294" s="38" t="str">
        <f>IF(ISNA(MATCH($N294,data!$A:$A,0)),"",INDEX(data!F:F,MATCH($N294,data!$A:$A,0)))</f>
        <v/>
      </c>
      <c r="AR294" s="38" t="str">
        <f>IF(ISNA(MATCH($N294,data!$A:$A,0)),"",INDEX(data!G:G,MATCH($N294,data!$A:$A,0)))</f>
        <v/>
      </c>
      <c r="AS294" s="38" t="str">
        <f>IF(ISNA(MATCH($N294,data!$A:$A,0)),"",INDEX(data!H:H,MATCH($N294,data!$A:$A,0)))</f>
        <v/>
      </c>
      <c r="AT294" s="38" t="str">
        <f>IF(ISNA(MATCH($N294,data!$A:$A,0)),"",INDEX(data!I:I,MATCH($N294,data!$A:$A,0)))</f>
        <v/>
      </c>
      <c r="AU294" s="38" t="str">
        <f>IF(ISNA(MATCH($N294,[1]data!$A:$A,0)),"",INDEX([1]data!L:L,MATCH($N294,[1]data!$A:$A,0)))</f>
        <v/>
      </c>
      <c r="AV294" s="38" t="str">
        <f>IF(ISNA(MATCH($N294,[1]data!$A:$A,0)),"",INDEX([1]data!M:M,MATCH($N294,[1]data!$A:$A,0)))</f>
        <v/>
      </c>
      <c r="AW294" s="38" t="str">
        <f>IF(ISNA(MATCH($N294,data!$A:$A,0)),"",INDEX(data!J:J,MATCH($N294,data!$A:$A,0)))</f>
        <v/>
      </c>
      <c r="AX294" s="38" t="str">
        <f>IF(ISNA(MATCH($N294,data!$A:$A,0)),"",INDEX(data!K:K,MATCH($N294,data!$A:$A,0)))</f>
        <v/>
      </c>
      <c r="AY294" s="38" t="str">
        <f>IF(ISNA(MATCH($N294,data!$A:$A,0)),"",INDEX(data!O:O,MATCH($N294,data!$A:$A,0)))</f>
        <v/>
      </c>
      <c r="AZ294" s="38" t="str">
        <f>IF(ISNA(MATCH($N294,data!$A:$A,0)),"",INDEX(data!N:N,MATCH($N294,data!$A:$A,0)))</f>
        <v/>
      </c>
      <c r="BA294" s="38" t="str">
        <f>IF(ISNA(MATCH($N294,data!$A:$A,0)),"",INDEX(data!P:P,MATCH($N294,data!$A:$A,0)))</f>
        <v/>
      </c>
      <c r="BB294" s="38" t="str">
        <f>IF(ISNA(MATCH($N294,data!$A:$A,0)),"",INDEX(data!Q:Q,MATCH($N294,data!$A:$A,0)))</f>
        <v/>
      </c>
      <c r="BC294" s="38" t="str">
        <f>IF(ISNA(MATCH($N294,data!$A:$A,0)),"",INDEX(data!R:R,MATCH($N294,data!$A:$A,0)))</f>
        <v/>
      </c>
      <c r="BD294" s="38" t="str">
        <f>IF(ISNA(MATCH($N294,[1]data!$A:$A,0)),"",INDEX([1]data!U:U,MATCH($N294,[1]data!$A:$A,0)))</f>
        <v/>
      </c>
      <c r="BE294" s="61" t="e">
        <f>IF(COUNTIF([1]data!A:A,[1]!Table1[[#This Row],[UPC]])&lt;2,"","DUP")</f>
        <v>#VALUE!</v>
      </c>
      <c r="BF294" s="38" t="str">
        <f>IF(ISNA(MATCH($N294,data!$A:$A,0)),"",INDEX(data!W:W,MATCH($N294,data!$A:$A,0)))</f>
        <v/>
      </c>
    </row>
    <row r="295" spans="1:58" s="37" customFormat="1" ht="12.75" customHeight="1">
      <c r="A295" s="35"/>
      <c r="B295" s="35"/>
      <c r="C295" s="35"/>
      <c r="D295" s="35"/>
      <c r="E295" s="67"/>
      <c r="F295" s="67"/>
      <c r="G295" s="36"/>
      <c r="H295" s="29"/>
      <c r="I295" s="78" t="str">
        <f t="shared" si="4"/>
        <v/>
      </c>
      <c r="J295" s="29"/>
      <c r="K295" s="29"/>
      <c r="L295" s="33"/>
      <c r="M295" s="33"/>
      <c r="N295" s="60"/>
      <c r="O295" s="71"/>
      <c r="P295" s="71"/>
      <c r="Q295" s="33"/>
      <c r="R295" s="31"/>
      <c r="S295" s="31"/>
      <c r="T295" s="59"/>
      <c r="U295" s="59"/>
      <c r="V295" s="59"/>
      <c r="W295" s="57">
        <f t="shared" si="5"/>
        <v>0</v>
      </c>
      <c r="X295" s="126" t="str">
        <f>IF(Table1[[#This Row],[Shipping Weight Pounds]]&gt;150,"See LTL Form","No")</f>
        <v>No</v>
      </c>
      <c r="Y295" s="28"/>
      <c r="Z295" s="33"/>
      <c r="AA295" s="34"/>
      <c r="AB295" s="30"/>
      <c r="AC295" s="30"/>
      <c r="AD295" s="32"/>
      <c r="AE295" s="32"/>
      <c r="AF295" s="2"/>
      <c r="AG295" s="2"/>
      <c r="AH295" s="2"/>
      <c r="AI295" s="2"/>
      <c r="AJ295" s="45"/>
      <c r="AK295" s="73" t="str">
        <f>IF(ISNA(MATCH($N295,[1]data!$A:$A,0)),"",INDEX([1]data!S:S,MATCH($N295,[1]data!$A:$A,0)))</f>
        <v/>
      </c>
      <c r="AL295" s="73" t="str">
        <f>IF(ISNA(MATCH($N295,[1]data!$A:$A,0)),"",INDEX([1]data!V:V,MATCH($N295,[1]data!$A:$A,0)))</f>
        <v/>
      </c>
      <c r="AM295" s="38" t="str">
        <f>IF(ISNA(MATCH($N295,data!$A:$A,0)),"",INDEX(data!B:B,MATCH($N295,data!$A:$A,0)))</f>
        <v/>
      </c>
      <c r="AN295" s="38" t="str">
        <f>IF(ISNA(MATCH($N295,data!$A:$A,0)),"",INDEX(data!C:C,MATCH($N295,data!$A:$A,0)))</f>
        <v/>
      </c>
      <c r="AO295" s="38" t="str">
        <f>IF(ISNA(MATCH($N295,data!$A:$A,0)),"",INDEX(data!D:D,MATCH($N295,data!$A:$A,0)))</f>
        <v/>
      </c>
      <c r="AP295" s="38" t="str">
        <f>IF(ISNA(MATCH($N295,data!$A:$A,0)),"",INDEX(data!E:E,MATCH($N295,data!$A:$A,0)))</f>
        <v/>
      </c>
      <c r="AQ295" s="38" t="str">
        <f>IF(ISNA(MATCH($N295,data!$A:$A,0)),"",INDEX(data!F:F,MATCH($N295,data!$A:$A,0)))</f>
        <v/>
      </c>
      <c r="AR295" s="38" t="str">
        <f>IF(ISNA(MATCH($N295,data!$A:$A,0)),"",INDEX(data!G:G,MATCH($N295,data!$A:$A,0)))</f>
        <v/>
      </c>
      <c r="AS295" s="38" t="str">
        <f>IF(ISNA(MATCH($N295,data!$A:$A,0)),"",INDEX(data!H:H,MATCH($N295,data!$A:$A,0)))</f>
        <v/>
      </c>
      <c r="AT295" s="38" t="str">
        <f>IF(ISNA(MATCH($N295,data!$A:$A,0)),"",INDEX(data!I:I,MATCH($N295,data!$A:$A,0)))</f>
        <v/>
      </c>
      <c r="AU295" s="38" t="str">
        <f>IF(ISNA(MATCH($N295,[1]data!$A:$A,0)),"",INDEX([1]data!L:L,MATCH($N295,[1]data!$A:$A,0)))</f>
        <v/>
      </c>
      <c r="AV295" s="38" t="str">
        <f>IF(ISNA(MATCH($N295,[1]data!$A:$A,0)),"",INDEX([1]data!M:M,MATCH($N295,[1]data!$A:$A,0)))</f>
        <v/>
      </c>
      <c r="AW295" s="38" t="str">
        <f>IF(ISNA(MATCH($N295,data!$A:$A,0)),"",INDEX(data!J:J,MATCH($N295,data!$A:$A,0)))</f>
        <v/>
      </c>
      <c r="AX295" s="38" t="str">
        <f>IF(ISNA(MATCH($N295,data!$A:$A,0)),"",INDEX(data!K:K,MATCH($N295,data!$A:$A,0)))</f>
        <v/>
      </c>
      <c r="AY295" s="38" t="str">
        <f>IF(ISNA(MATCH($N295,data!$A:$A,0)),"",INDEX(data!O:O,MATCH($N295,data!$A:$A,0)))</f>
        <v/>
      </c>
      <c r="AZ295" s="38" t="str">
        <f>IF(ISNA(MATCH($N295,data!$A:$A,0)),"",INDEX(data!N:N,MATCH($N295,data!$A:$A,0)))</f>
        <v/>
      </c>
      <c r="BA295" s="38" t="str">
        <f>IF(ISNA(MATCH($N295,data!$A:$A,0)),"",INDEX(data!P:P,MATCH($N295,data!$A:$A,0)))</f>
        <v/>
      </c>
      <c r="BB295" s="38" t="str">
        <f>IF(ISNA(MATCH($N295,data!$A:$A,0)),"",INDEX(data!Q:Q,MATCH($N295,data!$A:$A,0)))</f>
        <v/>
      </c>
      <c r="BC295" s="38" t="str">
        <f>IF(ISNA(MATCH($N295,data!$A:$A,0)),"",INDEX(data!R:R,MATCH($N295,data!$A:$A,0)))</f>
        <v/>
      </c>
      <c r="BD295" s="38" t="str">
        <f>IF(ISNA(MATCH($N295,[1]data!$A:$A,0)),"",INDEX([1]data!U:U,MATCH($N295,[1]data!$A:$A,0)))</f>
        <v/>
      </c>
      <c r="BE295" s="61" t="e">
        <f>IF(COUNTIF([1]data!A:A,[1]!Table1[[#This Row],[UPC]])&lt;2,"","DUP")</f>
        <v>#VALUE!</v>
      </c>
      <c r="BF295" s="38" t="str">
        <f>IF(ISNA(MATCH($N295,data!$A:$A,0)),"",INDEX(data!W:W,MATCH($N295,data!$A:$A,0)))</f>
        <v/>
      </c>
    </row>
    <row r="296" spans="1:58" ht="12.75" customHeight="1">
      <c r="A296" s="35"/>
      <c r="B296" s="35"/>
      <c r="C296" s="35"/>
      <c r="D296" s="35"/>
      <c r="E296" s="67"/>
      <c r="F296" s="67"/>
      <c r="G296" s="36"/>
      <c r="H296" s="29"/>
      <c r="I296" s="78" t="str">
        <f t="shared" si="4"/>
        <v/>
      </c>
      <c r="J296" s="29"/>
      <c r="K296" s="29"/>
      <c r="L296" s="33"/>
      <c r="M296" s="33"/>
      <c r="N296" s="60"/>
      <c r="O296" s="71"/>
      <c r="P296" s="71"/>
      <c r="Q296" s="33"/>
      <c r="R296" s="31"/>
      <c r="S296" s="31"/>
      <c r="T296" s="59"/>
      <c r="U296" s="59"/>
      <c r="V296" s="59"/>
      <c r="W296" s="57">
        <f t="shared" si="5"/>
        <v>0</v>
      </c>
      <c r="X296" s="126" t="str">
        <f>IF(Table1[[#This Row],[Shipping Weight Pounds]]&gt;150,"See LTL Form","No")</f>
        <v>No</v>
      </c>
      <c r="Y296" s="28"/>
      <c r="Z296" s="33"/>
      <c r="AA296" s="34"/>
      <c r="AB296" s="30"/>
      <c r="AC296" s="30"/>
      <c r="AD296" s="32"/>
      <c r="AE296" s="32"/>
      <c r="AF296" s="2"/>
      <c r="AG296" s="2"/>
      <c r="AH296" s="2"/>
      <c r="AI296" s="2"/>
      <c r="AK296" s="73" t="str">
        <f>IF(ISNA(MATCH($N296,[1]data!$A:$A,0)),"",INDEX([1]data!S:S,MATCH($N296,[1]data!$A:$A,0)))</f>
        <v/>
      </c>
      <c r="AL296" s="73" t="str">
        <f>IF(ISNA(MATCH($N296,[1]data!$A:$A,0)),"",INDEX([1]data!V:V,MATCH($N296,[1]data!$A:$A,0)))</f>
        <v/>
      </c>
      <c r="AM296" s="38" t="str">
        <f>IF(ISNA(MATCH($N296,data!$A:$A,0)),"",INDEX(data!B:B,MATCH($N296,data!$A:$A,0)))</f>
        <v/>
      </c>
      <c r="AN296" s="38" t="str">
        <f>IF(ISNA(MATCH($N296,data!$A:$A,0)),"",INDEX(data!C:C,MATCH($N296,data!$A:$A,0)))</f>
        <v/>
      </c>
      <c r="AO296" s="38" t="str">
        <f>IF(ISNA(MATCH($N296,data!$A:$A,0)),"",INDEX(data!D:D,MATCH($N296,data!$A:$A,0)))</f>
        <v/>
      </c>
      <c r="AP296" s="38" t="str">
        <f>IF(ISNA(MATCH($N296,data!$A:$A,0)),"",INDEX(data!E:E,MATCH($N296,data!$A:$A,0)))</f>
        <v/>
      </c>
      <c r="AQ296" s="38" t="str">
        <f>IF(ISNA(MATCH($N296,data!$A:$A,0)),"",INDEX(data!F:F,MATCH($N296,data!$A:$A,0)))</f>
        <v/>
      </c>
      <c r="AR296" s="38" t="str">
        <f>IF(ISNA(MATCH($N296,data!$A:$A,0)),"",INDEX(data!G:G,MATCH($N296,data!$A:$A,0)))</f>
        <v/>
      </c>
      <c r="AS296" s="38" t="str">
        <f>IF(ISNA(MATCH($N296,data!$A:$A,0)),"",INDEX(data!H:H,MATCH($N296,data!$A:$A,0)))</f>
        <v/>
      </c>
      <c r="AT296" s="38" t="str">
        <f>IF(ISNA(MATCH($N296,data!$A:$A,0)),"",INDEX(data!I:I,MATCH($N296,data!$A:$A,0)))</f>
        <v/>
      </c>
      <c r="AU296" s="38" t="str">
        <f>IF(ISNA(MATCH($N296,[1]data!$A:$A,0)),"",INDEX([1]data!L:L,MATCH($N296,[1]data!$A:$A,0)))</f>
        <v/>
      </c>
      <c r="AV296" s="38" t="str">
        <f>IF(ISNA(MATCH($N296,[1]data!$A:$A,0)),"",INDEX([1]data!M:M,MATCH($N296,[1]data!$A:$A,0)))</f>
        <v/>
      </c>
      <c r="AW296" s="38" t="str">
        <f>IF(ISNA(MATCH($N296,data!$A:$A,0)),"",INDEX(data!J:J,MATCH($N296,data!$A:$A,0)))</f>
        <v/>
      </c>
      <c r="AX296" s="38" t="str">
        <f>IF(ISNA(MATCH($N296,data!$A:$A,0)),"",INDEX(data!K:K,MATCH($N296,data!$A:$A,0)))</f>
        <v/>
      </c>
      <c r="AY296" s="38" t="str">
        <f>IF(ISNA(MATCH($N296,data!$A:$A,0)),"",INDEX(data!O:O,MATCH($N296,data!$A:$A,0)))</f>
        <v/>
      </c>
      <c r="AZ296" s="38" t="str">
        <f>IF(ISNA(MATCH($N296,data!$A:$A,0)),"",INDEX(data!N:N,MATCH($N296,data!$A:$A,0)))</f>
        <v/>
      </c>
      <c r="BA296" s="38" t="str">
        <f>IF(ISNA(MATCH($N296,data!$A:$A,0)),"",INDEX(data!P:P,MATCH($N296,data!$A:$A,0)))</f>
        <v/>
      </c>
      <c r="BB296" s="38" t="str">
        <f>IF(ISNA(MATCH($N296,data!$A:$A,0)),"",INDEX(data!Q:Q,MATCH($N296,data!$A:$A,0)))</f>
        <v/>
      </c>
      <c r="BC296" s="38" t="str">
        <f>IF(ISNA(MATCH($N296,data!$A:$A,0)),"",INDEX(data!R:R,MATCH($N296,data!$A:$A,0)))</f>
        <v/>
      </c>
      <c r="BD296" s="38" t="str">
        <f>IF(ISNA(MATCH($N296,[1]data!$A:$A,0)),"",INDEX([1]data!U:U,MATCH($N296,[1]data!$A:$A,0)))</f>
        <v/>
      </c>
      <c r="BE296" s="61" t="e">
        <f>IF(COUNTIF([1]data!A:A,[1]!Table1[[#This Row],[UPC]])&lt;2,"","DUP")</f>
        <v>#VALUE!</v>
      </c>
      <c r="BF296" s="38" t="str">
        <f>IF(ISNA(MATCH($N296,data!$A:$A,0)),"",INDEX(data!W:W,MATCH($N296,data!$A:$A,0)))</f>
        <v/>
      </c>
    </row>
    <row r="297" spans="1:58" ht="12.75" customHeight="1">
      <c r="A297" s="35"/>
      <c r="B297" s="35"/>
      <c r="C297" s="35"/>
      <c r="D297" s="35"/>
      <c r="E297" s="67"/>
      <c r="F297" s="67"/>
      <c r="G297" s="36"/>
      <c r="H297" s="29"/>
      <c r="I297" s="78" t="str">
        <f t="shared" si="4"/>
        <v/>
      </c>
      <c r="J297" s="29"/>
      <c r="K297" s="29"/>
      <c r="L297" s="33"/>
      <c r="M297" s="33"/>
      <c r="N297" s="60"/>
      <c r="O297" s="71"/>
      <c r="P297" s="71"/>
      <c r="Q297" s="33"/>
      <c r="R297" s="31"/>
      <c r="S297" s="31"/>
      <c r="T297" s="59"/>
      <c r="U297" s="59"/>
      <c r="V297" s="59"/>
      <c r="W297" s="57">
        <f t="shared" si="5"/>
        <v>0</v>
      </c>
      <c r="X297" s="126" t="str">
        <f>IF(Table1[[#This Row],[Shipping Weight Pounds]]&gt;150,"See LTL Form","No")</f>
        <v>No</v>
      </c>
      <c r="Y297" s="28"/>
      <c r="Z297" s="33"/>
      <c r="AA297" s="34"/>
      <c r="AB297" s="30"/>
      <c r="AC297" s="30"/>
      <c r="AD297" s="32"/>
      <c r="AE297" s="32"/>
      <c r="AF297" s="2"/>
      <c r="AG297" s="2"/>
      <c r="AH297" s="2"/>
      <c r="AI297" s="2"/>
      <c r="AK297" s="73" t="str">
        <f>IF(ISNA(MATCH($N297,[1]data!$A:$A,0)),"",INDEX([1]data!S:S,MATCH($N297,[1]data!$A:$A,0)))</f>
        <v/>
      </c>
      <c r="AL297" s="73" t="str">
        <f>IF(ISNA(MATCH($N297,[1]data!$A:$A,0)),"",INDEX([1]data!V:V,MATCH($N297,[1]data!$A:$A,0)))</f>
        <v/>
      </c>
      <c r="AM297" s="38" t="str">
        <f>IF(ISNA(MATCH($N297,data!$A:$A,0)),"",INDEX(data!B:B,MATCH($N297,data!$A:$A,0)))</f>
        <v/>
      </c>
      <c r="AN297" s="38" t="str">
        <f>IF(ISNA(MATCH($N297,data!$A:$A,0)),"",INDEX(data!C:C,MATCH($N297,data!$A:$A,0)))</f>
        <v/>
      </c>
      <c r="AO297" s="38" t="str">
        <f>IF(ISNA(MATCH($N297,data!$A:$A,0)),"",INDEX(data!D:D,MATCH($N297,data!$A:$A,0)))</f>
        <v/>
      </c>
      <c r="AP297" s="38" t="str">
        <f>IF(ISNA(MATCH($N297,data!$A:$A,0)),"",INDEX(data!E:E,MATCH($N297,data!$A:$A,0)))</f>
        <v/>
      </c>
      <c r="AQ297" s="38" t="str">
        <f>IF(ISNA(MATCH($N297,data!$A:$A,0)),"",INDEX(data!F:F,MATCH($N297,data!$A:$A,0)))</f>
        <v/>
      </c>
      <c r="AR297" s="38" t="str">
        <f>IF(ISNA(MATCH($N297,data!$A:$A,0)),"",INDEX(data!G:G,MATCH($N297,data!$A:$A,0)))</f>
        <v/>
      </c>
      <c r="AS297" s="38" t="str">
        <f>IF(ISNA(MATCH($N297,data!$A:$A,0)),"",INDEX(data!H:H,MATCH($N297,data!$A:$A,0)))</f>
        <v/>
      </c>
      <c r="AT297" s="38" t="str">
        <f>IF(ISNA(MATCH($N297,data!$A:$A,0)),"",INDEX(data!I:I,MATCH($N297,data!$A:$A,0)))</f>
        <v/>
      </c>
      <c r="AU297" s="38" t="str">
        <f>IF(ISNA(MATCH($N297,[1]data!$A:$A,0)),"",INDEX([1]data!L:L,MATCH($N297,[1]data!$A:$A,0)))</f>
        <v/>
      </c>
      <c r="AV297" s="38" t="str">
        <f>IF(ISNA(MATCH($N297,[1]data!$A:$A,0)),"",INDEX([1]data!M:M,MATCH($N297,[1]data!$A:$A,0)))</f>
        <v/>
      </c>
      <c r="AW297" s="38" t="str">
        <f>IF(ISNA(MATCH($N297,data!$A:$A,0)),"",INDEX(data!J:J,MATCH($N297,data!$A:$A,0)))</f>
        <v/>
      </c>
      <c r="AX297" s="38" t="str">
        <f>IF(ISNA(MATCH($N297,data!$A:$A,0)),"",INDEX(data!K:K,MATCH($N297,data!$A:$A,0)))</f>
        <v/>
      </c>
      <c r="AY297" s="38" t="str">
        <f>IF(ISNA(MATCH($N297,data!$A:$A,0)),"",INDEX(data!O:O,MATCH($N297,data!$A:$A,0)))</f>
        <v/>
      </c>
      <c r="AZ297" s="38" t="str">
        <f>IF(ISNA(MATCH($N297,data!$A:$A,0)),"",INDEX(data!N:N,MATCH($N297,data!$A:$A,0)))</f>
        <v/>
      </c>
      <c r="BA297" s="38" t="str">
        <f>IF(ISNA(MATCH($N297,data!$A:$A,0)),"",INDEX(data!P:P,MATCH($N297,data!$A:$A,0)))</f>
        <v/>
      </c>
      <c r="BB297" s="38" t="str">
        <f>IF(ISNA(MATCH($N297,data!$A:$A,0)),"",INDEX(data!Q:Q,MATCH($N297,data!$A:$A,0)))</f>
        <v/>
      </c>
      <c r="BC297" s="38" t="str">
        <f>IF(ISNA(MATCH($N297,data!$A:$A,0)),"",INDEX(data!R:R,MATCH($N297,data!$A:$A,0)))</f>
        <v/>
      </c>
      <c r="BD297" s="38" t="str">
        <f>IF(ISNA(MATCH($N297,[1]data!$A:$A,0)),"",INDEX([1]data!U:U,MATCH($N297,[1]data!$A:$A,0)))</f>
        <v/>
      </c>
      <c r="BE297" s="61" t="e">
        <f>IF(COUNTIF([1]data!A:A,[1]!Table1[[#This Row],[UPC]])&lt;2,"","DUP")</f>
        <v>#VALUE!</v>
      </c>
      <c r="BF297" s="38" t="str">
        <f>IF(ISNA(MATCH($N297,data!$A:$A,0)),"",INDEX(data!W:W,MATCH($N297,data!$A:$A,0)))</f>
        <v/>
      </c>
    </row>
    <row r="298" spans="1:58" ht="12.75" customHeight="1">
      <c r="A298" s="35"/>
      <c r="B298" s="35"/>
      <c r="C298" s="35"/>
      <c r="D298" s="35"/>
      <c r="E298" s="67"/>
      <c r="F298" s="67"/>
      <c r="G298" s="36"/>
      <c r="H298" s="29"/>
      <c r="I298" s="78" t="str">
        <f t="shared" si="4"/>
        <v/>
      </c>
      <c r="J298" s="29"/>
      <c r="K298" s="29"/>
      <c r="L298" s="33"/>
      <c r="M298" s="33"/>
      <c r="N298" s="60"/>
      <c r="O298" s="71"/>
      <c r="P298" s="71"/>
      <c r="Q298" s="33"/>
      <c r="R298" s="31"/>
      <c r="S298" s="31"/>
      <c r="T298" s="59"/>
      <c r="U298" s="59"/>
      <c r="V298" s="59"/>
      <c r="W298" s="57">
        <f t="shared" si="5"/>
        <v>0</v>
      </c>
      <c r="X298" s="126" t="str">
        <f>IF(Table1[[#This Row],[Shipping Weight Pounds]]&gt;150,"See LTL Form","No")</f>
        <v>No</v>
      </c>
      <c r="Y298" s="28"/>
      <c r="Z298" s="33"/>
      <c r="AA298" s="34"/>
      <c r="AB298" s="30"/>
      <c r="AC298" s="30"/>
      <c r="AD298" s="32"/>
      <c r="AE298" s="32"/>
      <c r="AF298" s="2"/>
      <c r="AG298" s="2"/>
      <c r="AH298" s="2"/>
      <c r="AI298" s="2"/>
      <c r="AK298" s="73" t="str">
        <f>IF(ISNA(MATCH($N298,[1]data!$A:$A,0)),"",INDEX([1]data!S:S,MATCH($N298,[1]data!$A:$A,0)))</f>
        <v/>
      </c>
      <c r="AL298" s="73" t="str">
        <f>IF(ISNA(MATCH($N298,[1]data!$A:$A,0)),"",INDEX([1]data!V:V,MATCH($N298,[1]data!$A:$A,0)))</f>
        <v/>
      </c>
      <c r="AM298" s="38" t="str">
        <f>IF(ISNA(MATCH($N298,data!$A:$A,0)),"",INDEX(data!B:B,MATCH($N298,data!$A:$A,0)))</f>
        <v/>
      </c>
      <c r="AN298" s="38" t="str">
        <f>IF(ISNA(MATCH($N298,data!$A:$A,0)),"",INDEX(data!C:C,MATCH($N298,data!$A:$A,0)))</f>
        <v/>
      </c>
      <c r="AO298" s="38" t="str">
        <f>IF(ISNA(MATCH($N298,data!$A:$A,0)),"",INDEX(data!D:D,MATCH($N298,data!$A:$A,0)))</f>
        <v/>
      </c>
      <c r="AP298" s="38" t="str">
        <f>IF(ISNA(MATCH($N298,data!$A:$A,0)),"",INDEX(data!E:E,MATCH($N298,data!$A:$A,0)))</f>
        <v/>
      </c>
      <c r="AQ298" s="38" t="str">
        <f>IF(ISNA(MATCH($N298,data!$A:$A,0)),"",INDEX(data!F:F,MATCH($N298,data!$A:$A,0)))</f>
        <v/>
      </c>
      <c r="AR298" s="38" t="str">
        <f>IF(ISNA(MATCH($N298,data!$A:$A,0)),"",INDEX(data!G:G,MATCH($N298,data!$A:$A,0)))</f>
        <v/>
      </c>
      <c r="AS298" s="38" t="str">
        <f>IF(ISNA(MATCH($N298,data!$A:$A,0)),"",INDEX(data!H:H,MATCH($N298,data!$A:$A,0)))</f>
        <v/>
      </c>
      <c r="AT298" s="38" t="str">
        <f>IF(ISNA(MATCH($N298,data!$A:$A,0)),"",INDEX(data!I:I,MATCH($N298,data!$A:$A,0)))</f>
        <v/>
      </c>
      <c r="AU298" s="38" t="str">
        <f>IF(ISNA(MATCH($N298,[1]data!$A:$A,0)),"",INDEX([1]data!L:L,MATCH($N298,[1]data!$A:$A,0)))</f>
        <v/>
      </c>
      <c r="AV298" s="38" t="str">
        <f>IF(ISNA(MATCH($N298,[1]data!$A:$A,0)),"",INDEX([1]data!M:M,MATCH($N298,[1]data!$A:$A,0)))</f>
        <v/>
      </c>
      <c r="AW298" s="38" t="str">
        <f>IF(ISNA(MATCH($N298,data!$A:$A,0)),"",INDEX(data!J:J,MATCH($N298,data!$A:$A,0)))</f>
        <v/>
      </c>
      <c r="AX298" s="38" t="str">
        <f>IF(ISNA(MATCH($N298,data!$A:$A,0)),"",INDEX(data!K:K,MATCH($N298,data!$A:$A,0)))</f>
        <v/>
      </c>
      <c r="AY298" s="38" t="str">
        <f>IF(ISNA(MATCH($N298,data!$A:$A,0)),"",INDEX(data!O:O,MATCH($N298,data!$A:$A,0)))</f>
        <v/>
      </c>
      <c r="AZ298" s="38" t="str">
        <f>IF(ISNA(MATCH($N298,data!$A:$A,0)),"",INDEX(data!N:N,MATCH($N298,data!$A:$A,0)))</f>
        <v/>
      </c>
      <c r="BA298" s="38" t="str">
        <f>IF(ISNA(MATCH($N298,data!$A:$A,0)),"",INDEX(data!P:P,MATCH($N298,data!$A:$A,0)))</f>
        <v/>
      </c>
      <c r="BB298" s="38" t="str">
        <f>IF(ISNA(MATCH($N298,data!$A:$A,0)),"",INDEX(data!Q:Q,MATCH($N298,data!$A:$A,0)))</f>
        <v/>
      </c>
      <c r="BC298" s="38" t="str">
        <f>IF(ISNA(MATCH($N298,data!$A:$A,0)),"",INDEX(data!R:R,MATCH($N298,data!$A:$A,0)))</f>
        <v/>
      </c>
      <c r="BD298" s="38" t="str">
        <f>IF(ISNA(MATCH($N298,[1]data!$A:$A,0)),"",INDEX([1]data!U:U,MATCH($N298,[1]data!$A:$A,0)))</f>
        <v/>
      </c>
      <c r="BE298" s="61" t="e">
        <f>IF(COUNTIF([1]data!A:A,[1]!Table1[[#This Row],[UPC]])&lt;2,"","DUP")</f>
        <v>#VALUE!</v>
      </c>
      <c r="BF298" s="38" t="str">
        <f>IF(ISNA(MATCH($N298,data!$A:$A,0)),"",INDEX(data!W:W,MATCH($N298,data!$A:$A,0)))</f>
        <v/>
      </c>
    </row>
    <row r="299" spans="1:58" s="37" customFormat="1" ht="12.75" customHeight="1">
      <c r="A299" s="35"/>
      <c r="B299" s="35"/>
      <c r="C299" s="35"/>
      <c r="D299" s="35"/>
      <c r="E299" s="67"/>
      <c r="F299" s="67"/>
      <c r="G299" s="36"/>
      <c r="H299" s="29"/>
      <c r="I299" s="78" t="str">
        <f t="shared" si="4"/>
        <v/>
      </c>
      <c r="J299" s="29"/>
      <c r="K299" s="29"/>
      <c r="L299" s="33"/>
      <c r="M299" s="33"/>
      <c r="N299" s="60"/>
      <c r="O299" s="71"/>
      <c r="P299" s="71"/>
      <c r="Q299" s="33"/>
      <c r="R299" s="31"/>
      <c r="S299" s="31"/>
      <c r="T299" s="59"/>
      <c r="U299" s="59"/>
      <c r="V299" s="59"/>
      <c r="W299" s="57">
        <f t="shared" si="5"/>
        <v>0</v>
      </c>
      <c r="X299" s="126" t="str">
        <f>IF(Table1[[#This Row],[Shipping Weight Pounds]]&gt;150,"See LTL Form","No")</f>
        <v>No</v>
      </c>
      <c r="Y299" s="28"/>
      <c r="Z299" s="33"/>
      <c r="AA299" s="34"/>
      <c r="AB299" s="30"/>
      <c r="AC299" s="30"/>
      <c r="AD299" s="32"/>
      <c r="AE299" s="32"/>
      <c r="AF299" s="2"/>
      <c r="AG299" s="2"/>
      <c r="AH299" s="2"/>
      <c r="AI299" s="2"/>
      <c r="AJ299" s="45"/>
      <c r="AK299" s="73" t="str">
        <f>IF(ISNA(MATCH($N299,[1]data!$A:$A,0)),"",INDEX([1]data!S:S,MATCH($N299,[1]data!$A:$A,0)))</f>
        <v/>
      </c>
      <c r="AL299" s="73" t="str">
        <f>IF(ISNA(MATCH($N299,[1]data!$A:$A,0)),"",INDEX([1]data!V:V,MATCH($N299,[1]data!$A:$A,0)))</f>
        <v/>
      </c>
      <c r="AM299" s="38" t="str">
        <f>IF(ISNA(MATCH($N299,data!$A:$A,0)),"",INDEX(data!B:B,MATCH($N299,data!$A:$A,0)))</f>
        <v/>
      </c>
      <c r="AN299" s="38" t="str">
        <f>IF(ISNA(MATCH($N299,data!$A:$A,0)),"",INDEX(data!C:C,MATCH($N299,data!$A:$A,0)))</f>
        <v/>
      </c>
      <c r="AO299" s="38" t="str">
        <f>IF(ISNA(MATCH($N299,data!$A:$A,0)),"",INDEX(data!D:D,MATCH($N299,data!$A:$A,0)))</f>
        <v/>
      </c>
      <c r="AP299" s="38" t="str">
        <f>IF(ISNA(MATCH($N299,data!$A:$A,0)),"",INDEX(data!E:E,MATCH($N299,data!$A:$A,0)))</f>
        <v/>
      </c>
      <c r="AQ299" s="38" t="str">
        <f>IF(ISNA(MATCH($N299,data!$A:$A,0)),"",INDEX(data!F:F,MATCH($N299,data!$A:$A,0)))</f>
        <v/>
      </c>
      <c r="AR299" s="38" t="str">
        <f>IF(ISNA(MATCH($N299,data!$A:$A,0)),"",INDEX(data!G:G,MATCH($N299,data!$A:$A,0)))</f>
        <v/>
      </c>
      <c r="AS299" s="38" t="str">
        <f>IF(ISNA(MATCH($N299,data!$A:$A,0)),"",INDEX(data!H:H,MATCH($N299,data!$A:$A,0)))</f>
        <v/>
      </c>
      <c r="AT299" s="38" t="str">
        <f>IF(ISNA(MATCH($N299,data!$A:$A,0)),"",INDEX(data!I:I,MATCH($N299,data!$A:$A,0)))</f>
        <v/>
      </c>
      <c r="AU299" s="38" t="str">
        <f>IF(ISNA(MATCH($N299,[1]data!$A:$A,0)),"",INDEX([1]data!L:L,MATCH($N299,[1]data!$A:$A,0)))</f>
        <v/>
      </c>
      <c r="AV299" s="38" t="str">
        <f>IF(ISNA(MATCH($N299,[1]data!$A:$A,0)),"",INDEX([1]data!M:M,MATCH($N299,[1]data!$A:$A,0)))</f>
        <v/>
      </c>
      <c r="AW299" s="38" t="str">
        <f>IF(ISNA(MATCH($N299,data!$A:$A,0)),"",INDEX(data!J:J,MATCH($N299,data!$A:$A,0)))</f>
        <v/>
      </c>
      <c r="AX299" s="38" t="str">
        <f>IF(ISNA(MATCH($N299,data!$A:$A,0)),"",INDEX(data!K:K,MATCH($N299,data!$A:$A,0)))</f>
        <v/>
      </c>
      <c r="AY299" s="38" t="str">
        <f>IF(ISNA(MATCH($N299,data!$A:$A,0)),"",INDEX(data!O:O,MATCH($N299,data!$A:$A,0)))</f>
        <v/>
      </c>
      <c r="AZ299" s="38" t="str">
        <f>IF(ISNA(MATCH($N299,data!$A:$A,0)),"",INDEX(data!N:N,MATCH($N299,data!$A:$A,0)))</f>
        <v/>
      </c>
      <c r="BA299" s="38" t="str">
        <f>IF(ISNA(MATCH($N299,data!$A:$A,0)),"",INDEX(data!P:P,MATCH($N299,data!$A:$A,0)))</f>
        <v/>
      </c>
      <c r="BB299" s="38" t="str">
        <f>IF(ISNA(MATCH($N299,data!$A:$A,0)),"",INDEX(data!Q:Q,MATCH($N299,data!$A:$A,0)))</f>
        <v/>
      </c>
      <c r="BC299" s="38" t="str">
        <f>IF(ISNA(MATCH($N299,data!$A:$A,0)),"",INDEX(data!R:R,MATCH($N299,data!$A:$A,0)))</f>
        <v/>
      </c>
      <c r="BD299" s="38" t="str">
        <f>IF(ISNA(MATCH($N299,[1]data!$A:$A,0)),"",INDEX([1]data!U:U,MATCH($N299,[1]data!$A:$A,0)))</f>
        <v/>
      </c>
      <c r="BE299" s="61" t="e">
        <f>IF(COUNTIF([1]data!A:A,[1]!Table1[[#This Row],[UPC]])&lt;2,"","DUP")</f>
        <v>#VALUE!</v>
      </c>
      <c r="BF299" s="38" t="str">
        <f>IF(ISNA(MATCH($N299,data!$A:$A,0)),"",INDEX(data!W:W,MATCH($N299,data!$A:$A,0)))</f>
        <v/>
      </c>
    </row>
    <row r="300" spans="1:58" ht="12.75" customHeight="1">
      <c r="A300" s="35"/>
      <c r="B300" s="35"/>
      <c r="C300" s="35"/>
      <c r="D300" s="35"/>
      <c r="E300" s="67"/>
      <c r="F300" s="67"/>
      <c r="G300" s="36"/>
      <c r="H300" s="29"/>
      <c r="I300" s="78" t="str">
        <f t="shared" si="4"/>
        <v/>
      </c>
      <c r="J300" s="29"/>
      <c r="K300" s="29"/>
      <c r="L300" s="33"/>
      <c r="M300" s="33"/>
      <c r="N300" s="60"/>
      <c r="O300" s="71"/>
      <c r="P300" s="71"/>
      <c r="Q300" s="33"/>
      <c r="R300" s="31"/>
      <c r="S300" s="31"/>
      <c r="T300" s="59"/>
      <c r="U300" s="59"/>
      <c r="V300" s="59"/>
      <c r="W300" s="57">
        <f t="shared" si="5"/>
        <v>0</v>
      </c>
      <c r="X300" s="126" t="str">
        <f>IF(Table1[[#This Row],[Shipping Weight Pounds]]&gt;150,"See LTL Form","No")</f>
        <v>No</v>
      </c>
      <c r="Y300" s="28"/>
      <c r="Z300" s="33"/>
      <c r="AA300" s="34"/>
      <c r="AB300" s="30"/>
      <c r="AC300" s="30"/>
      <c r="AD300" s="32"/>
      <c r="AE300" s="32"/>
      <c r="AF300" s="2"/>
      <c r="AG300" s="2"/>
      <c r="AH300" s="2"/>
      <c r="AI300" s="2"/>
      <c r="AK300" s="73" t="str">
        <f>IF(ISNA(MATCH($N300,[1]data!$A:$A,0)),"",INDEX([1]data!S:S,MATCH($N300,[1]data!$A:$A,0)))</f>
        <v/>
      </c>
      <c r="AL300" s="73" t="str">
        <f>IF(ISNA(MATCH($N300,[1]data!$A:$A,0)),"",INDEX([1]data!V:V,MATCH($N300,[1]data!$A:$A,0)))</f>
        <v/>
      </c>
      <c r="AM300" s="38" t="str">
        <f>IF(ISNA(MATCH($N300,data!$A:$A,0)),"",INDEX(data!B:B,MATCH($N300,data!$A:$A,0)))</f>
        <v/>
      </c>
      <c r="AN300" s="38" t="str">
        <f>IF(ISNA(MATCH($N300,data!$A:$A,0)),"",INDEX(data!C:C,MATCH($N300,data!$A:$A,0)))</f>
        <v/>
      </c>
      <c r="AO300" s="38" t="str">
        <f>IF(ISNA(MATCH($N300,data!$A:$A,0)),"",INDEX(data!D:D,MATCH($N300,data!$A:$A,0)))</f>
        <v/>
      </c>
      <c r="AP300" s="38" t="str">
        <f>IF(ISNA(MATCH($N300,data!$A:$A,0)),"",INDEX(data!E:E,MATCH($N300,data!$A:$A,0)))</f>
        <v/>
      </c>
      <c r="AQ300" s="38" t="str">
        <f>IF(ISNA(MATCH($N300,data!$A:$A,0)),"",INDEX(data!F:F,MATCH($N300,data!$A:$A,0)))</f>
        <v/>
      </c>
      <c r="AR300" s="38" t="str">
        <f>IF(ISNA(MATCH($N300,data!$A:$A,0)),"",INDEX(data!G:G,MATCH($N300,data!$A:$A,0)))</f>
        <v/>
      </c>
      <c r="AS300" s="38" t="str">
        <f>IF(ISNA(MATCH($N300,data!$A:$A,0)),"",INDEX(data!H:H,MATCH($N300,data!$A:$A,0)))</f>
        <v/>
      </c>
      <c r="AT300" s="38" t="str">
        <f>IF(ISNA(MATCH($N300,data!$A:$A,0)),"",INDEX(data!I:I,MATCH($N300,data!$A:$A,0)))</f>
        <v/>
      </c>
      <c r="AU300" s="38" t="str">
        <f>IF(ISNA(MATCH($N300,[1]data!$A:$A,0)),"",INDEX([1]data!L:L,MATCH($N300,[1]data!$A:$A,0)))</f>
        <v/>
      </c>
      <c r="AV300" s="38" t="str">
        <f>IF(ISNA(MATCH($N300,[1]data!$A:$A,0)),"",INDEX([1]data!M:M,MATCH($N300,[1]data!$A:$A,0)))</f>
        <v/>
      </c>
      <c r="AW300" s="38" t="str">
        <f>IF(ISNA(MATCH($N300,data!$A:$A,0)),"",INDEX(data!J:J,MATCH($N300,data!$A:$A,0)))</f>
        <v/>
      </c>
      <c r="AX300" s="38" t="str">
        <f>IF(ISNA(MATCH($N300,data!$A:$A,0)),"",INDEX(data!K:K,MATCH($N300,data!$A:$A,0)))</f>
        <v/>
      </c>
      <c r="AY300" s="38" t="str">
        <f>IF(ISNA(MATCH($N300,data!$A:$A,0)),"",INDEX(data!O:O,MATCH($N300,data!$A:$A,0)))</f>
        <v/>
      </c>
      <c r="AZ300" s="38" t="str">
        <f>IF(ISNA(MATCH($N300,data!$A:$A,0)),"",INDEX(data!N:N,MATCH($N300,data!$A:$A,0)))</f>
        <v/>
      </c>
      <c r="BA300" s="38" t="str">
        <f>IF(ISNA(MATCH($N300,data!$A:$A,0)),"",INDEX(data!P:P,MATCH($N300,data!$A:$A,0)))</f>
        <v/>
      </c>
      <c r="BB300" s="38" t="str">
        <f>IF(ISNA(MATCH($N300,data!$A:$A,0)),"",INDEX(data!Q:Q,MATCH($N300,data!$A:$A,0)))</f>
        <v/>
      </c>
      <c r="BC300" s="38" t="str">
        <f>IF(ISNA(MATCH($N300,data!$A:$A,0)),"",INDEX(data!R:R,MATCH($N300,data!$A:$A,0)))</f>
        <v/>
      </c>
      <c r="BD300" s="38" t="str">
        <f>IF(ISNA(MATCH($N300,[1]data!$A:$A,0)),"",INDEX([1]data!U:U,MATCH($N300,[1]data!$A:$A,0)))</f>
        <v/>
      </c>
      <c r="BE300" s="61" t="e">
        <f>IF(COUNTIF([1]data!A:A,[1]!Table1[[#This Row],[UPC]])&lt;2,"","DUP")</f>
        <v>#VALUE!</v>
      </c>
      <c r="BF300" s="38" t="str">
        <f>IF(ISNA(MATCH($N300,data!$A:$A,0)),"",INDEX(data!W:W,MATCH($N300,data!$A:$A,0)))</f>
        <v/>
      </c>
    </row>
    <row r="301" spans="1:58" ht="12.75" customHeight="1">
      <c r="A301" s="35"/>
      <c r="B301" s="35"/>
      <c r="C301" s="35"/>
      <c r="D301" s="35"/>
      <c r="E301" s="67"/>
      <c r="F301" s="67"/>
      <c r="G301" s="36"/>
      <c r="H301" s="29"/>
      <c r="I301" s="78" t="str">
        <f t="shared" si="4"/>
        <v/>
      </c>
      <c r="J301" s="29"/>
      <c r="K301" s="29"/>
      <c r="L301" s="33"/>
      <c r="M301" s="33"/>
      <c r="N301" s="60"/>
      <c r="O301" s="71"/>
      <c r="P301" s="71"/>
      <c r="Q301" s="33"/>
      <c r="R301" s="31"/>
      <c r="S301" s="31"/>
      <c r="T301" s="59"/>
      <c r="U301" s="59"/>
      <c r="V301" s="59"/>
      <c r="W301" s="57">
        <f t="shared" si="5"/>
        <v>0</v>
      </c>
      <c r="X301" s="126" t="str">
        <f>IF(Table1[[#This Row],[Shipping Weight Pounds]]&gt;150,"See LTL Form","No")</f>
        <v>No</v>
      </c>
      <c r="Y301" s="28"/>
      <c r="Z301" s="33"/>
      <c r="AA301" s="34"/>
      <c r="AB301" s="30"/>
      <c r="AC301" s="30"/>
      <c r="AD301" s="32"/>
      <c r="AE301" s="32"/>
      <c r="AF301" s="2"/>
      <c r="AG301" s="2"/>
      <c r="AH301" s="2"/>
      <c r="AI301" s="2"/>
      <c r="AK301" s="73" t="str">
        <f>IF(ISNA(MATCH($N301,[1]data!$A:$A,0)),"",INDEX([1]data!S:S,MATCH($N301,[1]data!$A:$A,0)))</f>
        <v/>
      </c>
      <c r="AL301" s="73" t="str">
        <f>IF(ISNA(MATCH($N301,[1]data!$A:$A,0)),"",INDEX([1]data!V:V,MATCH($N301,[1]data!$A:$A,0)))</f>
        <v/>
      </c>
      <c r="AM301" s="38" t="str">
        <f>IF(ISNA(MATCH($N301,data!$A:$A,0)),"",INDEX(data!B:B,MATCH($N301,data!$A:$A,0)))</f>
        <v/>
      </c>
      <c r="AN301" s="38" t="str">
        <f>IF(ISNA(MATCH($N301,data!$A:$A,0)),"",INDEX(data!C:C,MATCH($N301,data!$A:$A,0)))</f>
        <v/>
      </c>
      <c r="AO301" s="38" t="str">
        <f>IF(ISNA(MATCH($N301,data!$A:$A,0)),"",INDEX(data!D:D,MATCH($N301,data!$A:$A,0)))</f>
        <v/>
      </c>
      <c r="AP301" s="38" t="str">
        <f>IF(ISNA(MATCH($N301,data!$A:$A,0)),"",INDEX(data!E:E,MATCH($N301,data!$A:$A,0)))</f>
        <v/>
      </c>
      <c r="AQ301" s="38" t="str">
        <f>IF(ISNA(MATCH($N301,data!$A:$A,0)),"",INDEX(data!F:F,MATCH($N301,data!$A:$A,0)))</f>
        <v/>
      </c>
      <c r="AR301" s="38" t="str">
        <f>IF(ISNA(MATCH($N301,data!$A:$A,0)),"",INDEX(data!G:G,MATCH($N301,data!$A:$A,0)))</f>
        <v/>
      </c>
      <c r="AS301" s="38" t="str">
        <f>IF(ISNA(MATCH($N301,data!$A:$A,0)),"",INDEX(data!H:H,MATCH($N301,data!$A:$A,0)))</f>
        <v/>
      </c>
      <c r="AT301" s="38" t="str">
        <f>IF(ISNA(MATCH($N301,data!$A:$A,0)),"",INDEX(data!I:I,MATCH($N301,data!$A:$A,0)))</f>
        <v/>
      </c>
      <c r="AU301" s="38" t="str">
        <f>IF(ISNA(MATCH($N301,[1]data!$A:$A,0)),"",INDEX([1]data!L:L,MATCH($N301,[1]data!$A:$A,0)))</f>
        <v/>
      </c>
      <c r="AV301" s="38" t="str">
        <f>IF(ISNA(MATCH($N301,[1]data!$A:$A,0)),"",INDEX([1]data!M:M,MATCH($N301,[1]data!$A:$A,0)))</f>
        <v/>
      </c>
      <c r="AW301" s="38" t="str">
        <f>IF(ISNA(MATCH($N301,data!$A:$A,0)),"",INDEX(data!J:J,MATCH($N301,data!$A:$A,0)))</f>
        <v/>
      </c>
      <c r="AX301" s="38" t="str">
        <f>IF(ISNA(MATCH($N301,data!$A:$A,0)),"",INDEX(data!K:K,MATCH($N301,data!$A:$A,0)))</f>
        <v/>
      </c>
      <c r="AY301" s="38" t="str">
        <f>IF(ISNA(MATCH($N301,data!$A:$A,0)),"",INDEX(data!O:O,MATCH($N301,data!$A:$A,0)))</f>
        <v/>
      </c>
      <c r="AZ301" s="38" t="str">
        <f>IF(ISNA(MATCH($N301,data!$A:$A,0)),"",INDEX(data!N:N,MATCH($N301,data!$A:$A,0)))</f>
        <v/>
      </c>
      <c r="BA301" s="38" t="str">
        <f>IF(ISNA(MATCH($N301,data!$A:$A,0)),"",INDEX(data!P:P,MATCH($N301,data!$A:$A,0)))</f>
        <v/>
      </c>
      <c r="BB301" s="38" t="str">
        <f>IF(ISNA(MATCH($N301,data!$A:$A,0)),"",INDEX(data!Q:Q,MATCH($N301,data!$A:$A,0)))</f>
        <v/>
      </c>
      <c r="BC301" s="38" t="str">
        <f>IF(ISNA(MATCH($N301,data!$A:$A,0)),"",INDEX(data!R:R,MATCH($N301,data!$A:$A,0)))</f>
        <v/>
      </c>
      <c r="BD301" s="38" t="str">
        <f>IF(ISNA(MATCH($N301,[1]data!$A:$A,0)),"",INDEX([1]data!U:U,MATCH($N301,[1]data!$A:$A,0)))</f>
        <v/>
      </c>
      <c r="BE301" s="61" t="e">
        <f>IF(COUNTIF([1]data!A:A,[1]!Table1[[#This Row],[UPC]])&lt;2,"","DUP")</f>
        <v>#VALUE!</v>
      </c>
      <c r="BF301" s="38" t="str">
        <f>IF(ISNA(MATCH($N301,data!$A:$A,0)),"",INDEX(data!W:W,MATCH($N301,data!$A:$A,0)))</f>
        <v/>
      </c>
    </row>
    <row r="302" spans="1:58" s="39" customFormat="1" ht="12.75" customHeight="1">
      <c r="A302" s="35"/>
      <c r="B302" s="35"/>
      <c r="C302" s="35"/>
      <c r="D302" s="35"/>
      <c r="E302" s="67"/>
      <c r="F302" s="67"/>
      <c r="G302" s="36"/>
      <c r="H302" s="29"/>
      <c r="I302" s="78" t="str">
        <f t="shared" si="4"/>
        <v/>
      </c>
      <c r="J302" s="29"/>
      <c r="K302" s="29"/>
      <c r="L302" s="33"/>
      <c r="M302" s="33"/>
      <c r="N302" s="60"/>
      <c r="O302" s="71"/>
      <c r="P302" s="71"/>
      <c r="Q302" s="33"/>
      <c r="R302" s="31"/>
      <c r="S302" s="31"/>
      <c r="T302" s="59"/>
      <c r="U302" s="59"/>
      <c r="V302" s="59"/>
      <c r="W302" s="57">
        <f t="shared" si="5"/>
        <v>0</v>
      </c>
      <c r="X302" s="126" t="str">
        <f>IF(Table1[[#This Row],[Shipping Weight Pounds]]&gt;150,"See LTL Form","No")</f>
        <v>No</v>
      </c>
      <c r="Y302" s="28"/>
      <c r="Z302" s="33"/>
      <c r="AA302" s="34"/>
      <c r="AB302" s="30"/>
      <c r="AC302" s="30"/>
      <c r="AD302" s="32"/>
      <c r="AE302" s="32"/>
      <c r="AF302" s="2"/>
      <c r="AG302" s="2"/>
      <c r="AH302" s="2"/>
      <c r="AI302" s="2"/>
      <c r="AJ302" s="45"/>
      <c r="AK302" s="73" t="str">
        <f>IF(ISNA(MATCH($N302,[1]data!$A:$A,0)),"",INDEX([1]data!S:S,MATCH($N302,[1]data!$A:$A,0)))</f>
        <v/>
      </c>
      <c r="AL302" s="73" t="str">
        <f>IF(ISNA(MATCH($N302,[1]data!$A:$A,0)),"",INDEX([1]data!V:V,MATCH($N302,[1]data!$A:$A,0)))</f>
        <v/>
      </c>
      <c r="AM302" s="38" t="str">
        <f>IF(ISNA(MATCH($N302,data!$A:$A,0)),"",INDEX(data!B:B,MATCH($N302,data!$A:$A,0)))</f>
        <v/>
      </c>
      <c r="AN302" s="38" t="str">
        <f>IF(ISNA(MATCH($N302,data!$A:$A,0)),"",INDEX(data!C:C,MATCH($N302,data!$A:$A,0)))</f>
        <v/>
      </c>
      <c r="AO302" s="38" t="str">
        <f>IF(ISNA(MATCH($N302,data!$A:$A,0)),"",INDEX(data!D:D,MATCH($N302,data!$A:$A,0)))</f>
        <v/>
      </c>
      <c r="AP302" s="38" t="str">
        <f>IF(ISNA(MATCH($N302,data!$A:$A,0)),"",INDEX(data!E:E,MATCH($N302,data!$A:$A,0)))</f>
        <v/>
      </c>
      <c r="AQ302" s="38" t="str">
        <f>IF(ISNA(MATCH($N302,data!$A:$A,0)),"",INDEX(data!F:F,MATCH($N302,data!$A:$A,0)))</f>
        <v/>
      </c>
      <c r="AR302" s="38" t="str">
        <f>IF(ISNA(MATCH($N302,data!$A:$A,0)),"",INDEX(data!G:G,MATCH($N302,data!$A:$A,0)))</f>
        <v/>
      </c>
      <c r="AS302" s="38" t="str">
        <f>IF(ISNA(MATCH($N302,data!$A:$A,0)),"",INDEX(data!H:H,MATCH($N302,data!$A:$A,0)))</f>
        <v/>
      </c>
      <c r="AT302" s="38" t="str">
        <f>IF(ISNA(MATCH($N302,data!$A:$A,0)),"",INDEX(data!I:I,MATCH($N302,data!$A:$A,0)))</f>
        <v/>
      </c>
      <c r="AU302" s="38" t="str">
        <f>IF(ISNA(MATCH($N302,[1]data!$A:$A,0)),"",INDEX([1]data!L:L,MATCH($N302,[1]data!$A:$A,0)))</f>
        <v/>
      </c>
      <c r="AV302" s="38" t="str">
        <f>IF(ISNA(MATCH($N302,[1]data!$A:$A,0)),"",INDEX([1]data!M:M,MATCH($N302,[1]data!$A:$A,0)))</f>
        <v/>
      </c>
      <c r="AW302" s="38" t="str">
        <f>IF(ISNA(MATCH($N302,data!$A:$A,0)),"",INDEX(data!J:J,MATCH($N302,data!$A:$A,0)))</f>
        <v/>
      </c>
      <c r="AX302" s="38" t="str">
        <f>IF(ISNA(MATCH($N302,data!$A:$A,0)),"",INDEX(data!K:K,MATCH($N302,data!$A:$A,0)))</f>
        <v/>
      </c>
      <c r="AY302" s="38" t="str">
        <f>IF(ISNA(MATCH($N302,data!$A:$A,0)),"",INDEX(data!O:O,MATCH($N302,data!$A:$A,0)))</f>
        <v/>
      </c>
      <c r="AZ302" s="38" t="str">
        <f>IF(ISNA(MATCH($N302,data!$A:$A,0)),"",INDEX(data!N:N,MATCH($N302,data!$A:$A,0)))</f>
        <v/>
      </c>
      <c r="BA302" s="38" t="str">
        <f>IF(ISNA(MATCH($N302,data!$A:$A,0)),"",INDEX(data!P:P,MATCH($N302,data!$A:$A,0)))</f>
        <v/>
      </c>
      <c r="BB302" s="38" t="str">
        <f>IF(ISNA(MATCH($N302,data!$A:$A,0)),"",INDEX(data!Q:Q,MATCH($N302,data!$A:$A,0)))</f>
        <v/>
      </c>
      <c r="BC302" s="38" t="str">
        <f>IF(ISNA(MATCH($N302,data!$A:$A,0)),"",INDEX(data!R:R,MATCH($N302,data!$A:$A,0)))</f>
        <v/>
      </c>
      <c r="BD302" s="38" t="str">
        <f>IF(ISNA(MATCH($N302,[1]data!$A:$A,0)),"",INDEX([1]data!U:U,MATCH($N302,[1]data!$A:$A,0)))</f>
        <v/>
      </c>
      <c r="BE302" s="61" t="e">
        <f>IF(COUNTIF([1]data!A:A,[1]!Table1[[#This Row],[UPC]])&lt;2,"","DUP")</f>
        <v>#VALUE!</v>
      </c>
      <c r="BF302" s="38" t="str">
        <f>IF(ISNA(MATCH($N302,data!$A:$A,0)),"",INDEX(data!W:W,MATCH($N302,data!$A:$A,0)))</f>
        <v/>
      </c>
    </row>
    <row r="303" spans="1:58" ht="12.75" customHeight="1">
      <c r="A303" s="35"/>
      <c r="B303" s="35"/>
      <c r="C303" s="35"/>
      <c r="D303" s="35"/>
      <c r="E303" s="67"/>
      <c r="F303" s="67"/>
      <c r="G303" s="36"/>
      <c r="H303" s="29"/>
      <c r="I303" s="78" t="str">
        <f t="shared" si="4"/>
        <v/>
      </c>
      <c r="J303" s="29"/>
      <c r="K303" s="29"/>
      <c r="L303" s="33"/>
      <c r="M303" s="33"/>
      <c r="N303" s="60"/>
      <c r="O303" s="71"/>
      <c r="P303" s="71"/>
      <c r="Q303" s="33"/>
      <c r="R303" s="31"/>
      <c r="S303" s="31"/>
      <c r="T303" s="59"/>
      <c r="U303" s="59"/>
      <c r="V303" s="59"/>
      <c r="W303" s="57">
        <f t="shared" si="5"/>
        <v>0</v>
      </c>
      <c r="X303" s="126" t="str">
        <f>IF(Table1[[#This Row],[Shipping Weight Pounds]]&gt;150,"See LTL Form","No")</f>
        <v>No</v>
      </c>
      <c r="Y303" s="28"/>
      <c r="Z303" s="33"/>
      <c r="AA303" s="34"/>
      <c r="AB303" s="30"/>
      <c r="AC303" s="30"/>
      <c r="AD303" s="32"/>
      <c r="AE303" s="32"/>
      <c r="AF303" s="2"/>
      <c r="AG303" s="2"/>
      <c r="AH303" s="2"/>
      <c r="AI303" s="2"/>
      <c r="AK303" s="73" t="str">
        <f>IF(ISNA(MATCH($N303,[1]data!$A:$A,0)),"",INDEX([1]data!S:S,MATCH($N303,[1]data!$A:$A,0)))</f>
        <v/>
      </c>
      <c r="AL303" s="73" t="str">
        <f>IF(ISNA(MATCH($N303,[1]data!$A:$A,0)),"",INDEX([1]data!V:V,MATCH($N303,[1]data!$A:$A,0)))</f>
        <v/>
      </c>
      <c r="AM303" s="38" t="str">
        <f>IF(ISNA(MATCH($N303,data!$A:$A,0)),"",INDEX(data!B:B,MATCH($N303,data!$A:$A,0)))</f>
        <v/>
      </c>
      <c r="AN303" s="38" t="str">
        <f>IF(ISNA(MATCH($N303,data!$A:$A,0)),"",INDEX(data!C:C,MATCH($N303,data!$A:$A,0)))</f>
        <v/>
      </c>
      <c r="AO303" s="38" t="str">
        <f>IF(ISNA(MATCH($N303,data!$A:$A,0)),"",INDEX(data!D:D,MATCH($N303,data!$A:$A,0)))</f>
        <v/>
      </c>
      <c r="AP303" s="38" t="str">
        <f>IF(ISNA(MATCH($N303,data!$A:$A,0)),"",INDEX(data!E:E,MATCH($N303,data!$A:$A,0)))</f>
        <v/>
      </c>
      <c r="AQ303" s="38" t="str">
        <f>IF(ISNA(MATCH($N303,data!$A:$A,0)),"",INDEX(data!F:F,MATCH($N303,data!$A:$A,0)))</f>
        <v/>
      </c>
      <c r="AR303" s="38" t="str">
        <f>IF(ISNA(MATCH($N303,data!$A:$A,0)),"",INDEX(data!G:G,MATCH($N303,data!$A:$A,0)))</f>
        <v/>
      </c>
      <c r="AS303" s="38" t="str">
        <f>IF(ISNA(MATCH($N303,data!$A:$A,0)),"",INDEX(data!H:H,MATCH($N303,data!$A:$A,0)))</f>
        <v/>
      </c>
      <c r="AT303" s="38" t="str">
        <f>IF(ISNA(MATCH($N303,data!$A:$A,0)),"",INDEX(data!I:I,MATCH($N303,data!$A:$A,0)))</f>
        <v/>
      </c>
      <c r="AU303" s="38" t="str">
        <f>IF(ISNA(MATCH($N303,[1]data!$A:$A,0)),"",INDEX([1]data!L:L,MATCH($N303,[1]data!$A:$A,0)))</f>
        <v/>
      </c>
      <c r="AV303" s="38" t="str">
        <f>IF(ISNA(MATCH($N303,[1]data!$A:$A,0)),"",INDEX([1]data!M:M,MATCH($N303,[1]data!$A:$A,0)))</f>
        <v/>
      </c>
      <c r="AW303" s="38" t="str">
        <f>IF(ISNA(MATCH($N303,data!$A:$A,0)),"",INDEX(data!J:J,MATCH($N303,data!$A:$A,0)))</f>
        <v/>
      </c>
      <c r="AX303" s="38" t="str">
        <f>IF(ISNA(MATCH($N303,data!$A:$A,0)),"",INDEX(data!K:K,MATCH($N303,data!$A:$A,0)))</f>
        <v/>
      </c>
      <c r="AY303" s="38" t="str">
        <f>IF(ISNA(MATCH($N303,data!$A:$A,0)),"",INDEX(data!O:O,MATCH($N303,data!$A:$A,0)))</f>
        <v/>
      </c>
      <c r="AZ303" s="38" t="str">
        <f>IF(ISNA(MATCH($N303,data!$A:$A,0)),"",INDEX(data!N:N,MATCH($N303,data!$A:$A,0)))</f>
        <v/>
      </c>
      <c r="BA303" s="38" t="str">
        <f>IF(ISNA(MATCH($N303,data!$A:$A,0)),"",INDEX(data!P:P,MATCH($N303,data!$A:$A,0)))</f>
        <v/>
      </c>
      <c r="BB303" s="38" t="str">
        <f>IF(ISNA(MATCH($N303,data!$A:$A,0)),"",INDEX(data!Q:Q,MATCH($N303,data!$A:$A,0)))</f>
        <v/>
      </c>
      <c r="BC303" s="38" t="str">
        <f>IF(ISNA(MATCH($N303,data!$A:$A,0)),"",INDEX(data!R:R,MATCH($N303,data!$A:$A,0)))</f>
        <v/>
      </c>
      <c r="BD303" s="38" t="str">
        <f>IF(ISNA(MATCH($N303,[1]data!$A:$A,0)),"",INDEX([1]data!U:U,MATCH($N303,[1]data!$A:$A,0)))</f>
        <v/>
      </c>
      <c r="BE303" s="61" t="e">
        <f>IF(COUNTIF([1]data!A:A,[1]!Table1[[#This Row],[UPC]])&lt;2,"","DUP")</f>
        <v>#VALUE!</v>
      </c>
      <c r="BF303" s="38" t="str">
        <f>IF(ISNA(MATCH($N303,data!$A:$A,0)),"",INDEX(data!W:W,MATCH($N303,data!$A:$A,0)))</f>
        <v/>
      </c>
    </row>
    <row r="304" spans="1:58" ht="12.75" customHeight="1">
      <c r="A304" s="35"/>
      <c r="B304" s="35"/>
      <c r="C304" s="35"/>
      <c r="D304" s="35"/>
      <c r="E304" s="67"/>
      <c r="F304" s="67"/>
      <c r="G304" s="36"/>
      <c r="H304" s="29"/>
      <c r="I304" s="78" t="str">
        <f t="shared" si="4"/>
        <v/>
      </c>
      <c r="J304" s="29"/>
      <c r="K304" s="29"/>
      <c r="L304" s="33"/>
      <c r="M304" s="33"/>
      <c r="N304" s="60"/>
      <c r="O304" s="71"/>
      <c r="P304" s="71"/>
      <c r="Q304" s="33"/>
      <c r="R304" s="31"/>
      <c r="S304" s="31"/>
      <c r="T304" s="59"/>
      <c r="U304" s="59"/>
      <c r="V304" s="59"/>
      <c r="W304" s="57">
        <f t="shared" si="5"/>
        <v>0</v>
      </c>
      <c r="X304" s="126" t="str">
        <f>IF(Table1[[#This Row],[Shipping Weight Pounds]]&gt;150,"See LTL Form","No")</f>
        <v>No</v>
      </c>
      <c r="Y304" s="28"/>
      <c r="Z304" s="33"/>
      <c r="AA304" s="34"/>
      <c r="AB304" s="30"/>
      <c r="AC304" s="30"/>
      <c r="AD304" s="32"/>
      <c r="AE304" s="32"/>
      <c r="AF304" s="2"/>
      <c r="AG304" s="2"/>
      <c r="AH304" s="2"/>
      <c r="AI304" s="2"/>
      <c r="AK304" s="73" t="str">
        <f>IF(ISNA(MATCH($N304,[1]data!$A:$A,0)),"",INDEX([1]data!S:S,MATCH($N304,[1]data!$A:$A,0)))</f>
        <v/>
      </c>
      <c r="AL304" s="73" t="str">
        <f>IF(ISNA(MATCH($N304,[1]data!$A:$A,0)),"",INDEX([1]data!V:V,MATCH($N304,[1]data!$A:$A,0)))</f>
        <v/>
      </c>
      <c r="AM304" s="38" t="str">
        <f>IF(ISNA(MATCH($N304,data!$A:$A,0)),"",INDEX(data!B:B,MATCH($N304,data!$A:$A,0)))</f>
        <v/>
      </c>
      <c r="AN304" s="38" t="str">
        <f>IF(ISNA(MATCH($N304,data!$A:$A,0)),"",INDEX(data!C:C,MATCH($N304,data!$A:$A,0)))</f>
        <v/>
      </c>
      <c r="AO304" s="38" t="str">
        <f>IF(ISNA(MATCH($N304,data!$A:$A,0)),"",INDEX(data!D:D,MATCH($N304,data!$A:$A,0)))</f>
        <v/>
      </c>
      <c r="AP304" s="38" t="str">
        <f>IF(ISNA(MATCH($N304,data!$A:$A,0)),"",INDEX(data!E:E,MATCH($N304,data!$A:$A,0)))</f>
        <v/>
      </c>
      <c r="AQ304" s="38" t="str">
        <f>IF(ISNA(MATCH($N304,data!$A:$A,0)),"",INDEX(data!F:F,MATCH($N304,data!$A:$A,0)))</f>
        <v/>
      </c>
      <c r="AR304" s="38" t="str">
        <f>IF(ISNA(MATCH($N304,data!$A:$A,0)),"",INDEX(data!G:G,MATCH($N304,data!$A:$A,0)))</f>
        <v/>
      </c>
      <c r="AS304" s="38" t="str">
        <f>IF(ISNA(MATCH($N304,data!$A:$A,0)),"",INDEX(data!H:H,MATCH($N304,data!$A:$A,0)))</f>
        <v/>
      </c>
      <c r="AT304" s="38" t="str">
        <f>IF(ISNA(MATCH($N304,data!$A:$A,0)),"",INDEX(data!I:I,MATCH($N304,data!$A:$A,0)))</f>
        <v/>
      </c>
      <c r="AU304" s="38" t="str">
        <f>IF(ISNA(MATCH($N304,[1]data!$A:$A,0)),"",INDEX([1]data!L:L,MATCH($N304,[1]data!$A:$A,0)))</f>
        <v/>
      </c>
      <c r="AV304" s="38" t="str">
        <f>IF(ISNA(MATCH($N304,[1]data!$A:$A,0)),"",INDEX([1]data!M:M,MATCH($N304,[1]data!$A:$A,0)))</f>
        <v/>
      </c>
      <c r="AW304" s="38" t="str">
        <f>IF(ISNA(MATCH($N304,data!$A:$A,0)),"",INDEX(data!J:J,MATCH($N304,data!$A:$A,0)))</f>
        <v/>
      </c>
      <c r="AX304" s="38" t="str">
        <f>IF(ISNA(MATCH($N304,data!$A:$A,0)),"",INDEX(data!K:K,MATCH($N304,data!$A:$A,0)))</f>
        <v/>
      </c>
      <c r="AY304" s="38" t="str">
        <f>IF(ISNA(MATCH($N304,data!$A:$A,0)),"",INDEX(data!O:O,MATCH($N304,data!$A:$A,0)))</f>
        <v/>
      </c>
      <c r="AZ304" s="38" t="str">
        <f>IF(ISNA(MATCH($N304,data!$A:$A,0)),"",INDEX(data!N:N,MATCH($N304,data!$A:$A,0)))</f>
        <v/>
      </c>
      <c r="BA304" s="38" t="str">
        <f>IF(ISNA(MATCH($N304,data!$A:$A,0)),"",INDEX(data!P:P,MATCH($N304,data!$A:$A,0)))</f>
        <v/>
      </c>
      <c r="BB304" s="38" t="str">
        <f>IF(ISNA(MATCH($N304,data!$A:$A,0)),"",INDEX(data!Q:Q,MATCH($N304,data!$A:$A,0)))</f>
        <v/>
      </c>
      <c r="BC304" s="38" t="str">
        <f>IF(ISNA(MATCH($N304,data!$A:$A,0)),"",INDEX(data!R:R,MATCH($N304,data!$A:$A,0)))</f>
        <v/>
      </c>
      <c r="BD304" s="38" t="str">
        <f>IF(ISNA(MATCH($N304,[1]data!$A:$A,0)),"",INDEX([1]data!U:U,MATCH($N304,[1]data!$A:$A,0)))</f>
        <v/>
      </c>
      <c r="BE304" s="61" t="e">
        <f>IF(COUNTIF([1]data!A:A,[1]!Table1[[#This Row],[UPC]])&lt;2,"","DUP")</f>
        <v>#VALUE!</v>
      </c>
      <c r="BF304" s="38" t="str">
        <f>IF(ISNA(MATCH($N304,data!$A:$A,0)),"",INDEX(data!W:W,MATCH($N304,data!$A:$A,0)))</f>
        <v/>
      </c>
    </row>
    <row r="305" spans="1:58" ht="12.75" customHeight="1">
      <c r="A305" s="35"/>
      <c r="B305" s="35"/>
      <c r="C305" s="35"/>
      <c r="D305" s="35"/>
      <c r="E305" s="67"/>
      <c r="F305" s="67"/>
      <c r="G305" s="36"/>
      <c r="H305" s="29"/>
      <c r="I305" s="78" t="str">
        <f t="shared" si="4"/>
        <v/>
      </c>
      <c r="J305" s="29"/>
      <c r="K305" s="29"/>
      <c r="L305" s="33"/>
      <c r="M305" s="33"/>
      <c r="N305" s="60"/>
      <c r="O305" s="71"/>
      <c r="P305" s="71"/>
      <c r="Q305" s="33"/>
      <c r="R305" s="31"/>
      <c r="S305" s="31"/>
      <c r="T305" s="59"/>
      <c r="U305" s="59"/>
      <c r="V305" s="59"/>
      <c r="W305" s="57">
        <f t="shared" si="5"/>
        <v>0</v>
      </c>
      <c r="X305" s="126" t="str">
        <f>IF(Table1[[#This Row],[Shipping Weight Pounds]]&gt;150,"See LTL Form","No")</f>
        <v>No</v>
      </c>
      <c r="Y305" s="28"/>
      <c r="Z305" s="33"/>
      <c r="AA305" s="34"/>
      <c r="AB305" s="30"/>
      <c r="AC305" s="30"/>
      <c r="AD305" s="32"/>
      <c r="AE305" s="32"/>
      <c r="AF305" s="2"/>
      <c r="AG305" s="2"/>
      <c r="AH305" s="2"/>
      <c r="AI305" s="2"/>
      <c r="AK305" s="73" t="str">
        <f>IF(ISNA(MATCH($N305,[1]data!$A:$A,0)),"",INDEX([1]data!S:S,MATCH($N305,[1]data!$A:$A,0)))</f>
        <v/>
      </c>
      <c r="AL305" s="73" t="str">
        <f>IF(ISNA(MATCH($N305,[1]data!$A:$A,0)),"",INDEX([1]data!V:V,MATCH($N305,[1]data!$A:$A,0)))</f>
        <v/>
      </c>
      <c r="AM305" s="38" t="str">
        <f>IF(ISNA(MATCH($N305,data!$A:$A,0)),"",INDEX(data!B:B,MATCH($N305,data!$A:$A,0)))</f>
        <v/>
      </c>
      <c r="AN305" s="38" t="str">
        <f>IF(ISNA(MATCH($N305,data!$A:$A,0)),"",INDEX(data!C:C,MATCH($N305,data!$A:$A,0)))</f>
        <v/>
      </c>
      <c r="AO305" s="38" t="str">
        <f>IF(ISNA(MATCH($N305,data!$A:$A,0)),"",INDEX(data!D:D,MATCH($N305,data!$A:$A,0)))</f>
        <v/>
      </c>
      <c r="AP305" s="38" t="str">
        <f>IF(ISNA(MATCH($N305,data!$A:$A,0)),"",INDEX(data!E:E,MATCH($N305,data!$A:$A,0)))</f>
        <v/>
      </c>
      <c r="AQ305" s="38" t="str">
        <f>IF(ISNA(MATCH($N305,data!$A:$A,0)),"",INDEX(data!F:F,MATCH($N305,data!$A:$A,0)))</f>
        <v/>
      </c>
      <c r="AR305" s="38" t="str">
        <f>IF(ISNA(MATCH($N305,data!$A:$A,0)),"",INDEX(data!G:G,MATCH($N305,data!$A:$A,0)))</f>
        <v/>
      </c>
      <c r="AS305" s="38" t="str">
        <f>IF(ISNA(MATCH($N305,data!$A:$A,0)),"",INDEX(data!H:H,MATCH($N305,data!$A:$A,0)))</f>
        <v/>
      </c>
      <c r="AT305" s="38" t="str">
        <f>IF(ISNA(MATCH($N305,data!$A:$A,0)),"",INDEX(data!I:I,MATCH($N305,data!$A:$A,0)))</f>
        <v/>
      </c>
      <c r="AU305" s="38" t="str">
        <f>IF(ISNA(MATCH($N305,[1]data!$A:$A,0)),"",INDEX([1]data!L:L,MATCH($N305,[1]data!$A:$A,0)))</f>
        <v/>
      </c>
      <c r="AV305" s="38" t="str">
        <f>IF(ISNA(MATCH($N305,[1]data!$A:$A,0)),"",INDEX([1]data!M:M,MATCH($N305,[1]data!$A:$A,0)))</f>
        <v/>
      </c>
      <c r="AW305" s="38" t="str">
        <f>IF(ISNA(MATCH($N305,data!$A:$A,0)),"",INDEX(data!J:J,MATCH($N305,data!$A:$A,0)))</f>
        <v/>
      </c>
      <c r="AX305" s="38" t="str">
        <f>IF(ISNA(MATCH($N305,data!$A:$A,0)),"",INDEX(data!K:K,MATCH($N305,data!$A:$A,0)))</f>
        <v/>
      </c>
      <c r="AY305" s="38" t="str">
        <f>IF(ISNA(MATCH($N305,data!$A:$A,0)),"",INDEX(data!O:O,MATCH($N305,data!$A:$A,0)))</f>
        <v/>
      </c>
      <c r="AZ305" s="38" t="str">
        <f>IF(ISNA(MATCH($N305,data!$A:$A,0)),"",INDEX(data!N:N,MATCH($N305,data!$A:$A,0)))</f>
        <v/>
      </c>
      <c r="BA305" s="38" t="str">
        <f>IF(ISNA(MATCH($N305,data!$A:$A,0)),"",INDEX(data!P:P,MATCH($N305,data!$A:$A,0)))</f>
        <v/>
      </c>
      <c r="BB305" s="38" t="str">
        <f>IF(ISNA(MATCH($N305,data!$A:$A,0)),"",INDEX(data!Q:Q,MATCH($N305,data!$A:$A,0)))</f>
        <v/>
      </c>
      <c r="BC305" s="38" t="str">
        <f>IF(ISNA(MATCH($N305,data!$A:$A,0)),"",INDEX(data!R:R,MATCH($N305,data!$A:$A,0)))</f>
        <v/>
      </c>
      <c r="BD305" s="38" t="str">
        <f>IF(ISNA(MATCH($N305,[1]data!$A:$A,0)),"",INDEX([1]data!U:U,MATCH($N305,[1]data!$A:$A,0)))</f>
        <v/>
      </c>
      <c r="BE305" s="61" t="e">
        <f>IF(COUNTIF([1]data!A:A,[1]!Table1[[#This Row],[UPC]])&lt;2,"","DUP")</f>
        <v>#VALUE!</v>
      </c>
      <c r="BF305" s="38" t="str">
        <f>IF(ISNA(MATCH($N305,data!$A:$A,0)),"",INDEX(data!W:W,MATCH($N305,data!$A:$A,0)))</f>
        <v/>
      </c>
    </row>
    <row r="306" spans="1:58" ht="12.75" customHeight="1">
      <c r="A306" s="35"/>
      <c r="B306" s="35"/>
      <c r="C306" s="35"/>
      <c r="D306" s="35"/>
      <c r="E306" s="67"/>
      <c r="F306" s="67"/>
      <c r="G306" s="36"/>
      <c r="H306" s="29"/>
      <c r="I306" s="78" t="str">
        <f t="shared" si="4"/>
        <v/>
      </c>
      <c r="J306" s="29"/>
      <c r="K306" s="29"/>
      <c r="L306" s="33"/>
      <c r="M306" s="33"/>
      <c r="N306" s="60"/>
      <c r="O306" s="71"/>
      <c r="P306" s="71"/>
      <c r="Q306" s="33"/>
      <c r="R306" s="31"/>
      <c r="S306" s="31"/>
      <c r="T306" s="59"/>
      <c r="U306" s="59"/>
      <c r="V306" s="59"/>
      <c r="W306" s="57">
        <f t="shared" si="5"/>
        <v>0</v>
      </c>
      <c r="X306" s="126" t="str">
        <f>IF(Table1[[#This Row],[Shipping Weight Pounds]]&gt;150,"See LTL Form","No")</f>
        <v>No</v>
      </c>
      <c r="Y306" s="28"/>
      <c r="Z306" s="33"/>
      <c r="AA306" s="34"/>
      <c r="AB306" s="30"/>
      <c r="AC306" s="30"/>
      <c r="AD306" s="32"/>
      <c r="AE306" s="32"/>
      <c r="AF306" s="2"/>
      <c r="AG306" s="2"/>
      <c r="AH306" s="2"/>
      <c r="AI306" s="2"/>
      <c r="AK306" s="73" t="str">
        <f>IF(ISNA(MATCH($N306,[1]data!$A:$A,0)),"",INDEX([1]data!S:S,MATCH($N306,[1]data!$A:$A,0)))</f>
        <v/>
      </c>
      <c r="AL306" s="73" t="str">
        <f>IF(ISNA(MATCH($N306,[1]data!$A:$A,0)),"",INDEX([1]data!V:V,MATCH($N306,[1]data!$A:$A,0)))</f>
        <v/>
      </c>
      <c r="AM306" s="38" t="str">
        <f>IF(ISNA(MATCH($N306,data!$A:$A,0)),"",INDEX(data!B:B,MATCH($N306,data!$A:$A,0)))</f>
        <v/>
      </c>
      <c r="AN306" s="38" t="str">
        <f>IF(ISNA(MATCH($N306,data!$A:$A,0)),"",INDEX(data!C:C,MATCH($N306,data!$A:$A,0)))</f>
        <v/>
      </c>
      <c r="AO306" s="38" t="str">
        <f>IF(ISNA(MATCH($N306,data!$A:$A,0)),"",INDEX(data!D:D,MATCH($N306,data!$A:$A,0)))</f>
        <v/>
      </c>
      <c r="AP306" s="38" t="str">
        <f>IF(ISNA(MATCH($N306,data!$A:$A,0)),"",INDEX(data!E:E,MATCH($N306,data!$A:$A,0)))</f>
        <v/>
      </c>
      <c r="AQ306" s="38" t="str">
        <f>IF(ISNA(MATCH($N306,data!$A:$A,0)),"",INDEX(data!F:F,MATCH($N306,data!$A:$A,0)))</f>
        <v/>
      </c>
      <c r="AR306" s="38" t="str">
        <f>IF(ISNA(MATCH($N306,data!$A:$A,0)),"",INDEX(data!G:G,MATCH($N306,data!$A:$A,0)))</f>
        <v/>
      </c>
      <c r="AS306" s="38" t="str">
        <f>IF(ISNA(MATCH($N306,data!$A:$A,0)),"",INDEX(data!H:H,MATCH($N306,data!$A:$A,0)))</f>
        <v/>
      </c>
      <c r="AT306" s="38" t="str">
        <f>IF(ISNA(MATCH($N306,data!$A:$A,0)),"",INDEX(data!I:I,MATCH($N306,data!$A:$A,0)))</f>
        <v/>
      </c>
      <c r="AU306" s="38" t="str">
        <f>IF(ISNA(MATCH($N306,[1]data!$A:$A,0)),"",INDEX([1]data!L:L,MATCH($N306,[1]data!$A:$A,0)))</f>
        <v/>
      </c>
      <c r="AV306" s="38" t="str">
        <f>IF(ISNA(MATCH($N306,[1]data!$A:$A,0)),"",INDEX([1]data!M:M,MATCH($N306,[1]data!$A:$A,0)))</f>
        <v/>
      </c>
      <c r="AW306" s="38" t="str">
        <f>IF(ISNA(MATCH($N306,data!$A:$A,0)),"",INDEX(data!J:J,MATCH($N306,data!$A:$A,0)))</f>
        <v/>
      </c>
      <c r="AX306" s="38" t="str">
        <f>IF(ISNA(MATCH($N306,data!$A:$A,0)),"",INDEX(data!K:K,MATCH($N306,data!$A:$A,0)))</f>
        <v/>
      </c>
      <c r="AY306" s="38" t="str">
        <f>IF(ISNA(MATCH($N306,data!$A:$A,0)),"",INDEX(data!O:O,MATCH($N306,data!$A:$A,0)))</f>
        <v/>
      </c>
      <c r="AZ306" s="38" t="str">
        <f>IF(ISNA(MATCH($N306,data!$A:$A,0)),"",INDEX(data!N:N,MATCH($N306,data!$A:$A,0)))</f>
        <v/>
      </c>
      <c r="BA306" s="38" t="str">
        <f>IF(ISNA(MATCH($N306,data!$A:$A,0)),"",INDEX(data!P:P,MATCH($N306,data!$A:$A,0)))</f>
        <v/>
      </c>
      <c r="BB306" s="38" t="str">
        <f>IF(ISNA(MATCH($N306,data!$A:$A,0)),"",INDEX(data!Q:Q,MATCH($N306,data!$A:$A,0)))</f>
        <v/>
      </c>
      <c r="BC306" s="38" t="str">
        <f>IF(ISNA(MATCH($N306,data!$A:$A,0)),"",INDEX(data!R:R,MATCH($N306,data!$A:$A,0)))</f>
        <v/>
      </c>
      <c r="BD306" s="38" t="str">
        <f>IF(ISNA(MATCH($N306,[1]data!$A:$A,0)),"",INDEX([1]data!U:U,MATCH($N306,[1]data!$A:$A,0)))</f>
        <v/>
      </c>
      <c r="BE306" s="61" t="e">
        <f>IF(COUNTIF([1]data!A:A,[1]!Table1[[#This Row],[UPC]])&lt;2,"","DUP")</f>
        <v>#VALUE!</v>
      </c>
      <c r="BF306" s="38" t="str">
        <f>IF(ISNA(MATCH($N306,data!$A:$A,0)),"",INDEX(data!W:W,MATCH($N306,data!$A:$A,0)))</f>
        <v/>
      </c>
    </row>
    <row r="307" spans="1:58" ht="12.75" customHeight="1">
      <c r="A307" s="35"/>
      <c r="B307" s="35"/>
      <c r="C307" s="35"/>
      <c r="D307" s="35"/>
      <c r="E307" s="67"/>
      <c r="F307" s="67"/>
      <c r="G307" s="36"/>
      <c r="H307" s="29"/>
      <c r="I307" s="78" t="str">
        <f t="shared" si="4"/>
        <v/>
      </c>
      <c r="J307" s="29"/>
      <c r="K307" s="29"/>
      <c r="L307" s="33"/>
      <c r="M307" s="33"/>
      <c r="N307" s="60"/>
      <c r="O307" s="71"/>
      <c r="P307" s="71"/>
      <c r="Q307" s="33"/>
      <c r="R307" s="31"/>
      <c r="S307" s="31"/>
      <c r="T307" s="59"/>
      <c r="U307" s="59"/>
      <c r="V307" s="59"/>
      <c r="W307" s="57">
        <f t="shared" si="5"/>
        <v>0</v>
      </c>
      <c r="X307" s="126" t="str">
        <f>IF(Table1[[#This Row],[Shipping Weight Pounds]]&gt;150,"See LTL Form","No")</f>
        <v>No</v>
      </c>
      <c r="Y307" s="28"/>
      <c r="Z307" s="33"/>
      <c r="AA307" s="34"/>
      <c r="AB307" s="30"/>
      <c r="AC307" s="30"/>
      <c r="AD307" s="32"/>
      <c r="AE307" s="32"/>
      <c r="AF307" s="2"/>
      <c r="AG307" s="2"/>
      <c r="AH307" s="2"/>
      <c r="AI307" s="2"/>
      <c r="AK307" s="73" t="str">
        <f>IF(ISNA(MATCH($N307,[1]data!$A:$A,0)),"",INDEX([1]data!S:S,MATCH($N307,[1]data!$A:$A,0)))</f>
        <v/>
      </c>
      <c r="AL307" s="73" t="str">
        <f>IF(ISNA(MATCH($N307,[1]data!$A:$A,0)),"",INDEX([1]data!V:V,MATCH($N307,[1]data!$A:$A,0)))</f>
        <v/>
      </c>
      <c r="AM307" s="38" t="str">
        <f>IF(ISNA(MATCH($N307,data!$A:$A,0)),"",INDEX(data!B:B,MATCH($N307,data!$A:$A,0)))</f>
        <v/>
      </c>
      <c r="AN307" s="38" t="str">
        <f>IF(ISNA(MATCH($N307,data!$A:$A,0)),"",INDEX(data!C:C,MATCH($N307,data!$A:$A,0)))</f>
        <v/>
      </c>
      <c r="AO307" s="38" t="str">
        <f>IF(ISNA(MATCH($N307,data!$A:$A,0)),"",INDEX(data!D:D,MATCH($N307,data!$A:$A,0)))</f>
        <v/>
      </c>
      <c r="AP307" s="38" t="str">
        <f>IF(ISNA(MATCH($N307,data!$A:$A,0)),"",INDEX(data!E:E,MATCH($N307,data!$A:$A,0)))</f>
        <v/>
      </c>
      <c r="AQ307" s="38" t="str">
        <f>IF(ISNA(MATCH($N307,data!$A:$A,0)),"",INDEX(data!F:F,MATCH($N307,data!$A:$A,0)))</f>
        <v/>
      </c>
      <c r="AR307" s="38" t="str">
        <f>IF(ISNA(MATCH($N307,data!$A:$A,0)),"",INDEX(data!G:G,MATCH($N307,data!$A:$A,0)))</f>
        <v/>
      </c>
      <c r="AS307" s="38" t="str">
        <f>IF(ISNA(MATCH($N307,data!$A:$A,0)),"",INDEX(data!H:H,MATCH($N307,data!$A:$A,0)))</f>
        <v/>
      </c>
      <c r="AT307" s="38" t="str">
        <f>IF(ISNA(MATCH($N307,data!$A:$A,0)),"",INDEX(data!I:I,MATCH($N307,data!$A:$A,0)))</f>
        <v/>
      </c>
      <c r="AU307" s="38" t="str">
        <f>IF(ISNA(MATCH($N307,[1]data!$A:$A,0)),"",INDEX([1]data!L:L,MATCH($N307,[1]data!$A:$A,0)))</f>
        <v/>
      </c>
      <c r="AV307" s="38" t="str">
        <f>IF(ISNA(MATCH($N307,[1]data!$A:$A,0)),"",INDEX([1]data!M:M,MATCH($N307,[1]data!$A:$A,0)))</f>
        <v/>
      </c>
      <c r="AW307" s="38" t="str">
        <f>IF(ISNA(MATCH($N307,data!$A:$A,0)),"",INDEX(data!J:J,MATCH($N307,data!$A:$A,0)))</f>
        <v/>
      </c>
      <c r="AX307" s="38" t="str">
        <f>IF(ISNA(MATCH($N307,data!$A:$A,0)),"",INDEX(data!K:K,MATCH($N307,data!$A:$A,0)))</f>
        <v/>
      </c>
      <c r="AY307" s="38" t="str">
        <f>IF(ISNA(MATCH($N307,data!$A:$A,0)),"",INDEX(data!O:O,MATCH($N307,data!$A:$A,0)))</f>
        <v/>
      </c>
      <c r="AZ307" s="38" t="str">
        <f>IF(ISNA(MATCH($N307,data!$A:$A,0)),"",INDEX(data!N:N,MATCH($N307,data!$A:$A,0)))</f>
        <v/>
      </c>
      <c r="BA307" s="38" t="str">
        <f>IF(ISNA(MATCH($N307,data!$A:$A,0)),"",INDEX(data!P:P,MATCH($N307,data!$A:$A,0)))</f>
        <v/>
      </c>
      <c r="BB307" s="38" t="str">
        <f>IF(ISNA(MATCH($N307,data!$A:$A,0)),"",INDEX(data!Q:Q,MATCH($N307,data!$A:$A,0)))</f>
        <v/>
      </c>
      <c r="BC307" s="38" t="str">
        <f>IF(ISNA(MATCH($N307,data!$A:$A,0)),"",INDEX(data!R:R,MATCH($N307,data!$A:$A,0)))</f>
        <v/>
      </c>
      <c r="BD307" s="38" t="str">
        <f>IF(ISNA(MATCH($N307,[1]data!$A:$A,0)),"",INDEX([1]data!U:U,MATCH($N307,[1]data!$A:$A,0)))</f>
        <v/>
      </c>
      <c r="BE307" s="61" t="e">
        <f>IF(COUNTIF([1]data!A:A,[1]!Table1[[#This Row],[UPC]])&lt;2,"","DUP")</f>
        <v>#VALUE!</v>
      </c>
      <c r="BF307" s="38" t="str">
        <f>IF(ISNA(MATCH($N307,data!$A:$A,0)),"",INDEX(data!W:W,MATCH($N307,data!$A:$A,0)))</f>
        <v/>
      </c>
    </row>
    <row r="308" spans="1:58" ht="12.75" customHeight="1">
      <c r="A308" s="35"/>
      <c r="B308" s="35"/>
      <c r="C308" s="35"/>
      <c r="D308" s="35"/>
      <c r="E308" s="67"/>
      <c r="F308" s="67"/>
      <c r="G308" s="36"/>
      <c r="H308" s="29"/>
      <c r="I308" s="78" t="str">
        <f t="shared" si="4"/>
        <v/>
      </c>
      <c r="J308" s="29"/>
      <c r="K308" s="29"/>
      <c r="L308" s="33"/>
      <c r="M308" s="33"/>
      <c r="N308" s="60"/>
      <c r="O308" s="71"/>
      <c r="P308" s="71"/>
      <c r="Q308" s="33"/>
      <c r="R308" s="31"/>
      <c r="S308" s="31"/>
      <c r="T308" s="59"/>
      <c r="U308" s="59"/>
      <c r="V308" s="59"/>
      <c r="W308" s="57">
        <f t="shared" si="5"/>
        <v>0</v>
      </c>
      <c r="X308" s="126" t="str">
        <f>IF(Table1[[#This Row],[Shipping Weight Pounds]]&gt;150,"See LTL Form","No")</f>
        <v>No</v>
      </c>
      <c r="Y308" s="28"/>
      <c r="Z308" s="33"/>
      <c r="AA308" s="34"/>
      <c r="AB308" s="30"/>
      <c r="AC308" s="30"/>
      <c r="AD308" s="32"/>
      <c r="AE308" s="32"/>
      <c r="AF308" s="2"/>
      <c r="AG308" s="2"/>
      <c r="AH308" s="2"/>
      <c r="AI308" s="2"/>
      <c r="AK308" s="73" t="str">
        <f>IF(ISNA(MATCH($N308,[1]data!$A:$A,0)),"",INDEX([1]data!S:S,MATCH($N308,[1]data!$A:$A,0)))</f>
        <v/>
      </c>
      <c r="AL308" s="73" t="str">
        <f>IF(ISNA(MATCH($N308,[1]data!$A:$A,0)),"",INDEX([1]data!V:V,MATCH($N308,[1]data!$A:$A,0)))</f>
        <v/>
      </c>
      <c r="AM308" s="38" t="str">
        <f>IF(ISNA(MATCH($N308,data!$A:$A,0)),"",INDEX(data!B:B,MATCH($N308,data!$A:$A,0)))</f>
        <v/>
      </c>
      <c r="AN308" s="38" t="str">
        <f>IF(ISNA(MATCH($N308,data!$A:$A,0)),"",INDEX(data!C:C,MATCH($N308,data!$A:$A,0)))</f>
        <v/>
      </c>
      <c r="AO308" s="38" t="str">
        <f>IF(ISNA(MATCH($N308,data!$A:$A,0)),"",INDEX(data!D:D,MATCH($N308,data!$A:$A,0)))</f>
        <v/>
      </c>
      <c r="AP308" s="38" t="str">
        <f>IF(ISNA(MATCH($N308,data!$A:$A,0)),"",INDEX(data!E:E,MATCH($N308,data!$A:$A,0)))</f>
        <v/>
      </c>
      <c r="AQ308" s="38" t="str">
        <f>IF(ISNA(MATCH($N308,data!$A:$A,0)),"",INDEX(data!F:F,MATCH($N308,data!$A:$A,0)))</f>
        <v/>
      </c>
      <c r="AR308" s="38" t="str">
        <f>IF(ISNA(MATCH($N308,data!$A:$A,0)),"",INDEX(data!G:G,MATCH($N308,data!$A:$A,0)))</f>
        <v/>
      </c>
      <c r="AS308" s="38" t="str">
        <f>IF(ISNA(MATCH($N308,data!$A:$A,0)),"",INDEX(data!H:H,MATCH($N308,data!$A:$A,0)))</f>
        <v/>
      </c>
      <c r="AT308" s="38" t="str">
        <f>IF(ISNA(MATCH($N308,data!$A:$A,0)),"",INDEX(data!I:I,MATCH($N308,data!$A:$A,0)))</f>
        <v/>
      </c>
      <c r="AU308" s="38" t="str">
        <f>IF(ISNA(MATCH($N308,[1]data!$A:$A,0)),"",INDEX([1]data!L:L,MATCH($N308,[1]data!$A:$A,0)))</f>
        <v/>
      </c>
      <c r="AV308" s="38" t="str">
        <f>IF(ISNA(MATCH($N308,[1]data!$A:$A,0)),"",INDEX([1]data!M:M,MATCH($N308,[1]data!$A:$A,0)))</f>
        <v/>
      </c>
      <c r="AW308" s="38" t="str">
        <f>IF(ISNA(MATCH($N308,data!$A:$A,0)),"",INDEX(data!J:J,MATCH($N308,data!$A:$A,0)))</f>
        <v/>
      </c>
      <c r="AX308" s="38" t="str">
        <f>IF(ISNA(MATCH($N308,data!$A:$A,0)),"",INDEX(data!K:K,MATCH($N308,data!$A:$A,0)))</f>
        <v/>
      </c>
      <c r="AY308" s="38" t="str">
        <f>IF(ISNA(MATCH($N308,data!$A:$A,0)),"",INDEX(data!O:O,MATCH($N308,data!$A:$A,0)))</f>
        <v/>
      </c>
      <c r="AZ308" s="38" t="str">
        <f>IF(ISNA(MATCH($N308,data!$A:$A,0)),"",INDEX(data!N:N,MATCH($N308,data!$A:$A,0)))</f>
        <v/>
      </c>
      <c r="BA308" s="38" t="str">
        <f>IF(ISNA(MATCH($N308,data!$A:$A,0)),"",INDEX(data!P:P,MATCH($N308,data!$A:$A,0)))</f>
        <v/>
      </c>
      <c r="BB308" s="38" t="str">
        <f>IF(ISNA(MATCH($N308,data!$A:$A,0)),"",INDEX(data!Q:Q,MATCH($N308,data!$A:$A,0)))</f>
        <v/>
      </c>
      <c r="BC308" s="38" t="str">
        <f>IF(ISNA(MATCH($N308,data!$A:$A,0)),"",INDEX(data!R:R,MATCH($N308,data!$A:$A,0)))</f>
        <v/>
      </c>
      <c r="BD308" s="38" t="str">
        <f>IF(ISNA(MATCH($N308,[1]data!$A:$A,0)),"",INDEX([1]data!U:U,MATCH($N308,[1]data!$A:$A,0)))</f>
        <v/>
      </c>
      <c r="BE308" s="61" t="e">
        <f>IF(COUNTIF([1]data!A:A,[1]!Table1[[#This Row],[UPC]])&lt;2,"","DUP")</f>
        <v>#VALUE!</v>
      </c>
      <c r="BF308" s="38" t="str">
        <f>IF(ISNA(MATCH($N308,data!$A:$A,0)),"",INDEX(data!W:W,MATCH($N308,data!$A:$A,0)))</f>
        <v/>
      </c>
    </row>
    <row r="309" spans="1:58" ht="12.75" customHeight="1">
      <c r="A309" s="35"/>
      <c r="B309" s="35"/>
      <c r="C309" s="35"/>
      <c r="D309" s="35"/>
      <c r="E309" s="67"/>
      <c r="F309" s="67"/>
      <c r="G309" s="36"/>
      <c r="H309" s="29"/>
      <c r="I309" s="78" t="str">
        <f t="shared" si="4"/>
        <v/>
      </c>
      <c r="J309" s="29"/>
      <c r="K309" s="29"/>
      <c r="L309" s="33"/>
      <c r="M309" s="33"/>
      <c r="N309" s="60"/>
      <c r="O309" s="71"/>
      <c r="P309" s="71"/>
      <c r="Q309" s="33"/>
      <c r="R309" s="31"/>
      <c r="S309" s="31"/>
      <c r="T309" s="59"/>
      <c r="U309" s="59"/>
      <c r="V309" s="59"/>
      <c r="W309" s="57">
        <f t="shared" si="5"/>
        <v>0</v>
      </c>
      <c r="X309" s="126" t="str">
        <f>IF(Table1[[#This Row],[Shipping Weight Pounds]]&gt;150,"See LTL Form","No")</f>
        <v>No</v>
      </c>
      <c r="Y309" s="28"/>
      <c r="Z309" s="33"/>
      <c r="AA309" s="34"/>
      <c r="AB309" s="30"/>
      <c r="AC309" s="30"/>
      <c r="AD309" s="32"/>
      <c r="AE309" s="32"/>
      <c r="AF309" s="2"/>
      <c r="AG309" s="2"/>
      <c r="AH309" s="2"/>
      <c r="AI309" s="2"/>
      <c r="AK309" s="73" t="str">
        <f>IF(ISNA(MATCH($N309,[1]data!$A:$A,0)),"",INDEX([1]data!S:S,MATCH($N309,[1]data!$A:$A,0)))</f>
        <v/>
      </c>
      <c r="AL309" s="73" t="str">
        <f>IF(ISNA(MATCH($N309,[1]data!$A:$A,0)),"",INDEX([1]data!V:V,MATCH($N309,[1]data!$A:$A,0)))</f>
        <v/>
      </c>
      <c r="AM309" s="38" t="str">
        <f>IF(ISNA(MATCH($N309,data!$A:$A,0)),"",INDEX(data!B:B,MATCH($N309,data!$A:$A,0)))</f>
        <v/>
      </c>
      <c r="AN309" s="38" t="str">
        <f>IF(ISNA(MATCH($N309,data!$A:$A,0)),"",INDEX(data!C:C,MATCH($N309,data!$A:$A,0)))</f>
        <v/>
      </c>
      <c r="AO309" s="38" t="str">
        <f>IF(ISNA(MATCH($N309,data!$A:$A,0)),"",INDEX(data!D:D,MATCH($N309,data!$A:$A,0)))</f>
        <v/>
      </c>
      <c r="AP309" s="38" t="str">
        <f>IF(ISNA(MATCH($N309,data!$A:$A,0)),"",INDEX(data!E:E,MATCH($N309,data!$A:$A,0)))</f>
        <v/>
      </c>
      <c r="AQ309" s="38" t="str">
        <f>IF(ISNA(MATCH($N309,data!$A:$A,0)),"",INDEX(data!F:F,MATCH($N309,data!$A:$A,0)))</f>
        <v/>
      </c>
      <c r="AR309" s="38" t="str">
        <f>IF(ISNA(MATCH($N309,data!$A:$A,0)),"",INDEX(data!G:G,MATCH($N309,data!$A:$A,0)))</f>
        <v/>
      </c>
      <c r="AS309" s="38" t="str">
        <f>IF(ISNA(MATCH($N309,data!$A:$A,0)),"",INDEX(data!H:H,MATCH($N309,data!$A:$A,0)))</f>
        <v/>
      </c>
      <c r="AT309" s="38" t="str">
        <f>IF(ISNA(MATCH($N309,data!$A:$A,0)),"",INDEX(data!I:I,MATCH($N309,data!$A:$A,0)))</f>
        <v/>
      </c>
      <c r="AU309" s="38" t="str">
        <f>IF(ISNA(MATCH($N309,[1]data!$A:$A,0)),"",INDEX([1]data!L:L,MATCH($N309,[1]data!$A:$A,0)))</f>
        <v/>
      </c>
      <c r="AV309" s="38" t="str">
        <f>IF(ISNA(MATCH($N309,[1]data!$A:$A,0)),"",INDEX([1]data!M:M,MATCH($N309,[1]data!$A:$A,0)))</f>
        <v/>
      </c>
      <c r="AW309" s="38" t="str">
        <f>IF(ISNA(MATCH($N309,data!$A:$A,0)),"",INDEX(data!J:J,MATCH($N309,data!$A:$A,0)))</f>
        <v/>
      </c>
      <c r="AX309" s="38" t="str">
        <f>IF(ISNA(MATCH($N309,data!$A:$A,0)),"",INDEX(data!K:K,MATCH($N309,data!$A:$A,0)))</f>
        <v/>
      </c>
      <c r="AY309" s="38" t="str">
        <f>IF(ISNA(MATCH($N309,data!$A:$A,0)),"",INDEX(data!O:O,MATCH($N309,data!$A:$A,0)))</f>
        <v/>
      </c>
      <c r="AZ309" s="38" t="str">
        <f>IF(ISNA(MATCH($N309,data!$A:$A,0)),"",INDEX(data!N:N,MATCH($N309,data!$A:$A,0)))</f>
        <v/>
      </c>
      <c r="BA309" s="38" t="str">
        <f>IF(ISNA(MATCH($N309,data!$A:$A,0)),"",INDEX(data!P:P,MATCH($N309,data!$A:$A,0)))</f>
        <v/>
      </c>
      <c r="BB309" s="38" t="str">
        <f>IF(ISNA(MATCH($N309,data!$A:$A,0)),"",INDEX(data!Q:Q,MATCH($N309,data!$A:$A,0)))</f>
        <v/>
      </c>
      <c r="BC309" s="38" t="str">
        <f>IF(ISNA(MATCH($N309,data!$A:$A,0)),"",INDEX(data!R:R,MATCH($N309,data!$A:$A,0)))</f>
        <v/>
      </c>
      <c r="BD309" s="38" t="str">
        <f>IF(ISNA(MATCH($N309,[1]data!$A:$A,0)),"",INDEX([1]data!U:U,MATCH($N309,[1]data!$A:$A,0)))</f>
        <v/>
      </c>
      <c r="BE309" s="61" t="e">
        <f>IF(COUNTIF([1]data!A:A,[1]!Table1[[#This Row],[UPC]])&lt;2,"","DUP")</f>
        <v>#VALUE!</v>
      </c>
      <c r="BF309" s="38" t="str">
        <f>IF(ISNA(MATCH($N309,data!$A:$A,0)),"",INDEX(data!W:W,MATCH($N309,data!$A:$A,0)))</f>
        <v/>
      </c>
    </row>
    <row r="310" spans="1:58" ht="12.75" customHeight="1">
      <c r="A310" s="35"/>
      <c r="B310" s="35"/>
      <c r="C310" s="35"/>
      <c r="D310" s="35"/>
      <c r="E310" s="67"/>
      <c r="F310" s="67"/>
      <c r="G310" s="36"/>
      <c r="H310" s="29"/>
      <c r="I310" s="78" t="str">
        <f t="shared" si="4"/>
        <v/>
      </c>
      <c r="J310" s="29"/>
      <c r="K310" s="29"/>
      <c r="L310" s="33"/>
      <c r="M310" s="33"/>
      <c r="N310" s="60"/>
      <c r="O310" s="71"/>
      <c r="P310" s="71"/>
      <c r="Q310" s="33"/>
      <c r="R310" s="31"/>
      <c r="S310" s="31"/>
      <c r="T310" s="59"/>
      <c r="U310" s="59"/>
      <c r="V310" s="59"/>
      <c r="W310" s="57">
        <f t="shared" si="5"/>
        <v>0</v>
      </c>
      <c r="X310" s="126" t="str">
        <f>IF(Table1[[#This Row],[Shipping Weight Pounds]]&gt;150,"See LTL Form","No")</f>
        <v>No</v>
      </c>
      <c r="Y310" s="28"/>
      <c r="Z310" s="33"/>
      <c r="AA310" s="34"/>
      <c r="AB310" s="30"/>
      <c r="AC310" s="30"/>
      <c r="AD310" s="32"/>
      <c r="AE310" s="32"/>
      <c r="AF310" s="2"/>
      <c r="AG310" s="2"/>
      <c r="AH310" s="2"/>
      <c r="AI310" s="2"/>
      <c r="AK310" s="73" t="str">
        <f>IF(ISNA(MATCH($N310,[1]data!$A:$A,0)),"",INDEX([1]data!S:S,MATCH($N310,[1]data!$A:$A,0)))</f>
        <v/>
      </c>
      <c r="AL310" s="73" t="str">
        <f>IF(ISNA(MATCH($N310,[1]data!$A:$A,0)),"",INDEX([1]data!V:V,MATCH($N310,[1]data!$A:$A,0)))</f>
        <v/>
      </c>
      <c r="AM310" s="38" t="str">
        <f>IF(ISNA(MATCH($N310,data!$A:$A,0)),"",INDEX(data!B:B,MATCH($N310,data!$A:$A,0)))</f>
        <v/>
      </c>
      <c r="AN310" s="38" t="str">
        <f>IF(ISNA(MATCH($N310,data!$A:$A,0)),"",INDEX(data!C:C,MATCH($N310,data!$A:$A,0)))</f>
        <v/>
      </c>
      <c r="AO310" s="38" t="str">
        <f>IF(ISNA(MATCH($N310,data!$A:$A,0)),"",INDEX(data!D:D,MATCH($N310,data!$A:$A,0)))</f>
        <v/>
      </c>
      <c r="AP310" s="38" t="str">
        <f>IF(ISNA(MATCH($N310,data!$A:$A,0)),"",INDEX(data!E:E,MATCH($N310,data!$A:$A,0)))</f>
        <v/>
      </c>
      <c r="AQ310" s="38" t="str">
        <f>IF(ISNA(MATCH($N310,data!$A:$A,0)),"",INDEX(data!F:F,MATCH($N310,data!$A:$A,0)))</f>
        <v/>
      </c>
      <c r="AR310" s="38" t="str">
        <f>IF(ISNA(MATCH($N310,data!$A:$A,0)),"",INDEX(data!G:G,MATCH($N310,data!$A:$A,0)))</f>
        <v/>
      </c>
      <c r="AS310" s="38" t="str">
        <f>IF(ISNA(MATCH($N310,data!$A:$A,0)),"",INDEX(data!H:H,MATCH($N310,data!$A:$A,0)))</f>
        <v/>
      </c>
      <c r="AT310" s="38" t="str">
        <f>IF(ISNA(MATCH($N310,data!$A:$A,0)),"",INDEX(data!I:I,MATCH($N310,data!$A:$A,0)))</f>
        <v/>
      </c>
      <c r="AU310" s="38" t="str">
        <f>IF(ISNA(MATCH($N310,[1]data!$A:$A,0)),"",INDEX([1]data!L:L,MATCH($N310,[1]data!$A:$A,0)))</f>
        <v/>
      </c>
      <c r="AV310" s="38" t="str">
        <f>IF(ISNA(MATCH($N310,[1]data!$A:$A,0)),"",INDEX([1]data!M:M,MATCH($N310,[1]data!$A:$A,0)))</f>
        <v/>
      </c>
      <c r="AW310" s="38" t="str">
        <f>IF(ISNA(MATCH($N310,data!$A:$A,0)),"",INDEX(data!J:J,MATCH($N310,data!$A:$A,0)))</f>
        <v/>
      </c>
      <c r="AX310" s="38" t="str">
        <f>IF(ISNA(MATCH($N310,data!$A:$A,0)),"",INDEX(data!K:K,MATCH($N310,data!$A:$A,0)))</f>
        <v/>
      </c>
      <c r="AY310" s="38" t="str">
        <f>IF(ISNA(MATCH($N310,data!$A:$A,0)),"",INDEX(data!O:O,MATCH($N310,data!$A:$A,0)))</f>
        <v/>
      </c>
      <c r="AZ310" s="38" t="str">
        <f>IF(ISNA(MATCH($N310,data!$A:$A,0)),"",INDEX(data!N:N,MATCH($N310,data!$A:$A,0)))</f>
        <v/>
      </c>
      <c r="BA310" s="38" t="str">
        <f>IF(ISNA(MATCH($N310,data!$A:$A,0)),"",INDEX(data!P:P,MATCH($N310,data!$A:$A,0)))</f>
        <v/>
      </c>
      <c r="BB310" s="38" t="str">
        <f>IF(ISNA(MATCH($N310,data!$A:$A,0)),"",INDEX(data!Q:Q,MATCH($N310,data!$A:$A,0)))</f>
        <v/>
      </c>
      <c r="BC310" s="38" t="str">
        <f>IF(ISNA(MATCH($N310,data!$A:$A,0)),"",INDEX(data!R:R,MATCH($N310,data!$A:$A,0)))</f>
        <v/>
      </c>
      <c r="BD310" s="38" t="str">
        <f>IF(ISNA(MATCH($N310,[1]data!$A:$A,0)),"",INDEX([1]data!U:U,MATCH($N310,[1]data!$A:$A,0)))</f>
        <v/>
      </c>
      <c r="BE310" s="61" t="e">
        <f>IF(COUNTIF([1]data!A:A,[1]!Table1[[#This Row],[UPC]])&lt;2,"","DUP")</f>
        <v>#VALUE!</v>
      </c>
      <c r="BF310" s="38" t="str">
        <f>IF(ISNA(MATCH($N310,data!$A:$A,0)),"",INDEX(data!W:W,MATCH($N310,data!$A:$A,0)))</f>
        <v/>
      </c>
    </row>
    <row r="311" spans="1:58" s="37" customFormat="1" ht="12.75" customHeight="1">
      <c r="A311" s="35"/>
      <c r="B311" s="35"/>
      <c r="C311" s="35"/>
      <c r="D311" s="35"/>
      <c r="E311" s="67"/>
      <c r="F311" s="67"/>
      <c r="G311" s="36"/>
      <c r="H311" s="29"/>
      <c r="I311" s="78" t="str">
        <f t="shared" si="4"/>
        <v/>
      </c>
      <c r="J311" s="29"/>
      <c r="K311" s="29"/>
      <c r="L311" s="33"/>
      <c r="M311" s="33"/>
      <c r="N311" s="60"/>
      <c r="O311" s="71"/>
      <c r="P311" s="71"/>
      <c r="Q311" s="33"/>
      <c r="R311" s="31"/>
      <c r="S311" s="31"/>
      <c r="T311" s="59"/>
      <c r="U311" s="59"/>
      <c r="V311" s="59"/>
      <c r="W311" s="57">
        <f t="shared" si="5"/>
        <v>0</v>
      </c>
      <c r="X311" s="126" t="str">
        <f>IF(Table1[[#This Row],[Shipping Weight Pounds]]&gt;150,"See LTL Form","No")</f>
        <v>No</v>
      </c>
      <c r="Y311" s="28"/>
      <c r="Z311" s="33"/>
      <c r="AA311" s="34"/>
      <c r="AB311" s="30"/>
      <c r="AC311" s="30"/>
      <c r="AD311" s="32"/>
      <c r="AE311" s="32"/>
      <c r="AF311" s="2"/>
      <c r="AG311" s="2"/>
      <c r="AH311" s="2"/>
      <c r="AI311" s="2"/>
      <c r="AJ311" s="45"/>
      <c r="AK311" s="73" t="str">
        <f>IF(ISNA(MATCH($N311,[1]data!$A:$A,0)),"",INDEX([1]data!S:S,MATCH($N311,[1]data!$A:$A,0)))</f>
        <v/>
      </c>
      <c r="AL311" s="73" t="str">
        <f>IF(ISNA(MATCH($N311,[1]data!$A:$A,0)),"",INDEX([1]data!V:V,MATCH($N311,[1]data!$A:$A,0)))</f>
        <v/>
      </c>
      <c r="AM311" s="38" t="str">
        <f>IF(ISNA(MATCH($N311,data!$A:$A,0)),"",INDEX(data!B:B,MATCH($N311,data!$A:$A,0)))</f>
        <v/>
      </c>
      <c r="AN311" s="38" t="str">
        <f>IF(ISNA(MATCH($N311,data!$A:$A,0)),"",INDEX(data!C:C,MATCH($N311,data!$A:$A,0)))</f>
        <v/>
      </c>
      <c r="AO311" s="38" t="str">
        <f>IF(ISNA(MATCH($N311,data!$A:$A,0)),"",INDEX(data!D:D,MATCH($N311,data!$A:$A,0)))</f>
        <v/>
      </c>
      <c r="AP311" s="38" t="str">
        <f>IF(ISNA(MATCH($N311,data!$A:$A,0)),"",INDEX(data!E:E,MATCH($N311,data!$A:$A,0)))</f>
        <v/>
      </c>
      <c r="AQ311" s="38" t="str">
        <f>IF(ISNA(MATCH($N311,data!$A:$A,0)),"",INDEX(data!F:F,MATCH($N311,data!$A:$A,0)))</f>
        <v/>
      </c>
      <c r="AR311" s="38" t="str">
        <f>IF(ISNA(MATCH($N311,data!$A:$A,0)),"",INDEX(data!G:G,MATCH($N311,data!$A:$A,0)))</f>
        <v/>
      </c>
      <c r="AS311" s="38" t="str">
        <f>IF(ISNA(MATCH($N311,data!$A:$A,0)),"",INDEX(data!H:H,MATCH($N311,data!$A:$A,0)))</f>
        <v/>
      </c>
      <c r="AT311" s="38" t="str">
        <f>IF(ISNA(MATCH($N311,data!$A:$A,0)),"",INDEX(data!I:I,MATCH($N311,data!$A:$A,0)))</f>
        <v/>
      </c>
      <c r="AU311" s="38" t="str">
        <f>IF(ISNA(MATCH($N311,[1]data!$A:$A,0)),"",INDEX([1]data!L:L,MATCH($N311,[1]data!$A:$A,0)))</f>
        <v/>
      </c>
      <c r="AV311" s="38" t="str">
        <f>IF(ISNA(MATCH($N311,[1]data!$A:$A,0)),"",INDEX([1]data!M:M,MATCH($N311,[1]data!$A:$A,0)))</f>
        <v/>
      </c>
      <c r="AW311" s="38" t="str">
        <f>IF(ISNA(MATCH($N311,data!$A:$A,0)),"",INDEX(data!J:J,MATCH($N311,data!$A:$A,0)))</f>
        <v/>
      </c>
      <c r="AX311" s="38" t="str">
        <f>IF(ISNA(MATCH($N311,data!$A:$A,0)),"",INDEX(data!K:K,MATCH($N311,data!$A:$A,0)))</f>
        <v/>
      </c>
      <c r="AY311" s="38" t="str">
        <f>IF(ISNA(MATCH($N311,data!$A:$A,0)),"",INDEX(data!O:O,MATCH($N311,data!$A:$A,0)))</f>
        <v/>
      </c>
      <c r="AZ311" s="38" t="str">
        <f>IF(ISNA(MATCH($N311,data!$A:$A,0)),"",INDEX(data!N:N,MATCH($N311,data!$A:$A,0)))</f>
        <v/>
      </c>
      <c r="BA311" s="38" t="str">
        <f>IF(ISNA(MATCH($N311,data!$A:$A,0)),"",INDEX(data!P:P,MATCH($N311,data!$A:$A,0)))</f>
        <v/>
      </c>
      <c r="BB311" s="38" t="str">
        <f>IF(ISNA(MATCH($N311,data!$A:$A,0)),"",INDEX(data!Q:Q,MATCH($N311,data!$A:$A,0)))</f>
        <v/>
      </c>
      <c r="BC311" s="38" t="str">
        <f>IF(ISNA(MATCH($N311,data!$A:$A,0)),"",INDEX(data!R:R,MATCH($N311,data!$A:$A,0)))</f>
        <v/>
      </c>
      <c r="BD311" s="38" t="str">
        <f>IF(ISNA(MATCH($N311,[1]data!$A:$A,0)),"",INDEX([1]data!U:U,MATCH($N311,[1]data!$A:$A,0)))</f>
        <v/>
      </c>
      <c r="BE311" s="61" t="e">
        <f>IF(COUNTIF([1]data!A:A,[1]!Table1[[#This Row],[UPC]])&lt;2,"","DUP")</f>
        <v>#VALUE!</v>
      </c>
      <c r="BF311" s="38" t="str">
        <f>IF(ISNA(MATCH($N311,data!$A:$A,0)),"",INDEX(data!W:W,MATCH($N311,data!$A:$A,0)))</f>
        <v/>
      </c>
    </row>
    <row r="312" spans="1:58" s="37" customFormat="1" ht="12.75" customHeight="1">
      <c r="A312" s="35"/>
      <c r="B312" s="35"/>
      <c r="C312" s="35"/>
      <c r="D312" s="35"/>
      <c r="E312" s="67"/>
      <c r="F312" s="67"/>
      <c r="G312" s="36"/>
      <c r="H312" s="29"/>
      <c r="I312" s="78" t="str">
        <f t="shared" si="4"/>
        <v/>
      </c>
      <c r="J312" s="29"/>
      <c r="K312" s="29"/>
      <c r="L312" s="33"/>
      <c r="M312" s="33"/>
      <c r="N312" s="60"/>
      <c r="O312" s="71"/>
      <c r="P312" s="71"/>
      <c r="Q312" s="33"/>
      <c r="R312" s="31"/>
      <c r="S312" s="31"/>
      <c r="T312" s="59"/>
      <c r="U312" s="59"/>
      <c r="V312" s="59"/>
      <c r="W312" s="57">
        <f t="shared" si="5"/>
        <v>0</v>
      </c>
      <c r="X312" s="126" t="str">
        <f>IF(Table1[[#This Row],[Shipping Weight Pounds]]&gt;150,"See LTL Form","No")</f>
        <v>No</v>
      </c>
      <c r="Y312" s="28"/>
      <c r="Z312" s="33"/>
      <c r="AA312" s="34"/>
      <c r="AB312" s="30"/>
      <c r="AC312" s="30"/>
      <c r="AD312" s="32"/>
      <c r="AE312" s="32"/>
      <c r="AF312" s="2"/>
      <c r="AG312" s="2"/>
      <c r="AH312" s="2"/>
      <c r="AI312" s="2"/>
      <c r="AJ312" s="45"/>
      <c r="AK312" s="73" t="str">
        <f>IF(ISNA(MATCH($N312,[1]data!$A:$A,0)),"",INDEX([1]data!S:S,MATCH($N312,[1]data!$A:$A,0)))</f>
        <v/>
      </c>
      <c r="AL312" s="73" t="str">
        <f>IF(ISNA(MATCH($N312,[1]data!$A:$A,0)),"",INDEX([1]data!V:V,MATCH($N312,[1]data!$A:$A,0)))</f>
        <v/>
      </c>
      <c r="AM312" s="38" t="str">
        <f>IF(ISNA(MATCH($N312,data!$A:$A,0)),"",INDEX(data!B:B,MATCH($N312,data!$A:$A,0)))</f>
        <v/>
      </c>
      <c r="AN312" s="38" t="str">
        <f>IF(ISNA(MATCH($N312,data!$A:$A,0)),"",INDEX(data!C:C,MATCH($N312,data!$A:$A,0)))</f>
        <v/>
      </c>
      <c r="AO312" s="38" t="str">
        <f>IF(ISNA(MATCH($N312,data!$A:$A,0)),"",INDEX(data!D:D,MATCH($N312,data!$A:$A,0)))</f>
        <v/>
      </c>
      <c r="AP312" s="38" t="str">
        <f>IF(ISNA(MATCH($N312,data!$A:$A,0)),"",INDEX(data!E:E,MATCH($N312,data!$A:$A,0)))</f>
        <v/>
      </c>
      <c r="AQ312" s="38" t="str">
        <f>IF(ISNA(MATCH($N312,data!$A:$A,0)),"",INDEX(data!F:F,MATCH($N312,data!$A:$A,0)))</f>
        <v/>
      </c>
      <c r="AR312" s="38" t="str">
        <f>IF(ISNA(MATCH($N312,data!$A:$A,0)),"",INDEX(data!G:G,MATCH($N312,data!$A:$A,0)))</f>
        <v/>
      </c>
      <c r="AS312" s="38" t="str">
        <f>IF(ISNA(MATCH($N312,data!$A:$A,0)),"",INDEX(data!H:H,MATCH($N312,data!$A:$A,0)))</f>
        <v/>
      </c>
      <c r="AT312" s="38" t="str">
        <f>IF(ISNA(MATCH($N312,data!$A:$A,0)),"",INDEX(data!I:I,MATCH($N312,data!$A:$A,0)))</f>
        <v/>
      </c>
      <c r="AU312" s="38" t="str">
        <f>IF(ISNA(MATCH($N312,[1]data!$A:$A,0)),"",INDEX([1]data!L:L,MATCH($N312,[1]data!$A:$A,0)))</f>
        <v/>
      </c>
      <c r="AV312" s="38" t="str">
        <f>IF(ISNA(MATCH($N312,[1]data!$A:$A,0)),"",INDEX([1]data!M:M,MATCH($N312,[1]data!$A:$A,0)))</f>
        <v/>
      </c>
      <c r="AW312" s="38" t="str">
        <f>IF(ISNA(MATCH($N312,data!$A:$A,0)),"",INDEX(data!J:J,MATCH($N312,data!$A:$A,0)))</f>
        <v/>
      </c>
      <c r="AX312" s="38" t="str">
        <f>IF(ISNA(MATCH($N312,data!$A:$A,0)),"",INDEX(data!K:K,MATCH($N312,data!$A:$A,0)))</f>
        <v/>
      </c>
      <c r="AY312" s="38" t="str">
        <f>IF(ISNA(MATCH($N312,data!$A:$A,0)),"",INDEX(data!O:O,MATCH($N312,data!$A:$A,0)))</f>
        <v/>
      </c>
      <c r="AZ312" s="38" t="str">
        <f>IF(ISNA(MATCH($N312,data!$A:$A,0)),"",INDEX(data!N:N,MATCH($N312,data!$A:$A,0)))</f>
        <v/>
      </c>
      <c r="BA312" s="38" t="str">
        <f>IF(ISNA(MATCH($N312,data!$A:$A,0)),"",INDEX(data!P:P,MATCH($N312,data!$A:$A,0)))</f>
        <v/>
      </c>
      <c r="BB312" s="38" t="str">
        <f>IF(ISNA(MATCH($N312,data!$A:$A,0)),"",INDEX(data!Q:Q,MATCH($N312,data!$A:$A,0)))</f>
        <v/>
      </c>
      <c r="BC312" s="38" t="str">
        <f>IF(ISNA(MATCH($N312,data!$A:$A,0)),"",INDEX(data!R:R,MATCH($N312,data!$A:$A,0)))</f>
        <v/>
      </c>
      <c r="BD312" s="38" t="str">
        <f>IF(ISNA(MATCH($N312,[1]data!$A:$A,0)),"",INDEX([1]data!U:U,MATCH($N312,[1]data!$A:$A,0)))</f>
        <v/>
      </c>
      <c r="BE312" s="61" t="e">
        <f>IF(COUNTIF([1]data!A:A,[1]!Table1[[#This Row],[UPC]])&lt;2,"","DUP")</f>
        <v>#VALUE!</v>
      </c>
      <c r="BF312" s="38" t="str">
        <f>IF(ISNA(MATCH($N312,data!$A:$A,0)),"",INDEX(data!W:W,MATCH($N312,data!$A:$A,0)))</f>
        <v/>
      </c>
    </row>
    <row r="313" spans="1:58" ht="12.75" customHeight="1">
      <c r="A313" s="35"/>
      <c r="B313" s="35"/>
      <c r="C313" s="35"/>
      <c r="D313" s="35"/>
      <c r="E313" s="67"/>
      <c r="F313" s="67"/>
      <c r="G313" s="36"/>
      <c r="H313" s="29"/>
      <c r="I313" s="78" t="str">
        <f t="shared" si="4"/>
        <v/>
      </c>
      <c r="J313" s="29"/>
      <c r="K313" s="29"/>
      <c r="L313" s="33"/>
      <c r="M313" s="33"/>
      <c r="N313" s="60"/>
      <c r="O313" s="71"/>
      <c r="P313" s="71"/>
      <c r="Q313" s="33"/>
      <c r="R313" s="31"/>
      <c r="S313" s="31"/>
      <c r="T313" s="59"/>
      <c r="U313" s="59"/>
      <c r="V313" s="59"/>
      <c r="W313" s="57">
        <f t="shared" si="5"/>
        <v>0</v>
      </c>
      <c r="X313" s="126" t="str">
        <f>IF(Table1[[#This Row],[Shipping Weight Pounds]]&gt;150,"See LTL Form","No")</f>
        <v>No</v>
      </c>
      <c r="Y313" s="28"/>
      <c r="Z313" s="33"/>
      <c r="AA313" s="34"/>
      <c r="AB313" s="30"/>
      <c r="AC313" s="30"/>
      <c r="AD313" s="32"/>
      <c r="AE313" s="32"/>
      <c r="AF313" s="2"/>
      <c r="AG313" s="2"/>
      <c r="AH313" s="2"/>
      <c r="AI313" s="2"/>
      <c r="AK313" s="73" t="str">
        <f>IF(ISNA(MATCH($N313,[1]data!$A:$A,0)),"",INDEX([1]data!S:S,MATCH($N313,[1]data!$A:$A,0)))</f>
        <v/>
      </c>
      <c r="AL313" s="73" t="str">
        <f>IF(ISNA(MATCH($N313,[1]data!$A:$A,0)),"",INDEX([1]data!V:V,MATCH($N313,[1]data!$A:$A,0)))</f>
        <v/>
      </c>
      <c r="AM313" s="38" t="str">
        <f>IF(ISNA(MATCH($N313,data!$A:$A,0)),"",INDEX(data!B:B,MATCH($N313,data!$A:$A,0)))</f>
        <v/>
      </c>
      <c r="AN313" s="38" t="str">
        <f>IF(ISNA(MATCH($N313,data!$A:$A,0)),"",INDEX(data!C:C,MATCH($N313,data!$A:$A,0)))</f>
        <v/>
      </c>
      <c r="AO313" s="38" t="str">
        <f>IF(ISNA(MATCH($N313,data!$A:$A,0)),"",INDEX(data!D:D,MATCH($N313,data!$A:$A,0)))</f>
        <v/>
      </c>
      <c r="AP313" s="38" t="str">
        <f>IF(ISNA(MATCH($N313,data!$A:$A,0)),"",INDEX(data!E:E,MATCH($N313,data!$A:$A,0)))</f>
        <v/>
      </c>
      <c r="AQ313" s="38" t="str">
        <f>IF(ISNA(MATCH($N313,data!$A:$A,0)),"",INDEX(data!F:F,MATCH($N313,data!$A:$A,0)))</f>
        <v/>
      </c>
      <c r="AR313" s="38" t="str">
        <f>IF(ISNA(MATCH($N313,data!$A:$A,0)),"",INDEX(data!G:G,MATCH($N313,data!$A:$A,0)))</f>
        <v/>
      </c>
      <c r="AS313" s="38" t="str">
        <f>IF(ISNA(MATCH($N313,data!$A:$A,0)),"",INDEX(data!H:H,MATCH($N313,data!$A:$A,0)))</f>
        <v/>
      </c>
      <c r="AT313" s="38" t="str">
        <f>IF(ISNA(MATCH($N313,data!$A:$A,0)),"",INDEX(data!I:I,MATCH($N313,data!$A:$A,0)))</f>
        <v/>
      </c>
      <c r="AU313" s="38" t="str">
        <f>IF(ISNA(MATCH($N313,[1]data!$A:$A,0)),"",INDEX([1]data!L:L,MATCH($N313,[1]data!$A:$A,0)))</f>
        <v/>
      </c>
      <c r="AV313" s="38" t="str">
        <f>IF(ISNA(MATCH($N313,[1]data!$A:$A,0)),"",INDEX([1]data!M:M,MATCH($N313,[1]data!$A:$A,0)))</f>
        <v/>
      </c>
      <c r="AW313" s="38" t="str">
        <f>IF(ISNA(MATCH($N313,data!$A:$A,0)),"",INDEX(data!J:J,MATCH($N313,data!$A:$A,0)))</f>
        <v/>
      </c>
      <c r="AX313" s="38" t="str">
        <f>IF(ISNA(MATCH($N313,data!$A:$A,0)),"",INDEX(data!K:K,MATCH($N313,data!$A:$A,0)))</f>
        <v/>
      </c>
      <c r="AY313" s="38" t="str">
        <f>IF(ISNA(MATCH($N313,data!$A:$A,0)),"",INDEX(data!O:O,MATCH($N313,data!$A:$A,0)))</f>
        <v/>
      </c>
      <c r="AZ313" s="38" t="str">
        <f>IF(ISNA(MATCH($N313,data!$A:$A,0)),"",INDEX(data!N:N,MATCH($N313,data!$A:$A,0)))</f>
        <v/>
      </c>
      <c r="BA313" s="38" t="str">
        <f>IF(ISNA(MATCH($N313,data!$A:$A,0)),"",INDEX(data!P:P,MATCH($N313,data!$A:$A,0)))</f>
        <v/>
      </c>
      <c r="BB313" s="38" t="str">
        <f>IF(ISNA(MATCH($N313,data!$A:$A,0)),"",INDEX(data!Q:Q,MATCH($N313,data!$A:$A,0)))</f>
        <v/>
      </c>
      <c r="BC313" s="38" t="str">
        <f>IF(ISNA(MATCH($N313,data!$A:$A,0)),"",INDEX(data!R:R,MATCH($N313,data!$A:$A,0)))</f>
        <v/>
      </c>
      <c r="BD313" s="38" t="str">
        <f>IF(ISNA(MATCH($N313,[1]data!$A:$A,0)),"",INDEX([1]data!U:U,MATCH($N313,[1]data!$A:$A,0)))</f>
        <v/>
      </c>
      <c r="BE313" s="61" t="e">
        <f>IF(COUNTIF([1]data!A:A,[1]!Table1[[#This Row],[UPC]])&lt;2,"","DUP")</f>
        <v>#VALUE!</v>
      </c>
      <c r="BF313" s="38" t="str">
        <f>IF(ISNA(MATCH($N313,data!$A:$A,0)),"",INDEX(data!W:W,MATCH($N313,data!$A:$A,0)))</f>
        <v/>
      </c>
    </row>
    <row r="314" spans="1:58" s="37" customFormat="1" ht="12.75" customHeight="1">
      <c r="A314" s="35"/>
      <c r="B314" s="35"/>
      <c r="C314" s="35"/>
      <c r="D314" s="35"/>
      <c r="E314" s="67"/>
      <c r="F314" s="67"/>
      <c r="G314" s="36"/>
      <c r="H314" s="29"/>
      <c r="I314" s="78" t="str">
        <f t="shared" si="4"/>
        <v/>
      </c>
      <c r="J314" s="29"/>
      <c r="K314" s="29"/>
      <c r="L314" s="33"/>
      <c r="M314" s="33"/>
      <c r="N314" s="60"/>
      <c r="O314" s="71"/>
      <c r="P314" s="71"/>
      <c r="Q314" s="33"/>
      <c r="R314" s="31"/>
      <c r="S314" s="31"/>
      <c r="T314" s="59"/>
      <c r="U314" s="59"/>
      <c r="V314" s="59"/>
      <c r="W314" s="57">
        <f t="shared" si="5"/>
        <v>0</v>
      </c>
      <c r="X314" s="126" t="str">
        <f>IF(Table1[[#This Row],[Shipping Weight Pounds]]&gt;150,"See LTL Form","No")</f>
        <v>No</v>
      </c>
      <c r="Y314" s="28"/>
      <c r="Z314" s="33"/>
      <c r="AA314" s="34"/>
      <c r="AB314" s="30"/>
      <c r="AC314" s="30"/>
      <c r="AD314" s="32"/>
      <c r="AE314" s="32"/>
      <c r="AF314" s="2"/>
      <c r="AG314" s="2"/>
      <c r="AH314" s="2"/>
      <c r="AI314" s="2"/>
      <c r="AJ314" s="45"/>
      <c r="AK314" s="73" t="str">
        <f>IF(ISNA(MATCH($N314,[1]data!$A:$A,0)),"",INDEX([1]data!S:S,MATCH($N314,[1]data!$A:$A,0)))</f>
        <v/>
      </c>
      <c r="AL314" s="73" t="str">
        <f>IF(ISNA(MATCH($N314,[1]data!$A:$A,0)),"",INDEX([1]data!V:V,MATCH($N314,[1]data!$A:$A,0)))</f>
        <v/>
      </c>
      <c r="AM314" s="38" t="str">
        <f>IF(ISNA(MATCH($N314,data!$A:$A,0)),"",INDEX(data!B:B,MATCH($N314,data!$A:$A,0)))</f>
        <v/>
      </c>
      <c r="AN314" s="38" t="str">
        <f>IF(ISNA(MATCH($N314,data!$A:$A,0)),"",INDEX(data!C:C,MATCH($N314,data!$A:$A,0)))</f>
        <v/>
      </c>
      <c r="AO314" s="38" t="str">
        <f>IF(ISNA(MATCH($N314,data!$A:$A,0)),"",INDEX(data!D:D,MATCH($N314,data!$A:$A,0)))</f>
        <v/>
      </c>
      <c r="AP314" s="38" t="str">
        <f>IF(ISNA(MATCH($N314,data!$A:$A,0)),"",INDEX(data!E:E,MATCH($N314,data!$A:$A,0)))</f>
        <v/>
      </c>
      <c r="AQ314" s="38" t="str">
        <f>IF(ISNA(MATCH($N314,data!$A:$A,0)),"",INDEX(data!F:F,MATCH($N314,data!$A:$A,0)))</f>
        <v/>
      </c>
      <c r="AR314" s="38" t="str">
        <f>IF(ISNA(MATCH($N314,data!$A:$A,0)),"",INDEX(data!G:G,MATCH($N314,data!$A:$A,0)))</f>
        <v/>
      </c>
      <c r="AS314" s="38" t="str">
        <f>IF(ISNA(MATCH($N314,data!$A:$A,0)),"",INDEX(data!H:H,MATCH($N314,data!$A:$A,0)))</f>
        <v/>
      </c>
      <c r="AT314" s="38" t="str">
        <f>IF(ISNA(MATCH($N314,data!$A:$A,0)),"",INDEX(data!I:I,MATCH($N314,data!$A:$A,0)))</f>
        <v/>
      </c>
      <c r="AU314" s="38" t="str">
        <f>IF(ISNA(MATCH($N314,[1]data!$A:$A,0)),"",INDEX([1]data!L:L,MATCH($N314,[1]data!$A:$A,0)))</f>
        <v/>
      </c>
      <c r="AV314" s="38" t="str">
        <f>IF(ISNA(MATCH($N314,[1]data!$A:$A,0)),"",INDEX([1]data!M:M,MATCH($N314,[1]data!$A:$A,0)))</f>
        <v/>
      </c>
      <c r="AW314" s="38" t="str">
        <f>IF(ISNA(MATCH($N314,data!$A:$A,0)),"",INDEX(data!J:J,MATCH($N314,data!$A:$A,0)))</f>
        <v/>
      </c>
      <c r="AX314" s="38" t="str">
        <f>IF(ISNA(MATCH($N314,data!$A:$A,0)),"",INDEX(data!K:K,MATCH($N314,data!$A:$A,0)))</f>
        <v/>
      </c>
      <c r="AY314" s="38" t="str">
        <f>IF(ISNA(MATCH($N314,data!$A:$A,0)),"",INDEX(data!O:O,MATCH($N314,data!$A:$A,0)))</f>
        <v/>
      </c>
      <c r="AZ314" s="38" t="str">
        <f>IF(ISNA(MATCH($N314,data!$A:$A,0)),"",INDEX(data!N:N,MATCH($N314,data!$A:$A,0)))</f>
        <v/>
      </c>
      <c r="BA314" s="38" t="str">
        <f>IF(ISNA(MATCH($N314,data!$A:$A,0)),"",INDEX(data!P:P,MATCH($N314,data!$A:$A,0)))</f>
        <v/>
      </c>
      <c r="BB314" s="38" t="str">
        <f>IF(ISNA(MATCH($N314,data!$A:$A,0)),"",INDEX(data!Q:Q,MATCH($N314,data!$A:$A,0)))</f>
        <v/>
      </c>
      <c r="BC314" s="38" t="str">
        <f>IF(ISNA(MATCH($N314,data!$A:$A,0)),"",INDEX(data!R:R,MATCH($N314,data!$A:$A,0)))</f>
        <v/>
      </c>
      <c r="BD314" s="38" t="str">
        <f>IF(ISNA(MATCH($N314,[1]data!$A:$A,0)),"",INDEX([1]data!U:U,MATCH($N314,[1]data!$A:$A,0)))</f>
        <v/>
      </c>
      <c r="BE314" s="61" t="e">
        <f>IF(COUNTIF([1]data!A:A,[1]!Table1[[#This Row],[UPC]])&lt;2,"","DUP")</f>
        <v>#VALUE!</v>
      </c>
      <c r="BF314" s="38" t="str">
        <f>IF(ISNA(MATCH($N314,data!$A:$A,0)),"",INDEX(data!W:W,MATCH($N314,data!$A:$A,0)))</f>
        <v/>
      </c>
    </row>
    <row r="315" spans="1:58" s="37" customFormat="1" ht="12.75" customHeight="1">
      <c r="A315" s="35"/>
      <c r="B315" s="35"/>
      <c r="C315" s="35"/>
      <c r="D315" s="35"/>
      <c r="E315" s="67"/>
      <c r="F315" s="67"/>
      <c r="G315" s="36"/>
      <c r="H315" s="29"/>
      <c r="I315" s="78" t="str">
        <f t="shared" si="4"/>
        <v/>
      </c>
      <c r="J315" s="29"/>
      <c r="K315" s="29"/>
      <c r="L315" s="33"/>
      <c r="M315" s="33"/>
      <c r="N315" s="60"/>
      <c r="O315" s="71"/>
      <c r="P315" s="71"/>
      <c r="Q315" s="33"/>
      <c r="R315" s="31"/>
      <c r="S315" s="31"/>
      <c r="T315" s="59"/>
      <c r="U315" s="59"/>
      <c r="V315" s="59"/>
      <c r="W315" s="57">
        <f t="shared" si="5"/>
        <v>0</v>
      </c>
      <c r="X315" s="126" t="str">
        <f>IF(Table1[[#This Row],[Shipping Weight Pounds]]&gt;150,"See LTL Form","No")</f>
        <v>No</v>
      </c>
      <c r="Y315" s="28"/>
      <c r="Z315" s="33"/>
      <c r="AA315" s="34"/>
      <c r="AB315" s="30"/>
      <c r="AC315" s="30"/>
      <c r="AD315" s="32"/>
      <c r="AE315" s="32"/>
      <c r="AF315" s="2"/>
      <c r="AG315" s="2"/>
      <c r="AH315" s="2"/>
      <c r="AI315" s="2"/>
      <c r="AJ315" s="45"/>
      <c r="AK315" s="73" t="str">
        <f>IF(ISNA(MATCH($N315,[1]data!$A:$A,0)),"",INDEX([1]data!S:S,MATCH($N315,[1]data!$A:$A,0)))</f>
        <v/>
      </c>
      <c r="AL315" s="73" t="str">
        <f>IF(ISNA(MATCH($N315,[1]data!$A:$A,0)),"",INDEX([1]data!V:V,MATCH($N315,[1]data!$A:$A,0)))</f>
        <v/>
      </c>
      <c r="AM315" s="38" t="str">
        <f>IF(ISNA(MATCH($N315,data!$A:$A,0)),"",INDEX(data!B:B,MATCH($N315,data!$A:$A,0)))</f>
        <v/>
      </c>
      <c r="AN315" s="38" t="str">
        <f>IF(ISNA(MATCH($N315,data!$A:$A,0)),"",INDEX(data!C:C,MATCH($N315,data!$A:$A,0)))</f>
        <v/>
      </c>
      <c r="AO315" s="38" t="str">
        <f>IF(ISNA(MATCH($N315,data!$A:$A,0)),"",INDEX(data!D:D,MATCH($N315,data!$A:$A,0)))</f>
        <v/>
      </c>
      <c r="AP315" s="38" t="str">
        <f>IF(ISNA(MATCH($N315,data!$A:$A,0)),"",INDEX(data!E:E,MATCH($N315,data!$A:$A,0)))</f>
        <v/>
      </c>
      <c r="AQ315" s="38" t="str">
        <f>IF(ISNA(MATCH($N315,data!$A:$A,0)),"",INDEX(data!F:F,MATCH($N315,data!$A:$A,0)))</f>
        <v/>
      </c>
      <c r="AR315" s="38" t="str">
        <f>IF(ISNA(MATCH($N315,data!$A:$A,0)),"",INDEX(data!G:G,MATCH($N315,data!$A:$A,0)))</f>
        <v/>
      </c>
      <c r="AS315" s="38" t="str">
        <f>IF(ISNA(MATCH($N315,data!$A:$A,0)),"",INDEX(data!H:H,MATCH($N315,data!$A:$A,0)))</f>
        <v/>
      </c>
      <c r="AT315" s="38" t="str">
        <f>IF(ISNA(MATCH($N315,data!$A:$A,0)),"",INDEX(data!I:I,MATCH($N315,data!$A:$A,0)))</f>
        <v/>
      </c>
      <c r="AU315" s="38" t="str">
        <f>IF(ISNA(MATCH($N315,[1]data!$A:$A,0)),"",INDEX([1]data!L:L,MATCH($N315,[1]data!$A:$A,0)))</f>
        <v/>
      </c>
      <c r="AV315" s="38" t="str">
        <f>IF(ISNA(MATCH($N315,[1]data!$A:$A,0)),"",INDEX([1]data!M:M,MATCH($N315,[1]data!$A:$A,0)))</f>
        <v/>
      </c>
      <c r="AW315" s="38" t="str">
        <f>IF(ISNA(MATCH($N315,data!$A:$A,0)),"",INDEX(data!J:J,MATCH($N315,data!$A:$A,0)))</f>
        <v/>
      </c>
      <c r="AX315" s="38" t="str">
        <f>IF(ISNA(MATCH($N315,data!$A:$A,0)),"",INDEX(data!K:K,MATCH($N315,data!$A:$A,0)))</f>
        <v/>
      </c>
      <c r="AY315" s="38" t="str">
        <f>IF(ISNA(MATCH($N315,data!$A:$A,0)),"",INDEX(data!O:O,MATCH($N315,data!$A:$A,0)))</f>
        <v/>
      </c>
      <c r="AZ315" s="38" t="str">
        <f>IF(ISNA(MATCH($N315,data!$A:$A,0)),"",INDEX(data!N:N,MATCH($N315,data!$A:$A,0)))</f>
        <v/>
      </c>
      <c r="BA315" s="38" t="str">
        <f>IF(ISNA(MATCH($N315,data!$A:$A,0)),"",INDEX(data!P:P,MATCH($N315,data!$A:$A,0)))</f>
        <v/>
      </c>
      <c r="BB315" s="38" t="str">
        <f>IF(ISNA(MATCH($N315,data!$A:$A,0)),"",INDEX(data!Q:Q,MATCH($N315,data!$A:$A,0)))</f>
        <v/>
      </c>
      <c r="BC315" s="38" t="str">
        <f>IF(ISNA(MATCH($N315,data!$A:$A,0)),"",INDEX(data!R:R,MATCH($N315,data!$A:$A,0)))</f>
        <v/>
      </c>
      <c r="BD315" s="38" t="str">
        <f>IF(ISNA(MATCH($N315,[1]data!$A:$A,0)),"",INDEX([1]data!U:U,MATCH($N315,[1]data!$A:$A,0)))</f>
        <v/>
      </c>
      <c r="BE315" s="61" t="e">
        <f>IF(COUNTIF([1]data!A:A,[1]!Table1[[#This Row],[UPC]])&lt;2,"","DUP")</f>
        <v>#VALUE!</v>
      </c>
      <c r="BF315" s="38" t="str">
        <f>IF(ISNA(MATCH($N315,data!$A:$A,0)),"",INDEX(data!W:W,MATCH($N315,data!$A:$A,0)))</f>
        <v/>
      </c>
    </row>
    <row r="316" spans="1:58" s="37" customFormat="1" ht="12.75" customHeight="1">
      <c r="A316" s="35"/>
      <c r="B316" s="35"/>
      <c r="C316" s="35"/>
      <c r="D316" s="35"/>
      <c r="E316" s="67"/>
      <c r="F316" s="67"/>
      <c r="G316" s="36"/>
      <c r="H316" s="29"/>
      <c r="I316" s="78" t="str">
        <f t="shared" si="4"/>
        <v/>
      </c>
      <c r="J316" s="29"/>
      <c r="K316" s="29"/>
      <c r="L316" s="33"/>
      <c r="M316" s="33"/>
      <c r="N316" s="60"/>
      <c r="O316" s="71"/>
      <c r="P316" s="71"/>
      <c r="Q316" s="33"/>
      <c r="R316" s="31"/>
      <c r="S316" s="31"/>
      <c r="T316" s="59"/>
      <c r="U316" s="59"/>
      <c r="V316" s="59"/>
      <c r="W316" s="57">
        <f t="shared" si="5"/>
        <v>0</v>
      </c>
      <c r="X316" s="126" t="str">
        <f>IF(Table1[[#This Row],[Shipping Weight Pounds]]&gt;150,"See LTL Form","No")</f>
        <v>No</v>
      </c>
      <c r="Y316" s="28"/>
      <c r="Z316" s="33"/>
      <c r="AA316" s="34"/>
      <c r="AB316" s="30"/>
      <c r="AC316" s="30"/>
      <c r="AD316" s="32"/>
      <c r="AE316" s="32"/>
      <c r="AF316" s="2"/>
      <c r="AG316" s="2"/>
      <c r="AH316" s="2"/>
      <c r="AI316" s="2"/>
      <c r="AJ316" s="45"/>
      <c r="AK316" s="73" t="str">
        <f>IF(ISNA(MATCH($N316,[1]data!$A:$A,0)),"",INDEX([1]data!S:S,MATCH($N316,[1]data!$A:$A,0)))</f>
        <v/>
      </c>
      <c r="AL316" s="73" t="str">
        <f>IF(ISNA(MATCH($N316,[1]data!$A:$A,0)),"",INDEX([1]data!V:V,MATCH($N316,[1]data!$A:$A,0)))</f>
        <v/>
      </c>
      <c r="AM316" s="38" t="str">
        <f>IF(ISNA(MATCH($N316,data!$A:$A,0)),"",INDEX(data!B:B,MATCH($N316,data!$A:$A,0)))</f>
        <v/>
      </c>
      <c r="AN316" s="38" t="str">
        <f>IF(ISNA(MATCH($N316,data!$A:$A,0)),"",INDEX(data!C:C,MATCH($N316,data!$A:$A,0)))</f>
        <v/>
      </c>
      <c r="AO316" s="38" t="str">
        <f>IF(ISNA(MATCH($N316,data!$A:$A,0)),"",INDEX(data!D:D,MATCH($N316,data!$A:$A,0)))</f>
        <v/>
      </c>
      <c r="AP316" s="38" t="str">
        <f>IF(ISNA(MATCH($N316,data!$A:$A,0)),"",INDEX(data!E:E,MATCH($N316,data!$A:$A,0)))</f>
        <v/>
      </c>
      <c r="AQ316" s="38" t="str">
        <f>IF(ISNA(MATCH($N316,data!$A:$A,0)),"",INDEX(data!F:F,MATCH($N316,data!$A:$A,0)))</f>
        <v/>
      </c>
      <c r="AR316" s="38" t="str">
        <f>IF(ISNA(MATCH($N316,data!$A:$A,0)),"",INDEX(data!G:G,MATCH($N316,data!$A:$A,0)))</f>
        <v/>
      </c>
      <c r="AS316" s="38" t="str">
        <f>IF(ISNA(MATCH($N316,data!$A:$A,0)),"",INDEX(data!H:H,MATCH($N316,data!$A:$A,0)))</f>
        <v/>
      </c>
      <c r="AT316" s="38" t="str">
        <f>IF(ISNA(MATCH($N316,data!$A:$A,0)),"",INDEX(data!I:I,MATCH($N316,data!$A:$A,0)))</f>
        <v/>
      </c>
      <c r="AU316" s="38" t="str">
        <f>IF(ISNA(MATCH($N316,[1]data!$A:$A,0)),"",INDEX([1]data!L:L,MATCH($N316,[1]data!$A:$A,0)))</f>
        <v/>
      </c>
      <c r="AV316" s="38" t="str">
        <f>IF(ISNA(MATCH($N316,[1]data!$A:$A,0)),"",INDEX([1]data!M:M,MATCH($N316,[1]data!$A:$A,0)))</f>
        <v/>
      </c>
      <c r="AW316" s="38" t="str">
        <f>IF(ISNA(MATCH($N316,data!$A:$A,0)),"",INDEX(data!J:J,MATCH($N316,data!$A:$A,0)))</f>
        <v/>
      </c>
      <c r="AX316" s="38" t="str">
        <f>IF(ISNA(MATCH($N316,data!$A:$A,0)),"",INDEX(data!K:K,MATCH($N316,data!$A:$A,0)))</f>
        <v/>
      </c>
      <c r="AY316" s="38" t="str">
        <f>IF(ISNA(MATCH($N316,data!$A:$A,0)),"",INDEX(data!O:O,MATCH($N316,data!$A:$A,0)))</f>
        <v/>
      </c>
      <c r="AZ316" s="38" t="str">
        <f>IF(ISNA(MATCH($N316,data!$A:$A,0)),"",INDEX(data!N:N,MATCH($N316,data!$A:$A,0)))</f>
        <v/>
      </c>
      <c r="BA316" s="38" t="str">
        <f>IF(ISNA(MATCH($N316,data!$A:$A,0)),"",INDEX(data!P:P,MATCH($N316,data!$A:$A,0)))</f>
        <v/>
      </c>
      <c r="BB316" s="38" t="str">
        <f>IF(ISNA(MATCH($N316,data!$A:$A,0)),"",INDEX(data!Q:Q,MATCH($N316,data!$A:$A,0)))</f>
        <v/>
      </c>
      <c r="BC316" s="38" t="str">
        <f>IF(ISNA(MATCH($N316,data!$A:$A,0)),"",INDEX(data!R:R,MATCH($N316,data!$A:$A,0)))</f>
        <v/>
      </c>
      <c r="BD316" s="38" t="str">
        <f>IF(ISNA(MATCH($N316,[1]data!$A:$A,0)),"",INDEX([1]data!U:U,MATCH($N316,[1]data!$A:$A,0)))</f>
        <v/>
      </c>
      <c r="BE316" s="61" t="e">
        <f>IF(COUNTIF([1]data!A:A,[1]!Table1[[#This Row],[UPC]])&lt;2,"","DUP")</f>
        <v>#VALUE!</v>
      </c>
      <c r="BF316" s="38" t="str">
        <f>IF(ISNA(MATCH($N316,data!$A:$A,0)),"",INDEX(data!W:W,MATCH($N316,data!$A:$A,0)))</f>
        <v/>
      </c>
    </row>
    <row r="317" spans="1:58" ht="12.75" customHeight="1">
      <c r="A317" s="35"/>
      <c r="B317" s="35"/>
      <c r="C317" s="35"/>
      <c r="D317" s="35"/>
      <c r="E317" s="67"/>
      <c r="F317" s="67"/>
      <c r="G317" s="36"/>
      <c r="H317" s="29"/>
      <c r="I317" s="78" t="str">
        <f t="shared" si="4"/>
        <v/>
      </c>
      <c r="J317" s="29"/>
      <c r="K317" s="29"/>
      <c r="L317" s="33"/>
      <c r="M317" s="33"/>
      <c r="N317" s="60"/>
      <c r="O317" s="71"/>
      <c r="P317" s="71"/>
      <c r="Q317" s="33"/>
      <c r="R317" s="31"/>
      <c r="S317" s="31"/>
      <c r="T317" s="59"/>
      <c r="U317" s="59"/>
      <c r="V317" s="59"/>
      <c r="W317" s="57">
        <f t="shared" si="5"/>
        <v>0</v>
      </c>
      <c r="X317" s="126" t="str">
        <f>IF(Table1[[#This Row],[Shipping Weight Pounds]]&gt;150,"See LTL Form","No")</f>
        <v>No</v>
      </c>
      <c r="Y317" s="28"/>
      <c r="Z317" s="33"/>
      <c r="AA317" s="34"/>
      <c r="AB317" s="30"/>
      <c r="AC317" s="30"/>
      <c r="AD317" s="32"/>
      <c r="AE317" s="32"/>
      <c r="AF317" s="2"/>
      <c r="AG317" s="2"/>
      <c r="AH317" s="2"/>
      <c r="AI317" s="2"/>
      <c r="AK317" s="73" t="str">
        <f>IF(ISNA(MATCH($N317,[1]data!$A:$A,0)),"",INDEX([1]data!S:S,MATCH($N317,[1]data!$A:$A,0)))</f>
        <v/>
      </c>
      <c r="AL317" s="73" t="str">
        <f>IF(ISNA(MATCH($N317,[1]data!$A:$A,0)),"",INDEX([1]data!V:V,MATCH($N317,[1]data!$A:$A,0)))</f>
        <v/>
      </c>
      <c r="AM317" s="38" t="str">
        <f>IF(ISNA(MATCH($N317,data!$A:$A,0)),"",INDEX(data!B:B,MATCH($N317,data!$A:$A,0)))</f>
        <v/>
      </c>
      <c r="AN317" s="38" t="str">
        <f>IF(ISNA(MATCH($N317,data!$A:$A,0)),"",INDEX(data!C:C,MATCH($N317,data!$A:$A,0)))</f>
        <v/>
      </c>
      <c r="AO317" s="38" t="str">
        <f>IF(ISNA(MATCH($N317,data!$A:$A,0)),"",INDEX(data!D:D,MATCH($N317,data!$A:$A,0)))</f>
        <v/>
      </c>
      <c r="AP317" s="38" t="str">
        <f>IF(ISNA(MATCH($N317,data!$A:$A,0)),"",INDEX(data!E:E,MATCH($N317,data!$A:$A,0)))</f>
        <v/>
      </c>
      <c r="AQ317" s="38" t="str">
        <f>IF(ISNA(MATCH($N317,data!$A:$A,0)),"",INDEX(data!F:F,MATCH($N317,data!$A:$A,0)))</f>
        <v/>
      </c>
      <c r="AR317" s="38" t="str">
        <f>IF(ISNA(MATCH($N317,data!$A:$A,0)),"",INDEX(data!G:G,MATCH($N317,data!$A:$A,0)))</f>
        <v/>
      </c>
      <c r="AS317" s="38" t="str">
        <f>IF(ISNA(MATCH($N317,data!$A:$A,0)),"",INDEX(data!H:H,MATCH($N317,data!$A:$A,0)))</f>
        <v/>
      </c>
      <c r="AT317" s="38" t="str">
        <f>IF(ISNA(MATCH($N317,data!$A:$A,0)),"",INDEX(data!I:I,MATCH($N317,data!$A:$A,0)))</f>
        <v/>
      </c>
      <c r="AU317" s="38" t="str">
        <f>IF(ISNA(MATCH($N317,[1]data!$A:$A,0)),"",INDEX([1]data!L:L,MATCH($N317,[1]data!$A:$A,0)))</f>
        <v/>
      </c>
      <c r="AV317" s="38" t="str">
        <f>IF(ISNA(MATCH($N317,[1]data!$A:$A,0)),"",INDEX([1]data!M:M,MATCH($N317,[1]data!$A:$A,0)))</f>
        <v/>
      </c>
      <c r="AW317" s="38" t="str">
        <f>IF(ISNA(MATCH($N317,data!$A:$A,0)),"",INDEX(data!J:J,MATCH($N317,data!$A:$A,0)))</f>
        <v/>
      </c>
      <c r="AX317" s="38" t="str">
        <f>IF(ISNA(MATCH($N317,data!$A:$A,0)),"",INDEX(data!K:K,MATCH($N317,data!$A:$A,0)))</f>
        <v/>
      </c>
      <c r="AY317" s="38" t="str">
        <f>IF(ISNA(MATCH($N317,data!$A:$A,0)),"",INDEX(data!O:O,MATCH($N317,data!$A:$A,0)))</f>
        <v/>
      </c>
      <c r="AZ317" s="38" t="str">
        <f>IF(ISNA(MATCH($N317,data!$A:$A,0)),"",INDEX(data!N:N,MATCH($N317,data!$A:$A,0)))</f>
        <v/>
      </c>
      <c r="BA317" s="38" t="str">
        <f>IF(ISNA(MATCH($N317,data!$A:$A,0)),"",INDEX(data!P:P,MATCH($N317,data!$A:$A,0)))</f>
        <v/>
      </c>
      <c r="BB317" s="38" t="str">
        <f>IF(ISNA(MATCH($N317,data!$A:$A,0)),"",INDEX(data!Q:Q,MATCH($N317,data!$A:$A,0)))</f>
        <v/>
      </c>
      <c r="BC317" s="38" t="str">
        <f>IF(ISNA(MATCH($N317,data!$A:$A,0)),"",INDEX(data!R:R,MATCH($N317,data!$A:$A,0)))</f>
        <v/>
      </c>
      <c r="BD317" s="38" t="str">
        <f>IF(ISNA(MATCH($N317,[1]data!$A:$A,0)),"",INDEX([1]data!U:U,MATCH($N317,[1]data!$A:$A,0)))</f>
        <v/>
      </c>
      <c r="BE317" s="61" t="e">
        <f>IF(COUNTIF([1]data!A:A,[1]!Table1[[#This Row],[UPC]])&lt;2,"","DUP")</f>
        <v>#VALUE!</v>
      </c>
      <c r="BF317" s="38" t="str">
        <f>IF(ISNA(MATCH($N317,data!$A:$A,0)),"",INDEX(data!W:W,MATCH($N317,data!$A:$A,0)))</f>
        <v/>
      </c>
    </row>
    <row r="318" spans="1:58" ht="12.75" customHeight="1">
      <c r="A318" s="35"/>
      <c r="B318" s="35"/>
      <c r="C318" s="35"/>
      <c r="D318" s="35"/>
      <c r="E318" s="67"/>
      <c r="F318" s="67"/>
      <c r="G318" s="36"/>
      <c r="H318" s="29"/>
      <c r="I318" s="78" t="str">
        <f t="shared" si="4"/>
        <v/>
      </c>
      <c r="J318" s="29"/>
      <c r="K318" s="29"/>
      <c r="L318" s="33"/>
      <c r="M318" s="33"/>
      <c r="N318" s="60"/>
      <c r="O318" s="71"/>
      <c r="P318" s="71"/>
      <c r="Q318" s="33"/>
      <c r="R318" s="31"/>
      <c r="S318" s="31"/>
      <c r="T318" s="59"/>
      <c r="U318" s="59"/>
      <c r="V318" s="59"/>
      <c r="W318" s="57">
        <f t="shared" si="5"/>
        <v>0</v>
      </c>
      <c r="X318" s="126" t="str">
        <f>IF(Table1[[#This Row],[Shipping Weight Pounds]]&gt;150,"See LTL Form","No")</f>
        <v>No</v>
      </c>
      <c r="Y318" s="28"/>
      <c r="Z318" s="33"/>
      <c r="AA318" s="34"/>
      <c r="AB318" s="30"/>
      <c r="AC318" s="30"/>
      <c r="AD318" s="32"/>
      <c r="AE318" s="32"/>
      <c r="AF318" s="2"/>
      <c r="AG318" s="2"/>
      <c r="AH318" s="2"/>
      <c r="AI318" s="2"/>
      <c r="AK318" s="73" t="str">
        <f>IF(ISNA(MATCH($N318,[1]data!$A:$A,0)),"",INDEX([1]data!S:S,MATCH($N318,[1]data!$A:$A,0)))</f>
        <v/>
      </c>
      <c r="AL318" s="73" t="str">
        <f>IF(ISNA(MATCH($N318,[1]data!$A:$A,0)),"",INDEX([1]data!V:V,MATCH($N318,[1]data!$A:$A,0)))</f>
        <v/>
      </c>
      <c r="AM318" s="38" t="str">
        <f>IF(ISNA(MATCH($N318,data!$A:$A,0)),"",INDEX(data!B:B,MATCH($N318,data!$A:$A,0)))</f>
        <v/>
      </c>
      <c r="AN318" s="38" t="str">
        <f>IF(ISNA(MATCH($N318,data!$A:$A,0)),"",INDEX(data!C:C,MATCH($N318,data!$A:$A,0)))</f>
        <v/>
      </c>
      <c r="AO318" s="38" t="str">
        <f>IF(ISNA(MATCH($N318,data!$A:$A,0)),"",INDEX(data!D:D,MATCH($N318,data!$A:$A,0)))</f>
        <v/>
      </c>
      <c r="AP318" s="38" t="str">
        <f>IF(ISNA(MATCH($N318,data!$A:$A,0)),"",INDEX(data!E:E,MATCH($N318,data!$A:$A,0)))</f>
        <v/>
      </c>
      <c r="AQ318" s="38" t="str">
        <f>IF(ISNA(MATCH($N318,data!$A:$A,0)),"",INDEX(data!F:F,MATCH($N318,data!$A:$A,0)))</f>
        <v/>
      </c>
      <c r="AR318" s="38" t="str">
        <f>IF(ISNA(MATCH($N318,data!$A:$A,0)),"",INDEX(data!G:G,MATCH($N318,data!$A:$A,0)))</f>
        <v/>
      </c>
      <c r="AS318" s="38" t="str">
        <f>IF(ISNA(MATCH($N318,data!$A:$A,0)),"",INDEX(data!H:H,MATCH($N318,data!$A:$A,0)))</f>
        <v/>
      </c>
      <c r="AT318" s="38" t="str">
        <f>IF(ISNA(MATCH($N318,data!$A:$A,0)),"",INDEX(data!I:I,MATCH($N318,data!$A:$A,0)))</f>
        <v/>
      </c>
      <c r="AU318" s="38" t="str">
        <f>IF(ISNA(MATCH($N318,[1]data!$A:$A,0)),"",INDEX([1]data!L:L,MATCH($N318,[1]data!$A:$A,0)))</f>
        <v/>
      </c>
      <c r="AV318" s="38" t="str">
        <f>IF(ISNA(MATCH($N318,[1]data!$A:$A,0)),"",INDEX([1]data!M:M,MATCH($N318,[1]data!$A:$A,0)))</f>
        <v/>
      </c>
      <c r="AW318" s="38" t="str">
        <f>IF(ISNA(MATCH($N318,data!$A:$A,0)),"",INDEX(data!J:J,MATCH($N318,data!$A:$A,0)))</f>
        <v/>
      </c>
      <c r="AX318" s="38" t="str">
        <f>IF(ISNA(MATCH($N318,data!$A:$A,0)),"",INDEX(data!K:K,MATCH($N318,data!$A:$A,0)))</f>
        <v/>
      </c>
      <c r="AY318" s="38" t="str">
        <f>IF(ISNA(MATCH($N318,data!$A:$A,0)),"",INDEX(data!O:O,MATCH($N318,data!$A:$A,0)))</f>
        <v/>
      </c>
      <c r="AZ318" s="38" t="str">
        <f>IF(ISNA(MATCH($N318,data!$A:$A,0)),"",INDEX(data!N:N,MATCH($N318,data!$A:$A,0)))</f>
        <v/>
      </c>
      <c r="BA318" s="38" t="str">
        <f>IF(ISNA(MATCH($N318,data!$A:$A,0)),"",INDEX(data!P:P,MATCH($N318,data!$A:$A,0)))</f>
        <v/>
      </c>
      <c r="BB318" s="38" t="str">
        <f>IF(ISNA(MATCH($N318,data!$A:$A,0)),"",INDEX(data!Q:Q,MATCH($N318,data!$A:$A,0)))</f>
        <v/>
      </c>
      <c r="BC318" s="38" t="str">
        <f>IF(ISNA(MATCH($N318,data!$A:$A,0)),"",INDEX(data!R:R,MATCH($N318,data!$A:$A,0)))</f>
        <v/>
      </c>
      <c r="BD318" s="38" t="str">
        <f>IF(ISNA(MATCH($N318,[1]data!$A:$A,0)),"",INDEX([1]data!U:U,MATCH($N318,[1]data!$A:$A,0)))</f>
        <v/>
      </c>
      <c r="BE318" s="61" t="e">
        <f>IF(COUNTIF([1]data!A:A,[1]!Table1[[#This Row],[UPC]])&lt;2,"","DUP")</f>
        <v>#VALUE!</v>
      </c>
      <c r="BF318" s="38" t="str">
        <f>IF(ISNA(MATCH($N318,data!$A:$A,0)),"",INDEX(data!W:W,MATCH($N318,data!$A:$A,0)))</f>
        <v/>
      </c>
    </row>
    <row r="319" spans="1:58" ht="12.75" customHeight="1">
      <c r="A319" s="35"/>
      <c r="B319" s="35"/>
      <c r="C319" s="35"/>
      <c r="D319" s="35"/>
      <c r="E319" s="67"/>
      <c r="F319" s="67"/>
      <c r="G319" s="36"/>
      <c r="H319" s="29"/>
      <c r="I319" s="78" t="str">
        <f t="shared" si="4"/>
        <v/>
      </c>
      <c r="J319" s="29"/>
      <c r="K319" s="29"/>
      <c r="L319" s="33"/>
      <c r="M319" s="33"/>
      <c r="N319" s="60"/>
      <c r="O319" s="71"/>
      <c r="P319" s="71"/>
      <c r="Q319" s="33"/>
      <c r="R319" s="31"/>
      <c r="S319" s="31"/>
      <c r="T319" s="59"/>
      <c r="U319" s="59"/>
      <c r="V319" s="59"/>
      <c r="W319" s="57">
        <f t="shared" si="5"/>
        <v>0</v>
      </c>
      <c r="X319" s="126" t="str">
        <f>IF(Table1[[#This Row],[Shipping Weight Pounds]]&gt;150,"See LTL Form","No")</f>
        <v>No</v>
      </c>
      <c r="Y319" s="28"/>
      <c r="Z319" s="33"/>
      <c r="AA319" s="34"/>
      <c r="AB319" s="30"/>
      <c r="AC319" s="30"/>
      <c r="AD319" s="32"/>
      <c r="AE319" s="32"/>
      <c r="AF319" s="2"/>
      <c r="AG319" s="2"/>
      <c r="AH319" s="2"/>
      <c r="AI319" s="2"/>
      <c r="AK319" s="73" t="str">
        <f>IF(ISNA(MATCH($N319,[1]data!$A:$A,0)),"",INDEX([1]data!S:S,MATCH($N319,[1]data!$A:$A,0)))</f>
        <v/>
      </c>
      <c r="AL319" s="73" t="str">
        <f>IF(ISNA(MATCH($N319,[1]data!$A:$A,0)),"",INDEX([1]data!V:V,MATCH($N319,[1]data!$A:$A,0)))</f>
        <v/>
      </c>
      <c r="AM319" s="38" t="str">
        <f>IF(ISNA(MATCH($N319,data!$A:$A,0)),"",INDEX(data!B:B,MATCH($N319,data!$A:$A,0)))</f>
        <v/>
      </c>
      <c r="AN319" s="38" t="str">
        <f>IF(ISNA(MATCH($N319,data!$A:$A,0)),"",INDEX(data!C:C,MATCH($N319,data!$A:$A,0)))</f>
        <v/>
      </c>
      <c r="AO319" s="38" t="str">
        <f>IF(ISNA(MATCH($N319,data!$A:$A,0)),"",INDEX(data!D:D,MATCH($N319,data!$A:$A,0)))</f>
        <v/>
      </c>
      <c r="AP319" s="38" t="str">
        <f>IF(ISNA(MATCH($N319,data!$A:$A,0)),"",INDEX(data!E:E,MATCH($N319,data!$A:$A,0)))</f>
        <v/>
      </c>
      <c r="AQ319" s="38" t="str">
        <f>IF(ISNA(MATCH($N319,data!$A:$A,0)),"",INDEX(data!F:F,MATCH($N319,data!$A:$A,0)))</f>
        <v/>
      </c>
      <c r="AR319" s="38" t="str">
        <f>IF(ISNA(MATCH($N319,data!$A:$A,0)),"",INDEX(data!G:G,MATCH($N319,data!$A:$A,0)))</f>
        <v/>
      </c>
      <c r="AS319" s="38" t="str">
        <f>IF(ISNA(MATCH($N319,data!$A:$A,0)),"",INDEX(data!H:H,MATCH($N319,data!$A:$A,0)))</f>
        <v/>
      </c>
      <c r="AT319" s="38" t="str">
        <f>IF(ISNA(MATCH($N319,data!$A:$A,0)),"",INDEX(data!I:I,MATCH($N319,data!$A:$A,0)))</f>
        <v/>
      </c>
      <c r="AU319" s="38" t="str">
        <f>IF(ISNA(MATCH($N319,[1]data!$A:$A,0)),"",INDEX([1]data!L:L,MATCH($N319,[1]data!$A:$A,0)))</f>
        <v/>
      </c>
      <c r="AV319" s="38" t="str">
        <f>IF(ISNA(MATCH($N319,[1]data!$A:$A,0)),"",INDEX([1]data!M:M,MATCH($N319,[1]data!$A:$A,0)))</f>
        <v/>
      </c>
      <c r="AW319" s="38" t="str">
        <f>IF(ISNA(MATCH($N319,data!$A:$A,0)),"",INDEX(data!J:J,MATCH($N319,data!$A:$A,0)))</f>
        <v/>
      </c>
      <c r="AX319" s="38" t="str">
        <f>IF(ISNA(MATCH($N319,data!$A:$A,0)),"",INDEX(data!K:K,MATCH($N319,data!$A:$A,0)))</f>
        <v/>
      </c>
      <c r="AY319" s="38" t="str">
        <f>IF(ISNA(MATCH($N319,data!$A:$A,0)),"",INDEX(data!O:O,MATCH($N319,data!$A:$A,0)))</f>
        <v/>
      </c>
      <c r="AZ319" s="38" t="str">
        <f>IF(ISNA(MATCH($N319,data!$A:$A,0)),"",INDEX(data!N:N,MATCH($N319,data!$A:$A,0)))</f>
        <v/>
      </c>
      <c r="BA319" s="38" t="str">
        <f>IF(ISNA(MATCH($N319,data!$A:$A,0)),"",INDEX(data!P:P,MATCH($N319,data!$A:$A,0)))</f>
        <v/>
      </c>
      <c r="BB319" s="38" t="str">
        <f>IF(ISNA(MATCH($N319,data!$A:$A,0)),"",INDEX(data!Q:Q,MATCH($N319,data!$A:$A,0)))</f>
        <v/>
      </c>
      <c r="BC319" s="38" t="str">
        <f>IF(ISNA(MATCH($N319,data!$A:$A,0)),"",INDEX(data!R:R,MATCH($N319,data!$A:$A,0)))</f>
        <v/>
      </c>
      <c r="BD319" s="38" t="str">
        <f>IF(ISNA(MATCH($N319,[1]data!$A:$A,0)),"",INDEX([1]data!U:U,MATCH($N319,[1]data!$A:$A,0)))</f>
        <v/>
      </c>
      <c r="BE319" s="61" t="e">
        <f>IF(COUNTIF([1]data!A:A,[1]!Table1[[#This Row],[UPC]])&lt;2,"","DUP")</f>
        <v>#VALUE!</v>
      </c>
      <c r="BF319" s="38" t="str">
        <f>IF(ISNA(MATCH($N319,data!$A:$A,0)),"",INDEX(data!W:W,MATCH($N319,data!$A:$A,0)))</f>
        <v/>
      </c>
    </row>
    <row r="320" spans="1:58" ht="12.75" customHeight="1">
      <c r="A320" s="35"/>
      <c r="B320" s="35"/>
      <c r="C320" s="35"/>
      <c r="D320" s="35"/>
      <c r="E320" s="67"/>
      <c r="F320" s="67"/>
      <c r="G320" s="36"/>
      <c r="H320" s="29"/>
      <c r="I320" s="78" t="str">
        <f t="shared" si="4"/>
        <v/>
      </c>
      <c r="J320" s="29"/>
      <c r="K320" s="29"/>
      <c r="L320" s="33"/>
      <c r="M320" s="33"/>
      <c r="N320" s="60"/>
      <c r="O320" s="71"/>
      <c r="P320" s="71"/>
      <c r="Q320" s="33"/>
      <c r="R320" s="31"/>
      <c r="S320" s="31"/>
      <c r="T320" s="59"/>
      <c r="U320" s="59"/>
      <c r="V320" s="59"/>
      <c r="W320" s="57">
        <f t="shared" si="5"/>
        <v>0</v>
      </c>
      <c r="X320" s="126" t="str">
        <f>IF(Table1[[#This Row],[Shipping Weight Pounds]]&gt;150,"See LTL Form","No")</f>
        <v>No</v>
      </c>
      <c r="Y320" s="28"/>
      <c r="Z320" s="33"/>
      <c r="AA320" s="34"/>
      <c r="AB320" s="30"/>
      <c r="AC320" s="30"/>
      <c r="AD320" s="32"/>
      <c r="AE320" s="32"/>
      <c r="AF320" s="2"/>
      <c r="AG320" s="2"/>
      <c r="AH320" s="2"/>
      <c r="AI320" s="2"/>
      <c r="AK320" s="73" t="str">
        <f>IF(ISNA(MATCH($N320,[1]data!$A:$A,0)),"",INDEX([1]data!S:S,MATCH($N320,[1]data!$A:$A,0)))</f>
        <v/>
      </c>
      <c r="AL320" s="73" t="str">
        <f>IF(ISNA(MATCH($N320,[1]data!$A:$A,0)),"",INDEX([1]data!V:V,MATCH($N320,[1]data!$A:$A,0)))</f>
        <v/>
      </c>
      <c r="AM320" s="38" t="str">
        <f>IF(ISNA(MATCH($N320,data!$A:$A,0)),"",INDEX(data!B:B,MATCH($N320,data!$A:$A,0)))</f>
        <v/>
      </c>
      <c r="AN320" s="38" t="str">
        <f>IF(ISNA(MATCH($N320,data!$A:$A,0)),"",INDEX(data!C:C,MATCH($N320,data!$A:$A,0)))</f>
        <v/>
      </c>
      <c r="AO320" s="38" t="str">
        <f>IF(ISNA(MATCH($N320,data!$A:$A,0)),"",INDEX(data!D:D,MATCH($N320,data!$A:$A,0)))</f>
        <v/>
      </c>
      <c r="AP320" s="38" t="str">
        <f>IF(ISNA(MATCH($N320,data!$A:$A,0)),"",INDEX(data!E:E,MATCH($N320,data!$A:$A,0)))</f>
        <v/>
      </c>
      <c r="AQ320" s="38" t="str">
        <f>IF(ISNA(MATCH($N320,data!$A:$A,0)),"",INDEX(data!F:F,MATCH($N320,data!$A:$A,0)))</f>
        <v/>
      </c>
      <c r="AR320" s="38" t="str">
        <f>IF(ISNA(MATCH($N320,data!$A:$A,0)),"",INDEX(data!G:G,MATCH($N320,data!$A:$A,0)))</f>
        <v/>
      </c>
      <c r="AS320" s="38" t="str">
        <f>IF(ISNA(MATCH($N320,data!$A:$A,0)),"",INDEX(data!H:H,MATCH($N320,data!$A:$A,0)))</f>
        <v/>
      </c>
      <c r="AT320" s="38" t="str">
        <f>IF(ISNA(MATCH($N320,data!$A:$A,0)),"",INDEX(data!I:I,MATCH($N320,data!$A:$A,0)))</f>
        <v/>
      </c>
      <c r="AU320" s="38" t="str">
        <f>IF(ISNA(MATCH($N320,[1]data!$A:$A,0)),"",INDEX([1]data!L:L,MATCH($N320,[1]data!$A:$A,0)))</f>
        <v/>
      </c>
      <c r="AV320" s="38" t="str">
        <f>IF(ISNA(MATCH($N320,[1]data!$A:$A,0)),"",INDEX([1]data!M:M,MATCH($N320,[1]data!$A:$A,0)))</f>
        <v/>
      </c>
      <c r="AW320" s="38" t="str">
        <f>IF(ISNA(MATCH($N320,data!$A:$A,0)),"",INDEX(data!J:J,MATCH($N320,data!$A:$A,0)))</f>
        <v/>
      </c>
      <c r="AX320" s="38" t="str">
        <f>IF(ISNA(MATCH($N320,data!$A:$A,0)),"",INDEX(data!K:K,MATCH($N320,data!$A:$A,0)))</f>
        <v/>
      </c>
      <c r="AY320" s="38" t="str">
        <f>IF(ISNA(MATCH($N320,data!$A:$A,0)),"",INDEX(data!O:O,MATCH($N320,data!$A:$A,0)))</f>
        <v/>
      </c>
      <c r="AZ320" s="38" t="str">
        <f>IF(ISNA(MATCH($N320,data!$A:$A,0)),"",INDEX(data!N:N,MATCH($N320,data!$A:$A,0)))</f>
        <v/>
      </c>
      <c r="BA320" s="38" t="str">
        <f>IF(ISNA(MATCH($N320,data!$A:$A,0)),"",INDEX(data!P:P,MATCH($N320,data!$A:$A,0)))</f>
        <v/>
      </c>
      <c r="BB320" s="38" t="str">
        <f>IF(ISNA(MATCH($N320,data!$A:$A,0)),"",INDEX(data!Q:Q,MATCH($N320,data!$A:$A,0)))</f>
        <v/>
      </c>
      <c r="BC320" s="38" t="str">
        <f>IF(ISNA(MATCH($N320,data!$A:$A,0)),"",INDEX(data!R:R,MATCH($N320,data!$A:$A,0)))</f>
        <v/>
      </c>
      <c r="BD320" s="38" t="str">
        <f>IF(ISNA(MATCH($N320,[1]data!$A:$A,0)),"",INDEX([1]data!U:U,MATCH($N320,[1]data!$A:$A,0)))</f>
        <v/>
      </c>
      <c r="BE320" s="61" t="e">
        <f>IF(COUNTIF([1]data!A:A,[1]!Table1[[#This Row],[UPC]])&lt;2,"","DUP")</f>
        <v>#VALUE!</v>
      </c>
      <c r="BF320" s="38" t="str">
        <f>IF(ISNA(MATCH($N320,data!$A:$A,0)),"",INDEX(data!W:W,MATCH($N320,data!$A:$A,0)))</f>
        <v/>
      </c>
    </row>
    <row r="321" spans="1:58" ht="12.75" customHeight="1">
      <c r="A321" s="35"/>
      <c r="B321" s="35"/>
      <c r="C321" s="35"/>
      <c r="D321" s="35"/>
      <c r="E321" s="67"/>
      <c r="F321" s="67"/>
      <c r="G321" s="36"/>
      <c r="H321" s="29"/>
      <c r="I321" s="78" t="str">
        <f t="shared" si="4"/>
        <v/>
      </c>
      <c r="J321" s="29"/>
      <c r="K321" s="29"/>
      <c r="L321" s="33"/>
      <c r="M321" s="33"/>
      <c r="N321" s="60"/>
      <c r="O321" s="71"/>
      <c r="P321" s="71"/>
      <c r="Q321" s="33"/>
      <c r="R321" s="31"/>
      <c r="S321" s="31"/>
      <c r="T321" s="59"/>
      <c r="U321" s="59"/>
      <c r="V321" s="59"/>
      <c r="W321" s="57">
        <f t="shared" si="5"/>
        <v>0</v>
      </c>
      <c r="X321" s="126" t="str">
        <f>IF(Table1[[#This Row],[Shipping Weight Pounds]]&gt;150,"See LTL Form","No")</f>
        <v>No</v>
      </c>
      <c r="Y321" s="28"/>
      <c r="Z321" s="33"/>
      <c r="AA321" s="34"/>
      <c r="AB321" s="30"/>
      <c r="AC321" s="30"/>
      <c r="AD321" s="32"/>
      <c r="AE321" s="32"/>
      <c r="AF321" s="2"/>
      <c r="AG321" s="2"/>
      <c r="AH321" s="2"/>
      <c r="AI321" s="2"/>
      <c r="AK321" s="73" t="str">
        <f>IF(ISNA(MATCH($N321,[1]data!$A:$A,0)),"",INDEX([1]data!S:S,MATCH($N321,[1]data!$A:$A,0)))</f>
        <v/>
      </c>
      <c r="AL321" s="73" t="str">
        <f>IF(ISNA(MATCH($N321,[1]data!$A:$A,0)),"",INDEX([1]data!V:V,MATCH($N321,[1]data!$A:$A,0)))</f>
        <v/>
      </c>
      <c r="AM321" s="38" t="str">
        <f>IF(ISNA(MATCH($N321,data!$A:$A,0)),"",INDEX(data!B:B,MATCH($N321,data!$A:$A,0)))</f>
        <v/>
      </c>
      <c r="AN321" s="38" t="str">
        <f>IF(ISNA(MATCH($N321,data!$A:$A,0)),"",INDEX(data!C:C,MATCH($N321,data!$A:$A,0)))</f>
        <v/>
      </c>
      <c r="AO321" s="38" t="str">
        <f>IF(ISNA(MATCH($N321,data!$A:$A,0)),"",INDEX(data!D:D,MATCH($N321,data!$A:$A,0)))</f>
        <v/>
      </c>
      <c r="AP321" s="38" t="str">
        <f>IF(ISNA(MATCH($N321,data!$A:$A,0)),"",INDEX(data!E:E,MATCH($N321,data!$A:$A,0)))</f>
        <v/>
      </c>
      <c r="AQ321" s="38" t="str">
        <f>IF(ISNA(MATCH($N321,data!$A:$A,0)),"",INDEX(data!F:F,MATCH($N321,data!$A:$A,0)))</f>
        <v/>
      </c>
      <c r="AR321" s="38" t="str">
        <f>IF(ISNA(MATCH($N321,data!$A:$A,0)),"",INDEX(data!G:G,MATCH($N321,data!$A:$A,0)))</f>
        <v/>
      </c>
      <c r="AS321" s="38" t="str">
        <f>IF(ISNA(MATCH($N321,data!$A:$A,0)),"",INDEX(data!H:H,MATCH($N321,data!$A:$A,0)))</f>
        <v/>
      </c>
      <c r="AT321" s="38" t="str">
        <f>IF(ISNA(MATCH($N321,data!$A:$A,0)),"",INDEX(data!I:I,MATCH($N321,data!$A:$A,0)))</f>
        <v/>
      </c>
      <c r="AU321" s="38" t="str">
        <f>IF(ISNA(MATCH($N321,[1]data!$A:$A,0)),"",INDEX([1]data!L:L,MATCH($N321,[1]data!$A:$A,0)))</f>
        <v/>
      </c>
      <c r="AV321" s="38" t="str">
        <f>IF(ISNA(MATCH($N321,[1]data!$A:$A,0)),"",INDEX([1]data!M:M,MATCH($N321,[1]data!$A:$A,0)))</f>
        <v/>
      </c>
      <c r="AW321" s="38" t="str">
        <f>IF(ISNA(MATCH($N321,data!$A:$A,0)),"",INDEX(data!J:J,MATCH($N321,data!$A:$A,0)))</f>
        <v/>
      </c>
      <c r="AX321" s="38" t="str">
        <f>IF(ISNA(MATCH($N321,data!$A:$A,0)),"",INDEX(data!K:K,MATCH($N321,data!$A:$A,0)))</f>
        <v/>
      </c>
      <c r="AY321" s="38" t="str">
        <f>IF(ISNA(MATCH($N321,data!$A:$A,0)),"",INDEX(data!O:O,MATCH($N321,data!$A:$A,0)))</f>
        <v/>
      </c>
      <c r="AZ321" s="38" t="str">
        <f>IF(ISNA(MATCH($N321,data!$A:$A,0)),"",INDEX(data!N:N,MATCH($N321,data!$A:$A,0)))</f>
        <v/>
      </c>
      <c r="BA321" s="38" t="str">
        <f>IF(ISNA(MATCH($N321,data!$A:$A,0)),"",INDEX(data!P:P,MATCH($N321,data!$A:$A,0)))</f>
        <v/>
      </c>
      <c r="BB321" s="38" t="str">
        <f>IF(ISNA(MATCH($N321,data!$A:$A,0)),"",INDEX(data!Q:Q,MATCH($N321,data!$A:$A,0)))</f>
        <v/>
      </c>
      <c r="BC321" s="38" t="str">
        <f>IF(ISNA(MATCH($N321,data!$A:$A,0)),"",INDEX(data!R:R,MATCH($N321,data!$A:$A,0)))</f>
        <v/>
      </c>
      <c r="BD321" s="38" t="str">
        <f>IF(ISNA(MATCH($N321,[1]data!$A:$A,0)),"",INDEX([1]data!U:U,MATCH($N321,[1]data!$A:$A,0)))</f>
        <v/>
      </c>
      <c r="BE321" s="61" t="e">
        <f>IF(COUNTIF([1]data!A:A,[1]!Table1[[#This Row],[UPC]])&lt;2,"","DUP")</f>
        <v>#VALUE!</v>
      </c>
      <c r="BF321" s="38" t="str">
        <f>IF(ISNA(MATCH($N321,data!$A:$A,0)),"",INDEX(data!W:W,MATCH($N321,data!$A:$A,0)))</f>
        <v/>
      </c>
    </row>
    <row r="322" spans="1:58" s="37" customFormat="1" ht="12.75" customHeight="1">
      <c r="A322" s="35"/>
      <c r="B322" s="35"/>
      <c r="C322" s="35"/>
      <c r="D322" s="35"/>
      <c r="E322" s="67"/>
      <c r="F322" s="67"/>
      <c r="G322" s="36"/>
      <c r="H322" s="29"/>
      <c r="I322" s="78" t="str">
        <f t="shared" si="4"/>
        <v/>
      </c>
      <c r="J322" s="29"/>
      <c r="K322" s="29"/>
      <c r="L322" s="33"/>
      <c r="M322" s="33"/>
      <c r="N322" s="60"/>
      <c r="O322" s="71"/>
      <c r="P322" s="71"/>
      <c r="Q322" s="33"/>
      <c r="R322" s="31"/>
      <c r="S322" s="31"/>
      <c r="T322" s="59"/>
      <c r="U322" s="59"/>
      <c r="V322" s="59"/>
      <c r="W322" s="57">
        <f t="shared" si="5"/>
        <v>0</v>
      </c>
      <c r="X322" s="126" t="str">
        <f>IF(Table1[[#This Row],[Shipping Weight Pounds]]&gt;150,"See LTL Form","No")</f>
        <v>No</v>
      </c>
      <c r="Y322" s="28"/>
      <c r="Z322" s="33"/>
      <c r="AA322" s="34"/>
      <c r="AB322" s="30"/>
      <c r="AC322" s="30"/>
      <c r="AD322" s="32"/>
      <c r="AE322" s="32"/>
      <c r="AF322" s="2"/>
      <c r="AG322" s="2"/>
      <c r="AH322" s="2"/>
      <c r="AI322" s="2"/>
      <c r="AJ322" s="45"/>
      <c r="AK322" s="73" t="str">
        <f>IF(ISNA(MATCH($N322,[1]data!$A:$A,0)),"",INDEX([1]data!S:S,MATCH($N322,[1]data!$A:$A,0)))</f>
        <v/>
      </c>
      <c r="AL322" s="73" t="str">
        <f>IF(ISNA(MATCH($N322,[1]data!$A:$A,0)),"",INDEX([1]data!V:V,MATCH($N322,[1]data!$A:$A,0)))</f>
        <v/>
      </c>
      <c r="AM322" s="38" t="str">
        <f>IF(ISNA(MATCH($N322,data!$A:$A,0)),"",INDEX(data!B:B,MATCH($N322,data!$A:$A,0)))</f>
        <v/>
      </c>
      <c r="AN322" s="38" t="str">
        <f>IF(ISNA(MATCH($N322,data!$A:$A,0)),"",INDEX(data!C:C,MATCH($N322,data!$A:$A,0)))</f>
        <v/>
      </c>
      <c r="AO322" s="38" t="str">
        <f>IF(ISNA(MATCH($N322,data!$A:$A,0)),"",INDEX(data!D:D,MATCH($N322,data!$A:$A,0)))</f>
        <v/>
      </c>
      <c r="AP322" s="38" t="str">
        <f>IF(ISNA(MATCH($N322,data!$A:$A,0)),"",INDEX(data!E:E,MATCH($N322,data!$A:$A,0)))</f>
        <v/>
      </c>
      <c r="AQ322" s="38" t="str">
        <f>IF(ISNA(MATCH($N322,data!$A:$A,0)),"",INDEX(data!F:F,MATCH($N322,data!$A:$A,0)))</f>
        <v/>
      </c>
      <c r="AR322" s="38" t="str">
        <f>IF(ISNA(MATCH($N322,data!$A:$A,0)),"",INDEX(data!G:G,MATCH($N322,data!$A:$A,0)))</f>
        <v/>
      </c>
      <c r="AS322" s="38" t="str">
        <f>IF(ISNA(MATCH($N322,data!$A:$A,0)),"",INDEX(data!H:H,MATCH($N322,data!$A:$A,0)))</f>
        <v/>
      </c>
      <c r="AT322" s="38" t="str">
        <f>IF(ISNA(MATCH($N322,data!$A:$A,0)),"",INDEX(data!I:I,MATCH($N322,data!$A:$A,0)))</f>
        <v/>
      </c>
      <c r="AU322" s="38" t="str">
        <f>IF(ISNA(MATCH($N322,[1]data!$A:$A,0)),"",INDEX([1]data!L:L,MATCH($N322,[1]data!$A:$A,0)))</f>
        <v/>
      </c>
      <c r="AV322" s="38" t="str">
        <f>IF(ISNA(MATCH($N322,[1]data!$A:$A,0)),"",INDEX([1]data!M:M,MATCH($N322,[1]data!$A:$A,0)))</f>
        <v/>
      </c>
      <c r="AW322" s="38" t="str">
        <f>IF(ISNA(MATCH($N322,data!$A:$A,0)),"",INDEX(data!J:J,MATCH($N322,data!$A:$A,0)))</f>
        <v/>
      </c>
      <c r="AX322" s="38" t="str">
        <f>IF(ISNA(MATCH($N322,data!$A:$A,0)),"",INDEX(data!K:K,MATCH($N322,data!$A:$A,0)))</f>
        <v/>
      </c>
      <c r="AY322" s="38" t="str">
        <f>IF(ISNA(MATCH($N322,data!$A:$A,0)),"",INDEX(data!O:O,MATCH($N322,data!$A:$A,0)))</f>
        <v/>
      </c>
      <c r="AZ322" s="38" t="str">
        <f>IF(ISNA(MATCH($N322,data!$A:$A,0)),"",INDEX(data!N:N,MATCH($N322,data!$A:$A,0)))</f>
        <v/>
      </c>
      <c r="BA322" s="38" t="str">
        <f>IF(ISNA(MATCH($N322,data!$A:$A,0)),"",INDEX(data!P:P,MATCH($N322,data!$A:$A,0)))</f>
        <v/>
      </c>
      <c r="BB322" s="38" t="str">
        <f>IF(ISNA(MATCH($N322,data!$A:$A,0)),"",INDEX(data!Q:Q,MATCH($N322,data!$A:$A,0)))</f>
        <v/>
      </c>
      <c r="BC322" s="38" t="str">
        <f>IF(ISNA(MATCH($N322,data!$A:$A,0)),"",INDEX(data!R:R,MATCH($N322,data!$A:$A,0)))</f>
        <v/>
      </c>
      <c r="BD322" s="38" t="str">
        <f>IF(ISNA(MATCH($N322,[1]data!$A:$A,0)),"",INDEX([1]data!U:U,MATCH($N322,[1]data!$A:$A,0)))</f>
        <v/>
      </c>
      <c r="BE322" s="61" t="e">
        <f>IF(COUNTIF([1]data!A:A,[1]!Table1[[#This Row],[UPC]])&lt;2,"","DUP")</f>
        <v>#VALUE!</v>
      </c>
      <c r="BF322" s="38" t="str">
        <f>IF(ISNA(MATCH($N322,data!$A:$A,0)),"",INDEX(data!W:W,MATCH($N322,data!$A:$A,0)))</f>
        <v/>
      </c>
    </row>
    <row r="323" spans="1:58" s="37" customFormat="1" ht="12.75" customHeight="1">
      <c r="A323" s="35"/>
      <c r="B323" s="35"/>
      <c r="C323" s="35"/>
      <c r="D323" s="35"/>
      <c r="E323" s="67"/>
      <c r="F323" s="67"/>
      <c r="G323" s="36"/>
      <c r="H323" s="29"/>
      <c r="I323" s="78" t="str">
        <f t="shared" si="4"/>
        <v/>
      </c>
      <c r="J323" s="29"/>
      <c r="K323" s="29"/>
      <c r="L323" s="33"/>
      <c r="M323" s="33"/>
      <c r="N323" s="60"/>
      <c r="O323" s="71"/>
      <c r="P323" s="71"/>
      <c r="Q323" s="33"/>
      <c r="R323" s="31"/>
      <c r="S323" s="31"/>
      <c r="T323" s="59"/>
      <c r="U323" s="59"/>
      <c r="V323" s="59"/>
      <c r="W323" s="57">
        <f t="shared" si="5"/>
        <v>0</v>
      </c>
      <c r="X323" s="126" t="str">
        <f>IF(Table1[[#This Row],[Shipping Weight Pounds]]&gt;150,"See LTL Form","No")</f>
        <v>No</v>
      </c>
      <c r="Y323" s="28"/>
      <c r="Z323" s="33"/>
      <c r="AA323" s="34"/>
      <c r="AB323" s="30"/>
      <c r="AC323" s="30"/>
      <c r="AD323" s="32"/>
      <c r="AE323" s="32"/>
      <c r="AF323" s="2"/>
      <c r="AG323" s="2"/>
      <c r="AH323" s="2"/>
      <c r="AI323" s="2"/>
      <c r="AJ323" s="45"/>
      <c r="AK323" s="73" t="str">
        <f>IF(ISNA(MATCH($N323,[1]data!$A:$A,0)),"",INDEX([1]data!S:S,MATCH($N323,[1]data!$A:$A,0)))</f>
        <v/>
      </c>
      <c r="AL323" s="73" t="str">
        <f>IF(ISNA(MATCH($N323,[1]data!$A:$A,0)),"",INDEX([1]data!V:V,MATCH($N323,[1]data!$A:$A,0)))</f>
        <v/>
      </c>
      <c r="AM323" s="38" t="str">
        <f>IF(ISNA(MATCH($N323,data!$A:$A,0)),"",INDEX(data!B:B,MATCH($N323,data!$A:$A,0)))</f>
        <v/>
      </c>
      <c r="AN323" s="38" t="str">
        <f>IF(ISNA(MATCH($N323,data!$A:$A,0)),"",INDEX(data!C:C,MATCH($N323,data!$A:$A,0)))</f>
        <v/>
      </c>
      <c r="AO323" s="38" t="str">
        <f>IF(ISNA(MATCH($N323,data!$A:$A,0)),"",INDEX(data!D:D,MATCH($N323,data!$A:$A,0)))</f>
        <v/>
      </c>
      <c r="AP323" s="38" t="str">
        <f>IF(ISNA(MATCH($N323,data!$A:$A,0)),"",INDEX(data!E:E,MATCH($N323,data!$A:$A,0)))</f>
        <v/>
      </c>
      <c r="AQ323" s="38" t="str">
        <f>IF(ISNA(MATCH($N323,data!$A:$A,0)),"",INDEX(data!F:F,MATCH($N323,data!$A:$A,0)))</f>
        <v/>
      </c>
      <c r="AR323" s="38" t="str">
        <f>IF(ISNA(MATCH($N323,data!$A:$A,0)),"",INDEX(data!G:G,MATCH($N323,data!$A:$A,0)))</f>
        <v/>
      </c>
      <c r="AS323" s="38" t="str">
        <f>IF(ISNA(MATCH($N323,data!$A:$A,0)),"",INDEX(data!H:H,MATCH($N323,data!$A:$A,0)))</f>
        <v/>
      </c>
      <c r="AT323" s="38" t="str">
        <f>IF(ISNA(MATCH($N323,data!$A:$A,0)),"",INDEX(data!I:I,MATCH($N323,data!$A:$A,0)))</f>
        <v/>
      </c>
      <c r="AU323" s="38" t="str">
        <f>IF(ISNA(MATCH($N323,[1]data!$A:$A,0)),"",INDEX([1]data!L:L,MATCH($N323,[1]data!$A:$A,0)))</f>
        <v/>
      </c>
      <c r="AV323" s="38" t="str">
        <f>IF(ISNA(MATCH($N323,[1]data!$A:$A,0)),"",INDEX([1]data!M:M,MATCH($N323,[1]data!$A:$A,0)))</f>
        <v/>
      </c>
      <c r="AW323" s="38" t="str">
        <f>IF(ISNA(MATCH($N323,data!$A:$A,0)),"",INDEX(data!J:J,MATCH($N323,data!$A:$A,0)))</f>
        <v/>
      </c>
      <c r="AX323" s="38" t="str">
        <f>IF(ISNA(MATCH($N323,data!$A:$A,0)),"",INDEX(data!K:K,MATCH($N323,data!$A:$A,0)))</f>
        <v/>
      </c>
      <c r="AY323" s="38" t="str">
        <f>IF(ISNA(MATCH($N323,data!$A:$A,0)),"",INDEX(data!O:O,MATCH($N323,data!$A:$A,0)))</f>
        <v/>
      </c>
      <c r="AZ323" s="38" t="str">
        <f>IF(ISNA(MATCH($N323,data!$A:$A,0)),"",INDEX(data!N:N,MATCH($N323,data!$A:$A,0)))</f>
        <v/>
      </c>
      <c r="BA323" s="38" t="str">
        <f>IF(ISNA(MATCH($N323,data!$A:$A,0)),"",INDEX(data!P:P,MATCH($N323,data!$A:$A,0)))</f>
        <v/>
      </c>
      <c r="BB323" s="38" t="str">
        <f>IF(ISNA(MATCH($N323,data!$A:$A,0)),"",INDEX(data!Q:Q,MATCH($N323,data!$A:$A,0)))</f>
        <v/>
      </c>
      <c r="BC323" s="38" t="str">
        <f>IF(ISNA(MATCH($N323,data!$A:$A,0)),"",INDEX(data!R:R,MATCH($N323,data!$A:$A,0)))</f>
        <v/>
      </c>
      <c r="BD323" s="38" t="str">
        <f>IF(ISNA(MATCH($N323,[1]data!$A:$A,0)),"",INDEX([1]data!U:U,MATCH($N323,[1]data!$A:$A,0)))</f>
        <v/>
      </c>
      <c r="BE323" s="61" t="e">
        <f>IF(COUNTIF([1]data!A:A,[1]!Table1[[#This Row],[UPC]])&lt;2,"","DUP")</f>
        <v>#VALUE!</v>
      </c>
      <c r="BF323" s="38" t="str">
        <f>IF(ISNA(MATCH($N323,data!$A:$A,0)),"",INDEX(data!W:W,MATCH($N323,data!$A:$A,0)))</f>
        <v/>
      </c>
    </row>
    <row r="324" spans="1:58" s="37" customFormat="1" ht="12.75" customHeight="1">
      <c r="A324" s="35"/>
      <c r="B324" s="35"/>
      <c r="C324" s="35"/>
      <c r="D324" s="35"/>
      <c r="E324" s="67"/>
      <c r="F324" s="67"/>
      <c r="G324" s="36"/>
      <c r="H324" s="29"/>
      <c r="I324" s="78" t="str">
        <f t="shared" si="4"/>
        <v/>
      </c>
      <c r="J324" s="29"/>
      <c r="K324" s="29"/>
      <c r="L324" s="33"/>
      <c r="M324" s="33"/>
      <c r="N324" s="60"/>
      <c r="O324" s="71"/>
      <c r="P324" s="71"/>
      <c r="Q324" s="33"/>
      <c r="R324" s="31"/>
      <c r="S324" s="31"/>
      <c r="T324" s="59"/>
      <c r="U324" s="59"/>
      <c r="V324" s="59"/>
      <c r="W324" s="57">
        <f t="shared" si="5"/>
        <v>0</v>
      </c>
      <c r="X324" s="126" t="str">
        <f>IF(Table1[[#This Row],[Shipping Weight Pounds]]&gt;150,"See LTL Form","No")</f>
        <v>No</v>
      </c>
      <c r="Y324" s="28"/>
      <c r="Z324" s="33"/>
      <c r="AA324" s="34"/>
      <c r="AB324" s="30"/>
      <c r="AC324" s="30"/>
      <c r="AD324" s="32"/>
      <c r="AE324" s="32"/>
      <c r="AF324" s="2"/>
      <c r="AG324" s="2"/>
      <c r="AH324" s="2"/>
      <c r="AI324" s="2"/>
      <c r="AJ324" s="45"/>
      <c r="AK324" s="73" t="str">
        <f>IF(ISNA(MATCH($N324,[1]data!$A:$A,0)),"",INDEX([1]data!S:S,MATCH($N324,[1]data!$A:$A,0)))</f>
        <v/>
      </c>
      <c r="AL324" s="73" t="str">
        <f>IF(ISNA(MATCH($N324,[1]data!$A:$A,0)),"",INDEX([1]data!V:V,MATCH($N324,[1]data!$A:$A,0)))</f>
        <v/>
      </c>
      <c r="AM324" s="38" t="str">
        <f>IF(ISNA(MATCH($N324,data!$A:$A,0)),"",INDEX(data!B:B,MATCH($N324,data!$A:$A,0)))</f>
        <v/>
      </c>
      <c r="AN324" s="38" t="str">
        <f>IF(ISNA(MATCH($N324,data!$A:$A,0)),"",INDEX(data!C:C,MATCH($N324,data!$A:$A,0)))</f>
        <v/>
      </c>
      <c r="AO324" s="38" t="str">
        <f>IF(ISNA(MATCH($N324,data!$A:$A,0)),"",INDEX(data!D:D,MATCH($N324,data!$A:$A,0)))</f>
        <v/>
      </c>
      <c r="AP324" s="38" t="str">
        <f>IF(ISNA(MATCH($N324,data!$A:$A,0)),"",INDEX(data!E:E,MATCH($N324,data!$A:$A,0)))</f>
        <v/>
      </c>
      <c r="AQ324" s="38" t="str">
        <f>IF(ISNA(MATCH($N324,data!$A:$A,0)),"",INDEX(data!F:F,MATCH($N324,data!$A:$A,0)))</f>
        <v/>
      </c>
      <c r="AR324" s="38" t="str">
        <f>IF(ISNA(MATCH($N324,data!$A:$A,0)),"",INDEX(data!G:G,MATCH($N324,data!$A:$A,0)))</f>
        <v/>
      </c>
      <c r="AS324" s="38" t="str">
        <f>IF(ISNA(MATCH($N324,data!$A:$A,0)),"",INDEX(data!H:H,MATCH($N324,data!$A:$A,0)))</f>
        <v/>
      </c>
      <c r="AT324" s="38" t="str">
        <f>IF(ISNA(MATCH($N324,data!$A:$A,0)),"",INDEX(data!I:I,MATCH($N324,data!$A:$A,0)))</f>
        <v/>
      </c>
      <c r="AU324" s="38" t="str">
        <f>IF(ISNA(MATCH($N324,[1]data!$A:$A,0)),"",INDEX([1]data!L:L,MATCH($N324,[1]data!$A:$A,0)))</f>
        <v/>
      </c>
      <c r="AV324" s="38" t="str">
        <f>IF(ISNA(MATCH($N324,[1]data!$A:$A,0)),"",INDEX([1]data!M:M,MATCH($N324,[1]data!$A:$A,0)))</f>
        <v/>
      </c>
      <c r="AW324" s="38" t="str">
        <f>IF(ISNA(MATCH($N324,data!$A:$A,0)),"",INDEX(data!J:J,MATCH($N324,data!$A:$A,0)))</f>
        <v/>
      </c>
      <c r="AX324" s="38" t="str">
        <f>IF(ISNA(MATCH($N324,data!$A:$A,0)),"",INDEX(data!K:K,MATCH($N324,data!$A:$A,0)))</f>
        <v/>
      </c>
      <c r="AY324" s="38" t="str">
        <f>IF(ISNA(MATCH($N324,data!$A:$A,0)),"",INDEX(data!O:O,MATCH($N324,data!$A:$A,0)))</f>
        <v/>
      </c>
      <c r="AZ324" s="38" t="str">
        <f>IF(ISNA(MATCH($N324,data!$A:$A,0)),"",INDEX(data!N:N,MATCH($N324,data!$A:$A,0)))</f>
        <v/>
      </c>
      <c r="BA324" s="38" t="str">
        <f>IF(ISNA(MATCH($N324,data!$A:$A,0)),"",INDEX(data!P:P,MATCH($N324,data!$A:$A,0)))</f>
        <v/>
      </c>
      <c r="BB324" s="38" t="str">
        <f>IF(ISNA(MATCH($N324,data!$A:$A,0)),"",INDEX(data!Q:Q,MATCH($N324,data!$A:$A,0)))</f>
        <v/>
      </c>
      <c r="BC324" s="38" t="str">
        <f>IF(ISNA(MATCH($N324,data!$A:$A,0)),"",INDEX(data!R:R,MATCH($N324,data!$A:$A,0)))</f>
        <v/>
      </c>
      <c r="BD324" s="38" t="str">
        <f>IF(ISNA(MATCH($N324,[1]data!$A:$A,0)),"",INDEX([1]data!U:U,MATCH($N324,[1]data!$A:$A,0)))</f>
        <v/>
      </c>
      <c r="BE324" s="61" t="e">
        <f>IF(COUNTIF([1]data!A:A,[1]!Table1[[#This Row],[UPC]])&lt;2,"","DUP")</f>
        <v>#VALUE!</v>
      </c>
      <c r="BF324" s="38" t="str">
        <f>IF(ISNA(MATCH($N324,data!$A:$A,0)),"",INDEX(data!W:W,MATCH($N324,data!$A:$A,0)))</f>
        <v/>
      </c>
    </row>
    <row r="325" spans="1:58" ht="12.75" customHeight="1">
      <c r="A325" s="35"/>
      <c r="B325" s="35"/>
      <c r="C325" s="35"/>
      <c r="D325" s="35"/>
      <c r="E325" s="67"/>
      <c r="F325" s="67"/>
      <c r="G325" s="36"/>
      <c r="H325" s="29"/>
      <c r="I325" s="78" t="str">
        <f t="shared" si="4"/>
        <v/>
      </c>
      <c r="J325" s="29"/>
      <c r="K325" s="29"/>
      <c r="L325" s="33"/>
      <c r="M325" s="33"/>
      <c r="N325" s="60"/>
      <c r="O325" s="71"/>
      <c r="P325" s="71"/>
      <c r="Q325" s="33"/>
      <c r="R325" s="31"/>
      <c r="S325" s="31"/>
      <c r="T325" s="59"/>
      <c r="U325" s="59"/>
      <c r="V325" s="59"/>
      <c r="W325" s="57">
        <f t="shared" si="5"/>
        <v>0</v>
      </c>
      <c r="X325" s="126" t="str">
        <f>IF(Table1[[#This Row],[Shipping Weight Pounds]]&gt;150,"See LTL Form","No")</f>
        <v>No</v>
      </c>
      <c r="Y325" s="28"/>
      <c r="Z325" s="33"/>
      <c r="AA325" s="34"/>
      <c r="AB325" s="30"/>
      <c r="AC325" s="30"/>
      <c r="AD325" s="32"/>
      <c r="AE325" s="32"/>
      <c r="AF325" s="2"/>
      <c r="AG325" s="2"/>
      <c r="AH325" s="2"/>
      <c r="AI325" s="2"/>
      <c r="AK325" s="73" t="str">
        <f>IF(ISNA(MATCH($N325,[1]data!$A:$A,0)),"",INDEX([1]data!S:S,MATCH($N325,[1]data!$A:$A,0)))</f>
        <v/>
      </c>
      <c r="AL325" s="73" t="str">
        <f>IF(ISNA(MATCH($N325,[1]data!$A:$A,0)),"",INDEX([1]data!V:V,MATCH($N325,[1]data!$A:$A,0)))</f>
        <v/>
      </c>
      <c r="AM325" s="38" t="str">
        <f>IF(ISNA(MATCH($N325,data!$A:$A,0)),"",INDEX(data!B:B,MATCH($N325,data!$A:$A,0)))</f>
        <v/>
      </c>
      <c r="AN325" s="38" t="str">
        <f>IF(ISNA(MATCH($N325,data!$A:$A,0)),"",INDEX(data!C:C,MATCH($N325,data!$A:$A,0)))</f>
        <v/>
      </c>
      <c r="AO325" s="38" t="str">
        <f>IF(ISNA(MATCH($N325,data!$A:$A,0)),"",INDEX(data!D:D,MATCH($N325,data!$A:$A,0)))</f>
        <v/>
      </c>
      <c r="AP325" s="38" t="str">
        <f>IF(ISNA(MATCH($N325,data!$A:$A,0)),"",INDEX(data!E:E,MATCH($N325,data!$A:$A,0)))</f>
        <v/>
      </c>
      <c r="AQ325" s="38" t="str">
        <f>IF(ISNA(MATCH($N325,data!$A:$A,0)),"",INDEX(data!F:F,MATCH($N325,data!$A:$A,0)))</f>
        <v/>
      </c>
      <c r="AR325" s="38" t="str">
        <f>IF(ISNA(MATCH($N325,data!$A:$A,0)),"",INDEX(data!G:G,MATCH($N325,data!$A:$A,0)))</f>
        <v/>
      </c>
      <c r="AS325" s="38" t="str">
        <f>IF(ISNA(MATCH($N325,data!$A:$A,0)),"",INDEX(data!H:H,MATCH($N325,data!$A:$A,0)))</f>
        <v/>
      </c>
      <c r="AT325" s="38" t="str">
        <f>IF(ISNA(MATCH($N325,data!$A:$A,0)),"",INDEX(data!I:I,MATCH($N325,data!$A:$A,0)))</f>
        <v/>
      </c>
      <c r="AU325" s="38" t="str">
        <f>IF(ISNA(MATCH($N325,[1]data!$A:$A,0)),"",INDEX([1]data!L:L,MATCH($N325,[1]data!$A:$A,0)))</f>
        <v/>
      </c>
      <c r="AV325" s="38" t="str">
        <f>IF(ISNA(MATCH($N325,[1]data!$A:$A,0)),"",INDEX([1]data!M:M,MATCH($N325,[1]data!$A:$A,0)))</f>
        <v/>
      </c>
      <c r="AW325" s="38" t="str">
        <f>IF(ISNA(MATCH($N325,data!$A:$A,0)),"",INDEX(data!J:J,MATCH($N325,data!$A:$A,0)))</f>
        <v/>
      </c>
      <c r="AX325" s="38" t="str">
        <f>IF(ISNA(MATCH($N325,data!$A:$A,0)),"",INDEX(data!K:K,MATCH($N325,data!$A:$A,0)))</f>
        <v/>
      </c>
      <c r="AY325" s="38" t="str">
        <f>IF(ISNA(MATCH($N325,data!$A:$A,0)),"",INDEX(data!O:O,MATCH($N325,data!$A:$A,0)))</f>
        <v/>
      </c>
      <c r="AZ325" s="38" t="str">
        <f>IF(ISNA(MATCH($N325,data!$A:$A,0)),"",INDEX(data!N:N,MATCH($N325,data!$A:$A,0)))</f>
        <v/>
      </c>
      <c r="BA325" s="38" t="str">
        <f>IF(ISNA(MATCH($N325,data!$A:$A,0)),"",INDEX(data!P:P,MATCH($N325,data!$A:$A,0)))</f>
        <v/>
      </c>
      <c r="BB325" s="38" t="str">
        <f>IF(ISNA(MATCH($N325,data!$A:$A,0)),"",INDEX(data!Q:Q,MATCH($N325,data!$A:$A,0)))</f>
        <v/>
      </c>
      <c r="BC325" s="38" t="str">
        <f>IF(ISNA(MATCH($N325,data!$A:$A,0)),"",INDEX(data!R:R,MATCH($N325,data!$A:$A,0)))</f>
        <v/>
      </c>
      <c r="BD325" s="38" t="str">
        <f>IF(ISNA(MATCH($N325,[1]data!$A:$A,0)),"",INDEX([1]data!U:U,MATCH($N325,[1]data!$A:$A,0)))</f>
        <v/>
      </c>
      <c r="BE325" s="61" t="e">
        <f>IF(COUNTIF([1]data!A:A,[1]!Table1[[#This Row],[UPC]])&lt;2,"","DUP")</f>
        <v>#VALUE!</v>
      </c>
      <c r="BF325" s="38" t="str">
        <f>IF(ISNA(MATCH($N325,data!$A:$A,0)),"",INDEX(data!W:W,MATCH($N325,data!$A:$A,0)))</f>
        <v/>
      </c>
    </row>
    <row r="326" spans="1:58" ht="12.75" customHeight="1">
      <c r="A326" s="35"/>
      <c r="B326" s="35"/>
      <c r="C326" s="35"/>
      <c r="D326" s="35"/>
      <c r="E326" s="67"/>
      <c r="F326" s="67"/>
      <c r="G326" s="36"/>
      <c r="H326" s="29"/>
      <c r="I326" s="78" t="str">
        <f t="shared" si="4"/>
        <v/>
      </c>
      <c r="J326" s="29"/>
      <c r="K326" s="29"/>
      <c r="L326" s="33"/>
      <c r="M326" s="33"/>
      <c r="N326" s="60"/>
      <c r="O326" s="71"/>
      <c r="P326" s="71"/>
      <c r="Q326" s="33"/>
      <c r="R326" s="31"/>
      <c r="S326" s="31"/>
      <c r="T326" s="59"/>
      <c r="U326" s="59"/>
      <c r="V326" s="59"/>
      <c r="W326" s="57">
        <f t="shared" si="5"/>
        <v>0</v>
      </c>
      <c r="X326" s="126" t="str">
        <f>IF(Table1[[#This Row],[Shipping Weight Pounds]]&gt;150,"See LTL Form","No")</f>
        <v>No</v>
      </c>
      <c r="Y326" s="28"/>
      <c r="Z326" s="33"/>
      <c r="AA326" s="34"/>
      <c r="AB326" s="30"/>
      <c r="AC326" s="30"/>
      <c r="AD326" s="32"/>
      <c r="AE326" s="32"/>
      <c r="AF326" s="2"/>
      <c r="AG326" s="2"/>
      <c r="AH326" s="2"/>
      <c r="AI326" s="2"/>
      <c r="AK326" s="73" t="str">
        <f>IF(ISNA(MATCH($N326,[1]data!$A:$A,0)),"",INDEX([1]data!S:S,MATCH($N326,[1]data!$A:$A,0)))</f>
        <v/>
      </c>
      <c r="AL326" s="73" t="str">
        <f>IF(ISNA(MATCH($N326,[1]data!$A:$A,0)),"",INDEX([1]data!V:V,MATCH($N326,[1]data!$A:$A,0)))</f>
        <v/>
      </c>
      <c r="AM326" s="38" t="str">
        <f>IF(ISNA(MATCH($N326,data!$A:$A,0)),"",INDEX(data!B:B,MATCH($N326,data!$A:$A,0)))</f>
        <v/>
      </c>
      <c r="AN326" s="38" t="str">
        <f>IF(ISNA(MATCH($N326,data!$A:$A,0)),"",INDEX(data!C:C,MATCH($N326,data!$A:$A,0)))</f>
        <v/>
      </c>
      <c r="AO326" s="38" t="str">
        <f>IF(ISNA(MATCH($N326,data!$A:$A,0)),"",INDEX(data!D:D,MATCH($N326,data!$A:$A,0)))</f>
        <v/>
      </c>
      <c r="AP326" s="38" t="str">
        <f>IF(ISNA(MATCH($N326,data!$A:$A,0)),"",INDEX(data!E:E,MATCH($N326,data!$A:$A,0)))</f>
        <v/>
      </c>
      <c r="AQ326" s="38" t="str">
        <f>IF(ISNA(MATCH($N326,data!$A:$A,0)),"",INDEX(data!F:F,MATCH($N326,data!$A:$A,0)))</f>
        <v/>
      </c>
      <c r="AR326" s="38" t="str">
        <f>IF(ISNA(MATCH($N326,data!$A:$A,0)),"",INDEX(data!G:G,MATCH($N326,data!$A:$A,0)))</f>
        <v/>
      </c>
      <c r="AS326" s="38" t="str">
        <f>IF(ISNA(MATCH($N326,data!$A:$A,0)),"",INDEX(data!H:H,MATCH($N326,data!$A:$A,0)))</f>
        <v/>
      </c>
      <c r="AT326" s="38" t="str">
        <f>IF(ISNA(MATCH($N326,data!$A:$A,0)),"",INDEX(data!I:I,MATCH($N326,data!$A:$A,0)))</f>
        <v/>
      </c>
      <c r="AU326" s="38" t="str">
        <f>IF(ISNA(MATCH($N326,[1]data!$A:$A,0)),"",INDEX([1]data!L:L,MATCH($N326,[1]data!$A:$A,0)))</f>
        <v/>
      </c>
      <c r="AV326" s="38" t="str">
        <f>IF(ISNA(MATCH($N326,[1]data!$A:$A,0)),"",INDEX([1]data!M:M,MATCH($N326,[1]data!$A:$A,0)))</f>
        <v/>
      </c>
      <c r="AW326" s="38" t="str">
        <f>IF(ISNA(MATCH($N326,data!$A:$A,0)),"",INDEX(data!J:J,MATCH($N326,data!$A:$A,0)))</f>
        <v/>
      </c>
      <c r="AX326" s="38" t="str">
        <f>IF(ISNA(MATCH($N326,data!$A:$A,0)),"",INDEX(data!K:K,MATCH($N326,data!$A:$A,0)))</f>
        <v/>
      </c>
      <c r="AY326" s="38" t="str">
        <f>IF(ISNA(MATCH($N326,data!$A:$A,0)),"",INDEX(data!O:O,MATCH($N326,data!$A:$A,0)))</f>
        <v/>
      </c>
      <c r="AZ326" s="38" t="str">
        <f>IF(ISNA(MATCH($N326,data!$A:$A,0)),"",INDEX(data!N:N,MATCH($N326,data!$A:$A,0)))</f>
        <v/>
      </c>
      <c r="BA326" s="38" t="str">
        <f>IF(ISNA(MATCH($N326,data!$A:$A,0)),"",INDEX(data!P:P,MATCH($N326,data!$A:$A,0)))</f>
        <v/>
      </c>
      <c r="BB326" s="38" t="str">
        <f>IF(ISNA(MATCH($N326,data!$A:$A,0)),"",INDEX(data!Q:Q,MATCH($N326,data!$A:$A,0)))</f>
        <v/>
      </c>
      <c r="BC326" s="38" t="str">
        <f>IF(ISNA(MATCH($N326,data!$A:$A,0)),"",INDEX(data!R:R,MATCH($N326,data!$A:$A,0)))</f>
        <v/>
      </c>
      <c r="BD326" s="38" t="str">
        <f>IF(ISNA(MATCH($N326,[1]data!$A:$A,0)),"",INDEX([1]data!U:U,MATCH($N326,[1]data!$A:$A,0)))</f>
        <v/>
      </c>
      <c r="BE326" s="61" t="e">
        <f>IF(COUNTIF([1]data!A:A,[1]!Table1[[#This Row],[UPC]])&lt;2,"","DUP")</f>
        <v>#VALUE!</v>
      </c>
      <c r="BF326" s="38" t="str">
        <f>IF(ISNA(MATCH($N326,data!$A:$A,0)),"",INDEX(data!W:W,MATCH($N326,data!$A:$A,0)))</f>
        <v/>
      </c>
    </row>
    <row r="327" spans="1:58" ht="12.75" customHeight="1">
      <c r="A327" s="35"/>
      <c r="B327" s="35"/>
      <c r="C327" s="35"/>
      <c r="D327" s="35"/>
      <c r="E327" s="67"/>
      <c r="F327" s="67"/>
      <c r="G327" s="36"/>
      <c r="H327" s="29"/>
      <c r="I327" s="78" t="str">
        <f t="shared" si="4"/>
        <v/>
      </c>
      <c r="J327" s="29"/>
      <c r="K327" s="29"/>
      <c r="L327" s="33"/>
      <c r="M327" s="33"/>
      <c r="N327" s="60"/>
      <c r="O327" s="71"/>
      <c r="P327" s="71"/>
      <c r="Q327" s="33"/>
      <c r="R327" s="31"/>
      <c r="S327" s="31"/>
      <c r="T327" s="59"/>
      <c r="U327" s="59"/>
      <c r="V327" s="59"/>
      <c r="W327" s="57">
        <f t="shared" si="5"/>
        <v>0</v>
      </c>
      <c r="X327" s="126" t="str">
        <f>IF(Table1[[#This Row],[Shipping Weight Pounds]]&gt;150,"See LTL Form","No")</f>
        <v>No</v>
      </c>
      <c r="Y327" s="28"/>
      <c r="Z327" s="33"/>
      <c r="AA327" s="34"/>
      <c r="AB327" s="30"/>
      <c r="AC327" s="30"/>
      <c r="AD327" s="32"/>
      <c r="AE327" s="32"/>
      <c r="AF327" s="2"/>
      <c r="AG327" s="2"/>
      <c r="AH327" s="2"/>
      <c r="AI327" s="2"/>
      <c r="AK327" s="73" t="str">
        <f>IF(ISNA(MATCH($N327,[1]data!$A:$A,0)),"",INDEX([1]data!S:S,MATCH($N327,[1]data!$A:$A,0)))</f>
        <v/>
      </c>
      <c r="AL327" s="73" t="str">
        <f>IF(ISNA(MATCH($N327,[1]data!$A:$A,0)),"",INDEX([1]data!V:V,MATCH($N327,[1]data!$A:$A,0)))</f>
        <v/>
      </c>
      <c r="AM327" s="38" t="str">
        <f>IF(ISNA(MATCH($N327,data!$A:$A,0)),"",INDEX(data!B:B,MATCH($N327,data!$A:$A,0)))</f>
        <v/>
      </c>
      <c r="AN327" s="38" t="str">
        <f>IF(ISNA(MATCH($N327,data!$A:$A,0)),"",INDEX(data!C:C,MATCH($N327,data!$A:$A,0)))</f>
        <v/>
      </c>
      <c r="AO327" s="38" t="str">
        <f>IF(ISNA(MATCH($N327,data!$A:$A,0)),"",INDEX(data!D:D,MATCH($N327,data!$A:$A,0)))</f>
        <v/>
      </c>
      <c r="AP327" s="38" t="str">
        <f>IF(ISNA(MATCH($N327,data!$A:$A,0)),"",INDEX(data!E:E,MATCH($N327,data!$A:$A,0)))</f>
        <v/>
      </c>
      <c r="AQ327" s="38" t="str">
        <f>IF(ISNA(MATCH($N327,data!$A:$A,0)),"",INDEX(data!F:F,MATCH($N327,data!$A:$A,0)))</f>
        <v/>
      </c>
      <c r="AR327" s="38" t="str">
        <f>IF(ISNA(MATCH($N327,data!$A:$A,0)),"",INDEX(data!G:G,MATCH($N327,data!$A:$A,0)))</f>
        <v/>
      </c>
      <c r="AS327" s="38" t="str">
        <f>IF(ISNA(MATCH($N327,data!$A:$A,0)),"",INDEX(data!H:H,MATCH($N327,data!$A:$A,0)))</f>
        <v/>
      </c>
      <c r="AT327" s="38" t="str">
        <f>IF(ISNA(MATCH($N327,data!$A:$A,0)),"",INDEX(data!I:I,MATCH($N327,data!$A:$A,0)))</f>
        <v/>
      </c>
      <c r="AU327" s="38" t="str">
        <f>IF(ISNA(MATCH($N327,[1]data!$A:$A,0)),"",INDEX([1]data!L:L,MATCH($N327,[1]data!$A:$A,0)))</f>
        <v/>
      </c>
      <c r="AV327" s="38" t="str">
        <f>IF(ISNA(MATCH($N327,[1]data!$A:$A,0)),"",INDEX([1]data!M:M,MATCH($N327,[1]data!$A:$A,0)))</f>
        <v/>
      </c>
      <c r="AW327" s="38" t="str">
        <f>IF(ISNA(MATCH($N327,data!$A:$A,0)),"",INDEX(data!J:J,MATCH($N327,data!$A:$A,0)))</f>
        <v/>
      </c>
      <c r="AX327" s="38" t="str">
        <f>IF(ISNA(MATCH($N327,data!$A:$A,0)),"",INDEX(data!K:K,MATCH($N327,data!$A:$A,0)))</f>
        <v/>
      </c>
      <c r="AY327" s="38" t="str">
        <f>IF(ISNA(MATCH($N327,data!$A:$A,0)),"",INDEX(data!O:O,MATCH($N327,data!$A:$A,0)))</f>
        <v/>
      </c>
      <c r="AZ327" s="38" t="str">
        <f>IF(ISNA(MATCH($N327,data!$A:$A,0)),"",INDEX(data!N:N,MATCH($N327,data!$A:$A,0)))</f>
        <v/>
      </c>
      <c r="BA327" s="38" t="str">
        <f>IF(ISNA(MATCH($N327,data!$A:$A,0)),"",INDEX(data!P:P,MATCH($N327,data!$A:$A,0)))</f>
        <v/>
      </c>
      <c r="BB327" s="38" t="str">
        <f>IF(ISNA(MATCH($N327,data!$A:$A,0)),"",INDEX(data!Q:Q,MATCH($N327,data!$A:$A,0)))</f>
        <v/>
      </c>
      <c r="BC327" s="38" t="str">
        <f>IF(ISNA(MATCH($N327,data!$A:$A,0)),"",INDEX(data!R:R,MATCH($N327,data!$A:$A,0)))</f>
        <v/>
      </c>
      <c r="BD327" s="38" t="str">
        <f>IF(ISNA(MATCH($N327,[1]data!$A:$A,0)),"",INDEX([1]data!U:U,MATCH($N327,[1]data!$A:$A,0)))</f>
        <v/>
      </c>
      <c r="BE327" s="61" t="e">
        <f>IF(COUNTIF([1]data!A:A,[1]!Table1[[#This Row],[UPC]])&lt;2,"","DUP")</f>
        <v>#VALUE!</v>
      </c>
      <c r="BF327" s="38" t="str">
        <f>IF(ISNA(MATCH($N327,data!$A:$A,0)),"",INDEX(data!W:W,MATCH($N327,data!$A:$A,0)))</f>
        <v/>
      </c>
    </row>
    <row r="328" spans="1:58" ht="12.75" customHeight="1">
      <c r="A328" s="35"/>
      <c r="B328" s="35"/>
      <c r="C328" s="35"/>
      <c r="D328" s="35"/>
      <c r="E328" s="67"/>
      <c r="F328" s="67"/>
      <c r="G328" s="36"/>
      <c r="H328" s="29"/>
      <c r="I328" s="78" t="str">
        <f t="shared" ref="I328:I391" si="6">IF(H328&lt;&gt;0,(H328-G328)/H328,"")</f>
        <v/>
      </c>
      <c r="J328" s="29"/>
      <c r="K328" s="29"/>
      <c r="L328" s="33"/>
      <c r="M328" s="33"/>
      <c r="N328" s="60"/>
      <c r="O328" s="71"/>
      <c r="P328" s="71"/>
      <c r="Q328" s="33"/>
      <c r="R328" s="31"/>
      <c r="S328" s="31"/>
      <c r="T328" s="59"/>
      <c r="U328" s="59"/>
      <c r="V328" s="59"/>
      <c r="W328" s="57">
        <f t="shared" ref="W328:W391" si="7">IF(ISERR(Q328*R328*S328),"",(Q328*R328*S328))</f>
        <v>0</v>
      </c>
      <c r="X328" s="126" t="str">
        <f>IF(Table1[[#This Row],[Shipping Weight Pounds]]&gt;150,"See LTL Form","No")</f>
        <v>No</v>
      </c>
      <c r="Y328" s="28"/>
      <c r="Z328" s="33"/>
      <c r="AA328" s="34"/>
      <c r="AB328" s="30"/>
      <c r="AC328" s="30"/>
      <c r="AD328" s="32"/>
      <c r="AE328" s="32"/>
      <c r="AF328" s="2"/>
      <c r="AG328" s="2"/>
      <c r="AH328" s="2"/>
      <c r="AI328" s="2"/>
      <c r="AK328" s="73" t="str">
        <f>IF(ISNA(MATCH($N328,[1]data!$A:$A,0)),"",INDEX([1]data!S:S,MATCH($N328,[1]data!$A:$A,0)))</f>
        <v/>
      </c>
      <c r="AL328" s="73" t="str">
        <f>IF(ISNA(MATCH($N328,[1]data!$A:$A,0)),"",INDEX([1]data!V:V,MATCH($N328,[1]data!$A:$A,0)))</f>
        <v/>
      </c>
      <c r="AM328" s="38" t="str">
        <f>IF(ISNA(MATCH($N328,data!$A:$A,0)),"",INDEX(data!B:B,MATCH($N328,data!$A:$A,0)))</f>
        <v/>
      </c>
      <c r="AN328" s="38" t="str">
        <f>IF(ISNA(MATCH($N328,data!$A:$A,0)),"",INDEX(data!C:C,MATCH($N328,data!$A:$A,0)))</f>
        <v/>
      </c>
      <c r="AO328" s="38" t="str">
        <f>IF(ISNA(MATCH($N328,data!$A:$A,0)),"",INDEX(data!D:D,MATCH($N328,data!$A:$A,0)))</f>
        <v/>
      </c>
      <c r="AP328" s="38" t="str">
        <f>IF(ISNA(MATCH($N328,data!$A:$A,0)),"",INDEX(data!E:E,MATCH($N328,data!$A:$A,0)))</f>
        <v/>
      </c>
      <c r="AQ328" s="38" t="str">
        <f>IF(ISNA(MATCH($N328,data!$A:$A,0)),"",INDEX(data!F:F,MATCH($N328,data!$A:$A,0)))</f>
        <v/>
      </c>
      <c r="AR328" s="38" t="str">
        <f>IF(ISNA(MATCH($N328,data!$A:$A,0)),"",INDEX(data!G:G,MATCH($N328,data!$A:$A,0)))</f>
        <v/>
      </c>
      <c r="AS328" s="38" t="str">
        <f>IF(ISNA(MATCH($N328,data!$A:$A,0)),"",INDEX(data!H:H,MATCH($N328,data!$A:$A,0)))</f>
        <v/>
      </c>
      <c r="AT328" s="38" t="str">
        <f>IF(ISNA(MATCH($N328,data!$A:$A,0)),"",INDEX(data!I:I,MATCH($N328,data!$A:$A,0)))</f>
        <v/>
      </c>
      <c r="AU328" s="38" t="str">
        <f>IF(ISNA(MATCH($N328,[1]data!$A:$A,0)),"",INDEX([1]data!L:L,MATCH($N328,[1]data!$A:$A,0)))</f>
        <v/>
      </c>
      <c r="AV328" s="38" t="str">
        <f>IF(ISNA(MATCH($N328,[1]data!$A:$A,0)),"",INDEX([1]data!M:M,MATCH($N328,[1]data!$A:$A,0)))</f>
        <v/>
      </c>
      <c r="AW328" s="38" t="str">
        <f>IF(ISNA(MATCH($N328,data!$A:$A,0)),"",INDEX(data!J:J,MATCH($N328,data!$A:$A,0)))</f>
        <v/>
      </c>
      <c r="AX328" s="38" t="str">
        <f>IF(ISNA(MATCH($N328,data!$A:$A,0)),"",INDEX(data!K:K,MATCH($N328,data!$A:$A,0)))</f>
        <v/>
      </c>
      <c r="AY328" s="38" t="str">
        <f>IF(ISNA(MATCH($N328,data!$A:$A,0)),"",INDEX(data!O:O,MATCH($N328,data!$A:$A,0)))</f>
        <v/>
      </c>
      <c r="AZ328" s="38" t="str">
        <f>IF(ISNA(MATCH($N328,data!$A:$A,0)),"",INDEX(data!N:N,MATCH($N328,data!$A:$A,0)))</f>
        <v/>
      </c>
      <c r="BA328" s="38" t="str">
        <f>IF(ISNA(MATCH($N328,data!$A:$A,0)),"",INDEX(data!P:P,MATCH($N328,data!$A:$A,0)))</f>
        <v/>
      </c>
      <c r="BB328" s="38" t="str">
        <f>IF(ISNA(MATCH($N328,data!$A:$A,0)),"",INDEX(data!Q:Q,MATCH($N328,data!$A:$A,0)))</f>
        <v/>
      </c>
      <c r="BC328" s="38" t="str">
        <f>IF(ISNA(MATCH($N328,data!$A:$A,0)),"",INDEX(data!R:R,MATCH($N328,data!$A:$A,0)))</f>
        <v/>
      </c>
      <c r="BD328" s="38" t="str">
        <f>IF(ISNA(MATCH($N328,[1]data!$A:$A,0)),"",INDEX([1]data!U:U,MATCH($N328,[1]data!$A:$A,0)))</f>
        <v/>
      </c>
      <c r="BE328" s="61" t="e">
        <f>IF(COUNTIF([1]data!A:A,[1]!Table1[[#This Row],[UPC]])&lt;2,"","DUP")</f>
        <v>#VALUE!</v>
      </c>
      <c r="BF328" s="38" t="str">
        <f>IF(ISNA(MATCH($N328,data!$A:$A,0)),"",INDEX(data!W:W,MATCH($N328,data!$A:$A,0)))</f>
        <v/>
      </c>
    </row>
    <row r="329" spans="1:58" ht="12.75" customHeight="1">
      <c r="A329" s="35"/>
      <c r="B329" s="35"/>
      <c r="C329" s="35"/>
      <c r="D329" s="35"/>
      <c r="E329" s="67"/>
      <c r="F329" s="67"/>
      <c r="G329" s="36"/>
      <c r="H329" s="29"/>
      <c r="I329" s="78" t="str">
        <f t="shared" si="6"/>
        <v/>
      </c>
      <c r="J329" s="29"/>
      <c r="K329" s="29"/>
      <c r="L329" s="33"/>
      <c r="M329" s="33"/>
      <c r="N329" s="60"/>
      <c r="O329" s="71"/>
      <c r="P329" s="71"/>
      <c r="Q329" s="33"/>
      <c r="R329" s="31"/>
      <c r="S329" s="31"/>
      <c r="T329" s="59"/>
      <c r="U329" s="59"/>
      <c r="V329" s="59"/>
      <c r="W329" s="57">
        <f t="shared" si="7"/>
        <v>0</v>
      </c>
      <c r="X329" s="126" t="str">
        <f>IF(Table1[[#This Row],[Shipping Weight Pounds]]&gt;150,"See LTL Form","No")</f>
        <v>No</v>
      </c>
      <c r="Y329" s="28"/>
      <c r="Z329" s="33"/>
      <c r="AA329" s="34"/>
      <c r="AB329" s="30"/>
      <c r="AC329" s="30"/>
      <c r="AD329" s="32"/>
      <c r="AE329" s="32"/>
      <c r="AF329" s="2"/>
      <c r="AG329" s="2"/>
      <c r="AH329" s="2"/>
      <c r="AI329" s="2"/>
      <c r="AK329" s="73" t="str">
        <f>IF(ISNA(MATCH($N329,[1]data!$A:$A,0)),"",INDEX([1]data!S:S,MATCH($N329,[1]data!$A:$A,0)))</f>
        <v/>
      </c>
      <c r="AL329" s="73" t="str">
        <f>IF(ISNA(MATCH($N329,[1]data!$A:$A,0)),"",INDEX([1]data!V:V,MATCH($N329,[1]data!$A:$A,0)))</f>
        <v/>
      </c>
      <c r="AM329" s="38" t="str">
        <f>IF(ISNA(MATCH($N329,data!$A:$A,0)),"",INDEX(data!B:B,MATCH($N329,data!$A:$A,0)))</f>
        <v/>
      </c>
      <c r="AN329" s="38" t="str">
        <f>IF(ISNA(MATCH($N329,data!$A:$A,0)),"",INDEX(data!C:C,MATCH($N329,data!$A:$A,0)))</f>
        <v/>
      </c>
      <c r="AO329" s="38" t="str">
        <f>IF(ISNA(MATCH($N329,data!$A:$A,0)),"",INDEX(data!D:D,MATCH($N329,data!$A:$A,0)))</f>
        <v/>
      </c>
      <c r="AP329" s="38" t="str">
        <f>IF(ISNA(MATCH($N329,data!$A:$A,0)),"",INDEX(data!E:E,MATCH($N329,data!$A:$A,0)))</f>
        <v/>
      </c>
      <c r="AQ329" s="38" t="str">
        <f>IF(ISNA(MATCH($N329,data!$A:$A,0)),"",INDEX(data!F:F,MATCH($N329,data!$A:$A,0)))</f>
        <v/>
      </c>
      <c r="AR329" s="38" t="str">
        <f>IF(ISNA(MATCH($N329,data!$A:$A,0)),"",INDEX(data!G:G,MATCH($N329,data!$A:$A,0)))</f>
        <v/>
      </c>
      <c r="AS329" s="38" t="str">
        <f>IF(ISNA(MATCH($N329,data!$A:$A,0)),"",INDEX(data!H:H,MATCH($N329,data!$A:$A,0)))</f>
        <v/>
      </c>
      <c r="AT329" s="38" t="str">
        <f>IF(ISNA(MATCH($N329,data!$A:$A,0)),"",INDEX(data!I:I,MATCH($N329,data!$A:$A,0)))</f>
        <v/>
      </c>
      <c r="AU329" s="38" t="str">
        <f>IF(ISNA(MATCH($N329,[1]data!$A:$A,0)),"",INDEX([1]data!L:L,MATCH($N329,[1]data!$A:$A,0)))</f>
        <v/>
      </c>
      <c r="AV329" s="38" t="str">
        <f>IF(ISNA(MATCH($N329,[1]data!$A:$A,0)),"",INDEX([1]data!M:M,MATCH($N329,[1]data!$A:$A,0)))</f>
        <v/>
      </c>
      <c r="AW329" s="38" t="str">
        <f>IF(ISNA(MATCH($N329,data!$A:$A,0)),"",INDEX(data!J:J,MATCH($N329,data!$A:$A,0)))</f>
        <v/>
      </c>
      <c r="AX329" s="38" t="str">
        <f>IF(ISNA(MATCH($N329,data!$A:$A,0)),"",INDEX(data!K:K,MATCH($N329,data!$A:$A,0)))</f>
        <v/>
      </c>
      <c r="AY329" s="38" t="str">
        <f>IF(ISNA(MATCH($N329,data!$A:$A,0)),"",INDEX(data!O:O,MATCH($N329,data!$A:$A,0)))</f>
        <v/>
      </c>
      <c r="AZ329" s="38" t="str">
        <f>IF(ISNA(MATCH($N329,data!$A:$A,0)),"",INDEX(data!N:N,MATCH($N329,data!$A:$A,0)))</f>
        <v/>
      </c>
      <c r="BA329" s="38" t="str">
        <f>IF(ISNA(MATCH($N329,data!$A:$A,0)),"",INDEX(data!P:P,MATCH($N329,data!$A:$A,0)))</f>
        <v/>
      </c>
      <c r="BB329" s="38" t="str">
        <f>IF(ISNA(MATCH($N329,data!$A:$A,0)),"",INDEX(data!Q:Q,MATCH($N329,data!$A:$A,0)))</f>
        <v/>
      </c>
      <c r="BC329" s="38" t="str">
        <f>IF(ISNA(MATCH($N329,data!$A:$A,0)),"",INDEX(data!R:R,MATCH($N329,data!$A:$A,0)))</f>
        <v/>
      </c>
      <c r="BD329" s="38" t="str">
        <f>IF(ISNA(MATCH($N329,[1]data!$A:$A,0)),"",INDEX([1]data!U:U,MATCH($N329,[1]data!$A:$A,0)))</f>
        <v/>
      </c>
      <c r="BE329" s="61" t="e">
        <f>IF(COUNTIF([1]data!A:A,[1]!Table1[[#This Row],[UPC]])&lt;2,"","DUP")</f>
        <v>#VALUE!</v>
      </c>
      <c r="BF329" s="38" t="str">
        <f>IF(ISNA(MATCH($N329,data!$A:$A,0)),"",INDEX(data!W:W,MATCH($N329,data!$A:$A,0)))</f>
        <v/>
      </c>
    </row>
    <row r="330" spans="1:58" s="37" customFormat="1" ht="12.75" customHeight="1">
      <c r="A330" s="35"/>
      <c r="B330" s="35"/>
      <c r="C330" s="35"/>
      <c r="D330" s="35"/>
      <c r="E330" s="67"/>
      <c r="F330" s="67"/>
      <c r="G330" s="36"/>
      <c r="H330" s="29"/>
      <c r="I330" s="78" t="str">
        <f t="shared" si="6"/>
        <v/>
      </c>
      <c r="J330" s="29"/>
      <c r="K330" s="29"/>
      <c r="L330" s="33"/>
      <c r="M330" s="33"/>
      <c r="N330" s="60"/>
      <c r="O330" s="71"/>
      <c r="P330" s="71"/>
      <c r="Q330" s="33"/>
      <c r="R330" s="31"/>
      <c r="S330" s="31"/>
      <c r="T330" s="59"/>
      <c r="U330" s="59"/>
      <c r="V330" s="59"/>
      <c r="W330" s="57">
        <f t="shared" si="7"/>
        <v>0</v>
      </c>
      <c r="X330" s="126" t="str">
        <f>IF(Table1[[#This Row],[Shipping Weight Pounds]]&gt;150,"See LTL Form","No")</f>
        <v>No</v>
      </c>
      <c r="Y330" s="28"/>
      <c r="Z330" s="33"/>
      <c r="AA330" s="34"/>
      <c r="AB330" s="30"/>
      <c r="AC330" s="30"/>
      <c r="AD330" s="32"/>
      <c r="AE330" s="32"/>
      <c r="AF330" s="2"/>
      <c r="AG330" s="2"/>
      <c r="AH330" s="2"/>
      <c r="AI330" s="2"/>
      <c r="AJ330" s="45"/>
      <c r="AK330" s="73" t="str">
        <f>IF(ISNA(MATCH($N330,[1]data!$A:$A,0)),"",INDEX([1]data!S:S,MATCH($N330,[1]data!$A:$A,0)))</f>
        <v/>
      </c>
      <c r="AL330" s="73" t="str">
        <f>IF(ISNA(MATCH($N330,[1]data!$A:$A,0)),"",INDEX([1]data!V:V,MATCH($N330,[1]data!$A:$A,0)))</f>
        <v/>
      </c>
      <c r="AM330" s="38" t="str">
        <f>IF(ISNA(MATCH($N330,data!$A:$A,0)),"",INDEX(data!B:B,MATCH($N330,data!$A:$A,0)))</f>
        <v/>
      </c>
      <c r="AN330" s="38" t="str">
        <f>IF(ISNA(MATCH($N330,data!$A:$A,0)),"",INDEX(data!C:C,MATCH($N330,data!$A:$A,0)))</f>
        <v/>
      </c>
      <c r="AO330" s="38" t="str">
        <f>IF(ISNA(MATCH($N330,data!$A:$A,0)),"",INDEX(data!D:D,MATCH($N330,data!$A:$A,0)))</f>
        <v/>
      </c>
      <c r="AP330" s="38" t="str">
        <f>IF(ISNA(MATCH($N330,data!$A:$A,0)),"",INDEX(data!E:E,MATCH($N330,data!$A:$A,0)))</f>
        <v/>
      </c>
      <c r="AQ330" s="38" t="str">
        <f>IF(ISNA(MATCH($N330,data!$A:$A,0)),"",INDEX(data!F:F,MATCH($N330,data!$A:$A,0)))</f>
        <v/>
      </c>
      <c r="AR330" s="38" t="str">
        <f>IF(ISNA(MATCH($N330,data!$A:$A,0)),"",INDEX(data!G:G,MATCH($N330,data!$A:$A,0)))</f>
        <v/>
      </c>
      <c r="AS330" s="38" t="str">
        <f>IF(ISNA(MATCH($N330,data!$A:$A,0)),"",INDEX(data!H:H,MATCH($N330,data!$A:$A,0)))</f>
        <v/>
      </c>
      <c r="AT330" s="38" t="str">
        <f>IF(ISNA(MATCH($N330,data!$A:$A,0)),"",INDEX(data!I:I,MATCH($N330,data!$A:$A,0)))</f>
        <v/>
      </c>
      <c r="AU330" s="38" t="str">
        <f>IF(ISNA(MATCH($N330,[1]data!$A:$A,0)),"",INDEX([1]data!L:L,MATCH($N330,[1]data!$A:$A,0)))</f>
        <v/>
      </c>
      <c r="AV330" s="38" t="str">
        <f>IF(ISNA(MATCH($N330,[1]data!$A:$A,0)),"",INDEX([1]data!M:M,MATCH($N330,[1]data!$A:$A,0)))</f>
        <v/>
      </c>
      <c r="AW330" s="38" t="str">
        <f>IF(ISNA(MATCH($N330,data!$A:$A,0)),"",INDEX(data!J:J,MATCH($N330,data!$A:$A,0)))</f>
        <v/>
      </c>
      <c r="AX330" s="38" t="str">
        <f>IF(ISNA(MATCH($N330,data!$A:$A,0)),"",INDEX(data!K:K,MATCH($N330,data!$A:$A,0)))</f>
        <v/>
      </c>
      <c r="AY330" s="38" t="str">
        <f>IF(ISNA(MATCH($N330,data!$A:$A,0)),"",INDEX(data!O:O,MATCH($N330,data!$A:$A,0)))</f>
        <v/>
      </c>
      <c r="AZ330" s="38" t="str">
        <f>IF(ISNA(MATCH($N330,data!$A:$A,0)),"",INDEX(data!N:N,MATCH($N330,data!$A:$A,0)))</f>
        <v/>
      </c>
      <c r="BA330" s="38" t="str">
        <f>IF(ISNA(MATCH($N330,data!$A:$A,0)),"",INDEX(data!P:P,MATCH($N330,data!$A:$A,0)))</f>
        <v/>
      </c>
      <c r="BB330" s="38" t="str">
        <f>IF(ISNA(MATCH($N330,data!$A:$A,0)),"",INDEX(data!Q:Q,MATCH($N330,data!$A:$A,0)))</f>
        <v/>
      </c>
      <c r="BC330" s="38" t="str">
        <f>IF(ISNA(MATCH($N330,data!$A:$A,0)),"",INDEX(data!R:R,MATCH($N330,data!$A:$A,0)))</f>
        <v/>
      </c>
      <c r="BD330" s="38" t="str">
        <f>IF(ISNA(MATCH($N330,[1]data!$A:$A,0)),"",INDEX([1]data!U:U,MATCH($N330,[1]data!$A:$A,0)))</f>
        <v/>
      </c>
      <c r="BE330" s="61" t="e">
        <f>IF(COUNTIF([1]data!A:A,[1]!Table1[[#This Row],[UPC]])&lt;2,"","DUP")</f>
        <v>#VALUE!</v>
      </c>
      <c r="BF330" s="38" t="str">
        <f>IF(ISNA(MATCH($N330,data!$A:$A,0)),"",INDEX(data!W:W,MATCH($N330,data!$A:$A,0)))</f>
        <v/>
      </c>
    </row>
    <row r="331" spans="1:58" s="37" customFormat="1" ht="12.75" customHeight="1">
      <c r="A331" s="35"/>
      <c r="B331" s="35"/>
      <c r="C331" s="35"/>
      <c r="D331" s="35"/>
      <c r="E331" s="67"/>
      <c r="F331" s="67"/>
      <c r="G331" s="36"/>
      <c r="H331" s="29"/>
      <c r="I331" s="78" t="str">
        <f t="shared" si="6"/>
        <v/>
      </c>
      <c r="J331" s="29"/>
      <c r="K331" s="29"/>
      <c r="L331" s="33"/>
      <c r="M331" s="33"/>
      <c r="N331" s="60"/>
      <c r="O331" s="71"/>
      <c r="P331" s="71"/>
      <c r="Q331" s="33"/>
      <c r="R331" s="31"/>
      <c r="S331" s="31"/>
      <c r="T331" s="59"/>
      <c r="U331" s="59"/>
      <c r="V331" s="59"/>
      <c r="W331" s="57">
        <f t="shared" si="7"/>
        <v>0</v>
      </c>
      <c r="X331" s="126" t="str">
        <f>IF(Table1[[#This Row],[Shipping Weight Pounds]]&gt;150,"See LTL Form","No")</f>
        <v>No</v>
      </c>
      <c r="Y331" s="28"/>
      <c r="Z331" s="33"/>
      <c r="AA331" s="34"/>
      <c r="AB331" s="30"/>
      <c r="AC331" s="30"/>
      <c r="AD331" s="32"/>
      <c r="AE331" s="32"/>
      <c r="AF331" s="2"/>
      <c r="AG331" s="2"/>
      <c r="AH331" s="2"/>
      <c r="AI331" s="2"/>
      <c r="AJ331" s="45"/>
      <c r="AK331" s="73" t="str">
        <f>IF(ISNA(MATCH($N331,[1]data!$A:$A,0)),"",INDEX([1]data!S:S,MATCH($N331,[1]data!$A:$A,0)))</f>
        <v/>
      </c>
      <c r="AL331" s="73" t="str">
        <f>IF(ISNA(MATCH($N331,[1]data!$A:$A,0)),"",INDEX([1]data!V:V,MATCH($N331,[1]data!$A:$A,0)))</f>
        <v/>
      </c>
      <c r="AM331" s="38" t="str">
        <f>IF(ISNA(MATCH($N331,data!$A:$A,0)),"",INDEX(data!B:B,MATCH($N331,data!$A:$A,0)))</f>
        <v/>
      </c>
      <c r="AN331" s="38" t="str">
        <f>IF(ISNA(MATCH($N331,data!$A:$A,0)),"",INDEX(data!C:C,MATCH($N331,data!$A:$A,0)))</f>
        <v/>
      </c>
      <c r="AO331" s="38" t="str">
        <f>IF(ISNA(MATCH($N331,data!$A:$A,0)),"",INDEX(data!D:D,MATCH($N331,data!$A:$A,0)))</f>
        <v/>
      </c>
      <c r="AP331" s="38" t="str">
        <f>IF(ISNA(MATCH($N331,data!$A:$A,0)),"",INDEX(data!E:E,MATCH($N331,data!$A:$A,0)))</f>
        <v/>
      </c>
      <c r="AQ331" s="38" t="str">
        <f>IF(ISNA(MATCH($N331,data!$A:$A,0)),"",INDEX(data!F:F,MATCH($N331,data!$A:$A,0)))</f>
        <v/>
      </c>
      <c r="AR331" s="38" t="str">
        <f>IF(ISNA(MATCH($N331,data!$A:$A,0)),"",INDEX(data!G:G,MATCH($N331,data!$A:$A,0)))</f>
        <v/>
      </c>
      <c r="AS331" s="38" t="str">
        <f>IF(ISNA(MATCH($N331,data!$A:$A,0)),"",INDEX(data!H:H,MATCH($N331,data!$A:$A,0)))</f>
        <v/>
      </c>
      <c r="AT331" s="38" t="str">
        <f>IF(ISNA(MATCH($N331,data!$A:$A,0)),"",INDEX(data!I:I,MATCH($N331,data!$A:$A,0)))</f>
        <v/>
      </c>
      <c r="AU331" s="38" t="str">
        <f>IF(ISNA(MATCH($N331,[1]data!$A:$A,0)),"",INDEX([1]data!L:L,MATCH($N331,[1]data!$A:$A,0)))</f>
        <v/>
      </c>
      <c r="AV331" s="38" t="str">
        <f>IF(ISNA(MATCH($N331,[1]data!$A:$A,0)),"",INDEX([1]data!M:M,MATCH($N331,[1]data!$A:$A,0)))</f>
        <v/>
      </c>
      <c r="AW331" s="38" t="str">
        <f>IF(ISNA(MATCH($N331,data!$A:$A,0)),"",INDEX(data!J:J,MATCH($N331,data!$A:$A,0)))</f>
        <v/>
      </c>
      <c r="AX331" s="38" t="str">
        <f>IF(ISNA(MATCH($N331,data!$A:$A,0)),"",INDEX(data!K:K,MATCH($N331,data!$A:$A,0)))</f>
        <v/>
      </c>
      <c r="AY331" s="38" t="str">
        <f>IF(ISNA(MATCH($N331,data!$A:$A,0)),"",INDEX(data!O:O,MATCH($N331,data!$A:$A,0)))</f>
        <v/>
      </c>
      <c r="AZ331" s="38" t="str">
        <f>IF(ISNA(MATCH($N331,data!$A:$A,0)),"",INDEX(data!N:N,MATCH($N331,data!$A:$A,0)))</f>
        <v/>
      </c>
      <c r="BA331" s="38" t="str">
        <f>IF(ISNA(MATCH($N331,data!$A:$A,0)),"",INDEX(data!P:P,MATCH($N331,data!$A:$A,0)))</f>
        <v/>
      </c>
      <c r="BB331" s="38" t="str">
        <f>IF(ISNA(MATCH($N331,data!$A:$A,0)),"",INDEX(data!Q:Q,MATCH($N331,data!$A:$A,0)))</f>
        <v/>
      </c>
      <c r="BC331" s="38" t="str">
        <f>IF(ISNA(MATCH($N331,data!$A:$A,0)),"",INDEX(data!R:R,MATCH($N331,data!$A:$A,0)))</f>
        <v/>
      </c>
      <c r="BD331" s="38" t="str">
        <f>IF(ISNA(MATCH($N331,[1]data!$A:$A,0)),"",INDEX([1]data!U:U,MATCH($N331,[1]data!$A:$A,0)))</f>
        <v/>
      </c>
      <c r="BE331" s="61" t="e">
        <f>IF(COUNTIF([1]data!A:A,[1]!Table1[[#This Row],[UPC]])&lt;2,"","DUP")</f>
        <v>#VALUE!</v>
      </c>
      <c r="BF331" s="38" t="str">
        <f>IF(ISNA(MATCH($N331,data!$A:$A,0)),"",INDEX(data!W:W,MATCH($N331,data!$A:$A,0)))</f>
        <v/>
      </c>
    </row>
    <row r="332" spans="1:58" s="37" customFormat="1" ht="12.75" customHeight="1">
      <c r="A332" s="35"/>
      <c r="B332" s="35"/>
      <c r="C332" s="35"/>
      <c r="D332" s="35"/>
      <c r="E332" s="67"/>
      <c r="F332" s="67"/>
      <c r="G332" s="36"/>
      <c r="H332" s="29"/>
      <c r="I332" s="78" t="str">
        <f t="shared" si="6"/>
        <v/>
      </c>
      <c r="J332" s="29"/>
      <c r="K332" s="29"/>
      <c r="L332" s="33"/>
      <c r="M332" s="33"/>
      <c r="N332" s="60"/>
      <c r="O332" s="71"/>
      <c r="P332" s="71"/>
      <c r="Q332" s="33"/>
      <c r="R332" s="31"/>
      <c r="S332" s="31"/>
      <c r="T332" s="59"/>
      <c r="U332" s="59"/>
      <c r="V332" s="59"/>
      <c r="W332" s="57">
        <f t="shared" si="7"/>
        <v>0</v>
      </c>
      <c r="X332" s="126" t="str">
        <f>IF(Table1[[#This Row],[Shipping Weight Pounds]]&gt;150,"See LTL Form","No")</f>
        <v>No</v>
      </c>
      <c r="Y332" s="28"/>
      <c r="Z332" s="33"/>
      <c r="AA332" s="34"/>
      <c r="AB332" s="30"/>
      <c r="AC332" s="30"/>
      <c r="AD332" s="32"/>
      <c r="AE332" s="32"/>
      <c r="AF332" s="2"/>
      <c r="AG332" s="2"/>
      <c r="AH332" s="2"/>
      <c r="AI332" s="2"/>
      <c r="AJ332" s="45"/>
      <c r="AK332" s="73" t="str">
        <f>IF(ISNA(MATCH($N332,[1]data!$A:$A,0)),"",INDEX([1]data!S:S,MATCH($N332,[1]data!$A:$A,0)))</f>
        <v/>
      </c>
      <c r="AL332" s="73" t="str">
        <f>IF(ISNA(MATCH($N332,[1]data!$A:$A,0)),"",INDEX([1]data!V:V,MATCH($N332,[1]data!$A:$A,0)))</f>
        <v/>
      </c>
      <c r="AM332" s="38" t="str">
        <f>IF(ISNA(MATCH($N332,data!$A:$A,0)),"",INDEX(data!B:B,MATCH($N332,data!$A:$A,0)))</f>
        <v/>
      </c>
      <c r="AN332" s="38" t="str">
        <f>IF(ISNA(MATCH($N332,data!$A:$A,0)),"",INDEX(data!C:C,MATCH($N332,data!$A:$A,0)))</f>
        <v/>
      </c>
      <c r="AO332" s="38" t="str">
        <f>IF(ISNA(MATCH($N332,data!$A:$A,0)),"",INDEX(data!D:D,MATCH($N332,data!$A:$A,0)))</f>
        <v/>
      </c>
      <c r="AP332" s="38" t="str">
        <f>IF(ISNA(MATCH($N332,data!$A:$A,0)),"",INDEX(data!E:E,MATCH($N332,data!$A:$A,0)))</f>
        <v/>
      </c>
      <c r="AQ332" s="38" t="str">
        <f>IF(ISNA(MATCH($N332,data!$A:$A,0)),"",INDEX(data!F:F,MATCH($N332,data!$A:$A,0)))</f>
        <v/>
      </c>
      <c r="AR332" s="38" t="str">
        <f>IF(ISNA(MATCH($N332,data!$A:$A,0)),"",INDEX(data!G:G,MATCH($N332,data!$A:$A,0)))</f>
        <v/>
      </c>
      <c r="AS332" s="38" t="str">
        <f>IF(ISNA(MATCH($N332,data!$A:$A,0)),"",INDEX(data!H:H,MATCH($N332,data!$A:$A,0)))</f>
        <v/>
      </c>
      <c r="AT332" s="38" t="str">
        <f>IF(ISNA(MATCH($N332,data!$A:$A,0)),"",INDEX(data!I:I,MATCH($N332,data!$A:$A,0)))</f>
        <v/>
      </c>
      <c r="AU332" s="38" t="str">
        <f>IF(ISNA(MATCH($N332,[1]data!$A:$A,0)),"",INDEX([1]data!L:L,MATCH($N332,[1]data!$A:$A,0)))</f>
        <v/>
      </c>
      <c r="AV332" s="38" t="str">
        <f>IF(ISNA(MATCH($N332,[1]data!$A:$A,0)),"",INDEX([1]data!M:M,MATCH($N332,[1]data!$A:$A,0)))</f>
        <v/>
      </c>
      <c r="AW332" s="38" t="str">
        <f>IF(ISNA(MATCH($N332,data!$A:$A,0)),"",INDEX(data!J:J,MATCH($N332,data!$A:$A,0)))</f>
        <v/>
      </c>
      <c r="AX332" s="38" t="str">
        <f>IF(ISNA(MATCH($N332,data!$A:$A,0)),"",INDEX(data!K:K,MATCH($N332,data!$A:$A,0)))</f>
        <v/>
      </c>
      <c r="AY332" s="38" t="str">
        <f>IF(ISNA(MATCH($N332,data!$A:$A,0)),"",INDEX(data!O:O,MATCH($N332,data!$A:$A,0)))</f>
        <v/>
      </c>
      <c r="AZ332" s="38" t="str">
        <f>IF(ISNA(MATCH($N332,data!$A:$A,0)),"",INDEX(data!N:N,MATCH($N332,data!$A:$A,0)))</f>
        <v/>
      </c>
      <c r="BA332" s="38" t="str">
        <f>IF(ISNA(MATCH($N332,data!$A:$A,0)),"",INDEX(data!P:P,MATCH($N332,data!$A:$A,0)))</f>
        <v/>
      </c>
      <c r="BB332" s="38" t="str">
        <f>IF(ISNA(MATCH($N332,data!$A:$A,0)),"",INDEX(data!Q:Q,MATCH($N332,data!$A:$A,0)))</f>
        <v/>
      </c>
      <c r="BC332" s="38" t="str">
        <f>IF(ISNA(MATCH($N332,data!$A:$A,0)),"",INDEX(data!R:R,MATCH($N332,data!$A:$A,0)))</f>
        <v/>
      </c>
      <c r="BD332" s="38" t="str">
        <f>IF(ISNA(MATCH($N332,[1]data!$A:$A,0)),"",INDEX([1]data!U:U,MATCH($N332,[1]data!$A:$A,0)))</f>
        <v/>
      </c>
      <c r="BE332" s="61" t="e">
        <f>IF(COUNTIF([1]data!A:A,[1]!Table1[[#This Row],[UPC]])&lt;2,"","DUP")</f>
        <v>#VALUE!</v>
      </c>
      <c r="BF332" s="38" t="str">
        <f>IF(ISNA(MATCH($N332,data!$A:$A,0)),"",INDEX(data!W:W,MATCH($N332,data!$A:$A,0)))</f>
        <v/>
      </c>
    </row>
    <row r="333" spans="1:58" s="37" customFormat="1" ht="12.75" customHeight="1">
      <c r="A333" s="35"/>
      <c r="B333" s="35"/>
      <c r="C333" s="35"/>
      <c r="D333" s="35"/>
      <c r="E333" s="67"/>
      <c r="F333" s="67"/>
      <c r="G333" s="36"/>
      <c r="H333" s="29"/>
      <c r="I333" s="78" t="str">
        <f t="shared" si="6"/>
        <v/>
      </c>
      <c r="J333" s="29"/>
      <c r="K333" s="29"/>
      <c r="L333" s="33"/>
      <c r="M333" s="33"/>
      <c r="N333" s="60"/>
      <c r="O333" s="71"/>
      <c r="P333" s="71"/>
      <c r="Q333" s="33"/>
      <c r="R333" s="31"/>
      <c r="S333" s="31"/>
      <c r="T333" s="59"/>
      <c r="U333" s="59"/>
      <c r="V333" s="59"/>
      <c r="W333" s="57">
        <f t="shared" si="7"/>
        <v>0</v>
      </c>
      <c r="X333" s="126" t="str">
        <f>IF(Table1[[#This Row],[Shipping Weight Pounds]]&gt;150,"See LTL Form","No")</f>
        <v>No</v>
      </c>
      <c r="Y333" s="28"/>
      <c r="Z333" s="33"/>
      <c r="AA333" s="34"/>
      <c r="AB333" s="30"/>
      <c r="AC333" s="30"/>
      <c r="AD333" s="32"/>
      <c r="AE333" s="32"/>
      <c r="AF333" s="2"/>
      <c r="AG333" s="2"/>
      <c r="AH333" s="2"/>
      <c r="AI333" s="2"/>
      <c r="AJ333" s="45"/>
      <c r="AK333" s="73" t="str">
        <f>IF(ISNA(MATCH($N333,[1]data!$A:$A,0)),"",INDEX([1]data!S:S,MATCH($N333,[1]data!$A:$A,0)))</f>
        <v/>
      </c>
      <c r="AL333" s="73" t="str">
        <f>IF(ISNA(MATCH($N333,[1]data!$A:$A,0)),"",INDEX([1]data!V:V,MATCH($N333,[1]data!$A:$A,0)))</f>
        <v/>
      </c>
      <c r="AM333" s="38" t="str">
        <f>IF(ISNA(MATCH($N333,data!$A:$A,0)),"",INDEX(data!B:B,MATCH($N333,data!$A:$A,0)))</f>
        <v/>
      </c>
      <c r="AN333" s="38" t="str">
        <f>IF(ISNA(MATCH($N333,data!$A:$A,0)),"",INDEX(data!C:C,MATCH($N333,data!$A:$A,0)))</f>
        <v/>
      </c>
      <c r="AO333" s="38" t="str">
        <f>IF(ISNA(MATCH($N333,data!$A:$A,0)),"",INDEX(data!D:D,MATCH($N333,data!$A:$A,0)))</f>
        <v/>
      </c>
      <c r="AP333" s="38" t="str">
        <f>IF(ISNA(MATCH($N333,data!$A:$A,0)),"",INDEX(data!E:E,MATCH($N333,data!$A:$A,0)))</f>
        <v/>
      </c>
      <c r="AQ333" s="38" t="str">
        <f>IF(ISNA(MATCH($N333,data!$A:$A,0)),"",INDEX(data!F:F,MATCH($N333,data!$A:$A,0)))</f>
        <v/>
      </c>
      <c r="AR333" s="38" t="str">
        <f>IF(ISNA(MATCH($N333,data!$A:$A,0)),"",INDEX(data!G:G,MATCH($N333,data!$A:$A,0)))</f>
        <v/>
      </c>
      <c r="AS333" s="38" t="str">
        <f>IF(ISNA(MATCH($N333,data!$A:$A,0)),"",INDEX(data!H:H,MATCH($N333,data!$A:$A,0)))</f>
        <v/>
      </c>
      <c r="AT333" s="38" t="str">
        <f>IF(ISNA(MATCH($N333,data!$A:$A,0)),"",INDEX(data!I:I,MATCH($N333,data!$A:$A,0)))</f>
        <v/>
      </c>
      <c r="AU333" s="38" t="str">
        <f>IF(ISNA(MATCH($N333,[1]data!$A:$A,0)),"",INDEX([1]data!L:L,MATCH($N333,[1]data!$A:$A,0)))</f>
        <v/>
      </c>
      <c r="AV333" s="38" t="str">
        <f>IF(ISNA(MATCH($N333,[1]data!$A:$A,0)),"",INDEX([1]data!M:M,MATCH($N333,[1]data!$A:$A,0)))</f>
        <v/>
      </c>
      <c r="AW333" s="38" t="str">
        <f>IF(ISNA(MATCH($N333,data!$A:$A,0)),"",INDEX(data!J:J,MATCH($N333,data!$A:$A,0)))</f>
        <v/>
      </c>
      <c r="AX333" s="38" t="str">
        <f>IF(ISNA(MATCH($N333,data!$A:$A,0)),"",INDEX(data!K:K,MATCH($N333,data!$A:$A,0)))</f>
        <v/>
      </c>
      <c r="AY333" s="38" t="str">
        <f>IF(ISNA(MATCH($N333,data!$A:$A,0)),"",INDEX(data!O:O,MATCH($N333,data!$A:$A,0)))</f>
        <v/>
      </c>
      <c r="AZ333" s="38" t="str">
        <f>IF(ISNA(MATCH($N333,data!$A:$A,0)),"",INDEX(data!N:N,MATCH($N333,data!$A:$A,0)))</f>
        <v/>
      </c>
      <c r="BA333" s="38" t="str">
        <f>IF(ISNA(MATCH($N333,data!$A:$A,0)),"",INDEX(data!P:P,MATCH($N333,data!$A:$A,0)))</f>
        <v/>
      </c>
      <c r="BB333" s="38" t="str">
        <f>IF(ISNA(MATCH($N333,data!$A:$A,0)),"",INDEX(data!Q:Q,MATCH($N333,data!$A:$A,0)))</f>
        <v/>
      </c>
      <c r="BC333" s="38" t="str">
        <f>IF(ISNA(MATCH($N333,data!$A:$A,0)),"",INDEX(data!R:R,MATCH($N333,data!$A:$A,0)))</f>
        <v/>
      </c>
      <c r="BD333" s="38" t="str">
        <f>IF(ISNA(MATCH($N333,[1]data!$A:$A,0)),"",INDEX([1]data!U:U,MATCH($N333,[1]data!$A:$A,0)))</f>
        <v/>
      </c>
      <c r="BE333" s="61" t="e">
        <f>IF(COUNTIF([1]data!A:A,[1]!Table1[[#This Row],[UPC]])&lt;2,"","DUP")</f>
        <v>#VALUE!</v>
      </c>
      <c r="BF333" s="38" t="str">
        <f>IF(ISNA(MATCH($N333,data!$A:$A,0)),"",INDEX(data!W:W,MATCH($N333,data!$A:$A,0)))</f>
        <v/>
      </c>
    </row>
    <row r="334" spans="1:58" s="37" customFormat="1" ht="12.75" customHeight="1">
      <c r="A334" s="35"/>
      <c r="B334" s="35"/>
      <c r="C334" s="35"/>
      <c r="D334" s="35"/>
      <c r="E334" s="67"/>
      <c r="F334" s="67"/>
      <c r="G334" s="36"/>
      <c r="H334" s="29"/>
      <c r="I334" s="78" t="str">
        <f t="shared" si="6"/>
        <v/>
      </c>
      <c r="J334" s="29"/>
      <c r="K334" s="29"/>
      <c r="L334" s="33"/>
      <c r="M334" s="33"/>
      <c r="N334" s="60"/>
      <c r="O334" s="71"/>
      <c r="P334" s="71"/>
      <c r="Q334" s="33"/>
      <c r="R334" s="31"/>
      <c r="S334" s="31"/>
      <c r="T334" s="59"/>
      <c r="U334" s="59"/>
      <c r="V334" s="59"/>
      <c r="W334" s="57">
        <f t="shared" si="7"/>
        <v>0</v>
      </c>
      <c r="X334" s="126" t="str">
        <f>IF(Table1[[#This Row],[Shipping Weight Pounds]]&gt;150,"See LTL Form","No")</f>
        <v>No</v>
      </c>
      <c r="Y334" s="28"/>
      <c r="Z334" s="33"/>
      <c r="AA334" s="34"/>
      <c r="AB334" s="30"/>
      <c r="AC334" s="30"/>
      <c r="AD334" s="32"/>
      <c r="AE334" s="32"/>
      <c r="AF334" s="2"/>
      <c r="AG334" s="2"/>
      <c r="AH334" s="2"/>
      <c r="AI334" s="2"/>
      <c r="AJ334" s="45"/>
      <c r="AK334" s="73" t="str">
        <f>IF(ISNA(MATCH($N334,[1]data!$A:$A,0)),"",INDEX([1]data!S:S,MATCH($N334,[1]data!$A:$A,0)))</f>
        <v/>
      </c>
      <c r="AL334" s="73" t="str">
        <f>IF(ISNA(MATCH($N334,[1]data!$A:$A,0)),"",INDEX([1]data!V:V,MATCH($N334,[1]data!$A:$A,0)))</f>
        <v/>
      </c>
      <c r="AM334" s="38" t="str">
        <f>IF(ISNA(MATCH($N334,data!$A:$A,0)),"",INDEX(data!B:B,MATCH($N334,data!$A:$A,0)))</f>
        <v/>
      </c>
      <c r="AN334" s="38" t="str">
        <f>IF(ISNA(MATCH($N334,data!$A:$A,0)),"",INDEX(data!C:C,MATCH($N334,data!$A:$A,0)))</f>
        <v/>
      </c>
      <c r="AO334" s="38" t="str">
        <f>IF(ISNA(MATCH($N334,data!$A:$A,0)),"",INDEX(data!D:D,MATCH($N334,data!$A:$A,0)))</f>
        <v/>
      </c>
      <c r="AP334" s="38" t="str">
        <f>IF(ISNA(MATCH($N334,data!$A:$A,0)),"",INDEX(data!E:E,MATCH($N334,data!$A:$A,0)))</f>
        <v/>
      </c>
      <c r="AQ334" s="38" t="str">
        <f>IF(ISNA(MATCH($N334,data!$A:$A,0)),"",INDEX(data!F:F,MATCH($N334,data!$A:$A,0)))</f>
        <v/>
      </c>
      <c r="AR334" s="38" t="str">
        <f>IF(ISNA(MATCH($N334,data!$A:$A,0)),"",INDEX(data!G:G,MATCH($N334,data!$A:$A,0)))</f>
        <v/>
      </c>
      <c r="AS334" s="38" t="str">
        <f>IF(ISNA(MATCH($N334,data!$A:$A,0)),"",INDEX(data!H:H,MATCH($N334,data!$A:$A,0)))</f>
        <v/>
      </c>
      <c r="AT334" s="38" t="str">
        <f>IF(ISNA(MATCH($N334,data!$A:$A,0)),"",INDEX(data!I:I,MATCH($N334,data!$A:$A,0)))</f>
        <v/>
      </c>
      <c r="AU334" s="38" t="str">
        <f>IF(ISNA(MATCH($N334,[1]data!$A:$A,0)),"",INDEX([1]data!L:L,MATCH($N334,[1]data!$A:$A,0)))</f>
        <v/>
      </c>
      <c r="AV334" s="38" t="str">
        <f>IF(ISNA(MATCH($N334,[1]data!$A:$A,0)),"",INDEX([1]data!M:M,MATCH($N334,[1]data!$A:$A,0)))</f>
        <v/>
      </c>
      <c r="AW334" s="38" t="str">
        <f>IF(ISNA(MATCH($N334,data!$A:$A,0)),"",INDEX(data!J:J,MATCH($N334,data!$A:$A,0)))</f>
        <v/>
      </c>
      <c r="AX334" s="38" t="str">
        <f>IF(ISNA(MATCH($N334,data!$A:$A,0)),"",INDEX(data!K:K,MATCH($N334,data!$A:$A,0)))</f>
        <v/>
      </c>
      <c r="AY334" s="38" t="str">
        <f>IF(ISNA(MATCH($N334,data!$A:$A,0)),"",INDEX(data!O:O,MATCH($N334,data!$A:$A,0)))</f>
        <v/>
      </c>
      <c r="AZ334" s="38" t="str">
        <f>IF(ISNA(MATCH($N334,data!$A:$A,0)),"",INDEX(data!N:N,MATCH($N334,data!$A:$A,0)))</f>
        <v/>
      </c>
      <c r="BA334" s="38" t="str">
        <f>IF(ISNA(MATCH($N334,data!$A:$A,0)),"",INDEX(data!P:P,MATCH($N334,data!$A:$A,0)))</f>
        <v/>
      </c>
      <c r="BB334" s="38" t="str">
        <f>IF(ISNA(MATCH($N334,data!$A:$A,0)),"",INDEX(data!Q:Q,MATCH($N334,data!$A:$A,0)))</f>
        <v/>
      </c>
      <c r="BC334" s="38" t="str">
        <f>IF(ISNA(MATCH($N334,data!$A:$A,0)),"",INDEX(data!R:R,MATCH($N334,data!$A:$A,0)))</f>
        <v/>
      </c>
      <c r="BD334" s="38" t="str">
        <f>IF(ISNA(MATCH($N334,[1]data!$A:$A,0)),"",INDEX([1]data!U:U,MATCH($N334,[1]data!$A:$A,0)))</f>
        <v/>
      </c>
      <c r="BE334" s="61" t="e">
        <f>IF(COUNTIF([1]data!A:A,[1]!Table1[[#This Row],[UPC]])&lt;2,"","DUP")</f>
        <v>#VALUE!</v>
      </c>
      <c r="BF334" s="38" t="str">
        <f>IF(ISNA(MATCH($N334,data!$A:$A,0)),"",INDEX(data!W:W,MATCH($N334,data!$A:$A,0)))</f>
        <v/>
      </c>
    </row>
    <row r="335" spans="1:58" ht="12.75" customHeight="1">
      <c r="A335" s="35"/>
      <c r="B335" s="35"/>
      <c r="C335" s="35"/>
      <c r="D335" s="35"/>
      <c r="E335" s="67"/>
      <c r="F335" s="67"/>
      <c r="G335" s="36"/>
      <c r="H335" s="29"/>
      <c r="I335" s="78" t="str">
        <f t="shared" si="6"/>
        <v/>
      </c>
      <c r="J335" s="29"/>
      <c r="K335" s="29"/>
      <c r="L335" s="33"/>
      <c r="M335" s="33"/>
      <c r="N335" s="60"/>
      <c r="O335" s="71"/>
      <c r="P335" s="71"/>
      <c r="Q335" s="33"/>
      <c r="R335" s="31"/>
      <c r="S335" s="31"/>
      <c r="T335" s="59"/>
      <c r="U335" s="59"/>
      <c r="V335" s="59"/>
      <c r="W335" s="57">
        <f t="shared" si="7"/>
        <v>0</v>
      </c>
      <c r="X335" s="126" t="str">
        <f>IF(Table1[[#This Row],[Shipping Weight Pounds]]&gt;150,"See LTL Form","No")</f>
        <v>No</v>
      </c>
      <c r="Y335" s="28"/>
      <c r="Z335" s="33"/>
      <c r="AA335" s="34"/>
      <c r="AB335" s="30"/>
      <c r="AC335" s="30"/>
      <c r="AD335" s="32"/>
      <c r="AE335" s="32"/>
      <c r="AF335" s="2"/>
      <c r="AG335" s="2"/>
      <c r="AH335" s="2"/>
      <c r="AI335" s="2"/>
      <c r="AK335" s="73" t="str">
        <f>IF(ISNA(MATCH($N335,[1]data!$A:$A,0)),"",INDEX([1]data!S:S,MATCH($N335,[1]data!$A:$A,0)))</f>
        <v/>
      </c>
      <c r="AL335" s="73" t="str">
        <f>IF(ISNA(MATCH($N335,[1]data!$A:$A,0)),"",INDEX([1]data!V:V,MATCH($N335,[1]data!$A:$A,0)))</f>
        <v/>
      </c>
      <c r="AM335" s="38" t="str">
        <f>IF(ISNA(MATCH($N335,data!$A:$A,0)),"",INDEX(data!B:B,MATCH($N335,data!$A:$A,0)))</f>
        <v/>
      </c>
      <c r="AN335" s="38" t="str">
        <f>IF(ISNA(MATCH($N335,data!$A:$A,0)),"",INDEX(data!C:C,MATCH($N335,data!$A:$A,0)))</f>
        <v/>
      </c>
      <c r="AO335" s="38" t="str">
        <f>IF(ISNA(MATCH($N335,data!$A:$A,0)),"",INDEX(data!D:D,MATCH($N335,data!$A:$A,0)))</f>
        <v/>
      </c>
      <c r="AP335" s="38" t="str">
        <f>IF(ISNA(MATCH($N335,data!$A:$A,0)),"",INDEX(data!E:E,MATCH($N335,data!$A:$A,0)))</f>
        <v/>
      </c>
      <c r="AQ335" s="38" t="str">
        <f>IF(ISNA(MATCH($N335,data!$A:$A,0)),"",INDEX(data!F:F,MATCH($N335,data!$A:$A,0)))</f>
        <v/>
      </c>
      <c r="AR335" s="38" t="str">
        <f>IF(ISNA(MATCH($N335,data!$A:$A,0)),"",INDEX(data!G:G,MATCH($N335,data!$A:$A,0)))</f>
        <v/>
      </c>
      <c r="AS335" s="38" t="str">
        <f>IF(ISNA(MATCH($N335,data!$A:$A,0)),"",INDEX(data!H:H,MATCH($N335,data!$A:$A,0)))</f>
        <v/>
      </c>
      <c r="AT335" s="38" t="str">
        <f>IF(ISNA(MATCH($N335,data!$A:$A,0)),"",INDEX(data!I:I,MATCH($N335,data!$A:$A,0)))</f>
        <v/>
      </c>
      <c r="AU335" s="38" t="str">
        <f>IF(ISNA(MATCH($N335,[1]data!$A:$A,0)),"",INDEX([1]data!L:L,MATCH($N335,[1]data!$A:$A,0)))</f>
        <v/>
      </c>
      <c r="AV335" s="38" t="str">
        <f>IF(ISNA(MATCH($N335,[1]data!$A:$A,0)),"",INDEX([1]data!M:M,MATCH($N335,[1]data!$A:$A,0)))</f>
        <v/>
      </c>
      <c r="AW335" s="38" t="str">
        <f>IF(ISNA(MATCH($N335,data!$A:$A,0)),"",INDEX(data!J:J,MATCH($N335,data!$A:$A,0)))</f>
        <v/>
      </c>
      <c r="AX335" s="38" t="str">
        <f>IF(ISNA(MATCH($N335,data!$A:$A,0)),"",INDEX(data!K:K,MATCH($N335,data!$A:$A,0)))</f>
        <v/>
      </c>
      <c r="AY335" s="38" t="str">
        <f>IF(ISNA(MATCH($N335,data!$A:$A,0)),"",INDEX(data!O:O,MATCH($N335,data!$A:$A,0)))</f>
        <v/>
      </c>
      <c r="AZ335" s="38" t="str">
        <f>IF(ISNA(MATCH($N335,data!$A:$A,0)),"",INDEX(data!N:N,MATCH($N335,data!$A:$A,0)))</f>
        <v/>
      </c>
      <c r="BA335" s="38" t="str">
        <f>IF(ISNA(MATCH($N335,data!$A:$A,0)),"",INDEX(data!P:P,MATCH($N335,data!$A:$A,0)))</f>
        <v/>
      </c>
      <c r="BB335" s="38" t="str">
        <f>IF(ISNA(MATCH($N335,data!$A:$A,0)),"",INDEX(data!Q:Q,MATCH($N335,data!$A:$A,0)))</f>
        <v/>
      </c>
      <c r="BC335" s="38" t="str">
        <f>IF(ISNA(MATCH($N335,data!$A:$A,0)),"",INDEX(data!R:R,MATCH($N335,data!$A:$A,0)))</f>
        <v/>
      </c>
      <c r="BD335" s="38" t="str">
        <f>IF(ISNA(MATCH($N335,[1]data!$A:$A,0)),"",INDEX([1]data!U:U,MATCH($N335,[1]data!$A:$A,0)))</f>
        <v/>
      </c>
      <c r="BE335" s="61" t="e">
        <f>IF(COUNTIF([1]data!A:A,[1]!Table1[[#This Row],[UPC]])&lt;2,"","DUP")</f>
        <v>#VALUE!</v>
      </c>
      <c r="BF335" s="38" t="str">
        <f>IF(ISNA(MATCH($N335,data!$A:$A,0)),"",INDEX(data!W:W,MATCH($N335,data!$A:$A,0)))</f>
        <v/>
      </c>
    </row>
    <row r="336" spans="1:58" ht="12.75" customHeight="1">
      <c r="A336" s="35"/>
      <c r="B336" s="35"/>
      <c r="C336" s="35"/>
      <c r="D336" s="35"/>
      <c r="E336" s="67"/>
      <c r="F336" s="67"/>
      <c r="G336" s="36"/>
      <c r="H336" s="29"/>
      <c r="I336" s="78" t="str">
        <f t="shared" si="6"/>
        <v/>
      </c>
      <c r="J336" s="29"/>
      <c r="K336" s="29"/>
      <c r="L336" s="33"/>
      <c r="M336" s="33"/>
      <c r="N336" s="60"/>
      <c r="O336" s="71"/>
      <c r="P336" s="71"/>
      <c r="Q336" s="33"/>
      <c r="R336" s="31"/>
      <c r="S336" s="31"/>
      <c r="T336" s="59"/>
      <c r="U336" s="59"/>
      <c r="V336" s="59"/>
      <c r="W336" s="57">
        <f t="shared" si="7"/>
        <v>0</v>
      </c>
      <c r="X336" s="126" t="str">
        <f>IF(Table1[[#This Row],[Shipping Weight Pounds]]&gt;150,"See LTL Form","No")</f>
        <v>No</v>
      </c>
      <c r="Y336" s="28"/>
      <c r="Z336" s="33"/>
      <c r="AA336" s="34"/>
      <c r="AB336" s="30"/>
      <c r="AC336" s="30"/>
      <c r="AD336" s="32"/>
      <c r="AE336" s="32"/>
      <c r="AF336" s="2"/>
      <c r="AG336" s="2"/>
      <c r="AH336" s="2"/>
      <c r="AI336" s="2"/>
      <c r="AK336" s="73" t="str">
        <f>IF(ISNA(MATCH($N336,[1]data!$A:$A,0)),"",INDEX([1]data!S:S,MATCH($N336,[1]data!$A:$A,0)))</f>
        <v/>
      </c>
      <c r="AL336" s="73" t="str">
        <f>IF(ISNA(MATCH($N336,[1]data!$A:$A,0)),"",INDEX([1]data!V:V,MATCH($N336,[1]data!$A:$A,0)))</f>
        <v/>
      </c>
      <c r="AM336" s="38" t="str">
        <f>IF(ISNA(MATCH($N336,data!$A:$A,0)),"",INDEX(data!B:B,MATCH($N336,data!$A:$A,0)))</f>
        <v/>
      </c>
      <c r="AN336" s="38" t="str">
        <f>IF(ISNA(MATCH($N336,data!$A:$A,0)),"",INDEX(data!C:C,MATCH($N336,data!$A:$A,0)))</f>
        <v/>
      </c>
      <c r="AO336" s="38" t="str">
        <f>IF(ISNA(MATCH($N336,data!$A:$A,0)),"",INDEX(data!D:D,MATCH($N336,data!$A:$A,0)))</f>
        <v/>
      </c>
      <c r="AP336" s="38" t="str">
        <f>IF(ISNA(MATCH($N336,data!$A:$A,0)),"",INDEX(data!E:E,MATCH($N336,data!$A:$A,0)))</f>
        <v/>
      </c>
      <c r="AQ336" s="38" t="str">
        <f>IF(ISNA(MATCH($N336,data!$A:$A,0)),"",INDEX(data!F:F,MATCH($N336,data!$A:$A,0)))</f>
        <v/>
      </c>
      <c r="AR336" s="38" t="str">
        <f>IF(ISNA(MATCH($N336,data!$A:$A,0)),"",INDEX(data!G:G,MATCH($N336,data!$A:$A,0)))</f>
        <v/>
      </c>
      <c r="AS336" s="38" t="str">
        <f>IF(ISNA(MATCH($N336,data!$A:$A,0)),"",INDEX(data!H:H,MATCH($N336,data!$A:$A,0)))</f>
        <v/>
      </c>
      <c r="AT336" s="38" t="str">
        <f>IF(ISNA(MATCH($N336,data!$A:$A,0)),"",INDEX(data!I:I,MATCH($N336,data!$A:$A,0)))</f>
        <v/>
      </c>
      <c r="AU336" s="38" t="str">
        <f>IF(ISNA(MATCH($N336,[1]data!$A:$A,0)),"",INDEX([1]data!L:L,MATCH($N336,[1]data!$A:$A,0)))</f>
        <v/>
      </c>
      <c r="AV336" s="38" t="str">
        <f>IF(ISNA(MATCH($N336,[1]data!$A:$A,0)),"",INDEX([1]data!M:M,MATCH($N336,[1]data!$A:$A,0)))</f>
        <v/>
      </c>
      <c r="AW336" s="38" t="str">
        <f>IF(ISNA(MATCH($N336,data!$A:$A,0)),"",INDEX(data!J:J,MATCH($N336,data!$A:$A,0)))</f>
        <v/>
      </c>
      <c r="AX336" s="38" t="str">
        <f>IF(ISNA(MATCH($N336,data!$A:$A,0)),"",INDEX(data!K:K,MATCH($N336,data!$A:$A,0)))</f>
        <v/>
      </c>
      <c r="AY336" s="38" t="str">
        <f>IF(ISNA(MATCH($N336,data!$A:$A,0)),"",INDEX(data!O:O,MATCH($N336,data!$A:$A,0)))</f>
        <v/>
      </c>
      <c r="AZ336" s="38" t="str">
        <f>IF(ISNA(MATCH($N336,data!$A:$A,0)),"",INDEX(data!N:N,MATCH($N336,data!$A:$A,0)))</f>
        <v/>
      </c>
      <c r="BA336" s="38" t="str">
        <f>IF(ISNA(MATCH($N336,data!$A:$A,0)),"",INDEX(data!P:P,MATCH($N336,data!$A:$A,0)))</f>
        <v/>
      </c>
      <c r="BB336" s="38" t="str">
        <f>IF(ISNA(MATCH($N336,data!$A:$A,0)),"",INDEX(data!Q:Q,MATCH($N336,data!$A:$A,0)))</f>
        <v/>
      </c>
      <c r="BC336" s="38" t="str">
        <f>IF(ISNA(MATCH($N336,data!$A:$A,0)),"",INDEX(data!R:R,MATCH($N336,data!$A:$A,0)))</f>
        <v/>
      </c>
      <c r="BD336" s="38" t="str">
        <f>IF(ISNA(MATCH($N336,[1]data!$A:$A,0)),"",INDEX([1]data!U:U,MATCH($N336,[1]data!$A:$A,0)))</f>
        <v/>
      </c>
      <c r="BE336" s="61" t="e">
        <f>IF(COUNTIF([1]data!A:A,[1]!Table1[[#This Row],[UPC]])&lt;2,"","DUP")</f>
        <v>#VALUE!</v>
      </c>
      <c r="BF336" s="38" t="str">
        <f>IF(ISNA(MATCH($N336,data!$A:$A,0)),"",INDEX(data!W:W,MATCH($N336,data!$A:$A,0)))</f>
        <v/>
      </c>
    </row>
    <row r="337" spans="1:58" ht="12.75" customHeight="1">
      <c r="A337" s="35"/>
      <c r="B337" s="35"/>
      <c r="C337" s="35"/>
      <c r="D337" s="35"/>
      <c r="E337" s="67"/>
      <c r="F337" s="67"/>
      <c r="G337" s="36"/>
      <c r="H337" s="29"/>
      <c r="I337" s="78" t="str">
        <f t="shared" si="6"/>
        <v/>
      </c>
      <c r="J337" s="29"/>
      <c r="K337" s="29"/>
      <c r="L337" s="33"/>
      <c r="M337" s="33"/>
      <c r="N337" s="60"/>
      <c r="O337" s="71"/>
      <c r="P337" s="71"/>
      <c r="Q337" s="33"/>
      <c r="R337" s="31"/>
      <c r="S337" s="31"/>
      <c r="T337" s="59"/>
      <c r="U337" s="59"/>
      <c r="V337" s="59"/>
      <c r="W337" s="57">
        <f t="shared" si="7"/>
        <v>0</v>
      </c>
      <c r="X337" s="126" t="str">
        <f>IF(Table1[[#This Row],[Shipping Weight Pounds]]&gt;150,"See LTL Form","No")</f>
        <v>No</v>
      </c>
      <c r="Y337" s="28"/>
      <c r="Z337" s="33"/>
      <c r="AA337" s="34"/>
      <c r="AB337" s="30"/>
      <c r="AC337" s="30"/>
      <c r="AD337" s="32"/>
      <c r="AE337" s="32"/>
      <c r="AF337" s="2"/>
      <c r="AG337" s="2"/>
      <c r="AH337" s="2"/>
      <c r="AI337" s="2"/>
      <c r="AK337" s="73" t="str">
        <f>IF(ISNA(MATCH($N337,[1]data!$A:$A,0)),"",INDEX([1]data!S:S,MATCH($N337,[1]data!$A:$A,0)))</f>
        <v/>
      </c>
      <c r="AL337" s="73" t="str">
        <f>IF(ISNA(MATCH($N337,[1]data!$A:$A,0)),"",INDEX([1]data!V:V,MATCH($N337,[1]data!$A:$A,0)))</f>
        <v/>
      </c>
      <c r="AM337" s="38" t="str">
        <f>IF(ISNA(MATCH($N337,data!$A:$A,0)),"",INDEX(data!B:B,MATCH($N337,data!$A:$A,0)))</f>
        <v/>
      </c>
      <c r="AN337" s="38" t="str">
        <f>IF(ISNA(MATCH($N337,data!$A:$A,0)),"",INDEX(data!C:C,MATCH($N337,data!$A:$A,0)))</f>
        <v/>
      </c>
      <c r="AO337" s="38" t="str">
        <f>IF(ISNA(MATCH($N337,data!$A:$A,0)),"",INDEX(data!D:D,MATCH($N337,data!$A:$A,0)))</f>
        <v/>
      </c>
      <c r="AP337" s="38" t="str">
        <f>IF(ISNA(MATCH($N337,data!$A:$A,0)),"",INDEX(data!E:E,MATCH($N337,data!$A:$A,0)))</f>
        <v/>
      </c>
      <c r="AQ337" s="38" t="str">
        <f>IF(ISNA(MATCH($N337,data!$A:$A,0)),"",INDEX(data!F:F,MATCH($N337,data!$A:$A,0)))</f>
        <v/>
      </c>
      <c r="AR337" s="38" t="str">
        <f>IF(ISNA(MATCH($N337,data!$A:$A,0)),"",INDEX(data!G:G,MATCH($N337,data!$A:$A,0)))</f>
        <v/>
      </c>
      <c r="AS337" s="38" t="str">
        <f>IF(ISNA(MATCH($N337,data!$A:$A,0)),"",INDEX(data!H:H,MATCH($N337,data!$A:$A,0)))</f>
        <v/>
      </c>
      <c r="AT337" s="38" t="str">
        <f>IF(ISNA(MATCH($N337,data!$A:$A,0)),"",INDEX(data!I:I,MATCH($N337,data!$A:$A,0)))</f>
        <v/>
      </c>
      <c r="AU337" s="38" t="str">
        <f>IF(ISNA(MATCH($N337,[1]data!$A:$A,0)),"",INDEX([1]data!L:L,MATCH($N337,[1]data!$A:$A,0)))</f>
        <v/>
      </c>
      <c r="AV337" s="38" t="str">
        <f>IF(ISNA(MATCH($N337,[1]data!$A:$A,0)),"",INDEX([1]data!M:M,MATCH($N337,[1]data!$A:$A,0)))</f>
        <v/>
      </c>
      <c r="AW337" s="38" t="str">
        <f>IF(ISNA(MATCH($N337,data!$A:$A,0)),"",INDEX(data!J:J,MATCH($N337,data!$A:$A,0)))</f>
        <v/>
      </c>
      <c r="AX337" s="38" t="str">
        <f>IF(ISNA(MATCH($N337,data!$A:$A,0)),"",INDEX(data!K:K,MATCH($N337,data!$A:$A,0)))</f>
        <v/>
      </c>
      <c r="AY337" s="38" t="str">
        <f>IF(ISNA(MATCH($N337,data!$A:$A,0)),"",INDEX(data!O:O,MATCH($N337,data!$A:$A,0)))</f>
        <v/>
      </c>
      <c r="AZ337" s="38" t="str">
        <f>IF(ISNA(MATCH($N337,data!$A:$A,0)),"",INDEX(data!N:N,MATCH($N337,data!$A:$A,0)))</f>
        <v/>
      </c>
      <c r="BA337" s="38" t="str">
        <f>IF(ISNA(MATCH($N337,data!$A:$A,0)),"",INDEX(data!P:P,MATCH($N337,data!$A:$A,0)))</f>
        <v/>
      </c>
      <c r="BB337" s="38" t="str">
        <f>IF(ISNA(MATCH($N337,data!$A:$A,0)),"",INDEX(data!Q:Q,MATCH($N337,data!$A:$A,0)))</f>
        <v/>
      </c>
      <c r="BC337" s="38" t="str">
        <f>IF(ISNA(MATCH($N337,data!$A:$A,0)),"",INDEX(data!R:R,MATCH($N337,data!$A:$A,0)))</f>
        <v/>
      </c>
      <c r="BD337" s="38" t="str">
        <f>IF(ISNA(MATCH($N337,[1]data!$A:$A,0)),"",INDEX([1]data!U:U,MATCH($N337,[1]data!$A:$A,0)))</f>
        <v/>
      </c>
      <c r="BE337" s="61" t="e">
        <f>IF(COUNTIF([1]data!A:A,[1]!Table1[[#This Row],[UPC]])&lt;2,"","DUP")</f>
        <v>#VALUE!</v>
      </c>
      <c r="BF337" s="38" t="str">
        <f>IF(ISNA(MATCH($N337,data!$A:$A,0)),"",INDEX(data!W:W,MATCH($N337,data!$A:$A,0)))</f>
        <v/>
      </c>
    </row>
    <row r="338" spans="1:58" ht="12.75" customHeight="1">
      <c r="A338" s="35"/>
      <c r="B338" s="35"/>
      <c r="C338" s="35"/>
      <c r="D338" s="35"/>
      <c r="E338" s="67"/>
      <c r="F338" s="67"/>
      <c r="G338" s="36"/>
      <c r="H338" s="29"/>
      <c r="I338" s="78" t="str">
        <f t="shared" si="6"/>
        <v/>
      </c>
      <c r="J338" s="29"/>
      <c r="K338" s="29"/>
      <c r="L338" s="33"/>
      <c r="M338" s="33"/>
      <c r="N338" s="60"/>
      <c r="O338" s="71"/>
      <c r="P338" s="71"/>
      <c r="Q338" s="33"/>
      <c r="R338" s="31"/>
      <c r="S338" s="31"/>
      <c r="T338" s="59"/>
      <c r="U338" s="59"/>
      <c r="V338" s="59"/>
      <c r="W338" s="57">
        <f t="shared" si="7"/>
        <v>0</v>
      </c>
      <c r="X338" s="126" t="str">
        <f>IF(Table1[[#This Row],[Shipping Weight Pounds]]&gt;150,"See LTL Form","No")</f>
        <v>No</v>
      </c>
      <c r="Y338" s="28"/>
      <c r="Z338" s="33"/>
      <c r="AA338" s="34"/>
      <c r="AB338" s="30"/>
      <c r="AC338" s="30"/>
      <c r="AD338" s="32"/>
      <c r="AE338" s="32"/>
      <c r="AF338" s="2"/>
      <c r="AG338" s="2"/>
      <c r="AH338" s="2"/>
      <c r="AI338" s="2"/>
      <c r="AK338" s="73" t="str">
        <f>IF(ISNA(MATCH($N338,[1]data!$A:$A,0)),"",INDEX([1]data!S:S,MATCH($N338,[1]data!$A:$A,0)))</f>
        <v/>
      </c>
      <c r="AL338" s="73" t="str">
        <f>IF(ISNA(MATCH($N338,[1]data!$A:$A,0)),"",INDEX([1]data!V:V,MATCH($N338,[1]data!$A:$A,0)))</f>
        <v/>
      </c>
      <c r="AM338" s="38" t="str">
        <f>IF(ISNA(MATCH($N338,data!$A:$A,0)),"",INDEX(data!B:B,MATCH($N338,data!$A:$A,0)))</f>
        <v/>
      </c>
      <c r="AN338" s="38" t="str">
        <f>IF(ISNA(MATCH($N338,data!$A:$A,0)),"",INDEX(data!C:C,MATCH($N338,data!$A:$A,0)))</f>
        <v/>
      </c>
      <c r="AO338" s="38" t="str">
        <f>IF(ISNA(MATCH($N338,data!$A:$A,0)),"",INDEX(data!D:D,MATCH($N338,data!$A:$A,0)))</f>
        <v/>
      </c>
      <c r="AP338" s="38" t="str">
        <f>IF(ISNA(MATCH($N338,data!$A:$A,0)),"",INDEX(data!E:E,MATCH($N338,data!$A:$A,0)))</f>
        <v/>
      </c>
      <c r="AQ338" s="38" t="str">
        <f>IF(ISNA(MATCH($N338,data!$A:$A,0)),"",INDEX(data!F:F,MATCH($N338,data!$A:$A,0)))</f>
        <v/>
      </c>
      <c r="AR338" s="38" t="str">
        <f>IF(ISNA(MATCH($N338,data!$A:$A,0)),"",INDEX(data!G:G,MATCH($N338,data!$A:$A,0)))</f>
        <v/>
      </c>
      <c r="AS338" s="38" t="str">
        <f>IF(ISNA(MATCH($N338,data!$A:$A,0)),"",INDEX(data!H:H,MATCH($N338,data!$A:$A,0)))</f>
        <v/>
      </c>
      <c r="AT338" s="38" t="str">
        <f>IF(ISNA(MATCH($N338,data!$A:$A,0)),"",INDEX(data!I:I,MATCH($N338,data!$A:$A,0)))</f>
        <v/>
      </c>
      <c r="AU338" s="38" t="str">
        <f>IF(ISNA(MATCH($N338,[1]data!$A:$A,0)),"",INDEX([1]data!L:L,MATCH($N338,[1]data!$A:$A,0)))</f>
        <v/>
      </c>
      <c r="AV338" s="38" t="str">
        <f>IF(ISNA(MATCH($N338,[1]data!$A:$A,0)),"",INDEX([1]data!M:M,MATCH($N338,[1]data!$A:$A,0)))</f>
        <v/>
      </c>
      <c r="AW338" s="38" t="str">
        <f>IF(ISNA(MATCH($N338,data!$A:$A,0)),"",INDEX(data!J:J,MATCH($N338,data!$A:$A,0)))</f>
        <v/>
      </c>
      <c r="AX338" s="38" t="str">
        <f>IF(ISNA(MATCH($N338,data!$A:$A,0)),"",INDEX(data!K:K,MATCH($N338,data!$A:$A,0)))</f>
        <v/>
      </c>
      <c r="AY338" s="38" t="str">
        <f>IF(ISNA(MATCH($N338,data!$A:$A,0)),"",INDEX(data!O:O,MATCH($N338,data!$A:$A,0)))</f>
        <v/>
      </c>
      <c r="AZ338" s="38" t="str">
        <f>IF(ISNA(MATCH($N338,data!$A:$A,0)),"",INDEX(data!N:N,MATCH($N338,data!$A:$A,0)))</f>
        <v/>
      </c>
      <c r="BA338" s="38" t="str">
        <f>IF(ISNA(MATCH($N338,data!$A:$A,0)),"",INDEX(data!P:P,MATCH($N338,data!$A:$A,0)))</f>
        <v/>
      </c>
      <c r="BB338" s="38" t="str">
        <f>IF(ISNA(MATCH($N338,data!$A:$A,0)),"",INDEX(data!Q:Q,MATCH($N338,data!$A:$A,0)))</f>
        <v/>
      </c>
      <c r="BC338" s="38" t="str">
        <f>IF(ISNA(MATCH($N338,data!$A:$A,0)),"",INDEX(data!R:R,MATCH($N338,data!$A:$A,0)))</f>
        <v/>
      </c>
      <c r="BD338" s="38" t="str">
        <f>IF(ISNA(MATCH($N338,[1]data!$A:$A,0)),"",INDEX([1]data!U:U,MATCH($N338,[1]data!$A:$A,0)))</f>
        <v/>
      </c>
      <c r="BE338" s="61" t="e">
        <f>IF(COUNTIF([1]data!A:A,[1]!Table1[[#This Row],[UPC]])&lt;2,"","DUP")</f>
        <v>#VALUE!</v>
      </c>
      <c r="BF338" s="38" t="str">
        <f>IF(ISNA(MATCH($N338,data!$A:$A,0)),"",INDEX(data!W:W,MATCH($N338,data!$A:$A,0)))</f>
        <v/>
      </c>
    </row>
    <row r="339" spans="1:58" ht="12.75" customHeight="1">
      <c r="A339" s="35"/>
      <c r="B339" s="35"/>
      <c r="C339" s="35"/>
      <c r="D339" s="35"/>
      <c r="E339" s="67"/>
      <c r="F339" s="67"/>
      <c r="G339" s="36"/>
      <c r="H339" s="29"/>
      <c r="I339" s="78" t="str">
        <f t="shared" si="6"/>
        <v/>
      </c>
      <c r="J339" s="29"/>
      <c r="K339" s="29"/>
      <c r="L339" s="33"/>
      <c r="M339" s="33"/>
      <c r="N339" s="60"/>
      <c r="O339" s="71"/>
      <c r="P339" s="71"/>
      <c r="Q339" s="33"/>
      <c r="R339" s="31"/>
      <c r="S339" s="31"/>
      <c r="T339" s="59"/>
      <c r="U339" s="59"/>
      <c r="V339" s="59"/>
      <c r="W339" s="57">
        <f t="shared" si="7"/>
        <v>0</v>
      </c>
      <c r="X339" s="126" t="str">
        <f>IF(Table1[[#This Row],[Shipping Weight Pounds]]&gt;150,"See LTL Form","No")</f>
        <v>No</v>
      </c>
      <c r="Y339" s="28"/>
      <c r="Z339" s="33"/>
      <c r="AA339" s="34"/>
      <c r="AB339" s="30"/>
      <c r="AC339" s="30"/>
      <c r="AD339" s="32"/>
      <c r="AE339" s="32"/>
      <c r="AF339" s="2"/>
      <c r="AG339" s="2"/>
      <c r="AH339" s="2"/>
      <c r="AI339" s="2"/>
      <c r="AK339" s="73" t="str">
        <f>IF(ISNA(MATCH($N339,[1]data!$A:$A,0)),"",INDEX([1]data!S:S,MATCH($N339,[1]data!$A:$A,0)))</f>
        <v/>
      </c>
      <c r="AL339" s="73" t="str">
        <f>IF(ISNA(MATCH($N339,[1]data!$A:$A,0)),"",INDEX([1]data!V:V,MATCH($N339,[1]data!$A:$A,0)))</f>
        <v/>
      </c>
      <c r="AM339" s="38" t="str">
        <f>IF(ISNA(MATCH($N339,data!$A:$A,0)),"",INDEX(data!B:B,MATCH($N339,data!$A:$A,0)))</f>
        <v/>
      </c>
      <c r="AN339" s="38" t="str">
        <f>IF(ISNA(MATCH($N339,data!$A:$A,0)),"",INDEX(data!C:C,MATCH($N339,data!$A:$A,0)))</f>
        <v/>
      </c>
      <c r="AO339" s="38" t="str">
        <f>IF(ISNA(MATCH($N339,data!$A:$A,0)),"",INDEX(data!D:D,MATCH($N339,data!$A:$A,0)))</f>
        <v/>
      </c>
      <c r="AP339" s="38" t="str">
        <f>IF(ISNA(MATCH($N339,data!$A:$A,0)),"",INDEX(data!E:E,MATCH($N339,data!$A:$A,0)))</f>
        <v/>
      </c>
      <c r="AQ339" s="38" t="str">
        <f>IF(ISNA(MATCH($N339,data!$A:$A,0)),"",INDEX(data!F:F,MATCH($N339,data!$A:$A,0)))</f>
        <v/>
      </c>
      <c r="AR339" s="38" t="str">
        <f>IF(ISNA(MATCH($N339,data!$A:$A,0)),"",INDEX(data!G:G,MATCH($N339,data!$A:$A,0)))</f>
        <v/>
      </c>
      <c r="AS339" s="38" t="str">
        <f>IF(ISNA(MATCH($N339,data!$A:$A,0)),"",INDEX(data!H:H,MATCH($N339,data!$A:$A,0)))</f>
        <v/>
      </c>
      <c r="AT339" s="38" t="str">
        <f>IF(ISNA(MATCH($N339,data!$A:$A,0)),"",INDEX(data!I:I,MATCH($N339,data!$A:$A,0)))</f>
        <v/>
      </c>
      <c r="AU339" s="38" t="str">
        <f>IF(ISNA(MATCH($N339,[1]data!$A:$A,0)),"",INDEX([1]data!L:L,MATCH($N339,[1]data!$A:$A,0)))</f>
        <v/>
      </c>
      <c r="AV339" s="38" t="str">
        <f>IF(ISNA(MATCH($N339,[1]data!$A:$A,0)),"",INDEX([1]data!M:M,MATCH($N339,[1]data!$A:$A,0)))</f>
        <v/>
      </c>
      <c r="AW339" s="38" t="str">
        <f>IF(ISNA(MATCH($N339,data!$A:$A,0)),"",INDEX(data!J:J,MATCH($N339,data!$A:$A,0)))</f>
        <v/>
      </c>
      <c r="AX339" s="38" t="str">
        <f>IF(ISNA(MATCH($N339,data!$A:$A,0)),"",INDEX(data!K:K,MATCH($N339,data!$A:$A,0)))</f>
        <v/>
      </c>
      <c r="AY339" s="38" t="str">
        <f>IF(ISNA(MATCH($N339,data!$A:$A,0)),"",INDEX(data!O:O,MATCH($N339,data!$A:$A,0)))</f>
        <v/>
      </c>
      <c r="AZ339" s="38" t="str">
        <f>IF(ISNA(MATCH($N339,data!$A:$A,0)),"",INDEX(data!N:N,MATCH($N339,data!$A:$A,0)))</f>
        <v/>
      </c>
      <c r="BA339" s="38" t="str">
        <f>IF(ISNA(MATCH($N339,data!$A:$A,0)),"",INDEX(data!P:P,MATCH($N339,data!$A:$A,0)))</f>
        <v/>
      </c>
      <c r="BB339" s="38" t="str">
        <f>IF(ISNA(MATCH($N339,data!$A:$A,0)),"",INDEX(data!Q:Q,MATCH($N339,data!$A:$A,0)))</f>
        <v/>
      </c>
      <c r="BC339" s="38" t="str">
        <f>IF(ISNA(MATCH($N339,data!$A:$A,0)),"",INDEX(data!R:R,MATCH($N339,data!$A:$A,0)))</f>
        <v/>
      </c>
      <c r="BD339" s="38" t="str">
        <f>IF(ISNA(MATCH($N339,[1]data!$A:$A,0)),"",INDEX([1]data!U:U,MATCH($N339,[1]data!$A:$A,0)))</f>
        <v/>
      </c>
      <c r="BE339" s="61" t="e">
        <f>IF(COUNTIF([1]data!A:A,[1]!Table1[[#This Row],[UPC]])&lt;2,"","DUP")</f>
        <v>#VALUE!</v>
      </c>
      <c r="BF339" s="38" t="str">
        <f>IF(ISNA(MATCH($N339,data!$A:$A,0)),"",INDEX(data!W:W,MATCH($N339,data!$A:$A,0)))</f>
        <v/>
      </c>
    </row>
    <row r="340" spans="1:58" ht="12.75" customHeight="1">
      <c r="A340" s="35"/>
      <c r="B340" s="35"/>
      <c r="C340" s="35"/>
      <c r="D340" s="35"/>
      <c r="E340" s="67"/>
      <c r="F340" s="67"/>
      <c r="G340" s="36"/>
      <c r="H340" s="29"/>
      <c r="I340" s="78" t="str">
        <f t="shared" si="6"/>
        <v/>
      </c>
      <c r="J340" s="29"/>
      <c r="K340" s="29"/>
      <c r="L340" s="33"/>
      <c r="M340" s="33"/>
      <c r="N340" s="60"/>
      <c r="O340" s="71"/>
      <c r="P340" s="71"/>
      <c r="Q340" s="33"/>
      <c r="R340" s="31"/>
      <c r="S340" s="31"/>
      <c r="T340" s="59"/>
      <c r="U340" s="59"/>
      <c r="V340" s="59"/>
      <c r="W340" s="57">
        <f t="shared" si="7"/>
        <v>0</v>
      </c>
      <c r="X340" s="126" t="str">
        <f>IF(Table1[[#This Row],[Shipping Weight Pounds]]&gt;150,"See LTL Form","No")</f>
        <v>No</v>
      </c>
      <c r="Y340" s="28"/>
      <c r="Z340" s="33"/>
      <c r="AA340" s="34"/>
      <c r="AB340" s="30"/>
      <c r="AC340" s="30"/>
      <c r="AD340" s="32"/>
      <c r="AE340" s="32"/>
      <c r="AF340" s="2"/>
      <c r="AG340" s="2"/>
      <c r="AH340" s="2"/>
      <c r="AI340" s="2"/>
      <c r="AK340" s="73" t="str">
        <f>IF(ISNA(MATCH($N340,[1]data!$A:$A,0)),"",INDEX([1]data!S:S,MATCH($N340,[1]data!$A:$A,0)))</f>
        <v/>
      </c>
      <c r="AL340" s="73" t="str">
        <f>IF(ISNA(MATCH($N340,[1]data!$A:$A,0)),"",INDEX([1]data!V:V,MATCH($N340,[1]data!$A:$A,0)))</f>
        <v/>
      </c>
      <c r="AM340" s="38" t="str">
        <f>IF(ISNA(MATCH($N340,data!$A:$A,0)),"",INDEX(data!B:B,MATCH($N340,data!$A:$A,0)))</f>
        <v/>
      </c>
      <c r="AN340" s="38" t="str">
        <f>IF(ISNA(MATCH($N340,data!$A:$A,0)),"",INDEX(data!C:C,MATCH($N340,data!$A:$A,0)))</f>
        <v/>
      </c>
      <c r="AO340" s="38" t="str">
        <f>IF(ISNA(MATCH($N340,data!$A:$A,0)),"",INDEX(data!D:D,MATCH($N340,data!$A:$A,0)))</f>
        <v/>
      </c>
      <c r="AP340" s="38" t="str">
        <f>IF(ISNA(MATCH($N340,data!$A:$A,0)),"",INDEX(data!E:E,MATCH($N340,data!$A:$A,0)))</f>
        <v/>
      </c>
      <c r="AQ340" s="38" t="str">
        <f>IF(ISNA(MATCH($N340,data!$A:$A,0)),"",INDEX(data!F:F,MATCH($N340,data!$A:$A,0)))</f>
        <v/>
      </c>
      <c r="AR340" s="38" t="str">
        <f>IF(ISNA(MATCH($N340,data!$A:$A,0)),"",INDEX(data!G:G,MATCH($N340,data!$A:$A,0)))</f>
        <v/>
      </c>
      <c r="AS340" s="38" t="str">
        <f>IF(ISNA(MATCH($N340,data!$A:$A,0)),"",INDEX(data!H:H,MATCH($N340,data!$A:$A,0)))</f>
        <v/>
      </c>
      <c r="AT340" s="38" t="str">
        <f>IF(ISNA(MATCH($N340,data!$A:$A,0)),"",INDEX(data!I:I,MATCH($N340,data!$A:$A,0)))</f>
        <v/>
      </c>
      <c r="AU340" s="38" t="str">
        <f>IF(ISNA(MATCH($N340,[1]data!$A:$A,0)),"",INDEX([1]data!L:L,MATCH($N340,[1]data!$A:$A,0)))</f>
        <v/>
      </c>
      <c r="AV340" s="38" t="str">
        <f>IF(ISNA(MATCH($N340,[1]data!$A:$A,0)),"",INDEX([1]data!M:M,MATCH($N340,[1]data!$A:$A,0)))</f>
        <v/>
      </c>
      <c r="AW340" s="38" t="str">
        <f>IF(ISNA(MATCH($N340,data!$A:$A,0)),"",INDEX(data!J:J,MATCH($N340,data!$A:$A,0)))</f>
        <v/>
      </c>
      <c r="AX340" s="38" t="str">
        <f>IF(ISNA(MATCH($N340,data!$A:$A,0)),"",INDEX(data!K:K,MATCH($N340,data!$A:$A,0)))</f>
        <v/>
      </c>
      <c r="AY340" s="38" t="str">
        <f>IF(ISNA(MATCH($N340,data!$A:$A,0)),"",INDEX(data!O:O,MATCH($N340,data!$A:$A,0)))</f>
        <v/>
      </c>
      <c r="AZ340" s="38" t="str">
        <f>IF(ISNA(MATCH($N340,data!$A:$A,0)),"",INDEX(data!N:N,MATCH($N340,data!$A:$A,0)))</f>
        <v/>
      </c>
      <c r="BA340" s="38" t="str">
        <f>IF(ISNA(MATCH($N340,data!$A:$A,0)),"",INDEX(data!P:P,MATCH($N340,data!$A:$A,0)))</f>
        <v/>
      </c>
      <c r="BB340" s="38" t="str">
        <f>IF(ISNA(MATCH($N340,data!$A:$A,0)),"",INDEX(data!Q:Q,MATCH($N340,data!$A:$A,0)))</f>
        <v/>
      </c>
      <c r="BC340" s="38" t="str">
        <f>IF(ISNA(MATCH($N340,data!$A:$A,0)),"",INDEX(data!R:R,MATCH($N340,data!$A:$A,0)))</f>
        <v/>
      </c>
      <c r="BD340" s="38" t="str">
        <f>IF(ISNA(MATCH($N340,[1]data!$A:$A,0)),"",INDEX([1]data!U:U,MATCH($N340,[1]data!$A:$A,0)))</f>
        <v/>
      </c>
      <c r="BE340" s="61" t="e">
        <f>IF(COUNTIF([1]data!A:A,[1]!Table1[[#This Row],[UPC]])&lt;2,"","DUP")</f>
        <v>#VALUE!</v>
      </c>
      <c r="BF340" s="38" t="str">
        <f>IF(ISNA(MATCH($N340,data!$A:$A,0)),"",INDEX(data!W:W,MATCH($N340,data!$A:$A,0)))</f>
        <v/>
      </c>
    </row>
    <row r="341" spans="1:58" ht="12.75" customHeight="1">
      <c r="A341" s="35"/>
      <c r="B341" s="35"/>
      <c r="C341" s="35"/>
      <c r="D341" s="35"/>
      <c r="E341" s="67"/>
      <c r="F341" s="67"/>
      <c r="G341" s="36"/>
      <c r="H341" s="29"/>
      <c r="I341" s="78" t="str">
        <f t="shared" si="6"/>
        <v/>
      </c>
      <c r="J341" s="29"/>
      <c r="K341" s="29"/>
      <c r="L341" s="33"/>
      <c r="M341" s="33"/>
      <c r="N341" s="60"/>
      <c r="O341" s="71"/>
      <c r="P341" s="71"/>
      <c r="Q341" s="33"/>
      <c r="R341" s="31"/>
      <c r="S341" s="31"/>
      <c r="T341" s="59"/>
      <c r="U341" s="59"/>
      <c r="V341" s="59"/>
      <c r="W341" s="57">
        <f t="shared" si="7"/>
        <v>0</v>
      </c>
      <c r="X341" s="126" t="str">
        <f>IF(Table1[[#This Row],[Shipping Weight Pounds]]&gt;150,"See LTL Form","No")</f>
        <v>No</v>
      </c>
      <c r="Y341" s="28"/>
      <c r="Z341" s="33"/>
      <c r="AA341" s="34"/>
      <c r="AB341" s="30"/>
      <c r="AC341" s="30"/>
      <c r="AD341" s="32"/>
      <c r="AE341" s="32"/>
      <c r="AF341" s="2"/>
      <c r="AG341" s="2"/>
      <c r="AH341" s="2"/>
      <c r="AI341" s="2"/>
      <c r="AK341" s="73" t="str">
        <f>IF(ISNA(MATCH($N341,[1]data!$A:$A,0)),"",INDEX([1]data!S:S,MATCH($N341,[1]data!$A:$A,0)))</f>
        <v/>
      </c>
      <c r="AL341" s="73" t="str">
        <f>IF(ISNA(MATCH($N341,[1]data!$A:$A,0)),"",INDEX([1]data!V:V,MATCH($N341,[1]data!$A:$A,0)))</f>
        <v/>
      </c>
      <c r="AM341" s="38" t="str">
        <f>IF(ISNA(MATCH($N341,data!$A:$A,0)),"",INDEX(data!B:B,MATCH($N341,data!$A:$A,0)))</f>
        <v/>
      </c>
      <c r="AN341" s="38" t="str">
        <f>IF(ISNA(MATCH($N341,data!$A:$A,0)),"",INDEX(data!C:C,MATCH($N341,data!$A:$A,0)))</f>
        <v/>
      </c>
      <c r="AO341" s="38" t="str">
        <f>IF(ISNA(MATCH($N341,data!$A:$A,0)),"",INDEX(data!D:D,MATCH($N341,data!$A:$A,0)))</f>
        <v/>
      </c>
      <c r="AP341" s="38" t="str">
        <f>IF(ISNA(MATCH($N341,data!$A:$A,0)),"",INDEX(data!E:E,MATCH($N341,data!$A:$A,0)))</f>
        <v/>
      </c>
      <c r="AQ341" s="38" t="str">
        <f>IF(ISNA(MATCH($N341,data!$A:$A,0)),"",INDEX(data!F:F,MATCH($N341,data!$A:$A,0)))</f>
        <v/>
      </c>
      <c r="AR341" s="38" t="str">
        <f>IF(ISNA(MATCH($N341,data!$A:$A,0)),"",INDEX(data!G:G,MATCH($N341,data!$A:$A,0)))</f>
        <v/>
      </c>
      <c r="AS341" s="38" t="str">
        <f>IF(ISNA(MATCH($N341,data!$A:$A,0)),"",INDEX(data!H:H,MATCH($N341,data!$A:$A,0)))</f>
        <v/>
      </c>
      <c r="AT341" s="38" t="str">
        <f>IF(ISNA(MATCH($N341,data!$A:$A,0)),"",INDEX(data!I:I,MATCH($N341,data!$A:$A,0)))</f>
        <v/>
      </c>
      <c r="AU341" s="38" t="str">
        <f>IF(ISNA(MATCH($N341,[1]data!$A:$A,0)),"",INDEX([1]data!L:L,MATCH($N341,[1]data!$A:$A,0)))</f>
        <v/>
      </c>
      <c r="AV341" s="38" t="str">
        <f>IF(ISNA(MATCH($N341,[1]data!$A:$A,0)),"",INDEX([1]data!M:M,MATCH($N341,[1]data!$A:$A,0)))</f>
        <v/>
      </c>
      <c r="AW341" s="38" t="str">
        <f>IF(ISNA(MATCH($N341,data!$A:$A,0)),"",INDEX(data!J:J,MATCH($N341,data!$A:$A,0)))</f>
        <v/>
      </c>
      <c r="AX341" s="38" t="str">
        <f>IF(ISNA(MATCH($N341,data!$A:$A,0)),"",INDEX(data!K:K,MATCH($N341,data!$A:$A,0)))</f>
        <v/>
      </c>
      <c r="AY341" s="38" t="str">
        <f>IF(ISNA(MATCH($N341,data!$A:$A,0)),"",INDEX(data!O:O,MATCH($N341,data!$A:$A,0)))</f>
        <v/>
      </c>
      <c r="AZ341" s="38" t="str">
        <f>IF(ISNA(MATCH($N341,data!$A:$A,0)),"",INDEX(data!N:N,MATCH($N341,data!$A:$A,0)))</f>
        <v/>
      </c>
      <c r="BA341" s="38" t="str">
        <f>IF(ISNA(MATCH($N341,data!$A:$A,0)),"",INDEX(data!P:P,MATCH($N341,data!$A:$A,0)))</f>
        <v/>
      </c>
      <c r="BB341" s="38" t="str">
        <f>IF(ISNA(MATCH($N341,data!$A:$A,0)),"",INDEX(data!Q:Q,MATCH($N341,data!$A:$A,0)))</f>
        <v/>
      </c>
      <c r="BC341" s="38" t="str">
        <f>IF(ISNA(MATCH($N341,data!$A:$A,0)),"",INDEX(data!R:R,MATCH($N341,data!$A:$A,0)))</f>
        <v/>
      </c>
      <c r="BD341" s="38" t="str">
        <f>IF(ISNA(MATCH($N341,[1]data!$A:$A,0)),"",INDEX([1]data!U:U,MATCH($N341,[1]data!$A:$A,0)))</f>
        <v/>
      </c>
      <c r="BE341" s="61" t="e">
        <f>IF(COUNTIF([1]data!A:A,[1]!Table1[[#This Row],[UPC]])&lt;2,"","DUP")</f>
        <v>#VALUE!</v>
      </c>
      <c r="BF341" s="38" t="str">
        <f>IF(ISNA(MATCH($N341,data!$A:$A,0)),"",INDEX(data!W:W,MATCH($N341,data!$A:$A,0)))</f>
        <v/>
      </c>
    </row>
    <row r="342" spans="1:58" ht="12.75" customHeight="1">
      <c r="A342" s="35"/>
      <c r="B342" s="35"/>
      <c r="C342" s="35"/>
      <c r="D342" s="35"/>
      <c r="E342" s="67"/>
      <c r="F342" s="67"/>
      <c r="G342" s="36"/>
      <c r="H342" s="29"/>
      <c r="I342" s="78" t="str">
        <f t="shared" si="6"/>
        <v/>
      </c>
      <c r="J342" s="29"/>
      <c r="K342" s="29"/>
      <c r="L342" s="33"/>
      <c r="M342" s="33"/>
      <c r="N342" s="60"/>
      <c r="O342" s="71"/>
      <c r="P342" s="71"/>
      <c r="Q342" s="33"/>
      <c r="R342" s="31"/>
      <c r="S342" s="31"/>
      <c r="T342" s="59"/>
      <c r="U342" s="59"/>
      <c r="V342" s="59"/>
      <c r="W342" s="57">
        <f t="shared" si="7"/>
        <v>0</v>
      </c>
      <c r="X342" s="126" t="str">
        <f>IF(Table1[[#This Row],[Shipping Weight Pounds]]&gt;150,"See LTL Form","No")</f>
        <v>No</v>
      </c>
      <c r="Y342" s="28"/>
      <c r="Z342" s="33"/>
      <c r="AA342" s="34"/>
      <c r="AB342" s="30"/>
      <c r="AC342" s="30"/>
      <c r="AD342" s="32"/>
      <c r="AE342" s="32"/>
      <c r="AF342" s="2"/>
      <c r="AG342" s="2"/>
      <c r="AH342" s="2"/>
      <c r="AI342" s="2"/>
      <c r="AK342" s="73" t="str">
        <f>IF(ISNA(MATCH($N342,[1]data!$A:$A,0)),"",INDEX([1]data!S:S,MATCH($N342,[1]data!$A:$A,0)))</f>
        <v/>
      </c>
      <c r="AL342" s="73" t="str">
        <f>IF(ISNA(MATCH($N342,[1]data!$A:$A,0)),"",INDEX([1]data!V:V,MATCH($N342,[1]data!$A:$A,0)))</f>
        <v/>
      </c>
      <c r="AM342" s="38" t="str">
        <f>IF(ISNA(MATCH($N342,data!$A:$A,0)),"",INDEX(data!B:B,MATCH($N342,data!$A:$A,0)))</f>
        <v/>
      </c>
      <c r="AN342" s="38" t="str">
        <f>IF(ISNA(MATCH($N342,data!$A:$A,0)),"",INDEX(data!C:C,MATCH($N342,data!$A:$A,0)))</f>
        <v/>
      </c>
      <c r="AO342" s="38" t="str">
        <f>IF(ISNA(MATCH($N342,data!$A:$A,0)),"",INDEX(data!D:D,MATCH($N342,data!$A:$A,0)))</f>
        <v/>
      </c>
      <c r="AP342" s="38" t="str">
        <f>IF(ISNA(MATCH($N342,data!$A:$A,0)),"",INDEX(data!E:E,MATCH($N342,data!$A:$A,0)))</f>
        <v/>
      </c>
      <c r="AQ342" s="38" t="str">
        <f>IF(ISNA(MATCH($N342,data!$A:$A,0)),"",INDEX(data!F:F,MATCH($N342,data!$A:$A,0)))</f>
        <v/>
      </c>
      <c r="AR342" s="38" t="str">
        <f>IF(ISNA(MATCH($N342,data!$A:$A,0)),"",INDEX(data!G:G,MATCH($N342,data!$A:$A,0)))</f>
        <v/>
      </c>
      <c r="AS342" s="38" t="str">
        <f>IF(ISNA(MATCH($N342,data!$A:$A,0)),"",INDEX(data!H:H,MATCH($N342,data!$A:$A,0)))</f>
        <v/>
      </c>
      <c r="AT342" s="38" t="str">
        <f>IF(ISNA(MATCH($N342,data!$A:$A,0)),"",INDEX(data!I:I,MATCH($N342,data!$A:$A,0)))</f>
        <v/>
      </c>
      <c r="AU342" s="38" t="str">
        <f>IF(ISNA(MATCH($N342,[1]data!$A:$A,0)),"",INDEX([1]data!L:L,MATCH($N342,[1]data!$A:$A,0)))</f>
        <v/>
      </c>
      <c r="AV342" s="38" t="str">
        <f>IF(ISNA(MATCH($N342,[1]data!$A:$A,0)),"",INDEX([1]data!M:M,MATCH($N342,[1]data!$A:$A,0)))</f>
        <v/>
      </c>
      <c r="AW342" s="38" t="str">
        <f>IF(ISNA(MATCH($N342,data!$A:$A,0)),"",INDEX(data!J:J,MATCH($N342,data!$A:$A,0)))</f>
        <v/>
      </c>
      <c r="AX342" s="38" t="str">
        <f>IF(ISNA(MATCH($N342,data!$A:$A,0)),"",INDEX(data!K:K,MATCH($N342,data!$A:$A,0)))</f>
        <v/>
      </c>
      <c r="AY342" s="38" t="str">
        <f>IF(ISNA(MATCH($N342,data!$A:$A,0)),"",INDEX(data!O:O,MATCH($N342,data!$A:$A,0)))</f>
        <v/>
      </c>
      <c r="AZ342" s="38" t="str">
        <f>IF(ISNA(MATCH($N342,data!$A:$A,0)),"",INDEX(data!N:N,MATCH($N342,data!$A:$A,0)))</f>
        <v/>
      </c>
      <c r="BA342" s="38" t="str">
        <f>IF(ISNA(MATCH($N342,data!$A:$A,0)),"",INDEX(data!P:P,MATCH($N342,data!$A:$A,0)))</f>
        <v/>
      </c>
      <c r="BB342" s="38" t="str">
        <f>IF(ISNA(MATCH($N342,data!$A:$A,0)),"",INDEX(data!Q:Q,MATCH($N342,data!$A:$A,0)))</f>
        <v/>
      </c>
      <c r="BC342" s="38" t="str">
        <f>IF(ISNA(MATCH($N342,data!$A:$A,0)),"",INDEX(data!R:R,MATCH($N342,data!$A:$A,0)))</f>
        <v/>
      </c>
      <c r="BD342" s="38" t="str">
        <f>IF(ISNA(MATCH($N342,[1]data!$A:$A,0)),"",INDEX([1]data!U:U,MATCH($N342,[1]data!$A:$A,0)))</f>
        <v/>
      </c>
      <c r="BE342" s="61" t="e">
        <f>IF(COUNTIF([1]data!A:A,[1]!Table1[[#This Row],[UPC]])&lt;2,"","DUP")</f>
        <v>#VALUE!</v>
      </c>
      <c r="BF342" s="38" t="str">
        <f>IF(ISNA(MATCH($N342,data!$A:$A,0)),"",INDEX(data!W:W,MATCH($N342,data!$A:$A,0)))</f>
        <v/>
      </c>
    </row>
    <row r="343" spans="1:58" ht="12.75" customHeight="1">
      <c r="A343" s="35"/>
      <c r="B343" s="35"/>
      <c r="C343" s="35"/>
      <c r="D343" s="35"/>
      <c r="E343" s="67"/>
      <c r="F343" s="67"/>
      <c r="G343" s="36"/>
      <c r="H343" s="29"/>
      <c r="I343" s="78" t="str">
        <f t="shared" si="6"/>
        <v/>
      </c>
      <c r="J343" s="29"/>
      <c r="K343" s="29"/>
      <c r="L343" s="33"/>
      <c r="M343" s="33"/>
      <c r="N343" s="60"/>
      <c r="O343" s="71"/>
      <c r="P343" s="71"/>
      <c r="Q343" s="33"/>
      <c r="R343" s="31"/>
      <c r="S343" s="31"/>
      <c r="T343" s="59"/>
      <c r="U343" s="59"/>
      <c r="V343" s="59"/>
      <c r="W343" s="57">
        <f t="shared" si="7"/>
        <v>0</v>
      </c>
      <c r="X343" s="126" t="str">
        <f>IF(Table1[[#This Row],[Shipping Weight Pounds]]&gt;150,"See LTL Form","No")</f>
        <v>No</v>
      </c>
      <c r="Y343" s="28"/>
      <c r="Z343" s="33"/>
      <c r="AA343" s="34"/>
      <c r="AB343" s="30"/>
      <c r="AC343" s="30"/>
      <c r="AD343" s="32"/>
      <c r="AE343" s="32"/>
      <c r="AF343" s="2"/>
      <c r="AG343" s="2"/>
      <c r="AH343" s="2"/>
      <c r="AI343" s="2"/>
      <c r="AK343" s="73" t="str">
        <f>IF(ISNA(MATCH($N343,[1]data!$A:$A,0)),"",INDEX([1]data!S:S,MATCH($N343,[1]data!$A:$A,0)))</f>
        <v/>
      </c>
      <c r="AL343" s="73" t="str">
        <f>IF(ISNA(MATCH($N343,[1]data!$A:$A,0)),"",INDEX([1]data!V:V,MATCH($N343,[1]data!$A:$A,0)))</f>
        <v/>
      </c>
      <c r="AM343" s="38" t="str">
        <f>IF(ISNA(MATCH($N343,data!$A:$A,0)),"",INDEX(data!B:B,MATCH($N343,data!$A:$A,0)))</f>
        <v/>
      </c>
      <c r="AN343" s="38" t="str">
        <f>IF(ISNA(MATCH($N343,data!$A:$A,0)),"",INDEX(data!C:C,MATCH($N343,data!$A:$A,0)))</f>
        <v/>
      </c>
      <c r="AO343" s="38" t="str">
        <f>IF(ISNA(MATCH($N343,data!$A:$A,0)),"",INDEX(data!D:D,MATCH($N343,data!$A:$A,0)))</f>
        <v/>
      </c>
      <c r="AP343" s="38" t="str">
        <f>IF(ISNA(MATCH($N343,data!$A:$A,0)),"",INDEX(data!E:E,MATCH($N343,data!$A:$A,0)))</f>
        <v/>
      </c>
      <c r="AQ343" s="38" t="str">
        <f>IF(ISNA(MATCH($N343,data!$A:$A,0)),"",INDEX(data!F:F,MATCH($N343,data!$A:$A,0)))</f>
        <v/>
      </c>
      <c r="AR343" s="38" t="str">
        <f>IF(ISNA(MATCH($N343,data!$A:$A,0)),"",INDEX(data!G:G,MATCH($N343,data!$A:$A,0)))</f>
        <v/>
      </c>
      <c r="AS343" s="38" t="str">
        <f>IF(ISNA(MATCH($N343,data!$A:$A,0)),"",INDEX(data!H:H,MATCH($N343,data!$A:$A,0)))</f>
        <v/>
      </c>
      <c r="AT343" s="38" t="str">
        <f>IF(ISNA(MATCH($N343,data!$A:$A,0)),"",INDEX(data!I:I,MATCH($N343,data!$A:$A,0)))</f>
        <v/>
      </c>
      <c r="AU343" s="38" t="str">
        <f>IF(ISNA(MATCH($N343,[1]data!$A:$A,0)),"",INDEX([1]data!L:L,MATCH($N343,[1]data!$A:$A,0)))</f>
        <v/>
      </c>
      <c r="AV343" s="38" t="str">
        <f>IF(ISNA(MATCH($N343,[1]data!$A:$A,0)),"",INDEX([1]data!M:M,MATCH($N343,[1]data!$A:$A,0)))</f>
        <v/>
      </c>
      <c r="AW343" s="38" t="str">
        <f>IF(ISNA(MATCH($N343,data!$A:$A,0)),"",INDEX(data!J:J,MATCH($N343,data!$A:$A,0)))</f>
        <v/>
      </c>
      <c r="AX343" s="38" t="str">
        <f>IF(ISNA(MATCH($N343,data!$A:$A,0)),"",INDEX(data!K:K,MATCH($N343,data!$A:$A,0)))</f>
        <v/>
      </c>
      <c r="AY343" s="38" t="str">
        <f>IF(ISNA(MATCH($N343,data!$A:$A,0)),"",INDEX(data!O:O,MATCH($N343,data!$A:$A,0)))</f>
        <v/>
      </c>
      <c r="AZ343" s="38" t="str">
        <f>IF(ISNA(MATCH($N343,data!$A:$A,0)),"",INDEX(data!N:N,MATCH($N343,data!$A:$A,0)))</f>
        <v/>
      </c>
      <c r="BA343" s="38" t="str">
        <f>IF(ISNA(MATCH($N343,data!$A:$A,0)),"",INDEX(data!P:P,MATCH($N343,data!$A:$A,0)))</f>
        <v/>
      </c>
      <c r="BB343" s="38" t="str">
        <f>IF(ISNA(MATCH($N343,data!$A:$A,0)),"",INDEX(data!Q:Q,MATCH($N343,data!$A:$A,0)))</f>
        <v/>
      </c>
      <c r="BC343" s="38" t="str">
        <f>IF(ISNA(MATCH($N343,data!$A:$A,0)),"",INDEX(data!R:R,MATCH($N343,data!$A:$A,0)))</f>
        <v/>
      </c>
      <c r="BD343" s="38" t="str">
        <f>IF(ISNA(MATCH($N343,[1]data!$A:$A,0)),"",INDEX([1]data!U:U,MATCH($N343,[1]data!$A:$A,0)))</f>
        <v/>
      </c>
      <c r="BE343" s="61" t="e">
        <f>IF(COUNTIF([1]data!A:A,[1]!Table1[[#This Row],[UPC]])&lt;2,"","DUP")</f>
        <v>#VALUE!</v>
      </c>
      <c r="BF343" s="38" t="str">
        <f>IF(ISNA(MATCH($N343,data!$A:$A,0)),"",INDEX(data!W:W,MATCH($N343,data!$A:$A,0)))</f>
        <v/>
      </c>
    </row>
    <row r="344" spans="1:58" ht="12.75" customHeight="1">
      <c r="A344" s="35"/>
      <c r="B344" s="35"/>
      <c r="C344" s="35"/>
      <c r="D344" s="35"/>
      <c r="E344" s="67"/>
      <c r="F344" s="67"/>
      <c r="G344" s="36"/>
      <c r="H344" s="29"/>
      <c r="I344" s="78" t="str">
        <f t="shared" si="6"/>
        <v/>
      </c>
      <c r="J344" s="29"/>
      <c r="K344" s="29"/>
      <c r="L344" s="33"/>
      <c r="M344" s="33"/>
      <c r="N344" s="60"/>
      <c r="O344" s="71"/>
      <c r="P344" s="71"/>
      <c r="Q344" s="33"/>
      <c r="R344" s="31"/>
      <c r="S344" s="31"/>
      <c r="T344" s="59"/>
      <c r="U344" s="59"/>
      <c r="V344" s="59"/>
      <c r="W344" s="57">
        <f t="shared" si="7"/>
        <v>0</v>
      </c>
      <c r="X344" s="126" t="str">
        <f>IF(Table1[[#This Row],[Shipping Weight Pounds]]&gt;150,"See LTL Form","No")</f>
        <v>No</v>
      </c>
      <c r="Y344" s="28"/>
      <c r="Z344" s="33"/>
      <c r="AA344" s="34"/>
      <c r="AB344" s="30"/>
      <c r="AC344" s="30"/>
      <c r="AD344" s="32"/>
      <c r="AE344" s="32"/>
      <c r="AF344" s="2"/>
      <c r="AG344" s="2"/>
      <c r="AH344" s="2"/>
      <c r="AI344" s="2"/>
      <c r="AK344" s="73" t="str">
        <f>IF(ISNA(MATCH($N344,[1]data!$A:$A,0)),"",INDEX([1]data!S:S,MATCH($N344,[1]data!$A:$A,0)))</f>
        <v/>
      </c>
      <c r="AL344" s="73" t="str">
        <f>IF(ISNA(MATCH($N344,[1]data!$A:$A,0)),"",INDEX([1]data!V:V,MATCH($N344,[1]data!$A:$A,0)))</f>
        <v/>
      </c>
      <c r="AM344" s="38" t="str">
        <f>IF(ISNA(MATCH($N344,data!$A:$A,0)),"",INDEX(data!B:B,MATCH($N344,data!$A:$A,0)))</f>
        <v/>
      </c>
      <c r="AN344" s="38" t="str">
        <f>IF(ISNA(MATCH($N344,data!$A:$A,0)),"",INDEX(data!C:C,MATCH($N344,data!$A:$A,0)))</f>
        <v/>
      </c>
      <c r="AO344" s="38" t="str">
        <f>IF(ISNA(MATCH($N344,data!$A:$A,0)),"",INDEX(data!D:D,MATCH($N344,data!$A:$A,0)))</f>
        <v/>
      </c>
      <c r="AP344" s="38" t="str">
        <f>IF(ISNA(MATCH($N344,data!$A:$A,0)),"",INDEX(data!E:E,MATCH($N344,data!$A:$A,0)))</f>
        <v/>
      </c>
      <c r="AQ344" s="38" t="str">
        <f>IF(ISNA(MATCH($N344,data!$A:$A,0)),"",INDEX(data!F:F,MATCH($N344,data!$A:$A,0)))</f>
        <v/>
      </c>
      <c r="AR344" s="38" t="str">
        <f>IF(ISNA(MATCH($N344,data!$A:$A,0)),"",INDEX(data!G:G,MATCH($N344,data!$A:$A,0)))</f>
        <v/>
      </c>
      <c r="AS344" s="38" t="str">
        <f>IF(ISNA(MATCH($N344,data!$A:$A,0)),"",INDEX(data!H:H,MATCH($N344,data!$A:$A,0)))</f>
        <v/>
      </c>
      <c r="AT344" s="38" t="str">
        <f>IF(ISNA(MATCH($N344,data!$A:$A,0)),"",INDEX(data!I:I,MATCH($N344,data!$A:$A,0)))</f>
        <v/>
      </c>
      <c r="AU344" s="38" t="str">
        <f>IF(ISNA(MATCH($N344,[1]data!$A:$A,0)),"",INDEX([1]data!L:L,MATCH($N344,[1]data!$A:$A,0)))</f>
        <v/>
      </c>
      <c r="AV344" s="38" t="str">
        <f>IF(ISNA(MATCH($N344,[1]data!$A:$A,0)),"",INDEX([1]data!M:M,MATCH($N344,[1]data!$A:$A,0)))</f>
        <v/>
      </c>
      <c r="AW344" s="38" t="str">
        <f>IF(ISNA(MATCH($N344,data!$A:$A,0)),"",INDEX(data!J:J,MATCH($N344,data!$A:$A,0)))</f>
        <v/>
      </c>
      <c r="AX344" s="38" t="str">
        <f>IF(ISNA(MATCH($N344,data!$A:$A,0)),"",INDEX(data!K:K,MATCH($N344,data!$A:$A,0)))</f>
        <v/>
      </c>
      <c r="AY344" s="38" t="str">
        <f>IF(ISNA(MATCH($N344,data!$A:$A,0)),"",INDEX(data!O:O,MATCH($N344,data!$A:$A,0)))</f>
        <v/>
      </c>
      <c r="AZ344" s="38" t="str">
        <f>IF(ISNA(MATCH($N344,data!$A:$A,0)),"",INDEX(data!N:N,MATCH($N344,data!$A:$A,0)))</f>
        <v/>
      </c>
      <c r="BA344" s="38" t="str">
        <f>IF(ISNA(MATCH($N344,data!$A:$A,0)),"",INDEX(data!P:P,MATCH($N344,data!$A:$A,0)))</f>
        <v/>
      </c>
      <c r="BB344" s="38" t="str">
        <f>IF(ISNA(MATCH($N344,data!$A:$A,0)),"",INDEX(data!Q:Q,MATCH($N344,data!$A:$A,0)))</f>
        <v/>
      </c>
      <c r="BC344" s="38" t="str">
        <f>IF(ISNA(MATCH($N344,data!$A:$A,0)),"",INDEX(data!R:R,MATCH($N344,data!$A:$A,0)))</f>
        <v/>
      </c>
      <c r="BD344" s="38" t="str">
        <f>IF(ISNA(MATCH($N344,[1]data!$A:$A,0)),"",INDEX([1]data!U:U,MATCH($N344,[1]data!$A:$A,0)))</f>
        <v/>
      </c>
      <c r="BE344" s="61" t="e">
        <f>IF(COUNTIF([1]data!A:A,[1]!Table1[[#This Row],[UPC]])&lt;2,"","DUP")</f>
        <v>#VALUE!</v>
      </c>
      <c r="BF344" s="38" t="str">
        <f>IF(ISNA(MATCH($N344,data!$A:$A,0)),"",INDEX(data!W:W,MATCH($N344,data!$A:$A,0)))</f>
        <v/>
      </c>
    </row>
    <row r="345" spans="1:58" ht="12.75" customHeight="1">
      <c r="A345" s="35"/>
      <c r="B345" s="35"/>
      <c r="C345" s="35"/>
      <c r="D345" s="35"/>
      <c r="E345" s="67"/>
      <c r="F345" s="67"/>
      <c r="G345" s="36"/>
      <c r="H345" s="29"/>
      <c r="I345" s="78" t="str">
        <f t="shared" si="6"/>
        <v/>
      </c>
      <c r="J345" s="29"/>
      <c r="K345" s="29"/>
      <c r="L345" s="33"/>
      <c r="M345" s="33"/>
      <c r="N345" s="60"/>
      <c r="O345" s="71"/>
      <c r="P345" s="71"/>
      <c r="Q345" s="33"/>
      <c r="R345" s="31"/>
      <c r="S345" s="31"/>
      <c r="T345" s="59"/>
      <c r="U345" s="59"/>
      <c r="V345" s="59"/>
      <c r="W345" s="57">
        <f t="shared" si="7"/>
        <v>0</v>
      </c>
      <c r="X345" s="126" t="str">
        <f>IF(Table1[[#This Row],[Shipping Weight Pounds]]&gt;150,"See LTL Form","No")</f>
        <v>No</v>
      </c>
      <c r="Y345" s="28"/>
      <c r="Z345" s="33"/>
      <c r="AA345" s="34"/>
      <c r="AB345" s="30"/>
      <c r="AC345" s="30"/>
      <c r="AD345" s="32"/>
      <c r="AE345" s="32"/>
      <c r="AF345" s="2"/>
      <c r="AG345" s="2"/>
      <c r="AH345" s="2"/>
      <c r="AI345" s="2"/>
      <c r="AK345" s="73" t="str">
        <f>IF(ISNA(MATCH($N345,[1]data!$A:$A,0)),"",INDEX([1]data!S:S,MATCH($N345,[1]data!$A:$A,0)))</f>
        <v/>
      </c>
      <c r="AL345" s="73" t="str">
        <f>IF(ISNA(MATCH($N345,[1]data!$A:$A,0)),"",INDEX([1]data!V:V,MATCH($N345,[1]data!$A:$A,0)))</f>
        <v/>
      </c>
      <c r="AM345" s="38" t="str">
        <f>IF(ISNA(MATCH($N345,data!$A:$A,0)),"",INDEX(data!B:B,MATCH($N345,data!$A:$A,0)))</f>
        <v/>
      </c>
      <c r="AN345" s="38" t="str">
        <f>IF(ISNA(MATCH($N345,data!$A:$A,0)),"",INDEX(data!C:C,MATCH($N345,data!$A:$A,0)))</f>
        <v/>
      </c>
      <c r="AO345" s="38" t="str">
        <f>IF(ISNA(MATCH($N345,data!$A:$A,0)),"",INDEX(data!D:D,MATCH($N345,data!$A:$A,0)))</f>
        <v/>
      </c>
      <c r="AP345" s="38" t="str">
        <f>IF(ISNA(MATCH($N345,data!$A:$A,0)),"",INDEX(data!E:E,MATCH($N345,data!$A:$A,0)))</f>
        <v/>
      </c>
      <c r="AQ345" s="38" t="str">
        <f>IF(ISNA(MATCH($N345,data!$A:$A,0)),"",INDEX(data!F:F,MATCH($N345,data!$A:$A,0)))</f>
        <v/>
      </c>
      <c r="AR345" s="38" t="str">
        <f>IF(ISNA(MATCH($N345,data!$A:$A,0)),"",INDEX(data!G:G,MATCH($N345,data!$A:$A,0)))</f>
        <v/>
      </c>
      <c r="AS345" s="38" t="str">
        <f>IF(ISNA(MATCH($N345,data!$A:$A,0)),"",INDEX(data!H:H,MATCH($N345,data!$A:$A,0)))</f>
        <v/>
      </c>
      <c r="AT345" s="38" t="str">
        <f>IF(ISNA(MATCH($N345,data!$A:$A,0)),"",INDEX(data!I:I,MATCH($N345,data!$A:$A,0)))</f>
        <v/>
      </c>
      <c r="AU345" s="38" t="str">
        <f>IF(ISNA(MATCH($N345,[1]data!$A:$A,0)),"",INDEX([1]data!L:L,MATCH($N345,[1]data!$A:$A,0)))</f>
        <v/>
      </c>
      <c r="AV345" s="38" t="str">
        <f>IF(ISNA(MATCH($N345,[1]data!$A:$A,0)),"",INDEX([1]data!M:M,MATCH($N345,[1]data!$A:$A,0)))</f>
        <v/>
      </c>
      <c r="AW345" s="38" t="str">
        <f>IF(ISNA(MATCH($N345,data!$A:$A,0)),"",INDEX(data!J:J,MATCH($N345,data!$A:$A,0)))</f>
        <v/>
      </c>
      <c r="AX345" s="38" t="str">
        <f>IF(ISNA(MATCH($N345,data!$A:$A,0)),"",INDEX(data!K:K,MATCH($N345,data!$A:$A,0)))</f>
        <v/>
      </c>
      <c r="AY345" s="38" t="str">
        <f>IF(ISNA(MATCH($N345,data!$A:$A,0)),"",INDEX(data!O:O,MATCH($N345,data!$A:$A,0)))</f>
        <v/>
      </c>
      <c r="AZ345" s="38" t="str">
        <f>IF(ISNA(MATCH($N345,data!$A:$A,0)),"",INDEX(data!N:N,MATCH($N345,data!$A:$A,0)))</f>
        <v/>
      </c>
      <c r="BA345" s="38" t="str">
        <f>IF(ISNA(MATCH($N345,data!$A:$A,0)),"",INDEX(data!P:P,MATCH($N345,data!$A:$A,0)))</f>
        <v/>
      </c>
      <c r="BB345" s="38" t="str">
        <f>IF(ISNA(MATCH($N345,data!$A:$A,0)),"",INDEX(data!Q:Q,MATCH($N345,data!$A:$A,0)))</f>
        <v/>
      </c>
      <c r="BC345" s="38" t="str">
        <f>IF(ISNA(MATCH($N345,data!$A:$A,0)),"",INDEX(data!R:R,MATCH($N345,data!$A:$A,0)))</f>
        <v/>
      </c>
      <c r="BD345" s="38" t="str">
        <f>IF(ISNA(MATCH($N345,[1]data!$A:$A,0)),"",INDEX([1]data!U:U,MATCH($N345,[1]data!$A:$A,0)))</f>
        <v/>
      </c>
      <c r="BE345" s="61" t="e">
        <f>IF(COUNTIF([1]data!A:A,[1]!Table1[[#This Row],[UPC]])&lt;2,"","DUP")</f>
        <v>#VALUE!</v>
      </c>
      <c r="BF345" s="38" t="str">
        <f>IF(ISNA(MATCH($N345,data!$A:$A,0)),"",INDEX(data!W:W,MATCH($N345,data!$A:$A,0)))</f>
        <v/>
      </c>
    </row>
    <row r="346" spans="1:58" ht="12.75" customHeight="1">
      <c r="A346" s="35"/>
      <c r="B346" s="35"/>
      <c r="C346" s="35"/>
      <c r="D346" s="35"/>
      <c r="E346" s="67"/>
      <c r="F346" s="67"/>
      <c r="G346" s="36"/>
      <c r="H346" s="29"/>
      <c r="I346" s="78" t="str">
        <f t="shared" si="6"/>
        <v/>
      </c>
      <c r="J346" s="29"/>
      <c r="K346" s="29"/>
      <c r="L346" s="33"/>
      <c r="M346" s="33"/>
      <c r="N346" s="60"/>
      <c r="O346" s="71"/>
      <c r="P346" s="71"/>
      <c r="Q346" s="33"/>
      <c r="R346" s="31"/>
      <c r="S346" s="31"/>
      <c r="T346" s="59"/>
      <c r="U346" s="59"/>
      <c r="V346" s="59"/>
      <c r="W346" s="57">
        <f t="shared" si="7"/>
        <v>0</v>
      </c>
      <c r="X346" s="126" t="str">
        <f>IF(Table1[[#This Row],[Shipping Weight Pounds]]&gt;150,"See LTL Form","No")</f>
        <v>No</v>
      </c>
      <c r="Y346" s="28"/>
      <c r="Z346" s="33"/>
      <c r="AA346" s="34"/>
      <c r="AB346" s="30"/>
      <c r="AC346" s="30"/>
      <c r="AD346" s="32"/>
      <c r="AE346" s="32"/>
      <c r="AF346" s="2"/>
      <c r="AG346" s="2"/>
      <c r="AH346" s="2"/>
      <c r="AI346" s="2"/>
      <c r="AK346" s="73" t="str">
        <f>IF(ISNA(MATCH($N346,[1]data!$A:$A,0)),"",INDEX([1]data!S:S,MATCH($N346,[1]data!$A:$A,0)))</f>
        <v/>
      </c>
      <c r="AL346" s="73" t="str">
        <f>IF(ISNA(MATCH($N346,[1]data!$A:$A,0)),"",INDEX([1]data!V:V,MATCH($N346,[1]data!$A:$A,0)))</f>
        <v/>
      </c>
      <c r="AM346" s="38" t="str">
        <f>IF(ISNA(MATCH($N346,data!$A:$A,0)),"",INDEX(data!B:B,MATCH($N346,data!$A:$A,0)))</f>
        <v/>
      </c>
      <c r="AN346" s="38" t="str">
        <f>IF(ISNA(MATCH($N346,data!$A:$A,0)),"",INDEX(data!C:C,MATCH($N346,data!$A:$A,0)))</f>
        <v/>
      </c>
      <c r="AO346" s="38" t="str">
        <f>IF(ISNA(MATCH($N346,data!$A:$A,0)),"",INDEX(data!D:D,MATCH($N346,data!$A:$A,0)))</f>
        <v/>
      </c>
      <c r="AP346" s="38" t="str">
        <f>IF(ISNA(MATCH($N346,data!$A:$A,0)),"",INDEX(data!E:E,MATCH($N346,data!$A:$A,0)))</f>
        <v/>
      </c>
      <c r="AQ346" s="38" t="str">
        <f>IF(ISNA(MATCH($N346,data!$A:$A,0)),"",INDEX(data!F:F,MATCH($N346,data!$A:$A,0)))</f>
        <v/>
      </c>
      <c r="AR346" s="38" t="str">
        <f>IF(ISNA(MATCH($N346,data!$A:$A,0)),"",INDEX(data!G:G,MATCH($N346,data!$A:$A,0)))</f>
        <v/>
      </c>
      <c r="AS346" s="38" t="str">
        <f>IF(ISNA(MATCH($N346,data!$A:$A,0)),"",INDEX(data!H:H,MATCH($N346,data!$A:$A,0)))</f>
        <v/>
      </c>
      <c r="AT346" s="38" t="str">
        <f>IF(ISNA(MATCH($N346,data!$A:$A,0)),"",INDEX(data!I:I,MATCH($N346,data!$A:$A,0)))</f>
        <v/>
      </c>
      <c r="AU346" s="38" t="str">
        <f>IF(ISNA(MATCH($N346,[1]data!$A:$A,0)),"",INDEX([1]data!L:L,MATCH($N346,[1]data!$A:$A,0)))</f>
        <v/>
      </c>
      <c r="AV346" s="38" t="str">
        <f>IF(ISNA(MATCH($N346,[1]data!$A:$A,0)),"",INDEX([1]data!M:M,MATCH($N346,[1]data!$A:$A,0)))</f>
        <v/>
      </c>
      <c r="AW346" s="38" t="str">
        <f>IF(ISNA(MATCH($N346,data!$A:$A,0)),"",INDEX(data!J:J,MATCH($N346,data!$A:$A,0)))</f>
        <v/>
      </c>
      <c r="AX346" s="38" t="str">
        <f>IF(ISNA(MATCH($N346,data!$A:$A,0)),"",INDEX(data!K:K,MATCH($N346,data!$A:$A,0)))</f>
        <v/>
      </c>
      <c r="AY346" s="38" t="str">
        <f>IF(ISNA(MATCH($N346,data!$A:$A,0)),"",INDEX(data!O:O,MATCH($N346,data!$A:$A,0)))</f>
        <v/>
      </c>
      <c r="AZ346" s="38" t="str">
        <f>IF(ISNA(MATCH($N346,data!$A:$A,0)),"",INDEX(data!N:N,MATCH($N346,data!$A:$A,0)))</f>
        <v/>
      </c>
      <c r="BA346" s="38" t="str">
        <f>IF(ISNA(MATCH($N346,data!$A:$A,0)),"",INDEX(data!P:P,MATCH($N346,data!$A:$A,0)))</f>
        <v/>
      </c>
      <c r="BB346" s="38" t="str">
        <f>IF(ISNA(MATCH($N346,data!$A:$A,0)),"",INDEX(data!Q:Q,MATCH($N346,data!$A:$A,0)))</f>
        <v/>
      </c>
      <c r="BC346" s="38" t="str">
        <f>IF(ISNA(MATCH($N346,data!$A:$A,0)),"",INDEX(data!R:R,MATCH($N346,data!$A:$A,0)))</f>
        <v/>
      </c>
      <c r="BD346" s="38" t="str">
        <f>IF(ISNA(MATCH($N346,[1]data!$A:$A,0)),"",INDEX([1]data!U:U,MATCH($N346,[1]data!$A:$A,0)))</f>
        <v/>
      </c>
      <c r="BE346" s="61" t="e">
        <f>IF(COUNTIF([1]data!A:A,[1]!Table1[[#This Row],[UPC]])&lt;2,"","DUP")</f>
        <v>#VALUE!</v>
      </c>
      <c r="BF346" s="38" t="str">
        <f>IF(ISNA(MATCH($N346,data!$A:$A,0)),"",INDEX(data!W:W,MATCH($N346,data!$A:$A,0)))</f>
        <v/>
      </c>
    </row>
    <row r="347" spans="1:58" s="39" customFormat="1" ht="12.75" customHeight="1">
      <c r="A347" s="35"/>
      <c r="B347" s="35"/>
      <c r="C347" s="35"/>
      <c r="D347" s="35"/>
      <c r="E347" s="67"/>
      <c r="F347" s="67"/>
      <c r="G347" s="36"/>
      <c r="H347" s="29"/>
      <c r="I347" s="78" t="str">
        <f t="shared" si="6"/>
        <v/>
      </c>
      <c r="J347" s="29"/>
      <c r="K347" s="29"/>
      <c r="L347" s="33"/>
      <c r="M347" s="33"/>
      <c r="N347" s="60"/>
      <c r="O347" s="71"/>
      <c r="P347" s="71"/>
      <c r="Q347" s="33"/>
      <c r="R347" s="31"/>
      <c r="S347" s="31"/>
      <c r="T347" s="59"/>
      <c r="U347" s="59"/>
      <c r="V347" s="59"/>
      <c r="W347" s="57">
        <f t="shared" si="7"/>
        <v>0</v>
      </c>
      <c r="X347" s="126" t="str">
        <f>IF(Table1[[#This Row],[Shipping Weight Pounds]]&gt;150,"See LTL Form","No")</f>
        <v>No</v>
      </c>
      <c r="Y347" s="28"/>
      <c r="Z347" s="33"/>
      <c r="AA347" s="34"/>
      <c r="AB347" s="30"/>
      <c r="AC347" s="30"/>
      <c r="AD347" s="32"/>
      <c r="AE347" s="32"/>
      <c r="AF347" s="2"/>
      <c r="AG347" s="2"/>
      <c r="AH347" s="2"/>
      <c r="AI347" s="2"/>
      <c r="AJ347" s="45"/>
      <c r="AK347" s="73" t="str">
        <f>IF(ISNA(MATCH($N347,[1]data!$A:$A,0)),"",INDEX([1]data!S:S,MATCH($N347,[1]data!$A:$A,0)))</f>
        <v/>
      </c>
      <c r="AL347" s="73" t="str">
        <f>IF(ISNA(MATCH($N347,[1]data!$A:$A,0)),"",INDEX([1]data!V:V,MATCH($N347,[1]data!$A:$A,0)))</f>
        <v/>
      </c>
      <c r="AM347" s="38" t="str">
        <f>IF(ISNA(MATCH($N347,data!$A:$A,0)),"",INDEX(data!B:B,MATCH($N347,data!$A:$A,0)))</f>
        <v/>
      </c>
      <c r="AN347" s="38" t="str">
        <f>IF(ISNA(MATCH($N347,data!$A:$A,0)),"",INDEX(data!C:C,MATCH($N347,data!$A:$A,0)))</f>
        <v/>
      </c>
      <c r="AO347" s="38" t="str">
        <f>IF(ISNA(MATCH($N347,data!$A:$A,0)),"",INDEX(data!D:D,MATCH($N347,data!$A:$A,0)))</f>
        <v/>
      </c>
      <c r="AP347" s="38" t="str">
        <f>IF(ISNA(MATCH($N347,data!$A:$A,0)),"",INDEX(data!E:E,MATCH($N347,data!$A:$A,0)))</f>
        <v/>
      </c>
      <c r="AQ347" s="38" t="str">
        <f>IF(ISNA(MATCH($N347,data!$A:$A,0)),"",INDEX(data!F:F,MATCH($N347,data!$A:$A,0)))</f>
        <v/>
      </c>
      <c r="AR347" s="38" t="str">
        <f>IF(ISNA(MATCH($N347,data!$A:$A,0)),"",INDEX(data!G:G,MATCH($N347,data!$A:$A,0)))</f>
        <v/>
      </c>
      <c r="AS347" s="38" t="str">
        <f>IF(ISNA(MATCH($N347,data!$A:$A,0)),"",INDEX(data!H:H,MATCH($N347,data!$A:$A,0)))</f>
        <v/>
      </c>
      <c r="AT347" s="38" t="str">
        <f>IF(ISNA(MATCH($N347,data!$A:$A,0)),"",INDEX(data!I:I,MATCH($N347,data!$A:$A,0)))</f>
        <v/>
      </c>
      <c r="AU347" s="38" t="str">
        <f>IF(ISNA(MATCH($N347,[1]data!$A:$A,0)),"",INDEX([1]data!L:L,MATCH($N347,[1]data!$A:$A,0)))</f>
        <v/>
      </c>
      <c r="AV347" s="38" t="str">
        <f>IF(ISNA(MATCH($N347,[1]data!$A:$A,0)),"",INDEX([1]data!M:M,MATCH($N347,[1]data!$A:$A,0)))</f>
        <v/>
      </c>
      <c r="AW347" s="38" t="str">
        <f>IF(ISNA(MATCH($N347,data!$A:$A,0)),"",INDEX(data!J:J,MATCH($N347,data!$A:$A,0)))</f>
        <v/>
      </c>
      <c r="AX347" s="38" t="str">
        <f>IF(ISNA(MATCH($N347,data!$A:$A,0)),"",INDEX(data!K:K,MATCH($N347,data!$A:$A,0)))</f>
        <v/>
      </c>
      <c r="AY347" s="38" t="str">
        <f>IF(ISNA(MATCH($N347,data!$A:$A,0)),"",INDEX(data!O:O,MATCH($N347,data!$A:$A,0)))</f>
        <v/>
      </c>
      <c r="AZ347" s="38" t="str">
        <f>IF(ISNA(MATCH($N347,data!$A:$A,0)),"",INDEX(data!N:N,MATCH($N347,data!$A:$A,0)))</f>
        <v/>
      </c>
      <c r="BA347" s="38" t="str">
        <f>IF(ISNA(MATCH($N347,data!$A:$A,0)),"",INDEX(data!P:P,MATCH($N347,data!$A:$A,0)))</f>
        <v/>
      </c>
      <c r="BB347" s="38" t="str">
        <f>IF(ISNA(MATCH($N347,data!$A:$A,0)),"",INDEX(data!Q:Q,MATCH($N347,data!$A:$A,0)))</f>
        <v/>
      </c>
      <c r="BC347" s="38" t="str">
        <f>IF(ISNA(MATCH($N347,data!$A:$A,0)),"",INDEX(data!R:R,MATCH($N347,data!$A:$A,0)))</f>
        <v/>
      </c>
      <c r="BD347" s="38" t="str">
        <f>IF(ISNA(MATCH($N347,[1]data!$A:$A,0)),"",INDEX([1]data!U:U,MATCH($N347,[1]data!$A:$A,0)))</f>
        <v/>
      </c>
      <c r="BE347" s="61" t="e">
        <f>IF(COUNTIF([1]data!A:A,[1]!Table1[[#This Row],[UPC]])&lt;2,"","DUP")</f>
        <v>#VALUE!</v>
      </c>
      <c r="BF347" s="38" t="str">
        <f>IF(ISNA(MATCH($N347,data!$A:$A,0)),"",INDEX(data!W:W,MATCH($N347,data!$A:$A,0)))</f>
        <v/>
      </c>
    </row>
    <row r="348" spans="1:58" s="39" customFormat="1" ht="12.75" customHeight="1">
      <c r="A348" s="35"/>
      <c r="B348" s="35"/>
      <c r="C348" s="35"/>
      <c r="D348" s="35"/>
      <c r="E348" s="67"/>
      <c r="F348" s="67"/>
      <c r="G348" s="36"/>
      <c r="H348" s="29"/>
      <c r="I348" s="78" t="str">
        <f t="shared" si="6"/>
        <v/>
      </c>
      <c r="J348" s="29"/>
      <c r="K348" s="29"/>
      <c r="L348" s="33"/>
      <c r="M348" s="33"/>
      <c r="N348" s="60"/>
      <c r="O348" s="71"/>
      <c r="P348" s="71"/>
      <c r="Q348" s="33"/>
      <c r="R348" s="31"/>
      <c r="S348" s="31"/>
      <c r="T348" s="59"/>
      <c r="U348" s="59"/>
      <c r="V348" s="59"/>
      <c r="W348" s="57">
        <f t="shared" si="7"/>
        <v>0</v>
      </c>
      <c r="X348" s="126" t="str">
        <f>IF(Table1[[#This Row],[Shipping Weight Pounds]]&gt;150,"See LTL Form","No")</f>
        <v>No</v>
      </c>
      <c r="Y348" s="28"/>
      <c r="Z348" s="33"/>
      <c r="AA348" s="34"/>
      <c r="AB348" s="30"/>
      <c r="AC348" s="30"/>
      <c r="AD348" s="32"/>
      <c r="AE348" s="32"/>
      <c r="AF348" s="2"/>
      <c r="AG348" s="2"/>
      <c r="AH348" s="2"/>
      <c r="AI348" s="2"/>
      <c r="AJ348" s="45"/>
      <c r="AK348" s="73" t="str">
        <f>IF(ISNA(MATCH($N348,[1]data!$A:$A,0)),"",INDEX([1]data!S:S,MATCH($N348,[1]data!$A:$A,0)))</f>
        <v/>
      </c>
      <c r="AL348" s="73" t="str">
        <f>IF(ISNA(MATCH($N348,[1]data!$A:$A,0)),"",INDEX([1]data!V:V,MATCH($N348,[1]data!$A:$A,0)))</f>
        <v/>
      </c>
      <c r="AM348" s="38" t="str">
        <f>IF(ISNA(MATCH($N348,data!$A:$A,0)),"",INDEX(data!B:B,MATCH($N348,data!$A:$A,0)))</f>
        <v/>
      </c>
      <c r="AN348" s="38" t="str">
        <f>IF(ISNA(MATCH($N348,data!$A:$A,0)),"",INDEX(data!C:C,MATCH($N348,data!$A:$A,0)))</f>
        <v/>
      </c>
      <c r="AO348" s="38" t="str">
        <f>IF(ISNA(MATCH($N348,data!$A:$A,0)),"",INDEX(data!D:D,MATCH($N348,data!$A:$A,0)))</f>
        <v/>
      </c>
      <c r="AP348" s="38" t="str">
        <f>IF(ISNA(MATCH($N348,data!$A:$A,0)),"",INDEX(data!E:E,MATCH($N348,data!$A:$A,0)))</f>
        <v/>
      </c>
      <c r="AQ348" s="38" t="str">
        <f>IF(ISNA(MATCH($N348,data!$A:$A,0)),"",INDEX(data!F:F,MATCH($N348,data!$A:$A,0)))</f>
        <v/>
      </c>
      <c r="AR348" s="38" t="str">
        <f>IF(ISNA(MATCH($N348,data!$A:$A,0)),"",INDEX(data!G:G,MATCH($N348,data!$A:$A,0)))</f>
        <v/>
      </c>
      <c r="AS348" s="38" t="str">
        <f>IF(ISNA(MATCH($N348,data!$A:$A,0)),"",INDEX(data!H:H,MATCH($N348,data!$A:$A,0)))</f>
        <v/>
      </c>
      <c r="AT348" s="38" t="str">
        <f>IF(ISNA(MATCH($N348,data!$A:$A,0)),"",INDEX(data!I:I,MATCH($N348,data!$A:$A,0)))</f>
        <v/>
      </c>
      <c r="AU348" s="38" t="str">
        <f>IF(ISNA(MATCH($N348,[1]data!$A:$A,0)),"",INDEX([1]data!L:L,MATCH($N348,[1]data!$A:$A,0)))</f>
        <v/>
      </c>
      <c r="AV348" s="38" t="str">
        <f>IF(ISNA(MATCH($N348,[1]data!$A:$A,0)),"",INDEX([1]data!M:M,MATCH($N348,[1]data!$A:$A,0)))</f>
        <v/>
      </c>
      <c r="AW348" s="38" t="str">
        <f>IF(ISNA(MATCH($N348,data!$A:$A,0)),"",INDEX(data!J:J,MATCH($N348,data!$A:$A,0)))</f>
        <v/>
      </c>
      <c r="AX348" s="38" t="str">
        <f>IF(ISNA(MATCH($N348,data!$A:$A,0)),"",INDEX(data!K:K,MATCH($N348,data!$A:$A,0)))</f>
        <v/>
      </c>
      <c r="AY348" s="38" t="str">
        <f>IF(ISNA(MATCH($N348,data!$A:$A,0)),"",INDEX(data!O:O,MATCH($N348,data!$A:$A,0)))</f>
        <v/>
      </c>
      <c r="AZ348" s="38" t="str">
        <f>IF(ISNA(MATCH($N348,data!$A:$A,0)),"",INDEX(data!N:N,MATCH($N348,data!$A:$A,0)))</f>
        <v/>
      </c>
      <c r="BA348" s="38" t="str">
        <f>IF(ISNA(MATCH($N348,data!$A:$A,0)),"",INDEX(data!P:P,MATCH($N348,data!$A:$A,0)))</f>
        <v/>
      </c>
      <c r="BB348" s="38" t="str">
        <f>IF(ISNA(MATCH($N348,data!$A:$A,0)),"",INDEX(data!Q:Q,MATCH($N348,data!$A:$A,0)))</f>
        <v/>
      </c>
      <c r="BC348" s="38" t="str">
        <f>IF(ISNA(MATCH($N348,data!$A:$A,0)),"",INDEX(data!R:R,MATCH($N348,data!$A:$A,0)))</f>
        <v/>
      </c>
      <c r="BD348" s="38" t="str">
        <f>IF(ISNA(MATCH($N348,[1]data!$A:$A,0)),"",INDEX([1]data!U:U,MATCH($N348,[1]data!$A:$A,0)))</f>
        <v/>
      </c>
      <c r="BE348" s="61" t="e">
        <f>IF(COUNTIF([1]data!A:A,[1]!Table1[[#This Row],[UPC]])&lt;2,"","DUP")</f>
        <v>#VALUE!</v>
      </c>
      <c r="BF348" s="38" t="str">
        <f>IF(ISNA(MATCH($N348,data!$A:$A,0)),"",INDEX(data!W:W,MATCH($N348,data!$A:$A,0)))</f>
        <v/>
      </c>
    </row>
    <row r="349" spans="1:58" s="39" customFormat="1" ht="12.75" customHeight="1">
      <c r="A349" s="35"/>
      <c r="B349" s="35"/>
      <c r="C349" s="35"/>
      <c r="D349" s="35"/>
      <c r="E349" s="67"/>
      <c r="F349" s="67"/>
      <c r="G349" s="36"/>
      <c r="H349" s="29"/>
      <c r="I349" s="78" t="str">
        <f t="shared" si="6"/>
        <v/>
      </c>
      <c r="J349" s="29"/>
      <c r="K349" s="29"/>
      <c r="L349" s="33"/>
      <c r="M349" s="33"/>
      <c r="N349" s="60"/>
      <c r="O349" s="71"/>
      <c r="P349" s="71"/>
      <c r="Q349" s="33"/>
      <c r="R349" s="31"/>
      <c r="S349" s="31"/>
      <c r="T349" s="59"/>
      <c r="U349" s="59"/>
      <c r="V349" s="59"/>
      <c r="W349" s="57">
        <f t="shared" si="7"/>
        <v>0</v>
      </c>
      <c r="X349" s="126" t="str">
        <f>IF(Table1[[#This Row],[Shipping Weight Pounds]]&gt;150,"See LTL Form","No")</f>
        <v>No</v>
      </c>
      <c r="Y349" s="28"/>
      <c r="Z349" s="33"/>
      <c r="AA349" s="34"/>
      <c r="AB349" s="30"/>
      <c r="AC349" s="30"/>
      <c r="AD349" s="32"/>
      <c r="AE349" s="32"/>
      <c r="AF349" s="2"/>
      <c r="AG349" s="2"/>
      <c r="AH349" s="2"/>
      <c r="AI349" s="2"/>
      <c r="AJ349" s="45"/>
      <c r="AK349" s="73" t="str">
        <f>IF(ISNA(MATCH($N349,[1]data!$A:$A,0)),"",INDEX([1]data!S:S,MATCH($N349,[1]data!$A:$A,0)))</f>
        <v/>
      </c>
      <c r="AL349" s="73" t="str">
        <f>IF(ISNA(MATCH($N349,[1]data!$A:$A,0)),"",INDEX([1]data!V:V,MATCH($N349,[1]data!$A:$A,0)))</f>
        <v/>
      </c>
      <c r="AM349" s="38" t="str">
        <f>IF(ISNA(MATCH($N349,data!$A:$A,0)),"",INDEX(data!B:B,MATCH($N349,data!$A:$A,0)))</f>
        <v/>
      </c>
      <c r="AN349" s="38" t="str">
        <f>IF(ISNA(MATCH($N349,data!$A:$A,0)),"",INDEX(data!C:C,MATCH($N349,data!$A:$A,0)))</f>
        <v/>
      </c>
      <c r="AO349" s="38" t="str">
        <f>IF(ISNA(MATCH($N349,data!$A:$A,0)),"",INDEX(data!D:D,MATCH($N349,data!$A:$A,0)))</f>
        <v/>
      </c>
      <c r="AP349" s="38" t="str">
        <f>IF(ISNA(MATCH($N349,data!$A:$A,0)),"",INDEX(data!E:E,MATCH($N349,data!$A:$A,0)))</f>
        <v/>
      </c>
      <c r="AQ349" s="38" t="str">
        <f>IF(ISNA(MATCH($N349,data!$A:$A,0)),"",INDEX(data!F:F,MATCH($N349,data!$A:$A,0)))</f>
        <v/>
      </c>
      <c r="AR349" s="38" t="str">
        <f>IF(ISNA(MATCH($N349,data!$A:$A,0)),"",INDEX(data!G:G,MATCH($N349,data!$A:$A,0)))</f>
        <v/>
      </c>
      <c r="AS349" s="38" t="str">
        <f>IF(ISNA(MATCH($N349,data!$A:$A,0)),"",INDEX(data!H:H,MATCH($N349,data!$A:$A,0)))</f>
        <v/>
      </c>
      <c r="AT349" s="38" t="str">
        <f>IF(ISNA(MATCH($N349,data!$A:$A,0)),"",INDEX(data!I:I,MATCH($N349,data!$A:$A,0)))</f>
        <v/>
      </c>
      <c r="AU349" s="38" t="str">
        <f>IF(ISNA(MATCH($N349,[1]data!$A:$A,0)),"",INDEX([1]data!L:L,MATCH($N349,[1]data!$A:$A,0)))</f>
        <v/>
      </c>
      <c r="AV349" s="38" t="str">
        <f>IF(ISNA(MATCH($N349,[1]data!$A:$A,0)),"",INDEX([1]data!M:M,MATCH($N349,[1]data!$A:$A,0)))</f>
        <v/>
      </c>
      <c r="AW349" s="38" t="str">
        <f>IF(ISNA(MATCH($N349,data!$A:$A,0)),"",INDEX(data!J:J,MATCH($N349,data!$A:$A,0)))</f>
        <v/>
      </c>
      <c r="AX349" s="38" t="str">
        <f>IF(ISNA(MATCH($N349,data!$A:$A,0)),"",INDEX(data!K:K,MATCH($N349,data!$A:$A,0)))</f>
        <v/>
      </c>
      <c r="AY349" s="38" t="str">
        <f>IF(ISNA(MATCH($N349,data!$A:$A,0)),"",INDEX(data!O:O,MATCH($N349,data!$A:$A,0)))</f>
        <v/>
      </c>
      <c r="AZ349" s="38" t="str">
        <f>IF(ISNA(MATCH($N349,data!$A:$A,0)),"",INDEX(data!N:N,MATCH($N349,data!$A:$A,0)))</f>
        <v/>
      </c>
      <c r="BA349" s="38" t="str">
        <f>IF(ISNA(MATCH($N349,data!$A:$A,0)),"",INDEX(data!P:P,MATCH($N349,data!$A:$A,0)))</f>
        <v/>
      </c>
      <c r="BB349" s="38" t="str">
        <f>IF(ISNA(MATCH($N349,data!$A:$A,0)),"",INDEX(data!Q:Q,MATCH($N349,data!$A:$A,0)))</f>
        <v/>
      </c>
      <c r="BC349" s="38" t="str">
        <f>IF(ISNA(MATCH($N349,data!$A:$A,0)),"",INDEX(data!R:R,MATCH($N349,data!$A:$A,0)))</f>
        <v/>
      </c>
      <c r="BD349" s="38" t="str">
        <f>IF(ISNA(MATCH($N349,[1]data!$A:$A,0)),"",INDEX([1]data!U:U,MATCH($N349,[1]data!$A:$A,0)))</f>
        <v/>
      </c>
      <c r="BE349" s="61" t="e">
        <f>IF(COUNTIF([1]data!A:A,[1]!Table1[[#This Row],[UPC]])&lt;2,"","DUP")</f>
        <v>#VALUE!</v>
      </c>
      <c r="BF349" s="38" t="str">
        <f>IF(ISNA(MATCH($N349,data!$A:$A,0)),"",INDEX(data!W:W,MATCH($N349,data!$A:$A,0)))</f>
        <v/>
      </c>
    </row>
    <row r="350" spans="1:58" ht="12.75" customHeight="1">
      <c r="A350" s="35"/>
      <c r="B350" s="35"/>
      <c r="C350" s="35"/>
      <c r="D350" s="35"/>
      <c r="E350" s="67"/>
      <c r="F350" s="67"/>
      <c r="G350" s="36"/>
      <c r="H350" s="29"/>
      <c r="I350" s="78" t="str">
        <f t="shared" si="6"/>
        <v/>
      </c>
      <c r="J350" s="29"/>
      <c r="K350" s="29"/>
      <c r="L350" s="33"/>
      <c r="M350" s="33"/>
      <c r="N350" s="60"/>
      <c r="O350" s="71"/>
      <c r="P350" s="71"/>
      <c r="Q350" s="33"/>
      <c r="R350" s="31"/>
      <c r="S350" s="31"/>
      <c r="T350" s="59"/>
      <c r="U350" s="59"/>
      <c r="V350" s="59"/>
      <c r="W350" s="57">
        <f t="shared" si="7"/>
        <v>0</v>
      </c>
      <c r="X350" s="126" t="str">
        <f>IF(Table1[[#This Row],[Shipping Weight Pounds]]&gt;150,"See LTL Form","No")</f>
        <v>No</v>
      </c>
      <c r="Y350" s="28"/>
      <c r="Z350" s="33"/>
      <c r="AA350" s="34"/>
      <c r="AB350" s="30"/>
      <c r="AC350" s="30"/>
      <c r="AD350" s="32"/>
      <c r="AE350" s="32"/>
      <c r="AF350" s="2"/>
      <c r="AG350" s="2"/>
      <c r="AH350" s="2"/>
      <c r="AI350" s="2"/>
      <c r="AK350" s="73" t="str">
        <f>IF(ISNA(MATCH($N350,[1]data!$A:$A,0)),"",INDEX([1]data!S:S,MATCH($N350,[1]data!$A:$A,0)))</f>
        <v/>
      </c>
      <c r="AL350" s="73" t="str">
        <f>IF(ISNA(MATCH($N350,[1]data!$A:$A,0)),"",INDEX([1]data!V:V,MATCH($N350,[1]data!$A:$A,0)))</f>
        <v/>
      </c>
      <c r="AM350" s="38" t="str">
        <f>IF(ISNA(MATCH($N350,data!$A:$A,0)),"",INDEX(data!B:B,MATCH($N350,data!$A:$A,0)))</f>
        <v/>
      </c>
      <c r="AN350" s="38" t="str">
        <f>IF(ISNA(MATCH($N350,data!$A:$A,0)),"",INDEX(data!C:C,MATCH($N350,data!$A:$A,0)))</f>
        <v/>
      </c>
      <c r="AO350" s="38" t="str">
        <f>IF(ISNA(MATCH($N350,data!$A:$A,0)),"",INDEX(data!D:D,MATCH($N350,data!$A:$A,0)))</f>
        <v/>
      </c>
      <c r="AP350" s="38" t="str">
        <f>IF(ISNA(MATCH($N350,data!$A:$A,0)),"",INDEX(data!E:E,MATCH($N350,data!$A:$A,0)))</f>
        <v/>
      </c>
      <c r="AQ350" s="38" t="str">
        <f>IF(ISNA(MATCH($N350,data!$A:$A,0)),"",INDEX(data!F:F,MATCH($N350,data!$A:$A,0)))</f>
        <v/>
      </c>
      <c r="AR350" s="38" t="str">
        <f>IF(ISNA(MATCH($N350,data!$A:$A,0)),"",INDEX(data!G:G,MATCH($N350,data!$A:$A,0)))</f>
        <v/>
      </c>
      <c r="AS350" s="38" t="str">
        <f>IF(ISNA(MATCH($N350,data!$A:$A,0)),"",INDEX(data!H:H,MATCH($N350,data!$A:$A,0)))</f>
        <v/>
      </c>
      <c r="AT350" s="38" t="str">
        <f>IF(ISNA(MATCH($N350,data!$A:$A,0)),"",INDEX(data!I:I,MATCH($N350,data!$A:$A,0)))</f>
        <v/>
      </c>
      <c r="AU350" s="38" t="str">
        <f>IF(ISNA(MATCH($N350,[1]data!$A:$A,0)),"",INDEX([1]data!L:L,MATCH($N350,[1]data!$A:$A,0)))</f>
        <v/>
      </c>
      <c r="AV350" s="38" t="str">
        <f>IF(ISNA(MATCH($N350,[1]data!$A:$A,0)),"",INDEX([1]data!M:M,MATCH($N350,[1]data!$A:$A,0)))</f>
        <v/>
      </c>
      <c r="AW350" s="38" t="str">
        <f>IF(ISNA(MATCH($N350,data!$A:$A,0)),"",INDEX(data!J:J,MATCH($N350,data!$A:$A,0)))</f>
        <v/>
      </c>
      <c r="AX350" s="38" t="str">
        <f>IF(ISNA(MATCH($N350,data!$A:$A,0)),"",INDEX(data!K:K,MATCH($N350,data!$A:$A,0)))</f>
        <v/>
      </c>
      <c r="AY350" s="38" t="str">
        <f>IF(ISNA(MATCH($N350,data!$A:$A,0)),"",INDEX(data!O:O,MATCH($N350,data!$A:$A,0)))</f>
        <v/>
      </c>
      <c r="AZ350" s="38" t="str">
        <f>IF(ISNA(MATCH($N350,data!$A:$A,0)),"",INDEX(data!N:N,MATCH($N350,data!$A:$A,0)))</f>
        <v/>
      </c>
      <c r="BA350" s="38" t="str">
        <f>IF(ISNA(MATCH($N350,data!$A:$A,0)),"",INDEX(data!P:P,MATCH($N350,data!$A:$A,0)))</f>
        <v/>
      </c>
      <c r="BB350" s="38" t="str">
        <f>IF(ISNA(MATCH($N350,data!$A:$A,0)),"",INDEX(data!Q:Q,MATCH($N350,data!$A:$A,0)))</f>
        <v/>
      </c>
      <c r="BC350" s="38" t="str">
        <f>IF(ISNA(MATCH($N350,data!$A:$A,0)),"",INDEX(data!R:R,MATCH($N350,data!$A:$A,0)))</f>
        <v/>
      </c>
      <c r="BD350" s="38" t="str">
        <f>IF(ISNA(MATCH($N350,[1]data!$A:$A,0)),"",INDEX([1]data!U:U,MATCH($N350,[1]data!$A:$A,0)))</f>
        <v/>
      </c>
      <c r="BE350" s="61" t="e">
        <f>IF(COUNTIF([1]data!A:A,[1]!Table1[[#This Row],[UPC]])&lt;2,"","DUP")</f>
        <v>#VALUE!</v>
      </c>
      <c r="BF350" s="38" t="str">
        <f>IF(ISNA(MATCH($N350,data!$A:$A,0)),"",INDEX(data!W:W,MATCH($N350,data!$A:$A,0)))</f>
        <v/>
      </c>
    </row>
    <row r="351" spans="1:58" ht="12.75" customHeight="1">
      <c r="A351" s="35"/>
      <c r="B351" s="35"/>
      <c r="C351" s="35"/>
      <c r="D351" s="35"/>
      <c r="E351" s="67"/>
      <c r="F351" s="67"/>
      <c r="G351" s="36"/>
      <c r="H351" s="29"/>
      <c r="I351" s="78" t="str">
        <f t="shared" si="6"/>
        <v/>
      </c>
      <c r="J351" s="29"/>
      <c r="K351" s="29"/>
      <c r="L351" s="33"/>
      <c r="M351" s="33"/>
      <c r="N351" s="60"/>
      <c r="O351" s="71"/>
      <c r="P351" s="71"/>
      <c r="Q351" s="33"/>
      <c r="R351" s="31"/>
      <c r="S351" s="31"/>
      <c r="T351" s="59"/>
      <c r="U351" s="59"/>
      <c r="V351" s="59"/>
      <c r="W351" s="57">
        <f t="shared" si="7"/>
        <v>0</v>
      </c>
      <c r="X351" s="126" t="str">
        <f>IF(Table1[[#This Row],[Shipping Weight Pounds]]&gt;150,"See LTL Form","No")</f>
        <v>No</v>
      </c>
      <c r="Y351" s="28"/>
      <c r="Z351" s="33"/>
      <c r="AA351" s="34"/>
      <c r="AB351" s="30"/>
      <c r="AC351" s="30"/>
      <c r="AD351" s="32"/>
      <c r="AE351" s="32"/>
      <c r="AF351" s="2"/>
      <c r="AG351" s="2"/>
      <c r="AH351" s="2"/>
      <c r="AI351" s="2"/>
      <c r="AK351" s="73" t="str">
        <f>IF(ISNA(MATCH($N351,[1]data!$A:$A,0)),"",INDEX([1]data!S:S,MATCH($N351,[1]data!$A:$A,0)))</f>
        <v/>
      </c>
      <c r="AL351" s="73" t="str">
        <f>IF(ISNA(MATCH($N351,[1]data!$A:$A,0)),"",INDEX([1]data!V:V,MATCH($N351,[1]data!$A:$A,0)))</f>
        <v/>
      </c>
      <c r="AM351" s="38" t="str">
        <f>IF(ISNA(MATCH($N351,data!$A:$A,0)),"",INDEX(data!B:B,MATCH($N351,data!$A:$A,0)))</f>
        <v/>
      </c>
      <c r="AN351" s="38" t="str">
        <f>IF(ISNA(MATCH($N351,data!$A:$A,0)),"",INDEX(data!C:C,MATCH($N351,data!$A:$A,0)))</f>
        <v/>
      </c>
      <c r="AO351" s="38" t="str">
        <f>IF(ISNA(MATCH($N351,data!$A:$A,0)),"",INDEX(data!D:D,MATCH($N351,data!$A:$A,0)))</f>
        <v/>
      </c>
      <c r="AP351" s="38" t="str">
        <f>IF(ISNA(MATCH($N351,data!$A:$A,0)),"",INDEX(data!E:E,MATCH($N351,data!$A:$A,0)))</f>
        <v/>
      </c>
      <c r="AQ351" s="38" t="str">
        <f>IF(ISNA(MATCH($N351,data!$A:$A,0)),"",INDEX(data!F:F,MATCH($N351,data!$A:$A,0)))</f>
        <v/>
      </c>
      <c r="AR351" s="38" t="str">
        <f>IF(ISNA(MATCH($N351,data!$A:$A,0)),"",INDEX(data!G:G,MATCH($N351,data!$A:$A,0)))</f>
        <v/>
      </c>
      <c r="AS351" s="38" t="str">
        <f>IF(ISNA(MATCH($N351,data!$A:$A,0)),"",INDEX(data!H:H,MATCH($N351,data!$A:$A,0)))</f>
        <v/>
      </c>
      <c r="AT351" s="38" t="str">
        <f>IF(ISNA(MATCH($N351,data!$A:$A,0)),"",INDEX(data!I:I,MATCH($N351,data!$A:$A,0)))</f>
        <v/>
      </c>
      <c r="AU351" s="38" t="str">
        <f>IF(ISNA(MATCH($N351,[1]data!$A:$A,0)),"",INDEX([1]data!L:L,MATCH($N351,[1]data!$A:$A,0)))</f>
        <v/>
      </c>
      <c r="AV351" s="38" t="str">
        <f>IF(ISNA(MATCH($N351,[1]data!$A:$A,0)),"",INDEX([1]data!M:M,MATCH($N351,[1]data!$A:$A,0)))</f>
        <v/>
      </c>
      <c r="AW351" s="38" t="str">
        <f>IF(ISNA(MATCH($N351,data!$A:$A,0)),"",INDEX(data!J:J,MATCH($N351,data!$A:$A,0)))</f>
        <v/>
      </c>
      <c r="AX351" s="38" t="str">
        <f>IF(ISNA(MATCH($N351,data!$A:$A,0)),"",INDEX(data!K:K,MATCH($N351,data!$A:$A,0)))</f>
        <v/>
      </c>
      <c r="AY351" s="38" t="str">
        <f>IF(ISNA(MATCH($N351,data!$A:$A,0)),"",INDEX(data!O:O,MATCH($N351,data!$A:$A,0)))</f>
        <v/>
      </c>
      <c r="AZ351" s="38" t="str">
        <f>IF(ISNA(MATCH($N351,data!$A:$A,0)),"",INDEX(data!N:N,MATCH($N351,data!$A:$A,0)))</f>
        <v/>
      </c>
      <c r="BA351" s="38" t="str">
        <f>IF(ISNA(MATCH($N351,data!$A:$A,0)),"",INDEX(data!P:P,MATCH($N351,data!$A:$A,0)))</f>
        <v/>
      </c>
      <c r="BB351" s="38" t="str">
        <f>IF(ISNA(MATCH($N351,data!$A:$A,0)),"",INDEX(data!Q:Q,MATCH($N351,data!$A:$A,0)))</f>
        <v/>
      </c>
      <c r="BC351" s="38" t="str">
        <f>IF(ISNA(MATCH($N351,data!$A:$A,0)),"",INDEX(data!R:R,MATCH($N351,data!$A:$A,0)))</f>
        <v/>
      </c>
      <c r="BD351" s="38" t="str">
        <f>IF(ISNA(MATCH($N351,[1]data!$A:$A,0)),"",INDEX([1]data!U:U,MATCH($N351,[1]data!$A:$A,0)))</f>
        <v/>
      </c>
      <c r="BE351" s="61" t="e">
        <f>IF(COUNTIF([1]data!A:A,[1]!Table1[[#This Row],[UPC]])&lt;2,"","DUP")</f>
        <v>#VALUE!</v>
      </c>
      <c r="BF351" s="38" t="str">
        <f>IF(ISNA(MATCH($N351,data!$A:$A,0)),"",INDEX(data!W:W,MATCH($N351,data!$A:$A,0)))</f>
        <v/>
      </c>
    </row>
    <row r="352" spans="1:58" ht="12.75" customHeight="1">
      <c r="A352" s="35"/>
      <c r="B352" s="35"/>
      <c r="C352" s="35"/>
      <c r="D352" s="35"/>
      <c r="E352" s="67"/>
      <c r="F352" s="67"/>
      <c r="G352" s="36"/>
      <c r="H352" s="29"/>
      <c r="I352" s="78" t="str">
        <f t="shared" si="6"/>
        <v/>
      </c>
      <c r="J352" s="29"/>
      <c r="K352" s="29"/>
      <c r="L352" s="33"/>
      <c r="M352" s="33"/>
      <c r="N352" s="60"/>
      <c r="O352" s="71"/>
      <c r="P352" s="71"/>
      <c r="Q352" s="33"/>
      <c r="R352" s="31"/>
      <c r="S352" s="31"/>
      <c r="T352" s="59"/>
      <c r="U352" s="59"/>
      <c r="V352" s="59"/>
      <c r="W352" s="57">
        <f t="shared" si="7"/>
        <v>0</v>
      </c>
      <c r="X352" s="126" t="str">
        <f>IF(Table1[[#This Row],[Shipping Weight Pounds]]&gt;150,"See LTL Form","No")</f>
        <v>No</v>
      </c>
      <c r="Y352" s="28"/>
      <c r="Z352" s="33"/>
      <c r="AA352" s="34"/>
      <c r="AB352" s="30"/>
      <c r="AC352" s="30"/>
      <c r="AD352" s="32"/>
      <c r="AE352" s="32"/>
      <c r="AF352" s="2"/>
      <c r="AG352" s="2"/>
      <c r="AH352" s="2"/>
      <c r="AI352" s="2"/>
      <c r="AK352" s="73" t="str">
        <f>IF(ISNA(MATCH($N352,[1]data!$A:$A,0)),"",INDEX([1]data!S:S,MATCH($N352,[1]data!$A:$A,0)))</f>
        <v/>
      </c>
      <c r="AL352" s="73" t="str">
        <f>IF(ISNA(MATCH($N352,[1]data!$A:$A,0)),"",INDEX([1]data!V:V,MATCH($N352,[1]data!$A:$A,0)))</f>
        <v/>
      </c>
      <c r="AM352" s="38" t="str">
        <f>IF(ISNA(MATCH($N352,data!$A:$A,0)),"",INDEX(data!B:B,MATCH($N352,data!$A:$A,0)))</f>
        <v/>
      </c>
      <c r="AN352" s="38" t="str">
        <f>IF(ISNA(MATCH($N352,data!$A:$A,0)),"",INDEX(data!C:C,MATCH($N352,data!$A:$A,0)))</f>
        <v/>
      </c>
      <c r="AO352" s="38" t="str">
        <f>IF(ISNA(MATCH($N352,data!$A:$A,0)),"",INDEX(data!D:D,MATCH($N352,data!$A:$A,0)))</f>
        <v/>
      </c>
      <c r="AP352" s="38" t="str">
        <f>IF(ISNA(MATCH($N352,data!$A:$A,0)),"",INDEX(data!E:E,MATCH($N352,data!$A:$A,0)))</f>
        <v/>
      </c>
      <c r="AQ352" s="38" t="str">
        <f>IF(ISNA(MATCH($N352,data!$A:$A,0)),"",INDEX(data!F:F,MATCH($N352,data!$A:$A,0)))</f>
        <v/>
      </c>
      <c r="AR352" s="38" t="str">
        <f>IF(ISNA(MATCH($N352,data!$A:$A,0)),"",INDEX(data!G:G,MATCH($N352,data!$A:$A,0)))</f>
        <v/>
      </c>
      <c r="AS352" s="38" t="str">
        <f>IF(ISNA(MATCH($N352,data!$A:$A,0)),"",INDEX(data!H:H,MATCH($N352,data!$A:$A,0)))</f>
        <v/>
      </c>
      <c r="AT352" s="38" t="str">
        <f>IF(ISNA(MATCH($N352,data!$A:$A,0)),"",INDEX(data!I:I,MATCH($N352,data!$A:$A,0)))</f>
        <v/>
      </c>
      <c r="AU352" s="38" t="str">
        <f>IF(ISNA(MATCH($N352,[1]data!$A:$A,0)),"",INDEX([1]data!L:L,MATCH($N352,[1]data!$A:$A,0)))</f>
        <v/>
      </c>
      <c r="AV352" s="38" t="str">
        <f>IF(ISNA(MATCH($N352,[1]data!$A:$A,0)),"",INDEX([1]data!M:M,MATCH($N352,[1]data!$A:$A,0)))</f>
        <v/>
      </c>
      <c r="AW352" s="38" t="str">
        <f>IF(ISNA(MATCH($N352,data!$A:$A,0)),"",INDEX(data!J:J,MATCH($N352,data!$A:$A,0)))</f>
        <v/>
      </c>
      <c r="AX352" s="38" t="str">
        <f>IF(ISNA(MATCH($N352,data!$A:$A,0)),"",INDEX(data!K:K,MATCH($N352,data!$A:$A,0)))</f>
        <v/>
      </c>
      <c r="AY352" s="38" t="str">
        <f>IF(ISNA(MATCH($N352,data!$A:$A,0)),"",INDEX(data!O:O,MATCH($N352,data!$A:$A,0)))</f>
        <v/>
      </c>
      <c r="AZ352" s="38" t="str">
        <f>IF(ISNA(MATCH($N352,data!$A:$A,0)),"",INDEX(data!N:N,MATCH($N352,data!$A:$A,0)))</f>
        <v/>
      </c>
      <c r="BA352" s="38" t="str">
        <f>IF(ISNA(MATCH($N352,data!$A:$A,0)),"",INDEX(data!P:P,MATCH($N352,data!$A:$A,0)))</f>
        <v/>
      </c>
      <c r="BB352" s="38" t="str">
        <f>IF(ISNA(MATCH($N352,data!$A:$A,0)),"",INDEX(data!Q:Q,MATCH($N352,data!$A:$A,0)))</f>
        <v/>
      </c>
      <c r="BC352" s="38" t="str">
        <f>IF(ISNA(MATCH($N352,data!$A:$A,0)),"",INDEX(data!R:R,MATCH($N352,data!$A:$A,0)))</f>
        <v/>
      </c>
      <c r="BD352" s="38" t="str">
        <f>IF(ISNA(MATCH($N352,[1]data!$A:$A,0)),"",INDEX([1]data!U:U,MATCH($N352,[1]data!$A:$A,0)))</f>
        <v/>
      </c>
      <c r="BE352" s="61" t="e">
        <f>IF(COUNTIF([1]data!A:A,[1]!Table1[[#This Row],[UPC]])&lt;2,"","DUP")</f>
        <v>#VALUE!</v>
      </c>
      <c r="BF352" s="38" t="str">
        <f>IF(ISNA(MATCH($N352,data!$A:$A,0)),"",INDEX(data!W:W,MATCH($N352,data!$A:$A,0)))</f>
        <v/>
      </c>
    </row>
    <row r="353" spans="1:58" ht="12.75" customHeight="1">
      <c r="A353" s="35"/>
      <c r="B353" s="35"/>
      <c r="C353" s="35"/>
      <c r="D353" s="35"/>
      <c r="E353" s="67"/>
      <c r="F353" s="67"/>
      <c r="G353" s="36"/>
      <c r="H353" s="29"/>
      <c r="I353" s="78" t="str">
        <f t="shared" si="6"/>
        <v/>
      </c>
      <c r="J353" s="29"/>
      <c r="K353" s="29"/>
      <c r="L353" s="33"/>
      <c r="M353" s="33"/>
      <c r="N353" s="60"/>
      <c r="O353" s="71"/>
      <c r="P353" s="71"/>
      <c r="Q353" s="33"/>
      <c r="R353" s="31"/>
      <c r="S353" s="31"/>
      <c r="T353" s="59"/>
      <c r="U353" s="59"/>
      <c r="V353" s="59"/>
      <c r="W353" s="57">
        <f t="shared" si="7"/>
        <v>0</v>
      </c>
      <c r="X353" s="126" t="str">
        <f>IF(Table1[[#This Row],[Shipping Weight Pounds]]&gt;150,"See LTL Form","No")</f>
        <v>No</v>
      </c>
      <c r="Y353" s="28"/>
      <c r="Z353" s="33"/>
      <c r="AA353" s="34"/>
      <c r="AB353" s="30"/>
      <c r="AC353" s="30"/>
      <c r="AD353" s="32"/>
      <c r="AE353" s="32"/>
      <c r="AF353" s="2"/>
      <c r="AG353" s="2"/>
      <c r="AH353" s="2"/>
      <c r="AI353" s="2"/>
      <c r="AK353" s="73" t="str">
        <f>IF(ISNA(MATCH($N353,[1]data!$A:$A,0)),"",INDEX([1]data!S:S,MATCH($N353,[1]data!$A:$A,0)))</f>
        <v/>
      </c>
      <c r="AL353" s="73" t="str">
        <f>IF(ISNA(MATCH($N353,[1]data!$A:$A,0)),"",INDEX([1]data!V:V,MATCH($N353,[1]data!$A:$A,0)))</f>
        <v/>
      </c>
      <c r="AM353" s="38" t="str">
        <f>IF(ISNA(MATCH($N353,data!$A:$A,0)),"",INDEX(data!B:B,MATCH($N353,data!$A:$A,0)))</f>
        <v/>
      </c>
      <c r="AN353" s="38" t="str">
        <f>IF(ISNA(MATCH($N353,data!$A:$A,0)),"",INDEX(data!C:C,MATCH($N353,data!$A:$A,0)))</f>
        <v/>
      </c>
      <c r="AO353" s="38" t="str">
        <f>IF(ISNA(MATCH($N353,data!$A:$A,0)),"",INDEX(data!D:D,MATCH($N353,data!$A:$A,0)))</f>
        <v/>
      </c>
      <c r="AP353" s="38" t="str">
        <f>IF(ISNA(MATCH($N353,data!$A:$A,0)),"",INDEX(data!E:E,MATCH($N353,data!$A:$A,0)))</f>
        <v/>
      </c>
      <c r="AQ353" s="38" t="str">
        <f>IF(ISNA(MATCH($N353,data!$A:$A,0)),"",INDEX(data!F:F,MATCH($N353,data!$A:$A,0)))</f>
        <v/>
      </c>
      <c r="AR353" s="38" t="str">
        <f>IF(ISNA(MATCH($N353,data!$A:$A,0)),"",INDEX(data!G:G,MATCH($N353,data!$A:$A,0)))</f>
        <v/>
      </c>
      <c r="AS353" s="38" t="str">
        <f>IF(ISNA(MATCH($N353,data!$A:$A,0)),"",INDEX(data!H:H,MATCH($N353,data!$A:$A,0)))</f>
        <v/>
      </c>
      <c r="AT353" s="38" t="str">
        <f>IF(ISNA(MATCH($N353,data!$A:$A,0)),"",INDEX(data!I:I,MATCH($N353,data!$A:$A,0)))</f>
        <v/>
      </c>
      <c r="AU353" s="38" t="str">
        <f>IF(ISNA(MATCH($N353,[1]data!$A:$A,0)),"",INDEX([1]data!L:L,MATCH($N353,[1]data!$A:$A,0)))</f>
        <v/>
      </c>
      <c r="AV353" s="38" t="str">
        <f>IF(ISNA(MATCH($N353,[1]data!$A:$A,0)),"",INDEX([1]data!M:M,MATCH($N353,[1]data!$A:$A,0)))</f>
        <v/>
      </c>
      <c r="AW353" s="38" t="str">
        <f>IF(ISNA(MATCH($N353,data!$A:$A,0)),"",INDEX(data!J:J,MATCH($N353,data!$A:$A,0)))</f>
        <v/>
      </c>
      <c r="AX353" s="38" t="str">
        <f>IF(ISNA(MATCH($N353,data!$A:$A,0)),"",INDEX(data!K:K,MATCH($N353,data!$A:$A,0)))</f>
        <v/>
      </c>
      <c r="AY353" s="38" t="str">
        <f>IF(ISNA(MATCH($N353,data!$A:$A,0)),"",INDEX(data!O:O,MATCH($N353,data!$A:$A,0)))</f>
        <v/>
      </c>
      <c r="AZ353" s="38" t="str">
        <f>IF(ISNA(MATCH($N353,data!$A:$A,0)),"",INDEX(data!N:N,MATCH($N353,data!$A:$A,0)))</f>
        <v/>
      </c>
      <c r="BA353" s="38" t="str">
        <f>IF(ISNA(MATCH($N353,data!$A:$A,0)),"",INDEX(data!P:P,MATCH($N353,data!$A:$A,0)))</f>
        <v/>
      </c>
      <c r="BB353" s="38" t="str">
        <f>IF(ISNA(MATCH($N353,data!$A:$A,0)),"",INDEX(data!Q:Q,MATCH($N353,data!$A:$A,0)))</f>
        <v/>
      </c>
      <c r="BC353" s="38" t="str">
        <f>IF(ISNA(MATCH($N353,data!$A:$A,0)),"",INDEX(data!R:R,MATCH($N353,data!$A:$A,0)))</f>
        <v/>
      </c>
      <c r="BD353" s="38" t="str">
        <f>IF(ISNA(MATCH($N353,[1]data!$A:$A,0)),"",INDEX([1]data!U:U,MATCH($N353,[1]data!$A:$A,0)))</f>
        <v/>
      </c>
      <c r="BE353" s="61" t="e">
        <f>IF(COUNTIF([1]data!A:A,[1]!Table1[[#This Row],[UPC]])&lt;2,"","DUP")</f>
        <v>#VALUE!</v>
      </c>
      <c r="BF353" s="38" t="str">
        <f>IF(ISNA(MATCH($N353,data!$A:$A,0)),"",INDEX(data!W:W,MATCH($N353,data!$A:$A,0)))</f>
        <v/>
      </c>
    </row>
    <row r="354" spans="1:58" ht="12.75" customHeight="1">
      <c r="A354" s="35"/>
      <c r="B354" s="35"/>
      <c r="C354" s="35"/>
      <c r="D354" s="35"/>
      <c r="E354" s="67"/>
      <c r="F354" s="67"/>
      <c r="G354" s="36"/>
      <c r="H354" s="29"/>
      <c r="I354" s="78" t="str">
        <f t="shared" si="6"/>
        <v/>
      </c>
      <c r="J354" s="29"/>
      <c r="K354" s="29"/>
      <c r="L354" s="33"/>
      <c r="M354" s="33"/>
      <c r="N354" s="60"/>
      <c r="O354" s="71"/>
      <c r="P354" s="71"/>
      <c r="Q354" s="33"/>
      <c r="R354" s="31"/>
      <c r="S354" s="31"/>
      <c r="T354" s="59"/>
      <c r="U354" s="59"/>
      <c r="V354" s="59"/>
      <c r="W354" s="57">
        <f t="shared" si="7"/>
        <v>0</v>
      </c>
      <c r="X354" s="126" t="str">
        <f>IF(Table1[[#This Row],[Shipping Weight Pounds]]&gt;150,"See LTL Form","No")</f>
        <v>No</v>
      </c>
      <c r="Y354" s="28"/>
      <c r="Z354" s="33"/>
      <c r="AA354" s="34"/>
      <c r="AB354" s="30"/>
      <c r="AC354" s="30"/>
      <c r="AD354" s="32"/>
      <c r="AE354" s="32"/>
      <c r="AF354" s="2"/>
      <c r="AG354" s="2"/>
      <c r="AH354" s="2"/>
      <c r="AI354" s="2"/>
      <c r="AK354" s="73" t="str">
        <f>IF(ISNA(MATCH($N354,[1]data!$A:$A,0)),"",INDEX([1]data!S:S,MATCH($N354,[1]data!$A:$A,0)))</f>
        <v/>
      </c>
      <c r="AL354" s="73" t="str">
        <f>IF(ISNA(MATCH($N354,[1]data!$A:$A,0)),"",INDEX([1]data!V:V,MATCH($N354,[1]data!$A:$A,0)))</f>
        <v/>
      </c>
      <c r="AM354" s="38" t="str">
        <f>IF(ISNA(MATCH($N354,data!$A:$A,0)),"",INDEX(data!B:B,MATCH($N354,data!$A:$A,0)))</f>
        <v/>
      </c>
      <c r="AN354" s="38" t="str">
        <f>IF(ISNA(MATCH($N354,data!$A:$A,0)),"",INDEX(data!C:C,MATCH($N354,data!$A:$A,0)))</f>
        <v/>
      </c>
      <c r="AO354" s="38" t="str">
        <f>IF(ISNA(MATCH($N354,data!$A:$A,0)),"",INDEX(data!D:D,MATCH($N354,data!$A:$A,0)))</f>
        <v/>
      </c>
      <c r="AP354" s="38" t="str">
        <f>IF(ISNA(MATCH($N354,data!$A:$A,0)),"",INDEX(data!E:E,MATCH($N354,data!$A:$A,0)))</f>
        <v/>
      </c>
      <c r="AQ354" s="38" t="str">
        <f>IF(ISNA(MATCH($N354,data!$A:$A,0)),"",INDEX(data!F:F,MATCH($N354,data!$A:$A,0)))</f>
        <v/>
      </c>
      <c r="AR354" s="38" t="str">
        <f>IF(ISNA(MATCH($N354,data!$A:$A,0)),"",INDEX(data!G:G,MATCH($N354,data!$A:$A,0)))</f>
        <v/>
      </c>
      <c r="AS354" s="38" t="str">
        <f>IF(ISNA(MATCH($N354,data!$A:$A,0)),"",INDEX(data!H:H,MATCH($N354,data!$A:$A,0)))</f>
        <v/>
      </c>
      <c r="AT354" s="38" t="str">
        <f>IF(ISNA(MATCH($N354,data!$A:$A,0)),"",INDEX(data!I:I,MATCH($N354,data!$A:$A,0)))</f>
        <v/>
      </c>
      <c r="AU354" s="38" t="str">
        <f>IF(ISNA(MATCH($N354,[1]data!$A:$A,0)),"",INDEX([1]data!L:L,MATCH($N354,[1]data!$A:$A,0)))</f>
        <v/>
      </c>
      <c r="AV354" s="38" t="str">
        <f>IF(ISNA(MATCH($N354,[1]data!$A:$A,0)),"",INDEX([1]data!M:M,MATCH($N354,[1]data!$A:$A,0)))</f>
        <v/>
      </c>
      <c r="AW354" s="38" t="str">
        <f>IF(ISNA(MATCH($N354,data!$A:$A,0)),"",INDEX(data!J:J,MATCH($N354,data!$A:$A,0)))</f>
        <v/>
      </c>
      <c r="AX354" s="38" t="str">
        <f>IF(ISNA(MATCH($N354,data!$A:$A,0)),"",INDEX(data!K:K,MATCH($N354,data!$A:$A,0)))</f>
        <v/>
      </c>
      <c r="AY354" s="38" t="str">
        <f>IF(ISNA(MATCH($N354,data!$A:$A,0)),"",INDEX(data!O:O,MATCH($N354,data!$A:$A,0)))</f>
        <v/>
      </c>
      <c r="AZ354" s="38" t="str">
        <f>IF(ISNA(MATCH($N354,data!$A:$A,0)),"",INDEX(data!N:N,MATCH($N354,data!$A:$A,0)))</f>
        <v/>
      </c>
      <c r="BA354" s="38" t="str">
        <f>IF(ISNA(MATCH($N354,data!$A:$A,0)),"",INDEX(data!P:P,MATCH($N354,data!$A:$A,0)))</f>
        <v/>
      </c>
      <c r="BB354" s="38" t="str">
        <f>IF(ISNA(MATCH($N354,data!$A:$A,0)),"",INDEX(data!Q:Q,MATCH($N354,data!$A:$A,0)))</f>
        <v/>
      </c>
      <c r="BC354" s="38" t="str">
        <f>IF(ISNA(MATCH($N354,data!$A:$A,0)),"",INDEX(data!R:R,MATCH($N354,data!$A:$A,0)))</f>
        <v/>
      </c>
      <c r="BD354" s="38" t="str">
        <f>IF(ISNA(MATCH($N354,[1]data!$A:$A,0)),"",INDEX([1]data!U:U,MATCH($N354,[1]data!$A:$A,0)))</f>
        <v/>
      </c>
      <c r="BE354" s="61" t="e">
        <f>IF(COUNTIF([1]data!A:A,[1]!Table1[[#This Row],[UPC]])&lt;2,"","DUP")</f>
        <v>#VALUE!</v>
      </c>
      <c r="BF354" s="38" t="str">
        <f>IF(ISNA(MATCH($N354,data!$A:$A,0)),"",INDEX(data!W:W,MATCH($N354,data!$A:$A,0)))</f>
        <v/>
      </c>
    </row>
    <row r="355" spans="1:58" ht="12.75" customHeight="1">
      <c r="A355" s="35"/>
      <c r="B355" s="35"/>
      <c r="C355" s="35"/>
      <c r="D355" s="35"/>
      <c r="E355" s="67"/>
      <c r="F355" s="67"/>
      <c r="G355" s="36"/>
      <c r="H355" s="29"/>
      <c r="I355" s="78" t="str">
        <f t="shared" si="6"/>
        <v/>
      </c>
      <c r="J355" s="29"/>
      <c r="K355" s="29"/>
      <c r="L355" s="33"/>
      <c r="M355" s="33"/>
      <c r="N355" s="60"/>
      <c r="O355" s="71"/>
      <c r="P355" s="71"/>
      <c r="Q355" s="33"/>
      <c r="R355" s="31"/>
      <c r="S355" s="31"/>
      <c r="T355" s="59"/>
      <c r="U355" s="59"/>
      <c r="V355" s="59"/>
      <c r="W355" s="57">
        <f t="shared" si="7"/>
        <v>0</v>
      </c>
      <c r="X355" s="126" t="str">
        <f>IF(Table1[[#This Row],[Shipping Weight Pounds]]&gt;150,"See LTL Form","No")</f>
        <v>No</v>
      </c>
      <c r="Y355" s="28"/>
      <c r="Z355" s="33"/>
      <c r="AA355" s="34"/>
      <c r="AB355" s="30"/>
      <c r="AC355" s="30"/>
      <c r="AD355" s="32"/>
      <c r="AE355" s="32"/>
      <c r="AF355" s="2"/>
      <c r="AG355" s="2"/>
      <c r="AH355" s="2"/>
      <c r="AI355" s="2"/>
      <c r="AK355" s="73" t="str">
        <f>IF(ISNA(MATCH($N355,[1]data!$A:$A,0)),"",INDEX([1]data!S:S,MATCH($N355,[1]data!$A:$A,0)))</f>
        <v/>
      </c>
      <c r="AL355" s="73" t="str">
        <f>IF(ISNA(MATCH($N355,[1]data!$A:$A,0)),"",INDEX([1]data!V:V,MATCH($N355,[1]data!$A:$A,0)))</f>
        <v/>
      </c>
      <c r="AM355" s="38" t="str">
        <f>IF(ISNA(MATCH($N355,data!$A:$A,0)),"",INDEX(data!B:B,MATCH($N355,data!$A:$A,0)))</f>
        <v/>
      </c>
      <c r="AN355" s="38" t="str">
        <f>IF(ISNA(MATCH($N355,data!$A:$A,0)),"",INDEX(data!C:C,MATCH($N355,data!$A:$A,0)))</f>
        <v/>
      </c>
      <c r="AO355" s="38" t="str">
        <f>IF(ISNA(MATCH($N355,data!$A:$A,0)),"",INDEX(data!D:D,MATCH($N355,data!$A:$A,0)))</f>
        <v/>
      </c>
      <c r="AP355" s="38" t="str">
        <f>IF(ISNA(MATCH($N355,data!$A:$A,0)),"",INDEX(data!E:E,MATCH($N355,data!$A:$A,0)))</f>
        <v/>
      </c>
      <c r="AQ355" s="38" t="str">
        <f>IF(ISNA(MATCH($N355,data!$A:$A,0)),"",INDEX(data!F:F,MATCH($N355,data!$A:$A,0)))</f>
        <v/>
      </c>
      <c r="AR355" s="38" t="str">
        <f>IF(ISNA(MATCH($N355,data!$A:$A,0)),"",INDEX(data!G:G,MATCH($N355,data!$A:$A,0)))</f>
        <v/>
      </c>
      <c r="AS355" s="38" t="str">
        <f>IF(ISNA(MATCH($N355,data!$A:$A,0)),"",INDEX(data!H:H,MATCH($N355,data!$A:$A,0)))</f>
        <v/>
      </c>
      <c r="AT355" s="38" t="str">
        <f>IF(ISNA(MATCH($N355,data!$A:$A,0)),"",INDEX(data!I:I,MATCH($N355,data!$A:$A,0)))</f>
        <v/>
      </c>
      <c r="AU355" s="38" t="str">
        <f>IF(ISNA(MATCH($N355,[1]data!$A:$A,0)),"",INDEX([1]data!L:L,MATCH($N355,[1]data!$A:$A,0)))</f>
        <v/>
      </c>
      <c r="AV355" s="38" t="str">
        <f>IF(ISNA(MATCH($N355,[1]data!$A:$A,0)),"",INDEX([1]data!M:M,MATCH($N355,[1]data!$A:$A,0)))</f>
        <v/>
      </c>
      <c r="AW355" s="38" t="str">
        <f>IF(ISNA(MATCH($N355,data!$A:$A,0)),"",INDEX(data!J:J,MATCH($N355,data!$A:$A,0)))</f>
        <v/>
      </c>
      <c r="AX355" s="38" t="str">
        <f>IF(ISNA(MATCH($N355,data!$A:$A,0)),"",INDEX(data!K:K,MATCH($N355,data!$A:$A,0)))</f>
        <v/>
      </c>
      <c r="AY355" s="38" t="str">
        <f>IF(ISNA(MATCH($N355,data!$A:$A,0)),"",INDEX(data!O:O,MATCH($N355,data!$A:$A,0)))</f>
        <v/>
      </c>
      <c r="AZ355" s="38" t="str">
        <f>IF(ISNA(MATCH($N355,data!$A:$A,0)),"",INDEX(data!N:N,MATCH($N355,data!$A:$A,0)))</f>
        <v/>
      </c>
      <c r="BA355" s="38" t="str">
        <f>IF(ISNA(MATCH($N355,data!$A:$A,0)),"",INDEX(data!P:P,MATCH($N355,data!$A:$A,0)))</f>
        <v/>
      </c>
      <c r="BB355" s="38" t="str">
        <f>IF(ISNA(MATCH($N355,data!$A:$A,0)),"",INDEX(data!Q:Q,MATCH($N355,data!$A:$A,0)))</f>
        <v/>
      </c>
      <c r="BC355" s="38" t="str">
        <f>IF(ISNA(MATCH($N355,data!$A:$A,0)),"",INDEX(data!R:R,MATCH($N355,data!$A:$A,0)))</f>
        <v/>
      </c>
      <c r="BD355" s="38" t="str">
        <f>IF(ISNA(MATCH($N355,[1]data!$A:$A,0)),"",INDEX([1]data!U:U,MATCH($N355,[1]data!$A:$A,0)))</f>
        <v/>
      </c>
      <c r="BE355" s="61" t="e">
        <f>IF(COUNTIF([1]data!A:A,[1]!Table1[[#This Row],[UPC]])&lt;2,"","DUP")</f>
        <v>#VALUE!</v>
      </c>
      <c r="BF355" s="38" t="str">
        <f>IF(ISNA(MATCH($N355,data!$A:$A,0)),"",INDEX(data!W:W,MATCH($N355,data!$A:$A,0)))</f>
        <v/>
      </c>
    </row>
    <row r="356" spans="1:58" ht="12.75" customHeight="1">
      <c r="A356" s="35"/>
      <c r="B356" s="35"/>
      <c r="C356" s="35"/>
      <c r="D356" s="35"/>
      <c r="E356" s="67"/>
      <c r="F356" s="67"/>
      <c r="G356" s="36"/>
      <c r="H356" s="29"/>
      <c r="I356" s="78" t="str">
        <f t="shared" si="6"/>
        <v/>
      </c>
      <c r="J356" s="29"/>
      <c r="K356" s="29"/>
      <c r="L356" s="33"/>
      <c r="M356" s="33"/>
      <c r="N356" s="60"/>
      <c r="O356" s="71"/>
      <c r="P356" s="71"/>
      <c r="Q356" s="33"/>
      <c r="R356" s="31"/>
      <c r="S356" s="31"/>
      <c r="T356" s="59"/>
      <c r="U356" s="59"/>
      <c r="V356" s="59"/>
      <c r="W356" s="57">
        <f t="shared" si="7"/>
        <v>0</v>
      </c>
      <c r="X356" s="126" t="str">
        <f>IF(Table1[[#This Row],[Shipping Weight Pounds]]&gt;150,"See LTL Form","No")</f>
        <v>No</v>
      </c>
      <c r="Y356" s="28"/>
      <c r="Z356" s="33"/>
      <c r="AA356" s="34"/>
      <c r="AB356" s="30"/>
      <c r="AC356" s="30"/>
      <c r="AD356" s="32"/>
      <c r="AE356" s="32"/>
      <c r="AF356" s="2"/>
      <c r="AG356" s="2"/>
      <c r="AH356" s="2"/>
      <c r="AI356" s="2"/>
      <c r="AK356" s="73" t="str">
        <f>IF(ISNA(MATCH($N356,[1]data!$A:$A,0)),"",INDEX([1]data!S:S,MATCH($N356,[1]data!$A:$A,0)))</f>
        <v/>
      </c>
      <c r="AL356" s="73" t="str">
        <f>IF(ISNA(MATCH($N356,[1]data!$A:$A,0)),"",INDEX([1]data!V:V,MATCH($N356,[1]data!$A:$A,0)))</f>
        <v/>
      </c>
      <c r="AM356" s="38" t="str">
        <f>IF(ISNA(MATCH($N356,data!$A:$A,0)),"",INDEX(data!B:B,MATCH($N356,data!$A:$A,0)))</f>
        <v/>
      </c>
      <c r="AN356" s="38" t="str">
        <f>IF(ISNA(MATCH($N356,data!$A:$A,0)),"",INDEX(data!C:C,MATCH($N356,data!$A:$A,0)))</f>
        <v/>
      </c>
      <c r="AO356" s="38" t="str">
        <f>IF(ISNA(MATCH($N356,data!$A:$A,0)),"",INDEX(data!D:D,MATCH($N356,data!$A:$A,0)))</f>
        <v/>
      </c>
      <c r="AP356" s="38" t="str">
        <f>IF(ISNA(MATCH($N356,data!$A:$A,0)),"",INDEX(data!E:E,MATCH($N356,data!$A:$A,0)))</f>
        <v/>
      </c>
      <c r="AQ356" s="38" t="str">
        <f>IF(ISNA(MATCH($N356,data!$A:$A,0)),"",INDEX(data!F:F,MATCH($N356,data!$A:$A,0)))</f>
        <v/>
      </c>
      <c r="AR356" s="38" t="str">
        <f>IF(ISNA(MATCH($N356,data!$A:$A,0)),"",INDEX(data!G:G,MATCH($N356,data!$A:$A,0)))</f>
        <v/>
      </c>
      <c r="AS356" s="38" t="str">
        <f>IF(ISNA(MATCH($N356,data!$A:$A,0)),"",INDEX(data!H:H,MATCH($N356,data!$A:$A,0)))</f>
        <v/>
      </c>
      <c r="AT356" s="38" t="str">
        <f>IF(ISNA(MATCH($N356,data!$A:$A,0)),"",INDEX(data!I:I,MATCH($N356,data!$A:$A,0)))</f>
        <v/>
      </c>
      <c r="AU356" s="38" t="str">
        <f>IF(ISNA(MATCH($N356,[1]data!$A:$A,0)),"",INDEX([1]data!L:L,MATCH($N356,[1]data!$A:$A,0)))</f>
        <v/>
      </c>
      <c r="AV356" s="38" t="str">
        <f>IF(ISNA(MATCH($N356,[1]data!$A:$A,0)),"",INDEX([1]data!M:M,MATCH($N356,[1]data!$A:$A,0)))</f>
        <v/>
      </c>
      <c r="AW356" s="38" t="str">
        <f>IF(ISNA(MATCH($N356,data!$A:$A,0)),"",INDEX(data!J:J,MATCH($N356,data!$A:$A,0)))</f>
        <v/>
      </c>
      <c r="AX356" s="38" t="str">
        <f>IF(ISNA(MATCH($N356,data!$A:$A,0)),"",INDEX(data!K:K,MATCH($N356,data!$A:$A,0)))</f>
        <v/>
      </c>
      <c r="AY356" s="38" t="str">
        <f>IF(ISNA(MATCH($N356,data!$A:$A,0)),"",INDEX(data!O:O,MATCH($N356,data!$A:$A,0)))</f>
        <v/>
      </c>
      <c r="AZ356" s="38" t="str">
        <f>IF(ISNA(MATCH($N356,data!$A:$A,0)),"",INDEX(data!N:N,MATCH($N356,data!$A:$A,0)))</f>
        <v/>
      </c>
      <c r="BA356" s="38" t="str">
        <f>IF(ISNA(MATCH($N356,data!$A:$A,0)),"",INDEX(data!P:P,MATCH($N356,data!$A:$A,0)))</f>
        <v/>
      </c>
      <c r="BB356" s="38" t="str">
        <f>IF(ISNA(MATCH($N356,data!$A:$A,0)),"",INDEX(data!Q:Q,MATCH($N356,data!$A:$A,0)))</f>
        <v/>
      </c>
      <c r="BC356" s="38" t="str">
        <f>IF(ISNA(MATCH($N356,data!$A:$A,0)),"",INDEX(data!R:R,MATCH($N356,data!$A:$A,0)))</f>
        <v/>
      </c>
      <c r="BD356" s="38" t="str">
        <f>IF(ISNA(MATCH($N356,[1]data!$A:$A,0)),"",INDEX([1]data!U:U,MATCH($N356,[1]data!$A:$A,0)))</f>
        <v/>
      </c>
      <c r="BE356" s="61" t="e">
        <f>IF(COUNTIF([1]data!A:A,[1]!Table1[[#This Row],[UPC]])&lt;2,"","DUP")</f>
        <v>#VALUE!</v>
      </c>
      <c r="BF356" s="38" t="str">
        <f>IF(ISNA(MATCH($N356,data!$A:$A,0)),"",INDEX(data!W:W,MATCH($N356,data!$A:$A,0)))</f>
        <v/>
      </c>
    </row>
    <row r="357" spans="1:58" ht="12.75" customHeight="1">
      <c r="A357" s="35"/>
      <c r="B357" s="35"/>
      <c r="C357" s="35"/>
      <c r="D357" s="35"/>
      <c r="E357" s="67"/>
      <c r="F357" s="67"/>
      <c r="G357" s="36"/>
      <c r="H357" s="29"/>
      <c r="I357" s="78" t="str">
        <f t="shared" si="6"/>
        <v/>
      </c>
      <c r="J357" s="29"/>
      <c r="K357" s="29"/>
      <c r="L357" s="33"/>
      <c r="M357" s="33"/>
      <c r="N357" s="60"/>
      <c r="O357" s="71"/>
      <c r="P357" s="71"/>
      <c r="Q357" s="33"/>
      <c r="R357" s="31"/>
      <c r="S357" s="31"/>
      <c r="T357" s="59"/>
      <c r="U357" s="59"/>
      <c r="V357" s="59"/>
      <c r="W357" s="57">
        <f t="shared" si="7"/>
        <v>0</v>
      </c>
      <c r="X357" s="126" t="str">
        <f>IF(Table1[[#This Row],[Shipping Weight Pounds]]&gt;150,"See LTL Form","No")</f>
        <v>No</v>
      </c>
      <c r="Y357" s="28"/>
      <c r="Z357" s="33"/>
      <c r="AA357" s="34"/>
      <c r="AB357" s="30"/>
      <c r="AC357" s="30"/>
      <c r="AD357" s="32"/>
      <c r="AE357" s="32"/>
      <c r="AF357" s="2"/>
      <c r="AG357" s="2"/>
      <c r="AH357" s="2"/>
      <c r="AI357" s="2"/>
      <c r="AK357" s="73" t="str">
        <f>IF(ISNA(MATCH($N357,[1]data!$A:$A,0)),"",INDEX([1]data!S:S,MATCH($N357,[1]data!$A:$A,0)))</f>
        <v/>
      </c>
      <c r="AL357" s="73" t="str">
        <f>IF(ISNA(MATCH($N357,[1]data!$A:$A,0)),"",INDEX([1]data!V:V,MATCH($N357,[1]data!$A:$A,0)))</f>
        <v/>
      </c>
      <c r="AM357" s="38" t="str">
        <f>IF(ISNA(MATCH($N357,data!$A:$A,0)),"",INDEX(data!B:B,MATCH($N357,data!$A:$A,0)))</f>
        <v/>
      </c>
      <c r="AN357" s="38" t="str">
        <f>IF(ISNA(MATCH($N357,data!$A:$A,0)),"",INDEX(data!C:C,MATCH($N357,data!$A:$A,0)))</f>
        <v/>
      </c>
      <c r="AO357" s="38" t="str">
        <f>IF(ISNA(MATCH($N357,data!$A:$A,0)),"",INDEX(data!D:D,MATCH($N357,data!$A:$A,0)))</f>
        <v/>
      </c>
      <c r="AP357" s="38" t="str">
        <f>IF(ISNA(MATCH($N357,data!$A:$A,0)),"",INDEX(data!E:E,MATCH($N357,data!$A:$A,0)))</f>
        <v/>
      </c>
      <c r="AQ357" s="38" t="str">
        <f>IF(ISNA(MATCH($N357,data!$A:$A,0)),"",INDEX(data!F:F,MATCH($N357,data!$A:$A,0)))</f>
        <v/>
      </c>
      <c r="AR357" s="38" t="str">
        <f>IF(ISNA(MATCH($N357,data!$A:$A,0)),"",INDEX(data!G:G,MATCH($N357,data!$A:$A,0)))</f>
        <v/>
      </c>
      <c r="AS357" s="38" t="str">
        <f>IF(ISNA(MATCH($N357,data!$A:$A,0)),"",INDEX(data!H:H,MATCH($N357,data!$A:$A,0)))</f>
        <v/>
      </c>
      <c r="AT357" s="38" t="str">
        <f>IF(ISNA(MATCH($N357,data!$A:$A,0)),"",INDEX(data!I:I,MATCH($N357,data!$A:$A,0)))</f>
        <v/>
      </c>
      <c r="AU357" s="38" t="str">
        <f>IF(ISNA(MATCH($N357,[1]data!$A:$A,0)),"",INDEX([1]data!L:L,MATCH($N357,[1]data!$A:$A,0)))</f>
        <v/>
      </c>
      <c r="AV357" s="38" t="str">
        <f>IF(ISNA(MATCH($N357,[1]data!$A:$A,0)),"",INDEX([1]data!M:M,MATCH($N357,[1]data!$A:$A,0)))</f>
        <v/>
      </c>
      <c r="AW357" s="38" t="str">
        <f>IF(ISNA(MATCH($N357,data!$A:$A,0)),"",INDEX(data!J:J,MATCH($N357,data!$A:$A,0)))</f>
        <v/>
      </c>
      <c r="AX357" s="38" t="str">
        <f>IF(ISNA(MATCH($N357,data!$A:$A,0)),"",INDEX(data!K:K,MATCH($N357,data!$A:$A,0)))</f>
        <v/>
      </c>
      <c r="AY357" s="38" t="str">
        <f>IF(ISNA(MATCH($N357,data!$A:$A,0)),"",INDEX(data!O:O,MATCH($N357,data!$A:$A,0)))</f>
        <v/>
      </c>
      <c r="AZ357" s="38" t="str">
        <f>IF(ISNA(MATCH($N357,data!$A:$A,0)),"",INDEX(data!N:N,MATCH($N357,data!$A:$A,0)))</f>
        <v/>
      </c>
      <c r="BA357" s="38" t="str">
        <f>IF(ISNA(MATCH($N357,data!$A:$A,0)),"",INDEX(data!P:P,MATCH($N357,data!$A:$A,0)))</f>
        <v/>
      </c>
      <c r="BB357" s="38" t="str">
        <f>IF(ISNA(MATCH($N357,data!$A:$A,0)),"",INDEX(data!Q:Q,MATCH($N357,data!$A:$A,0)))</f>
        <v/>
      </c>
      <c r="BC357" s="38" t="str">
        <f>IF(ISNA(MATCH($N357,data!$A:$A,0)),"",INDEX(data!R:R,MATCH($N357,data!$A:$A,0)))</f>
        <v/>
      </c>
      <c r="BD357" s="38" t="str">
        <f>IF(ISNA(MATCH($N357,[1]data!$A:$A,0)),"",INDEX([1]data!U:U,MATCH($N357,[1]data!$A:$A,0)))</f>
        <v/>
      </c>
      <c r="BE357" s="61" t="e">
        <f>IF(COUNTIF([1]data!A:A,[1]!Table1[[#This Row],[UPC]])&lt;2,"","DUP")</f>
        <v>#VALUE!</v>
      </c>
      <c r="BF357" s="38" t="str">
        <f>IF(ISNA(MATCH($N357,data!$A:$A,0)),"",INDEX(data!W:W,MATCH($N357,data!$A:$A,0)))</f>
        <v/>
      </c>
    </row>
    <row r="358" spans="1:58" ht="12.75" customHeight="1">
      <c r="A358" s="35"/>
      <c r="B358" s="35"/>
      <c r="C358" s="35"/>
      <c r="D358" s="35"/>
      <c r="E358" s="67"/>
      <c r="F358" s="67"/>
      <c r="G358" s="36"/>
      <c r="H358" s="29"/>
      <c r="I358" s="78" t="str">
        <f t="shared" si="6"/>
        <v/>
      </c>
      <c r="J358" s="29"/>
      <c r="K358" s="29"/>
      <c r="L358" s="33"/>
      <c r="M358" s="33"/>
      <c r="N358" s="60"/>
      <c r="O358" s="71"/>
      <c r="P358" s="71"/>
      <c r="Q358" s="33"/>
      <c r="R358" s="31"/>
      <c r="S358" s="31"/>
      <c r="T358" s="59"/>
      <c r="U358" s="59"/>
      <c r="V358" s="59"/>
      <c r="W358" s="57">
        <f t="shared" si="7"/>
        <v>0</v>
      </c>
      <c r="X358" s="126" t="str">
        <f>IF(Table1[[#This Row],[Shipping Weight Pounds]]&gt;150,"See LTL Form","No")</f>
        <v>No</v>
      </c>
      <c r="Y358" s="28"/>
      <c r="Z358" s="33"/>
      <c r="AA358" s="34"/>
      <c r="AB358" s="30"/>
      <c r="AC358" s="30"/>
      <c r="AD358" s="32"/>
      <c r="AE358" s="32"/>
      <c r="AF358" s="2"/>
      <c r="AG358" s="2"/>
      <c r="AH358" s="2"/>
      <c r="AI358" s="2"/>
      <c r="AK358" s="73" t="str">
        <f>IF(ISNA(MATCH($N358,[1]data!$A:$A,0)),"",INDEX([1]data!S:S,MATCH($N358,[1]data!$A:$A,0)))</f>
        <v/>
      </c>
      <c r="AL358" s="73" t="str">
        <f>IF(ISNA(MATCH($N358,[1]data!$A:$A,0)),"",INDEX([1]data!V:V,MATCH($N358,[1]data!$A:$A,0)))</f>
        <v/>
      </c>
      <c r="AM358" s="38" t="str">
        <f>IF(ISNA(MATCH($N358,data!$A:$A,0)),"",INDEX(data!B:B,MATCH($N358,data!$A:$A,0)))</f>
        <v/>
      </c>
      <c r="AN358" s="38" t="str">
        <f>IF(ISNA(MATCH($N358,data!$A:$A,0)),"",INDEX(data!C:C,MATCH($N358,data!$A:$A,0)))</f>
        <v/>
      </c>
      <c r="AO358" s="38" t="str">
        <f>IF(ISNA(MATCH($N358,data!$A:$A,0)),"",INDEX(data!D:D,MATCH($N358,data!$A:$A,0)))</f>
        <v/>
      </c>
      <c r="AP358" s="38" t="str">
        <f>IF(ISNA(MATCH($N358,data!$A:$A,0)),"",INDEX(data!E:E,MATCH($N358,data!$A:$A,0)))</f>
        <v/>
      </c>
      <c r="AQ358" s="38" t="str">
        <f>IF(ISNA(MATCH($N358,data!$A:$A,0)),"",INDEX(data!F:F,MATCH($N358,data!$A:$A,0)))</f>
        <v/>
      </c>
      <c r="AR358" s="38" t="str">
        <f>IF(ISNA(MATCH($N358,data!$A:$A,0)),"",INDEX(data!G:G,MATCH($N358,data!$A:$A,0)))</f>
        <v/>
      </c>
      <c r="AS358" s="38" t="str">
        <f>IF(ISNA(MATCH($N358,data!$A:$A,0)),"",INDEX(data!H:H,MATCH($N358,data!$A:$A,0)))</f>
        <v/>
      </c>
      <c r="AT358" s="38" t="str">
        <f>IF(ISNA(MATCH($N358,data!$A:$A,0)),"",INDEX(data!I:I,MATCH($N358,data!$A:$A,0)))</f>
        <v/>
      </c>
      <c r="AU358" s="38" t="str">
        <f>IF(ISNA(MATCH($N358,[1]data!$A:$A,0)),"",INDEX([1]data!L:L,MATCH($N358,[1]data!$A:$A,0)))</f>
        <v/>
      </c>
      <c r="AV358" s="38" t="str">
        <f>IF(ISNA(MATCH($N358,[1]data!$A:$A,0)),"",INDEX([1]data!M:M,MATCH($N358,[1]data!$A:$A,0)))</f>
        <v/>
      </c>
      <c r="AW358" s="38" t="str">
        <f>IF(ISNA(MATCH($N358,data!$A:$A,0)),"",INDEX(data!J:J,MATCH($N358,data!$A:$A,0)))</f>
        <v/>
      </c>
      <c r="AX358" s="38" t="str">
        <f>IF(ISNA(MATCH($N358,data!$A:$A,0)),"",INDEX(data!K:K,MATCH($N358,data!$A:$A,0)))</f>
        <v/>
      </c>
      <c r="AY358" s="38" t="str">
        <f>IF(ISNA(MATCH($N358,data!$A:$A,0)),"",INDEX(data!O:O,MATCH($N358,data!$A:$A,0)))</f>
        <v/>
      </c>
      <c r="AZ358" s="38" t="str">
        <f>IF(ISNA(MATCH($N358,data!$A:$A,0)),"",INDEX(data!N:N,MATCH($N358,data!$A:$A,0)))</f>
        <v/>
      </c>
      <c r="BA358" s="38" t="str">
        <f>IF(ISNA(MATCH($N358,data!$A:$A,0)),"",INDEX(data!P:P,MATCH($N358,data!$A:$A,0)))</f>
        <v/>
      </c>
      <c r="BB358" s="38" t="str">
        <f>IF(ISNA(MATCH($N358,data!$A:$A,0)),"",INDEX(data!Q:Q,MATCH($N358,data!$A:$A,0)))</f>
        <v/>
      </c>
      <c r="BC358" s="38" t="str">
        <f>IF(ISNA(MATCH($N358,data!$A:$A,0)),"",INDEX(data!R:R,MATCH($N358,data!$A:$A,0)))</f>
        <v/>
      </c>
      <c r="BD358" s="38" t="str">
        <f>IF(ISNA(MATCH($N358,[1]data!$A:$A,0)),"",INDEX([1]data!U:U,MATCH($N358,[1]data!$A:$A,0)))</f>
        <v/>
      </c>
      <c r="BE358" s="61" t="e">
        <f>IF(COUNTIF([1]data!A:A,[1]!Table1[[#This Row],[UPC]])&lt;2,"","DUP")</f>
        <v>#VALUE!</v>
      </c>
      <c r="BF358" s="38" t="str">
        <f>IF(ISNA(MATCH($N358,data!$A:$A,0)),"",INDEX(data!W:W,MATCH($N358,data!$A:$A,0)))</f>
        <v/>
      </c>
    </row>
    <row r="359" spans="1:58" ht="12.75" customHeight="1">
      <c r="A359" s="35"/>
      <c r="B359" s="35"/>
      <c r="C359" s="35"/>
      <c r="D359" s="35"/>
      <c r="E359" s="67"/>
      <c r="F359" s="67"/>
      <c r="G359" s="36"/>
      <c r="H359" s="29"/>
      <c r="I359" s="78" t="str">
        <f t="shared" si="6"/>
        <v/>
      </c>
      <c r="J359" s="29"/>
      <c r="K359" s="29"/>
      <c r="L359" s="33"/>
      <c r="M359" s="33"/>
      <c r="N359" s="60"/>
      <c r="O359" s="71"/>
      <c r="P359" s="71"/>
      <c r="Q359" s="33"/>
      <c r="R359" s="31"/>
      <c r="S359" s="31"/>
      <c r="T359" s="59"/>
      <c r="U359" s="59"/>
      <c r="V359" s="59"/>
      <c r="W359" s="57">
        <f t="shared" si="7"/>
        <v>0</v>
      </c>
      <c r="X359" s="126" t="str">
        <f>IF(Table1[[#This Row],[Shipping Weight Pounds]]&gt;150,"See LTL Form","No")</f>
        <v>No</v>
      </c>
      <c r="Y359" s="28"/>
      <c r="Z359" s="33"/>
      <c r="AA359" s="34"/>
      <c r="AB359" s="30"/>
      <c r="AC359" s="30"/>
      <c r="AD359" s="32"/>
      <c r="AE359" s="32"/>
      <c r="AF359" s="2"/>
      <c r="AG359" s="2"/>
      <c r="AH359" s="2"/>
      <c r="AI359" s="2"/>
      <c r="AK359" s="73" t="str">
        <f>IF(ISNA(MATCH($N359,[1]data!$A:$A,0)),"",INDEX([1]data!S:S,MATCH($N359,[1]data!$A:$A,0)))</f>
        <v/>
      </c>
      <c r="AL359" s="73" t="str">
        <f>IF(ISNA(MATCH($N359,[1]data!$A:$A,0)),"",INDEX([1]data!V:V,MATCH($N359,[1]data!$A:$A,0)))</f>
        <v/>
      </c>
      <c r="AM359" s="38" t="str">
        <f>IF(ISNA(MATCH($N359,data!$A:$A,0)),"",INDEX(data!B:B,MATCH($N359,data!$A:$A,0)))</f>
        <v/>
      </c>
      <c r="AN359" s="38" t="str">
        <f>IF(ISNA(MATCH($N359,data!$A:$A,0)),"",INDEX(data!C:C,MATCH($N359,data!$A:$A,0)))</f>
        <v/>
      </c>
      <c r="AO359" s="38" t="str">
        <f>IF(ISNA(MATCH($N359,data!$A:$A,0)),"",INDEX(data!D:D,MATCH($N359,data!$A:$A,0)))</f>
        <v/>
      </c>
      <c r="AP359" s="38" t="str">
        <f>IF(ISNA(MATCH($N359,data!$A:$A,0)),"",INDEX(data!E:E,MATCH($N359,data!$A:$A,0)))</f>
        <v/>
      </c>
      <c r="AQ359" s="38" t="str">
        <f>IF(ISNA(MATCH($N359,data!$A:$A,0)),"",INDEX(data!F:F,MATCH($N359,data!$A:$A,0)))</f>
        <v/>
      </c>
      <c r="AR359" s="38" t="str">
        <f>IF(ISNA(MATCH($N359,data!$A:$A,0)),"",INDEX(data!G:G,MATCH($N359,data!$A:$A,0)))</f>
        <v/>
      </c>
      <c r="AS359" s="38" t="str">
        <f>IF(ISNA(MATCH($N359,data!$A:$A,0)),"",INDEX(data!H:H,MATCH($N359,data!$A:$A,0)))</f>
        <v/>
      </c>
      <c r="AT359" s="38" t="str">
        <f>IF(ISNA(MATCH($N359,data!$A:$A,0)),"",INDEX(data!I:I,MATCH($N359,data!$A:$A,0)))</f>
        <v/>
      </c>
      <c r="AU359" s="38" t="str">
        <f>IF(ISNA(MATCH($N359,[1]data!$A:$A,0)),"",INDEX([1]data!L:L,MATCH($N359,[1]data!$A:$A,0)))</f>
        <v/>
      </c>
      <c r="AV359" s="38" t="str">
        <f>IF(ISNA(MATCH($N359,[1]data!$A:$A,0)),"",INDEX([1]data!M:M,MATCH($N359,[1]data!$A:$A,0)))</f>
        <v/>
      </c>
      <c r="AW359" s="38" t="str">
        <f>IF(ISNA(MATCH($N359,data!$A:$A,0)),"",INDEX(data!J:J,MATCH($N359,data!$A:$A,0)))</f>
        <v/>
      </c>
      <c r="AX359" s="38" t="str">
        <f>IF(ISNA(MATCH($N359,data!$A:$A,0)),"",INDEX(data!K:K,MATCH($N359,data!$A:$A,0)))</f>
        <v/>
      </c>
      <c r="AY359" s="38" t="str">
        <f>IF(ISNA(MATCH($N359,data!$A:$A,0)),"",INDEX(data!O:O,MATCH($N359,data!$A:$A,0)))</f>
        <v/>
      </c>
      <c r="AZ359" s="38" t="str">
        <f>IF(ISNA(MATCH($N359,data!$A:$A,0)),"",INDEX(data!N:N,MATCH($N359,data!$A:$A,0)))</f>
        <v/>
      </c>
      <c r="BA359" s="38" t="str">
        <f>IF(ISNA(MATCH($N359,data!$A:$A,0)),"",INDEX(data!P:P,MATCH($N359,data!$A:$A,0)))</f>
        <v/>
      </c>
      <c r="BB359" s="38" t="str">
        <f>IF(ISNA(MATCH($N359,data!$A:$A,0)),"",INDEX(data!Q:Q,MATCH($N359,data!$A:$A,0)))</f>
        <v/>
      </c>
      <c r="BC359" s="38" t="str">
        <f>IF(ISNA(MATCH($N359,data!$A:$A,0)),"",INDEX(data!R:R,MATCH($N359,data!$A:$A,0)))</f>
        <v/>
      </c>
      <c r="BD359" s="38" t="str">
        <f>IF(ISNA(MATCH($N359,[1]data!$A:$A,0)),"",INDEX([1]data!U:U,MATCH($N359,[1]data!$A:$A,0)))</f>
        <v/>
      </c>
      <c r="BE359" s="61" t="e">
        <f>IF(COUNTIF([1]data!A:A,[1]!Table1[[#This Row],[UPC]])&lt;2,"","DUP")</f>
        <v>#VALUE!</v>
      </c>
      <c r="BF359" s="38" t="str">
        <f>IF(ISNA(MATCH($N359,data!$A:$A,0)),"",INDEX(data!W:W,MATCH($N359,data!$A:$A,0)))</f>
        <v/>
      </c>
    </row>
    <row r="360" spans="1:58" ht="12.75" customHeight="1">
      <c r="A360" s="35"/>
      <c r="B360" s="35"/>
      <c r="C360" s="35"/>
      <c r="D360" s="35"/>
      <c r="E360" s="67"/>
      <c r="F360" s="67"/>
      <c r="G360" s="36"/>
      <c r="H360" s="29"/>
      <c r="I360" s="78" t="str">
        <f t="shared" si="6"/>
        <v/>
      </c>
      <c r="J360" s="29"/>
      <c r="K360" s="29"/>
      <c r="L360" s="33"/>
      <c r="M360" s="33"/>
      <c r="N360" s="60"/>
      <c r="O360" s="71"/>
      <c r="P360" s="71"/>
      <c r="Q360" s="33"/>
      <c r="R360" s="31"/>
      <c r="S360" s="31"/>
      <c r="T360" s="59"/>
      <c r="U360" s="59"/>
      <c r="V360" s="59"/>
      <c r="W360" s="57">
        <f t="shared" si="7"/>
        <v>0</v>
      </c>
      <c r="X360" s="126" t="str">
        <f>IF(Table1[[#This Row],[Shipping Weight Pounds]]&gt;150,"See LTL Form","No")</f>
        <v>No</v>
      </c>
      <c r="Y360" s="28"/>
      <c r="Z360" s="33"/>
      <c r="AA360" s="34"/>
      <c r="AB360" s="30"/>
      <c r="AC360" s="30"/>
      <c r="AD360" s="32"/>
      <c r="AE360" s="32"/>
      <c r="AF360" s="2"/>
      <c r="AG360" s="2"/>
      <c r="AH360" s="2"/>
      <c r="AI360" s="2"/>
      <c r="AK360" s="73" t="str">
        <f>IF(ISNA(MATCH($N360,[1]data!$A:$A,0)),"",INDEX([1]data!S:S,MATCH($N360,[1]data!$A:$A,0)))</f>
        <v/>
      </c>
      <c r="AL360" s="73" t="str">
        <f>IF(ISNA(MATCH($N360,[1]data!$A:$A,0)),"",INDEX([1]data!V:V,MATCH($N360,[1]data!$A:$A,0)))</f>
        <v/>
      </c>
      <c r="AM360" s="38" t="str">
        <f>IF(ISNA(MATCH($N360,data!$A:$A,0)),"",INDEX(data!B:B,MATCH($N360,data!$A:$A,0)))</f>
        <v/>
      </c>
      <c r="AN360" s="38" t="str">
        <f>IF(ISNA(MATCH($N360,data!$A:$A,0)),"",INDEX(data!C:C,MATCH($N360,data!$A:$A,0)))</f>
        <v/>
      </c>
      <c r="AO360" s="38" t="str">
        <f>IF(ISNA(MATCH($N360,data!$A:$A,0)),"",INDEX(data!D:D,MATCH($N360,data!$A:$A,0)))</f>
        <v/>
      </c>
      <c r="AP360" s="38" t="str">
        <f>IF(ISNA(MATCH($N360,data!$A:$A,0)),"",INDEX(data!E:E,MATCH($N360,data!$A:$A,0)))</f>
        <v/>
      </c>
      <c r="AQ360" s="38" t="str">
        <f>IF(ISNA(MATCH($N360,data!$A:$A,0)),"",INDEX(data!F:F,MATCH($N360,data!$A:$A,0)))</f>
        <v/>
      </c>
      <c r="AR360" s="38" t="str">
        <f>IF(ISNA(MATCH($N360,data!$A:$A,0)),"",INDEX(data!G:G,MATCH($N360,data!$A:$A,0)))</f>
        <v/>
      </c>
      <c r="AS360" s="38" t="str">
        <f>IF(ISNA(MATCH($N360,data!$A:$A,0)),"",INDEX(data!H:H,MATCH($N360,data!$A:$A,0)))</f>
        <v/>
      </c>
      <c r="AT360" s="38" t="str">
        <f>IF(ISNA(MATCH($N360,data!$A:$A,0)),"",INDEX(data!I:I,MATCH($N360,data!$A:$A,0)))</f>
        <v/>
      </c>
      <c r="AU360" s="38" t="str">
        <f>IF(ISNA(MATCH($N360,[1]data!$A:$A,0)),"",INDEX([1]data!L:L,MATCH($N360,[1]data!$A:$A,0)))</f>
        <v/>
      </c>
      <c r="AV360" s="38" t="str">
        <f>IF(ISNA(MATCH($N360,[1]data!$A:$A,0)),"",INDEX([1]data!M:M,MATCH($N360,[1]data!$A:$A,0)))</f>
        <v/>
      </c>
      <c r="AW360" s="38" t="str">
        <f>IF(ISNA(MATCH($N360,data!$A:$A,0)),"",INDEX(data!J:J,MATCH($N360,data!$A:$A,0)))</f>
        <v/>
      </c>
      <c r="AX360" s="38" t="str">
        <f>IF(ISNA(MATCH($N360,data!$A:$A,0)),"",INDEX(data!K:K,MATCH($N360,data!$A:$A,0)))</f>
        <v/>
      </c>
      <c r="AY360" s="38" t="str">
        <f>IF(ISNA(MATCH($N360,data!$A:$A,0)),"",INDEX(data!O:O,MATCH($N360,data!$A:$A,0)))</f>
        <v/>
      </c>
      <c r="AZ360" s="38" t="str">
        <f>IF(ISNA(MATCH($N360,data!$A:$A,0)),"",INDEX(data!N:N,MATCH($N360,data!$A:$A,0)))</f>
        <v/>
      </c>
      <c r="BA360" s="38" t="str">
        <f>IF(ISNA(MATCH($N360,data!$A:$A,0)),"",INDEX(data!P:P,MATCH($N360,data!$A:$A,0)))</f>
        <v/>
      </c>
      <c r="BB360" s="38" t="str">
        <f>IF(ISNA(MATCH($N360,data!$A:$A,0)),"",INDEX(data!Q:Q,MATCH($N360,data!$A:$A,0)))</f>
        <v/>
      </c>
      <c r="BC360" s="38" t="str">
        <f>IF(ISNA(MATCH($N360,data!$A:$A,0)),"",INDEX(data!R:R,MATCH($N360,data!$A:$A,0)))</f>
        <v/>
      </c>
      <c r="BD360" s="38" t="str">
        <f>IF(ISNA(MATCH($N360,[1]data!$A:$A,0)),"",INDEX([1]data!U:U,MATCH($N360,[1]data!$A:$A,0)))</f>
        <v/>
      </c>
      <c r="BE360" s="61" t="e">
        <f>IF(COUNTIF([1]data!A:A,[1]!Table1[[#This Row],[UPC]])&lt;2,"","DUP")</f>
        <v>#VALUE!</v>
      </c>
      <c r="BF360" s="38" t="str">
        <f>IF(ISNA(MATCH($N360,data!$A:$A,0)),"",INDEX(data!W:W,MATCH($N360,data!$A:$A,0)))</f>
        <v/>
      </c>
    </row>
    <row r="361" spans="1:58" ht="12.75" customHeight="1">
      <c r="A361" s="35"/>
      <c r="B361" s="35"/>
      <c r="C361" s="35"/>
      <c r="D361" s="35"/>
      <c r="E361" s="67"/>
      <c r="F361" s="67"/>
      <c r="G361" s="36"/>
      <c r="H361" s="29"/>
      <c r="I361" s="78" t="str">
        <f t="shared" si="6"/>
        <v/>
      </c>
      <c r="J361" s="29"/>
      <c r="K361" s="29"/>
      <c r="L361" s="33"/>
      <c r="M361" s="33"/>
      <c r="N361" s="60"/>
      <c r="O361" s="71"/>
      <c r="P361" s="71"/>
      <c r="Q361" s="33"/>
      <c r="R361" s="31"/>
      <c r="S361" s="31"/>
      <c r="T361" s="59"/>
      <c r="U361" s="59"/>
      <c r="V361" s="59"/>
      <c r="W361" s="57">
        <f t="shared" si="7"/>
        <v>0</v>
      </c>
      <c r="X361" s="126" t="str">
        <f>IF(Table1[[#This Row],[Shipping Weight Pounds]]&gt;150,"See LTL Form","No")</f>
        <v>No</v>
      </c>
      <c r="Y361" s="28"/>
      <c r="Z361" s="33"/>
      <c r="AA361" s="34"/>
      <c r="AB361" s="30"/>
      <c r="AC361" s="30"/>
      <c r="AD361" s="32"/>
      <c r="AE361" s="32"/>
      <c r="AF361" s="2"/>
      <c r="AG361" s="2"/>
      <c r="AH361" s="2"/>
      <c r="AI361" s="2"/>
      <c r="AK361" s="73" t="str">
        <f>IF(ISNA(MATCH($N361,[1]data!$A:$A,0)),"",INDEX([1]data!S:S,MATCH($N361,[1]data!$A:$A,0)))</f>
        <v/>
      </c>
      <c r="AL361" s="73" t="str">
        <f>IF(ISNA(MATCH($N361,[1]data!$A:$A,0)),"",INDEX([1]data!V:V,MATCH($N361,[1]data!$A:$A,0)))</f>
        <v/>
      </c>
      <c r="AM361" s="38" t="str">
        <f>IF(ISNA(MATCH($N361,data!$A:$A,0)),"",INDEX(data!B:B,MATCH($N361,data!$A:$A,0)))</f>
        <v/>
      </c>
      <c r="AN361" s="38" t="str">
        <f>IF(ISNA(MATCH($N361,data!$A:$A,0)),"",INDEX(data!C:C,MATCH($N361,data!$A:$A,0)))</f>
        <v/>
      </c>
      <c r="AO361" s="38" t="str">
        <f>IF(ISNA(MATCH($N361,data!$A:$A,0)),"",INDEX(data!D:D,MATCH($N361,data!$A:$A,0)))</f>
        <v/>
      </c>
      <c r="AP361" s="38" t="str">
        <f>IF(ISNA(MATCH($N361,data!$A:$A,0)),"",INDEX(data!E:E,MATCH($N361,data!$A:$A,0)))</f>
        <v/>
      </c>
      <c r="AQ361" s="38" t="str">
        <f>IF(ISNA(MATCH($N361,data!$A:$A,0)),"",INDEX(data!F:F,MATCH($N361,data!$A:$A,0)))</f>
        <v/>
      </c>
      <c r="AR361" s="38" t="str">
        <f>IF(ISNA(MATCH($N361,data!$A:$A,0)),"",INDEX(data!G:G,MATCH($N361,data!$A:$A,0)))</f>
        <v/>
      </c>
      <c r="AS361" s="38" t="str">
        <f>IF(ISNA(MATCH($N361,data!$A:$A,0)),"",INDEX(data!H:H,MATCH($N361,data!$A:$A,0)))</f>
        <v/>
      </c>
      <c r="AT361" s="38" t="str">
        <f>IF(ISNA(MATCH($N361,data!$A:$A,0)),"",INDEX(data!I:I,MATCH($N361,data!$A:$A,0)))</f>
        <v/>
      </c>
      <c r="AU361" s="38" t="str">
        <f>IF(ISNA(MATCH($N361,[1]data!$A:$A,0)),"",INDEX([1]data!L:L,MATCH($N361,[1]data!$A:$A,0)))</f>
        <v/>
      </c>
      <c r="AV361" s="38" t="str">
        <f>IF(ISNA(MATCH($N361,[1]data!$A:$A,0)),"",INDEX([1]data!M:M,MATCH($N361,[1]data!$A:$A,0)))</f>
        <v/>
      </c>
      <c r="AW361" s="38" t="str">
        <f>IF(ISNA(MATCH($N361,data!$A:$A,0)),"",INDEX(data!J:J,MATCH($N361,data!$A:$A,0)))</f>
        <v/>
      </c>
      <c r="AX361" s="38" t="str">
        <f>IF(ISNA(MATCH($N361,data!$A:$A,0)),"",INDEX(data!K:K,MATCH($N361,data!$A:$A,0)))</f>
        <v/>
      </c>
      <c r="AY361" s="38" t="str">
        <f>IF(ISNA(MATCH($N361,data!$A:$A,0)),"",INDEX(data!O:O,MATCH($N361,data!$A:$A,0)))</f>
        <v/>
      </c>
      <c r="AZ361" s="38" t="str">
        <f>IF(ISNA(MATCH($N361,data!$A:$A,0)),"",INDEX(data!N:N,MATCH($N361,data!$A:$A,0)))</f>
        <v/>
      </c>
      <c r="BA361" s="38" t="str">
        <f>IF(ISNA(MATCH($N361,data!$A:$A,0)),"",INDEX(data!P:P,MATCH($N361,data!$A:$A,0)))</f>
        <v/>
      </c>
      <c r="BB361" s="38" t="str">
        <f>IF(ISNA(MATCH($N361,data!$A:$A,0)),"",INDEX(data!Q:Q,MATCH($N361,data!$A:$A,0)))</f>
        <v/>
      </c>
      <c r="BC361" s="38" t="str">
        <f>IF(ISNA(MATCH($N361,data!$A:$A,0)),"",INDEX(data!R:R,MATCH($N361,data!$A:$A,0)))</f>
        <v/>
      </c>
      <c r="BD361" s="38" t="str">
        <f>IF(ISNA(MATCH($N361,[1]data!$A:$A,0)),"",INDEX([1]data!U:U,MATCH($N361,[1]data!$A:$A,0)))</f>
        <v/>
      </c>
      <c r="BE361" s="61" t="e">
        <f>IF(COUNTIF([1]data!A:A,[1]!Table1[[#This Row],[UPC]])&lt;2,"","DUP")</f>
        <v>#VALUE!</v>
      </c>
      <c r="BF361" s="38" t="str">
        <f>IF(ISNA(MATCH($N361,data!$A:$A,0)),"",INDEX(data!W:W,MATCH($N361,data!$A:$A,0)))</f>
        <v/>
      </c>
    </row>
    <row r="362" spans="1:58" ht="12.75" customHeight="1">
      <c r="A362" s="35"/>
      <c r="B362" s="35"/>
      <c r="C362" s="35"/>
      <c r="D362" s="35"/>
      <c r="E362" s="67"/>
      <c r="F362" s="67"/>
      <c r="G362" s="36"/>
      <c r="H362" s="29"/>
      <c r="I362" s="78" t="str">
        <f t="shared" si="6"/>
        <v/>
      </c>
      <c r="J362" s="29"/>
      <c r="K362" s="29"/>
      <c r="L362" s="33"/>
      <c r="M362" s="33"/>
      <c r="N362" s="60"/>
      <c r="O362" s="71"/>
      <c r="P362" s="71"/>
      <c r="Q362" s="33"/>
      <c r="R362" s="31"/>
      <c r="S362" s="31"/>
      <c r="T362" s="59"/>
      <c r="U362" s="59"/>
      <c r="V362" s="59"/>
      <c r="W362" s="57">
        <f t="shared" si="7"/>
        <v>0</v>
      </c>
      <c r="X362" s="126" t="str">
        <f>IF(Table1[[#This Row],[Shipping Weight Pounds]]&gt;150,"See LTL Form","No")</f>
        <v>No</v>
      </c>
      <c r="Y362" s="28"/>
      <c r="Z362" s="33"/>
      <c r="AA362" s="34"/>
      <c r="AB362" s="30"/>
      <c r="AC362" s="30"/>
      <c r="AD362" s="32"/>
      <c r="AE362" s="32"/>
      <c r="AF362" s="2"/>
      <c r="AG362" s="2"/>
      <c r="AH362" s="2"/>
      <c r="AI362" s="2"/>
      <c r="AK362" s="73" t="str">
        <f>IF(ISNA(MATCH($N362,[1]data!$A:$A,0)),"",INDEX([1]data!S:S,MATCH($N362,[1]data!$A:$A,0)))</f>
        <v/>
      </c>
      <c r="AL362" s="73" t="str">
        <f>IF(ISNA(MATCH($N362,[1]data!$A:$A,0)),"",INDEX([1]data!V:V,MATCH($N362,[1]data!$A:$A,0)))</f>
        <v/>
      </c>
      <c r="AM362" s="38" t="str">
        <f>IF(ISNA(MATCH($N362,data!$A:$A,0)),"",INDEX(data!B:B,MATCH($N362,data!$A:$A,0)))</f>
        <v/>
      </c>
      <c r="AN362" s="38" t="str">
        <f>IF(ISNA(MATCH($N362,data!$A:$A,0)),"",INDEX(data!C:C,MATCH($N362,data!$A:$A,0)))</f>
        <v/>
      </c>
      <c r="AO362" s="38" t="str">
        <f>IF(ISNA(MATCH($N362,data!$A:$A,0)),"",INDEX(data!D:D,MATCH($N362,data!$A:$A,0)))</f>
        <v/>
      </c>
      <c r="AP362" s="38" t="str">
        <f>IF(ISNA(MATCH($N362,data!$A:$A,0)),"",INDEX(data!E:E,MATCH($N362,data!$A:$A,0)))</f>
        <v/>
      </c>
      <c r="AQ362" s="38" t="str">
        <f>IF(ISNA(MATCH($N362,data!$A:$A,0)),"",INDEX(data!F:F,MATCH($N362,data!$A:$A,0)))</f>
        <v/>
      </c>
      <c r="AR362" s="38" t="str">
        <f>IF(ISNA(MATCH($N362,data!$A:$A,0)),"",INDEX(data!G:G,MATCH($N362,data!$A:$A,0)))</f>
        <v/>
      </c>
      <c r="AS362" s="38" t="str">
        <f>IF(ISNA(MATCH($N362,data!$A:$A,0)),"",INDEX(data!H:H,MATCH($N362,data!$A:$A,0)))</f>
        <v/>
      </c>
      <c r="AT362" s="38" t="str">
        <f>IF(ISNA(MATCH($N362,data!$A:$A,0)),"",INDEX(data!I:I,MATCH($N362,data!$A:$A,0)))</f>
        <v/>
      </c>
      <c r="AU362" s="38" t="str">
        <f>IF(ISNA(MATCH($N362,[1]data!$A:$A,0)),"",INDEX([1]data!L:L,MATCH($N362,[1]data!$A:$A,0)))</f>
        <v/>
      </c>
      <c r="AV362" s="38" t="str">
        <f>IF(ISNA(MATCH($N362,[1]data!$A:$A,0)),"",INDEX([1]data!M:M,MATCH($N362,[1]data!$A:$A,0)))</f>
        <v/>
      </c>
      <c r="AW362" s="38" t="str">
        <f>IF(ISNA(MATCH($N362,data!$A:$A,0)),"",INDEX(data!J:J,MATCH($N362,data!$A:$A,0)))</f>
        <v/>
      </c>
      <c r="AX362" s="38" t="str">
        <f>IF(ISNA(MATCH($N362,data!$A:$A,0)),"",INDEX(data!K:K,MATCH($N362,data!$A:$A,0)))</f>
        <v/>
      </c>
      <c r="AY362" s="38" t="str">
        <f>IF(ISNA(MATCH($N362,data!$A:$A,0)),"",INDEX(data!O:O,MATCH($N362,data!$A:$A,0)))</f>
        <v/>
      </c>
      <c r="AZ362" s="38" t="str">
        <f>IF(ISNA(MATCH($N362,data!$A:$A,0)),"",INDEX(data!N:N,MATCH($N362,data!$A:$A,0)))</f>
        <v/>
      </c>
      <c r="BA362" s="38" t="str">
        <f>IF(ISNA(MATCH($N362,data!$A:$A,0)),"",INDEX(data!P:P,MATCH($N362,data!$A:$A,0)))</f>
        <v/>
      </c>
      <c r="BB362" s="38" t="str">
        <f>IF(ISNA(MATCH($N362,data!$A:$A,0)),"",INDEX(data!Q:Q,MATCH($N362,data!$A:$A,0)))</f>
        <v/>
      </c>
      <c r="BC362" s="38" t="str">
        <f>IF(ISNA(MATCH($N362,data!$A:$A,0)),"",INDEX(data!R:R,MATCH($N362,data!$A:$A,0)))</f>
        <v/>
      </c>
      <c r="BD362" s="38" t="str">
        <f>IF(ISNA(MATCH($N362,[1]data!$A:$A,0)),"",INDEX([1]data!U:U,MATCH($N362,[1]data!$A:$A,0)))</f>
        <v/>
      </c>
      <c r="BE362" s="61" t="e">
        <f>IF(COUNTIF([1]data!A:A,[1]!Table1[[#This Row],[UPC]])&lt;2,"","DUP")</f>
        <v>#VALUE!</v>
      </c>
      <c r="BF362" s="38" t="str">
        <f>IF(ISNA(MATCH($N362,data!$A:$A,0)),"",INDEX(data!W:W,MATCH($N362,data!$A:$A,0)))</f>
        <v/>
      </c>
    </row>
    <row r="363" spans="1:58" ht="12.75" customHeight="1">
      <c r="A363" s="35"/>
      <c r="B363" s="35"/>
      <c r="C363" s="35"/>
      <c r="D363" s="35"/>
      <c r="E363" s="67"/>
      <c r="F363" s="67"/>
      <c r="G363" s="36"/>
      <c r="H363" s="29"/>
      <c r="I363" s="78" t="str">
        <f t="shared" si="6"/>
        <v/>
      </c>
      <c r="J363" s="29"/>
      <c r="K363" s="29"/>
      <c r="L363" s="33"/>
      <c r="M363" s="33"/>
      <c r="N363" s="60"/>
      <c r="O363" s="71"/>
      <c r="P363" s="71"/>
      <c r="Q363" s="33"/>
      <c r="R363" s="31"/>
      <c r="S363" s="31"/>
      <c r="T363" s="59"/>
      <c r="U363" s="59"/>
      <c r="V363" s="59"/>
      <c r="W363" s="57">
        <f t="shared" si="7"/>
        <v>0</v>
      </c>
      <c r="X363" s="126" t="str">
        <f>IF(Table1[[#This Row],[Shipping Weight Pounds]]&gt;150,"See LTL Form","No")</f>
        <v>No</v>
      </c>
      <c r="Y363" s="28"/>
      <c r="Z363" s="33"/>
      <c r="AA363" s="34"/>
      <c r="AB363" s="30"/>
      <c r="AC363" s="30"/>
      <c r="AD363" s="32"/>
      <c r="AE363" s="32"/>
      <c r="AF363" s="2"/>
      <c r="AG363" s="2"/>
      <c r="AH363" s="2"/>
      <c r="AI363" s="2"/>
      <c r="AK363" s="73" t="str">
        <f>IF(ISNA(MATCH($N363,[1]data!$A:$A,0)),"",INDEX([1]data!S:S,MATCH($N363,[1]data!$A:$A,0)))</f>
        <v/>
      </c>
      <c r="AL363" s="73" t="str">
        <f>IF(ISNA(MATCH($N363,[1]data!$A:$A,0)),"",INDEX([1]data!V:V,MATCH($N363,[1]data!$A:$A,0)))</f>
        <v/>
      </c>
      <c r="AM363" s="38" t="str">
        <f>IF(ISNA(MATCH($N363,data!$A:$A,0)),"",INDEX(data!B:B,MATCH($N363,data!$A:$A,0)))</f>
        <v/>
      </c>
      <c r="AN363" s="38" t="str">
        <f>IF(ISNA(MATCH($N363,data!$A:$A,0)),"",INDEX(data!C:C,MATCH($N363,data!$A:$A,0)))</f>
        <v/>
      </c>
      <c r="AO363" s="38" t="str">
        <f>IF(ISNA(MATCH($N363,data!$A:$A,0)),"",INDEX(data!D:D,MATCH($N363,data!$A:$A,0)))</f>
        <v/>
      </c>
      <c r="AP363" s="38" t="str">
        <f>IF(ISNA(MATCH($N363,data!$A:$A,0)),"",INDEX(data!E:E,MATCH($N363,data!$A:$A,0)))</f>
        <v/>
      </c>
      <c r="AQ363" s="38" t="str">
        <f>IF(ISNA(MATCH($N363,data!$A:$A,0)),"",INDEX(data!F:F,MATCH($N363,data!$A:$A,0)))</f>
        <v/>
      </c>
      <c r="AR363" s="38" t="str">
        <f>IF(ISNA(MATCH($N363,data!$A:$A,0)),"",INDEX(data!G:G,MATCH($N363,data!$A:$A,0)))</f>
        <v/>
      </c>
      <c r="AS363" s="38" t="str">
        <f>IF(ISNA(MATCH($N363,data!$A:$A,0)),"",INDEX(data!H:H,MATCH($N363,data!$A:$A,0)))</f>
        <v/>
      </c>
      <c r="AT363" s="38" t="str">
        <f>IF(ISNA(MATCH($N363,data!$A:$A,0)),"",INDEX(data!I:I,MATCH($N363,data!$A:$A,0)))</f>
        <v/>
      </c>
      <c r="AU363" s="38" t="str">
        <f>IF(ISNA(MATCH($N363,[1]data!$A:$A,0)),"",INDEX([1]data!L:L,MATCH($N363,[1]data!$A:$A,0)))</f>
        <v/>
      </c>
      <c r="AV363" s="38" t="str">
        <f>IF(ISNA(MATCH($N363,[1]data!$A:$A,0)),"",INDEX([1]data!M:M,MATCH($N363,[1]data!$A:$A,0)))</f>
        <v/>
      </c>
      <c r="AW363" s="38" t="str">
        <f>IF(ISNA(MATCH($N363,data!$A:$A,0)),"",INDEX(data!J:J,MATCH($N363,data!$A:$A,0)))</f>
        <v/>
      </c>
      <c r="AX363" s="38" t="str">
        <f>IF(ISNA(MATCH($N363,data!$A:$A,0)),"",INDEX(data!K:K,MATCH($N363,data!$A:$A,0)))</f>
        <v/>
      </c>
      <c r="AY363" s="38" t="str">
        <f>IF(ISNA(MATCH($N363,data!$A:$A,0)),"",INDEX(data!O:O,MATCH($N363,data!$A:$A,0)))</f>
        <v/>
      </c>
      <c r="AZ363" s="38" t="str">
        <f>IF(ISNA(MATCH($N363,data!$A:$A,0)),"",INDEX(data!N:N,MATCH($N363,data!$A:$A,0)))</f>
        <v/>
      </c>
      <c r="BA363" s="38" t="str">
        <f>IF(ISNA(MATCH($N363,data!$A:$A,0)),"",INDEX(data!P:P,MATCH($N363,data!$A:$A,0)))</f>
        <v/>
      </c>
      <c r="BB363" s="38" t="str">
        <f>IF(ISNA(MATCH($N363,data!$A:$A,0)),"",INDEX(data!Q:Q,MATCH($N363,data!$A:$A,0)))</f>
        <v/>
      </c>
      <c r="BC363" s="38" t="str">
        <f>IF(ISNA(MATCH($N363,data!$A:$A,0)),"",INDEX(data!R:R,MATCH($N363,data!$A:$A,0)))</f>
        <v/>
      </c>
      <c r="BD363" s="38" t="str">
        <f>IF(ISNA(MATCH($N363,[1]data!$A:$A,0)),"",INDEX([1]data!U:U,MATCH($N363,[1]data!$A:$A,0)))</f>
        <v/>
      </c>
      <c r="BE363" s="61" t="e">
        <f>IF(COUNTIF([1]data!A:A,[1]!Table1[[#This Row],[UPC]])&lt;2,"","DUP")</f>
        <v>#VALUE!</v>
      </c>
      <c r="BF363" s="38" t="str">
        <f>IF(ISNA(MATCH($N363,data!$A:$A,0)),"",INDEX(data!W:W,MATCH($N363,data!$A:$A,0)))</f>
        <v/>
      </c>
    </row>
    <row r="364" spans="1:58" ht="12.75" customHeight="1">
      <c r="A364" s="35"/>
      <c r="B364" s="35"/>
      <c r="C364" s="35"/>
      <c r="D364" s="35"/>
      <c r="E364" s="67"/>
      <c r="F364" s="67"/>
      <c r="G364" s="36"/>
      <c r="H364" s="29"/>
      <c r="I364" s="78" t="str">
        <f t="shared" si="6"/>
        <v/>
      </c>
      <c r="J364" s="29"/>
      <c r="K364" s="29"/>
      <c r="L364" s="33"/>
      <c r="M364" s="33"/>
      <c r="N364" s="60"/>
      <c r="O364" s="71"/>
      <c r="P364" s="71"/>
      <c r="Q364" s="33"/>
      <c r="R364" s="31"/>
      <c r="S364" s="31"/>
      <c r="T364" s="59"/>
      <c r="U364" s="59"/>
      <c r="V364" s="59"/>
      <c r="W364" s="57">
        <f t="shared" si="7"/>
        <v>0</v>
      </c>
      <c r="X364" s="126" t="str">
        <f>IF(Table1[[#This Row],[Shipping Weight Pounds]]&gt;150,"See LTL Form","No")</f>
        <v>No</v>
      </c>
      <c r="Y364" s="28"/>
      <c r="Z364" s="33"/>
      <c r="AA364" s="34"/>
      <c r="AB364" s="30"/>
      <c r="AC364" s="30"/>
      <c r="AD364" s="32"/>
      <c r="AE364" s="32"/>
      <c r="AF364" s="2"/>
      <c r="AG364" s="2"/>
      <c r="AH364" s="2"/>
      <c r="AI364" s="2"/>
      <c r="AK364" s="73" t="str">
        <f>IF(ISNA(MATCH($N364,[1]data!$A:$A,0)),"",INDEX([1]data!S:S,MATCH($N364,[1]data!$A:$A,0)))</f>
        <v/>
      </c>
      <c r="AL364" s="73" t="str">
        <f>IF(ISNA(MATCH($N364,[1]data!$A:$A,0)),"",INDEX([1]data!V:V,MATCH($N364,[1]data!$A:$A,0)))</f>
        <v/>
      </c>
      <c r="AM364" s="38" t="str">
        <f>IF(ISNA(MATCH($N364,data!$A:$A,0)),"",INDEX(data!B:B,MATCH($N364,data!$A:$A,0)))</f>
        <v/>
      </c>
      <c r="AN364" s="38" t="str">
        <f>IF(ISNA(MATCH($N364,data!$A:$A,0)),"",INDEX(data!C:C,MATCH($N364,data!$A:$A,0)))</f>
        <v/>
      </c>
      <c r="AO364" s="38" t="str">
        <f>IF(ISNA(MATCH($N364,data!$A:$A,0)),"",INDEX(data!D:D,MATCH($N364,data!$A:$A,0)))</f>
        <v/>
      </c>
      <c r="AP364" s="38" t="str">
        <f>IF(ISNA(MATCH($N364,data!$A:$A,0)),"",INDEX(data!E:E,MATCH($N364,data!$A:$A,0)))</f>
        <v/>
      </c>
      <c r="AQ364" s="38" t="str">
        <f>IF(ISNA(MATCH($N364,data!$A:$A,0)),"",INDEX(data!F:F,MATCH($N364,data!$A:$A,0)))</f>
        <v/>
      </c>
      <c r="AR364" s="38" t="str">
        <f>IF(ISNA(MATCH($N364,data!$A:$A,0)),"",INDEX(data!G:G,MATCH($N364,data!$A:$A,0)))</f>
        <v/>
      </c>
      <c r="AS364" s="38" t="str">
        <f>IF(ISNA(MATCH($N364,data!$A:$A,0)),"",INDEX(data!H:H,MATCH($N364,data!$A:$A,0)))</f>
        <v/>
      </c>
      <c r="AT364" s="38" t="str">
        <f>IF(ISNA(MATCH($N364,data!$A:$A,0)),"",INDEX(data!I:I,MATCH($N364,data!$A:$A,0)))</f>
        <v/>
      </c>
      <c r="AU364" s="38" t="str">
        <f>IF(ISNA(MATCH($N364,[1]data!$A:$A,0)),"",INDEX([1]data!L:L,MATCH($N364,[1]data!$A:$A,0)))</f>
        <v/>
      </c>
      <c r="AV364" s="38" t="str">
        <f>IF(ISNA(MATCH($N364,[1]data!$A:$A,0)),"",INDEX([1]data!M:M,MATCH($N364,[1]data!$A:$A,0)))</f>
        <v/>
      </c>
      <c r="AW364" s="38" t="str">
        <f>IF(ISNA(MATCH($N364,data!$A:$A,0)),"",INDEX(data!J:J,MATCH($N364,data!$A:$A,0)))</f>
        <v/>
      </c>
      <c r="AX364" s="38" t="str">
        <f>IF(ISNA(MATCH($N364,data!$A:$A,0)),"",INDEX(data!K:K,MATCH($N364,data!$A:$A,0)))</f>
        <v/>
      </c>
      <c r="AY364" s="38" t="str">
        <f>IF(ISNA(MATCH($N364,data!$A:$A,0)),"",INDEX(data!O:O,MATCH($N364,data!$A:$A,0)))</f>
        <v/>
      </c>
      <c r="AZ364" s="38" t="str">
        <f>IF(ISNA(MATCH($N364,data!$A:$A,0)),"",INDEX(data!N:N,MATCH($N364,data!$A:$A,0)))</f>
        <v/>
      </c>
      <c r="BA364" s="38" t="str">
        <f>IF(ISNA(MATCH($N364,data!$A:$A,0)),"",INDEX(data!P:P,MATCH($N364,data!$A:$A,0)))</f>
        <v/>
      </c>
      <c r="BB364" s="38" t="str">
        <f>IF(ISNA(MATCH($N364,data!$A:$A,0)),"",INDEX(data!Q:Q,MATCH($N364,data!$A:$A,0)))</f>
        <v/>
      </c>
      <c r="BC364" s="38" t="str">
        <f>IF(ISNA(MATCH($N364,data!$A:$A,0)),"",INDEX(data!R:R,MATCH($N364,data!$A:$A,0)))</f>
        <v/>
      </c>
      <c r="BD364" s="38" t="str">
        <f>IF(ISNA(MATCH($N364,[1]data!$A:$A,0)),"",INDEX([1]data!U:U,MATCH($N364,[1]data!$A:$A,0)))</f>
        <v/>
      </c>
      <c r="BE364" s="61" t="e">
        <f>IF(COUNTIF([1]data!A:A,[1]!Table1[[#This Row],[UPC]])&lt;2,"","DUP")</f>
        <v>#VALUE!</v>
      </c>
      <c r="BF364" s="38" t="str">
        <f>IF(ISNA(MATCH($N364,data!$A:$A,0)),"",INDEX(data!W:W,MATCH($N364,data!$A:$A,0)))</f>
        <v/>
      </c>
    </row>
    <row r="365" spans="1:58" ht="12.75" customHeight="1">
      <c r="A365" s="35"/>
      <c r="B365" s="35"/>
      <c r="C365" s="35"/>
      <c r="D365" s="35"/>
      <c r="E365" s="67"/>
      <c r="F365" s="67"/>
      <c r="G365" s="36"/>
      <c r="H365" s="29"/>
      <c r="I365" s="78" t="str">
        <f t="shared" si="6"/>
        <v/>
      </c>
      <c r="J365" s="29"/>
      <c r="K365" s="29"/>
      <c r="L365" s="33"/>
      <c r="M365" s="33"/>
      <c r="N365" s="60"/>
      <c r="O365" s="71"/>
      <c r="P365" s="71"/>
      <c r="Q365" s="33"/>
      <c r="R365" s="31"/>
      <c r="S365" s="31"/>
      <c r="T365" s="59"/>
      <c r="U365" s="59"/>
      <c r="V365" s="59"/>
      <c r="W365" s="57">
        <f t="shared" si="7"/>
        <v>0</v>
      </c>
      <c r="X365" s="126" t="str">
        <f>IF(Table1[[#This Row],[Shipping Weight Pounds]]&gt;150,"See LTL Form","No")</f>
        <v>No</v>
      </c>
      <c r="Y365" s="28"/>
      <c r="Z365" s="33"/>
      <c r="AA365" s="34"/>
      <c r="AB365" s="30"/>
      <c r="AC365" s="30"/>
      <c r="AD365" s="32"/>
      <c r="AE365" s="32"/>
      <c r="AF365" s="2"/>
      <c r="AG365" s="2"/>
      <c r="AH365" s="2"/>
      <c r="AI365" s="2"/>
      <c r="AK365" s="73" t="str">
        <f>IF(ISNA(MATCH($N365,[1]data!$A:$A,0)),"",INDEX([1]data!S:S,MATCH($N365,[1]data!$A:$A,0)))</f>
        <v/>
      </c>
      <c r="AL365" s="73" t="str">
        <f>IF(ISNA(MATCH($N365,[1]data!$A:$A,0)),"",INDEX([1]data!V:V,MATCH($N365,[1]data!$A:$A,0)))</f>
        <v/>
      </c>
      <c r="AM365" s="38" t="str">
        <f>IF(ISNA(MATCH($N365,data!$A:$A,0)),"",INDEX(data!B:B,MATCH($N365,data!$A:$A,0)))</f>
        <v/>
      </c>
      <c r="AN365" s="38" t="str">
        <f>IF(ISNA(MATCH($N365,data!$A:$A,0)),"",INDEX(data!C:C,MATCH($N365,data!$A:$A,0)))</f>
        <v/>
      </c>
      <c r="AO365" s="38" t="str">
        <f>IF(ISNA(MATCH($N365,data!$A:$A,0)),"",INDEX(data!D:D,MATCH($N365,data!$A:$A,0)))</f>
        <v/>
      </c>
      <c r="AP365" s="38" t="str">
        <f>IF(ISNA(MATCH($N365,data!$A:$A,0)),"",INDEX(data!E:E,MATCH($N365,data!$A:$A,0)))</f>
        <v/>
      </c>
      <c r="AQ365" s="38" t="str">
        <f>IF(ISNA(MATCH($N365,data!$A:$A,0)),"",INDEX(data!F:F,MATCH($N365,data!$A:$A,0)))</f>
        <v/>
      </c>
      <c r="AR365" s="38" t="str">
        <f>IF(ISNA(MATCH($N365,data!$A:$A,0)),"",INDEX(data!G:G,MATCH($N365,data!$A:$A,0)))</f>
        <v/>
      </c>
      <c r="AS365" s="38" t="str">
        <f>IF(ISNA(MATCH($N365,data!$A:$A,0)),"",INDEX(data!H:H,MATCH($N365,data!$A:$A,0)))</f>
        <v/>
      </c>
      <c r="AT365" s="38" t="str">
        <f>IF(ISNA(MATCH($N365,data!$A:$A,0)),"",INDEX(data!I:I,MATCH($N365,data!$A:$A,0)))</f>
        <v/>
      </c>
      <c r="AU365" s="38" t="str">
        <f>IF(ISNA(MATCH($N365,[1]data!$A:$A,0)),"",INDEX([1]data!L:L,MATCH($N365,[1]data!$A:$A,0)))</f>
        <v/>
      </c>
      <c r="AV365" s="38" t="str">
        <f>IF(ISNA(MATCH($N365,[1]data!$A:$A,0)),"",INDEX([1]data!M:M,MATCH($N365,[1]data!$A:$A,0)))</f>
        <v/>
      </c>
      <c r="AW365" s="38" t="str">
        <f>IF(ISNA(MATCH($N365,data!$A:$A,0)),"",INDEX(data!J:J,MATCH($N365,data!$A:$A,0)))</f>
        <v/>
      </c>
      <c r="AX365" s="38" t="str">
        <f>IF(ISNA(MATCH($N365,data!$A:$A,0)),"",INDEX(data!K:K,MATCH($N365,data!$A:$A,0)))</f>
        <v/>
      </c>
      <c r="AY365" s="38" t="str">
        <f>IF(ISNA(MATCH($N365,data!$A:$A,0)),"",INDEX(data!O:O,MATCH($N365,data!$A:$A,0)))</f>
        <v/>
      </c>
      <c r="AZ365" s="38" t="str">
        <f>IF(ISNA(MATCH($N365,data!$A:$A,0)),"",INDEX(data!N:N,MATCH($N365,data!$A:$A,0)))</f>
        <v/>
      </c>
      <c r="BA365" s="38" t="str">
        <f>IF(ISNA(MATCH($N365,data!$A:$A,0)),"",INDEX(data!P:P,MATCH($N365,data!$A:$A,0)))</f>
        <v/>
      </c>
      <c r="BB365" s="38" t="str">
        <f>IF(ISNA(MATCH($N365,data!$A:$A,0)),"",INDEX(data!Q:Q,MATCH($N365,data!$A:$A,0)))</f>
        <v/>
      </c>
      <c r="BC365" s="38" t="str">
        <f>IF(ISNA(MATCH($N365,data!$A:$A,0)),"",INDEX(data!R:R,MATCH($N365,data!$A:$A,0)))</f>
        <v/>
      </c>
      <c r="BD365" s="38" t="str">
        <f>IF(ISNA(MATCH($N365,[1]data!$A:$A,0)),"",INDEX([1]data!U:U,MATCH($N365,[1]data!$A:$A,0)))</f>
        <v/>
      </c>
      <c r="BE365" s="61" t="e">
        <f>IF(COUNTIF([1]data!A:A,[1]!Table1[[#This Row],[UPC]])&lt;2,"","DUP")</f>
        <v>#VALUE!</v>
      </c>
      <c r="BF365" s="38" t="str">
        <f>IF(ISNA(MATCH($N365,data!$A:$A,0)),"",INDEX(data!W:W,MATCH($N365,data!$A:$A,0)))</f>
        <v/>
      </c>
    </row>
    <row r="366" spans="1:58" ht="12.75" customHeight="1">
      <c r="A366" s="35"/>
      <c r="B366" s="35"/>
      <c r="C366" s="35"/>
      <c r="D366" s="35"/>
      <c r="E366" s="67"/>
      <c r="F366" s="67"/>
      <c r="G366" s="36"/>
      <c r="H366" s="29"/>
      <c r="I366" s="78" t="str">
        <f t="shared" si="6"/>
        <v/>
      </c>
      <c r="J366" s="29"/>
      <c r="K366" s="29"/>
      <c r="L366" s="33"/>
      <c r="M366" s="33"/>
      <c r="N366" s="60"/>
      <c r="O366" s="71"/>
      <c r="P366" s="71"/>
      <c r="Q366" s="33"/>
      <c r="R366" s="31"/>
      <c r="S366" s="31"/>
      <c r="T366" s="59"/>
      <c r="U366" s="59"/>
      <c r="V366" s="59"/>
      <c r="W366" s="57">
        <f t="shared" si="7"/>
        <v>0</v>
      </c>
      <c r="X366" s="126" t="str">
        <f>IF(Table1[[#This Row],[Shipping Weight Pounds]]&gt;150,"See LTL Form","No")</f>
        <v>No</v>
      </c>
      <c r="Y366" s="28"/>
      <c r="Z366" s="33"/>
      <c r="AA366" s="34"/>
      <c r="AB366" s="30"/>
      <c r="AC366" s="30"/>
      <c r="AD366" s="32"/>
      <c r="AE366" s="32"/>
      <c r="AF366" s="2"/>
      <c r="AG366" s="2"/>
      <c r="AH366" s="2"/>
      <c r="AI366" s="2"/>
      <c r="AK366" s="73" t="str">
        <f>IF(ISNA(MATCH($N366,[1]data!$A:$A,0)),"",INDEX([1]data!S:S,MATCH($N366,[1]data!$A:$A,0)))</f>
        <v/>
      </c>
      <c r="AL366" s="73" t="str">
        <f>IF(ISNA(MATCH($N366,[1]data!$A:$A,0)),"",INDEX([1]data!V:V,MATCH($N366,[1]data!$A:$A,0)))</f>
        <v/>
      </c>
      <c r="AM366" s="38" t="str">
        <f>IF(ISNA(MATCH($N366,data!$A:$A,0)),"",INDEX(data!B:B,MATCH($N366,data!$A:$A,0)))</f>
        <v/>
      </c>
      <c r="AN366" s="38" t="str">
        <f>IF(ISNA(MATCH($N366,data!$A:$A,0)),"",INDEX(data!C:C,MATCH($N366,data!$A:$A,0)))</f>
        <v/>
      </c>
      <c r="AO366" s="38" t="str">
        <f>IF(ISNA(MATCH($N366,data!$A:$A,0)),"",INDEX(data!D:D,MATCH($N366,data!$A:$A,0)))</f>
        <v/>
      </c>
      <c r="AP366" s="38" t="str">
        <f>IF(ISNA(MATCH($N366,data!$A:$A,0)),"",INDEX(data!E:E,MATCH($N366,data!$A:$A,0)))</f>
        <v/>
      </c>
      <c r="AQ366" s="38" t="str">
        <f>IF(ISNA(MATCH($N366,data!$A:$A,0)),"",INDEX(data!F:F,MATCH($N366,data!$A:$A,0)))</f>
        <v/>
      </c>
      <c r="AR366" s="38" t="str">
        <f>IF(ISNA(MATCH($N366,data!$A:$A,0)),"",INDEX(data!G:G,MATCH($N366,data!$A:$A,0)))</f>
        <v/>
      </c>
      <c r="AS366" s="38" t="str">
        <f>IF(ISNA(MATCH($N366,data!$A:$A,0)),"",INDEX(data!H:H,MATCH($N366,data!$A:$A,0)))</f>
        <v/>
      </c>
      <c r="AT366" s="38" t="str">
        <f>IF(ISNA(MATCH($N366,data!$A:$A,0)),"",INDEX(data!I:I,MATCH($N366,data!$A:$A,0)))</f>
        <v/>
      </c>
      <c r="AU366" s="38" t="str">
        <f>IF(ISNA(MATCH($N366,[1]data!$A:$A,0)),"",INDEX([1]data!L:L,MATCH($N366,[1]data!$A:$A,0)))</f>
        <v/>
      </c>
      <c r="AV366" s="38" t="str">
        <f>IF(ISNA(MATCH($N366,[1]data!$A:$A,0)),"",INDEX([1]data!M:M,MATCH($N366,[1]data!$A:$A,0)))</f>
        <v/>
      </c>
      <c r="AW366" s="38" t="str">
        <f>IF(ISNA(MATCH($N366,data!$A:$A,0)),"",INDEX(data!J:J,MATCH($N366,data!$A:$A,0)))</f>
        <v/>
      </c>
      <c r="AX366" s="38" t="str">
        <f>IF(ISNA(MATCH($N366,data!$A:$A,0)),"",INDEX(data!K:K,MATCH($N366,data!$A:$A,0)))</f>
        <v/>
      </c>
      <c r="AY366" s="38" t="str">
        <f>IF(ISNA(MATCH($N366,data!$A:$A,0)),"",INDEX(data!O:O,MATCH($N366,data!$A:$A,0)))</f>
        <v/>
      </c>
      <c r="AZ366" s="38" t="str">
        <f>IF(ISNA(MATCH($N366,data!$A:$A,0)),"",INDEX(data!N:N,MATCH($N366,data!$A:$A,0)))</f>
        <v/>
      </c>
      <c r="BA366" s="38" t="str">
        <f>IF(ISNA(MATCH($N366,data!$A:$A,0)),"",INDEX(data!P:P,MATCH($N366,data!$A:$A,0)))</f>
        <v/>
      </c>
      <c r="BB366" s="38" t="str">
        <f>IF(ISNA(MATCH($N366,data!$A:$A,0)),"",INDEX(data!Q:Q,MATCH($N366,data!$A:$A,0)))</f>
        <v/>
      </c>
      <c r="BC366" s="38" t="str">
        <f>IF(ISNA(MATCH($N366,data!$A:$A,0)),"",INDEX(data!R:R,MATCH($N366,data!$A:$A,0)))</f>
        <v/>
      </c>
      <c r="BD366" s="38" t="str">
        <f>IF(ISNA(MATCH($N366,[1]data!$A:$A,0)),"",INDEX([1]data!U:U,MATCH($N366,[1]data!$A:$A,0)))</f>
        <v/>
      </c>
      <c r="BE366" s="61" t="e">
        <f>IF(COUNTIF([1]data!A:A,[1]!Table1[[#This Row],[UPC]])&lt;2,"","DUP")</f>
        <v>#VALUE!</v>
      </c>
      <c r="BF366" s="38" t="str">
        <f>IF(ISNA(MATCH($N366,data!$A:$A,0)),"",INDEX(data!W:W,MATCH($N366,data!$A:$A,0)))</f>
        <v/>
      </c>
    </row>
    <row r="367" spans="1:58" ht="12.75" customHeight="1">
      <c r="A367" s="35"/>
      <c r="B367" s="35"/>
      <c r="C367" s="35"/>
      <c r="D367" s="35"/>
      <c r="E367" s="67"/>
      <c r="F367" s="67"/>
      <c r="G367" s="36"/>
      <c r="H367" s="29"/>
      <c r="I367" s="78" t="str">
        <f t="shared" si="6"/>
        <v/>
      </c>
      <c r="J367" s="29"/>
      <c r="K367" s="29"/>
      <c r="L367" s="33"/>
      <c r="M367" s="33"/>
      <c r="N367" s="60"/>
      <c r="O367" s="71"/>
      <c r="P367" s="71"/>
      <c r="Q367" s="33"/>
      <c r="R367" s="31"/>
      <c r="S367" s="31"/>
      <c r="T367" s="59"/>
      <c r="U367" s="59"/>
      <c r="V367" s="59"/>
      <c r="W367" s="57">
        <f t="shared" si="7"/>
        <v>0</v>
      </c>
      <c r="X367" s="126" t="str">
        <f>IF(Table1[[#This Row],[Shipping Weight Pounds]]&gt;150,"See LTL Form","No")</f>
        <v>No</v>
      </c>
      <c r="Y367" s="28"/>
      <c r="Z367" s="33"/>
      <c r="AA367" s="34"/>
      <c r="AB367" s="30"/>
      <c r="AC367" s="30"/>
      <c r="AD367" s="32"/>
      <c r="AE367" s="32"/>
      <c r="AF367" s="2"/>
      <c r="AG367" s="2"/>
      <c r="AH367" s="2"/>
      <c r="AI367" s="2"/>
      <c r="AK367" s="73" t="str">
        <f>IF(ISNA(MATCH($N367,[1]data!$A:$A,0)),"",INDEX([1]data!S:S,MATCH($N367,[1]data!$A:$A,0)))</f>
        <v/>
      </c>
      <c r="AL367" s="73" t="str">
        <f>IF(ISNA(MATCH($N367,[1]data!$A:$A,0)),"",INDEX([1]data!V:V,MATCH($N367,[1]data!$A:$A,0)))</f>
        <v/>
      </c>
      <c r="AM367" s="38" t="str">
        <f>IF(ISNA(MATCH($N367,data!$A:$A,0)),"",INDEX(data!B:B,MATCH($N367,data!$A:$A,0)))</f>
        <v/>
      </c>
      <c r="AN367" s="38" t="str">
        <f>IF(ISNA(MATCH($N367,data!$A:$A,0)),"",INDEX(data!C:C,MATCH($N367,data!$A:$A,0)))</f>
        <v/>
      </c>
      <c r="AO367" s="38" t="str">
        <f>IF(ISNA(MATCH($N367,data!$A:$A,0)),"",INDEX(data!D:D,MATCH($N367,data!$A:$A,0)))</f>
        <v/>
      </c>
      <c r="AP367" s="38" t="str">
        <f>IF(ISNA(MATCH($N367,data!$A:$A,0)),"",INDEX(data!E:E,MATCH($N367,data!$A:$A,0)))</f>
        <v/>
      </c>
      <c r="AQ367" s="38" t="str">
        <f>IF(ISNA(MATCH($N367,data!$A:$A,0)),"",INDEX(data!F:F,MATCH($N367,data!$A:$A,0)))</f>
        <v/>
      </c>
      <c r="AR367" s="38" t="str">
        <f>IF(ISNA(MATCH($N367,data!$A:$A,0)),"",INDEX(data!G:G,MATCH($N367,data!$A:$A,0)))</f>
        <v/>
      </c>
      <c r="AS367" s="38" t="str">
        <f>IF(ISNA(MATCH($N367,data!$A:$A,0)),"",INDEX(data!H:H,MATCH($N367,data!$A:$A,0)))</f>
        <v/>
      </c>
      <c r="AT367" s="38" t="str">
        <f>IF(ISNA(MATCH($N367,data!$A:$A,0)),"",INDEX(data!I:I,MATCH($N367,data!$A:$A,0)))</f>
        <v/>
      </c>
      <c r="AU367" s="38" t="str">
        <f>IF(ISNA(MATCH($N367,[1]data!$A:$A,0)),"",INDEX([1]data!L:L,MATCH($N367,[1]data!$A:$A,0)))</f>
        <v/>
      </c>
      <c r="AV367" s="38" t="str">
        <f>IF(ISNA(MATCH($N367,[1]data!$A:$A,0)),"",INDEX([1]data!M:M,MATCH($N367,[1]data!$A:$A,0)))</f>
        <v/>
      </c>
      <c r="AW367" s="38" t="str">
        <f>IF(ISNA(MATCH($N367,data!$A:$A,0)),"",INDEX(data!J:J,MATCH($N367,data!$A:$A,0)))</f>
        <v/>
      </c>
      <c r="AX367" s="38" t="str">
        <f>IF(ISNA(MATCH($N367,data!$A:$A,0)),"",INDEX(data!K:K,MATCH($N367,data!$A:$A,0)))</f>
        <v/>
      </c>
      <c r="AY367" s="38" t="str">
        <f>IF(ISNA(MATCH($N367,data!$A:$A,0)),"",INDEX(data!O:O,MATCH($N367,data!$A:$A,0)))</f>
        <v/>
      </c>
      <c r="AZ367" s="38" t="str">
        <f>IF(ISNA(MATCH($N367,data!$A:$A,0)),"",INDEX(data!N:N,MATCH($N367,data!$A:$A,0)))</f>
        <v/>
      </c>
      <c r="BA367" s="38" t="str">
        <f>IF(ISNA(MATCH($N367,data!$A:$A,0)),"",INDEX(data!P:P,MATCH($N367,data!$A:$A,0)))</f>
        <v/>
      </c>
      <c r="BB367" s="38" t="str">
        <f>IF(ISNA(MATCH($N367,data!$A:$A,0)),"",INDEX(data!Q:Q,MATCH($N367,data!$A:$A,0)))</f>
        <v/>
      </c>
      <c r="BC367" s="38" t="str">
        <f>IF(ISNA(MATCH($N367,data!$A:$A,0)),"",INDEX(data!R:R,MATCH($N367,data!$A:$A,0)))</f>
        <v/>
      </c>
      <c r="BD367" s="38" t="str">
        <f>IF(ISNA(MATCH($N367,[1]data!$A:$A,0)),"",INDEX([1]data!U:U,MATCH($N367,[1]data!$A:$A,0)))</f>
        <v/>
      </c>
      <c r="BE367" s="61" t="e">
        <f>IF(COUNTIF([1]data!A:A,[1]!Table1[[#This Row],[UPC]])&lt;2,"","DUP")</f>
        <v>#VALUE!</v>
      </c>
      <c r="BF367" s="38" t="str">
        <f>IF(ISNA(MATCH($N367,data!$A:$A,0)),"",INDEX(data!W:W,MATCH($N367,data!$A:$A,0)))</f>
        <v/>
      </c>
    </row>
    <row r="368" spans="1:58" ht="12.75" customHeight="1">
      <c r="A368" s="35"/>
      <c r="B368" s="35"/>
      <c r="C368" s="35"/>
      <c r="D368" s="35"/>
      <c r="E368" s="67"/>
      <c r="F368" s="67"/>
      <c r="G368" s="36"/>
      <c r="H368" s="29"/>
      <c r="I368" s="78" t="str">
        <f t="shared" si="6"/>
        <v/>
      </c>
      <c r="J368" s="29"/>
      <c r="K368" s="29"/>
      <c r="L368" s="33"/>
      <c r="M368" s="33"/>
      <c r="N368" s="60"/>
      <c r="O368" s="71"/>
      <c r="P368" s="71"/>
      <c r="Q368" s="33"/>
      <c r="R368" s="31"/>
      <c r="S368" s="31"/>
      <c r="T368" s="59"/>
      <c r="U368" s="59"/>
      <c r="V368" s="59"/>
      <c r="W368" s="57">
        <f t="shared" si="7"/>
        <v>0</v>
      </c>
      <c r="X368" s="126" t="str">
        <f>IF(Table1[[#This Row],[Shipping Weight Pounds]]&gt;150,"See LTL Form","No")</f>
        <v>No</v>
      </c>
      <c r="Y368" s="28"/>
      <c r="Z368" s="33"/>
      <c r="AA368" s="34"/>
      <c r="AB368" s="30"/>
      <c r="AC368" s="30"/>
      <c r="AD368" s="32"/>
      <c r="AE368" s="32"/>
      <c r="AF368" s="2"/>
      <c r="AG368" s="2"/>
      <c r="AH368" s="2"/>
      <c r="AI368" s="2"/>
      <c r="AK368" s="73" t="str">
        <f>IF(ISNA(MATCH($N368,[1]data!$A:$A,0)),"",INDEX([1]data!S:S,MATCH($N368,[1]data!$A:$A,0)))</f>
        <v/>
      </c>
      <c r="AL368" s="73" t="str">
        <f>IF(ISNA(MATCH($N368,[1]data!$A:$A,0)),"",INDEX([1]data!V:V,MATCH($N368,[1]data!$A:$A,0)))</f>
        <v/>
      </c>
      <c r="AM368" s="38" t="str">
        <f>IF(ISNA(MATCH($N368,data!$A:$A,0)),"",INDEX(data!B:B,MATCH($N368,data!$A:$A,0)))</f>
        <v/>
      </c>
      <c r="AN368" s="38" t="str">
        <f>IF(ISNA(MATCH($N368,data!$A:$A,0)),"",INDEX(data!C:C,MATCH($N368,data!$A:$A,0)))</f>
        <v/>
      </c>
      <c r="AO368" s="38" t="str">
        <f>IF(ISNA(MATCH($N368,data!$A:$A,0)),"",INDEX(data!D:D,MATCH($N368,data!$A:$A,0)))</f>
        <v/>
      </c>
      <c r="AP368" s="38" t="str">
        <f>IF(ISNA(MATCH($N368,data!$A:$A,0)),"",INDEX(data!E:E,MATCH($N368,data!$A:$A,0)))</f>
        <v/>
      </c>
      <c r="AQ368" s="38" t="str">
        <f>IF(ISNA(MATCH($N368,data!$A:$A,0)),"",INDEX(data!F:F,MATCH($N368,data!$A:$A,0)))</f>
        <v/>
      </c>
      <c r="AR368" s="38" t="str">
        <f>IF(ISNA(MATCH($N368,data!$A:$A,0)),"",INDEX(data!G:G,MATCH($N368,data!$A:$A,0)))</f>
        <v/>
      </c>
      <c r="AS368" s="38" t="str">
        <f>IF(ISNA(MATCH($N368,data!$A:$A,0)),"",INDEX(data!H:H,MATCH($N368,data!$A:$A,0)))</f>
        <v/>
      </c>
      <c r="AT368" s="38" t="str">
        <f>IF(ISNA(MATCH($N368,data!$A:$A,0)),"",INDEX(data!I:I,MATCH($N368,data!$A:$A,0)))</f>
        <v/>
      </c>
      <c r="AU368" s="38" t="str">
        <f>IF(ISNA(MATCH($N368,[1]data!$A:$A,0)),"",INDEX([1]data!L:L,MATCH($N368,[1]data!$A:$A,0)))</f>
        <v/>
      </c>
      <c r="AV368" s="38" t="str">
        <f>IF(ISNA(MATCH($N368,[1]data!$A:$A,0)),"",INDEX([1]data!M:M,MATCH($N368,[1]data!$A:$A,0)))</f>
        <v/>
      </c>
      <c r="AW368" s="38" t="str">
        <f>IF(ISNA(MATCH($N368,data!$A:$A,0)),"",INDEX(data!J:J,MATCH($N368,data!$A:$A,0)))</f>
        <v/>
      </c>
      <c r="AX368" s="38" t="str">
        <f>IF(ISNA(MATCH($N368,data!$A:$A,0)),"",INDEX(data!K:K,MATCH($N368,data!$A:$A,0)))</f>
        <v/>
      </c>
      <c r="AY368" s="38" t="str">
        <f>IF(ISNA(MATCH($N368,data!$A:$A,0)),"",INDEX(data!O:O,MATCH($N368,data!$A:$A,0)))</f>
        <v/>
      </c>
      <c r="AZ368" s="38" t="str">
        <f>IF(ISNA(MATCH($N368,data!$A:$A,0)),"",INDEX(data!N:N,MATCH($N368,data!$A:$A,0)))</f>
        <v/>
      </c>
      <c r="BA368" s="38" t="str">
        <f>IF(ISNA(MATCH($N368,data!$A:$A,0)),"",INDEX(data!P:P,MATCH($N368,data!$A:$A,0)))</f>
        <v/>
      </c>
      <c r="BB368" s="38" t="str">
        <f>IF(ISNA(MATCH($N368,data!$A:$A,0)),"",INDEX(data!Q:Q,MATCH($N368,data!$A:$A,0)))</f>
        <v/>
      </c>
      <c r="BC368" s="38" t="str">
        <f>IF(ISNA(MATCH($N368,data!$A:$A,0)),"",INDEX(data!R:R,MATCH($N368,data!$A:$A,0)))</f>
        <v/>
      </c>
      <c r="BD368" s="38" t="str">
        <f>IF(ISNA(MATCH($N368,[1]data!$A:$A,0)),"",INDEX([1]data!U:U,MATCH($N368,[1]data!$A:$A,0)))</f>
        <v/>
      </c>
      <c r="BE368" s="61" t="e">
        <f>IF(COUNTIF([1]data!A:A,[1]!Table1[[#This Row],[UPC]])&lt;2,"","DUP")</f>
        <v>#VALUE!</v>
      </c>
      <c r="BF368" s="38" t="str">
        <f>IF(ISNA(MATCH($N368,data!$A:$A,0)),"",INDEX(data!W:W,MATCH($N368,data!$A:$A,0)))</f>
        <v/>
      </c>
    </row>
    <row r="369" spans="1:58" ht="12.75" customHeight="1">
      <c r="A369" s="35"/>
      <c r="B369" s="35"/>
      <c r="C369" s="35"/>
      <c r="D369" s="35"/>
      <c r="E369" s="67"/>
      <c r="F369" s="67"/>
      <c r="G369" s="36"/>
      <c r="H369" s="29"/>
      <c r="I369" s="78" t="str">
        <f t="shared" si="6"/>
        <v/>
      </c>
      <c r="J369" s="29"/>
      <c r="K369" s="29"/>
      <c r="L369" s="33"/>
      <c r="M369" s="33"/>
      <c r="N369" s="60"/>
      <c r="O369" s="71"/>
      <c r="P369" s="71"/>
      <c r="Q369" s="33"/>
      <c r="R369" s="31"/>
      <c r="S369" s="31"/>
      <c r="T369" s="59"/>
      <c r="U369" s="59"/>
      <c r="V369" s="59"/>
      <c r="W369" s="57">
        <f t="shared" si="7"/>
        <v>0</v>
      </c>
      <c r="X369" s="126" t="str">
        <f>IF(Table1[[#This Row],[Shipping Weight Pounds]]&gt;150,"See LTL Form","No")</f>
        <v>No</v>
      </c>
      <c r="Y369" s="28"/>
      <c r="Z369" s="33"/>
      <c r="AA369" s="34"/>
      <c r="AB369" s="30"/>
      <c r="AC369" s="30"/>
      <c r="AD369" s="32"/>
      <c r="AE369" s="32"/>
      <c r="AF369" s="2"/>
      <c r="AG369" s="2"/>
      <c r="AH369" s="2"/>
      <c r="AI369" s="2"/>
      <c r="AK369" s="73" t="str">
        <f>IF(ISNA(MATCH($N369,[1]data!$A:$A,0)),"",INDEX([1]data!S:S,MATCH($N369,[1]data!$A:$A,0)))</f>
        <v/>
      </c>
      <c r="AL369" s="73" t="str">
        <f>IF(ISNA(MATCH($N369,[1]data!$A:$A,0)),"",INDEX([1]data!V:V,MATCH($N369,[1]data!$A:$A,0)))</f>
        <v/>
      </c>
      <c r="AM369" s="38" t="str">
        <f>IF(ISNA(MATCH($N369,data!$A:$A,0)),"",INDEX(data!B:B,MATCH($N369,data!$A:$A,0)))</f>
        <v/>
      </c>
      <c r="AN369" s="38" t="str">
        <f>IF(ISNA(MATCH($N369,data!$A:$A,0)),"",INDEX(data!C:C,MATCH($N369,data!$A:$A,0)))</f>
        <v/>
      </c>
      <c r="AO369" s="38" t="str">
        <f>IF(ISNA(MATCH($N369,data!$A:$A,0)),"",INDEX(data!D:D,MATCH($N369,data!$A:$A,0)))</f>
        <v/>
      </c>
      <c r="AP369" s="38" t="str">
        <f>IF(ISNA(MATCH($N369,data!$A:$A,0)),"",INDEX(data!E:E,MATCH($N369,data!$A:$A,0)))</f>
        <v/>
      </c>
      <c r="AQ369" s="38" t="str">
        <f>IF(ISNA(MATCH($N369,data!$A:$A,0)),"",INDEX(data!F:F,MATCH($N369,data!$A:$A,0)))</f>
        <v/>
      </c>
      <c r="AR369" s="38" t="str">
        <f>IF(ISNA(MATCH($N369,data!$A:$A,0)),"",INDEX(data!G:G,MATCH($N369,data!$A:$A,0)))</f>
        <v/>
      </c>
      <c r="AS369" s="38" t="str">
        <f>IF(ISNA(MATCH($N369,data!$A:$A,0)),"",INDEX(data!H:H,MATCH($N369,data!$A:$A,0)))</f>
        <v/>
      </c>
      <c r="AT369" s="38" t="str">
        <f>IF(ISNA(MATCH($N369,data!$A:$A,0)),"",INDEX(data!I:I,MATCH($N369,data!$A:$A,0)))</f>
        <v/>
      </c>
      <c r="AU369" s="38" t="str">
        <f>IF(ISNA(MATCH($N369,[1]data!$A:$A,0)),"",INDEX([1]data!L:L,MATCH($N369,[1]data!$A:$A,0)))</f>
        <v/>
      </c>
      <c r="AV369" s="38" t="str">
        <f>IF(ISNA(MATCH($N369,[1]data!$A:$A,0)),"",INDEX([1]data!M:M,MATCH($N369,[1]data!$A:$A,0)))</f>
        <v/>
      </c>
      <c r="AW369" s="38" t="str">
        <f>IF(ISNA(MATCH($N369,data!$A:$A,0)),"",INDEX(data!J:J,MATCH($N369,data!$A:$A,0)))</f>
        <v/>
      </c>
      <c r="AX369" s="38" t="str">
        <f>IF(ISNA(MATCH($N369,data!$A:$A,0)),"",INDEX(data!K:K,MATCH($N369,data!$A:$A,0)))</f>
        <v/>
      </c>
      <c r="AY369" s="38" t="str">
        <f>IF(ISNA(MATCH($N369,data!$A:$A,0)),"",INDEX(data!O:O,MATCH($N369,data!$A:$A,0)))</f>
        <v/>
      </c>
      <c r="AZ369" s="38" t="str">
        <f>IF(ISNA(MATCH($N369,data!$A:$A,0)),"",INDEX(data!N:N,MATCH($N369,data!$A:$A,0)))</f>
        <v/>
      </c>
      <c r="BA369" s="38" t="str">
        <f>IF(ISNA(MATCH($N369,data!$A:$A,0)),"",INDEX(data!P:P,MATCH($N369,data!$A:$A,0)))</f>
        <v/>
      </c>
      <c r="BB369" s="38" t="str">
        <f>IF(ISNA(MATCH($N369,data!$A:$A,0)),"",INDEX(data!Q:Q,MATCH($N369,data!$A:$A,0)))</f>
        <v/>
      </c>
      <c r="BC369" s="38" t="str">
        <f>IF(ISNA(MATCH($N369,data!$A:$A,0)),"",INDEX(data!R:R,MATCH($N369,data!$A:$A,0)))</f>
        <v/>
      </c>
      <c r="BD369" s="38" t="str">
        <f>IF(ISNA(MATCH($N369,[1]data!$A:$A,0)),"",INDEX([1]data!U:U,MATCH($N369,[1]data!$A:$A,0)))</f>
        <v/>
      </c>
      <c r="BE369" s="61" t="e">
        <f>IF(COUNTIF([1]data!A:A,[1]!Table1[[#This Row],[UPC]])&lt;2,"","DUP")</f>
        <v>#VALUE!</v>
      </c>
      <c r="BF369" s="38" t="str">
        <f>IF(ISNA(MATCH($N369,data!$A:$A,0)),"",INDEX(data!W:W,MATCH($N369,data!$A:$A,0)))</f>
        <v/>
      </c>
    </row>
    <row r="370" spans="1:58" ht="12.75" customHeight="1">
      <c r="A370" s="35"/>
      <c r="B370" s="35"/>
      <c r="C370" s="35"/>
      <c r="D370" s="35"/>
      <c r="E370" s="67"/>
      <c r="F370" s="67"/>
      <c r="G370" s="36"/>
      <c r="H370" s="29"/>
      <c r="I370" s="78" t="str">
        <f t="shared" si="6"/>
        <v/>
      </c>
      <c r="J370" s="29"/>
      <c r="K370" s="29"/>
      <c r="L370" s="33"/>
      <c r="M370" s="33"/>
      <c r="N370" s="60"/>
      <c r="O370" s="71"/>
      <c r="P370" s="71"/>
      <c r="Q370" s="33"/>
      <c r="R370" s="31"/>
      <c r="S370" s="31"/>
      <c r="T370" s="59"/>
      <c r="U370" s="59"/>
      <c r="V370" s="59"/>
      <c r="W370" s="57">
        <f t="shared" si="7"/>
        <v>0</v>
      </c>
      <c r="X370" s="126" t="str">
        <f>IF(Table1[[#This Row],[Shipping Weight Pounds]]&gt;150,"See LTL Form","No")</f>
        <v>No</v>
      </c>
      <c r="Y370" s="28"/>
      <c r="Z370" s="33"/>
      <c r="AA370" s="34"/>
      <c r="AB370" s="30"/>
      <c r="AC370" s="30"/>
      <c r="AD370" s="32"/>
      <c r="AE370" s="32"/>
      <c r="AF370" s="2"/>
      <c r="AG370" s="2"/>
      <c r="AH370" s="2"/>
      <c r="AI370" s="2"/>
      <c r="AK370" s="73" t="str">
        <f>IF(ISNA(MATCH($N370,[1]data!$A:$A,0)),"",INDEX([1]data!S:S,MATCH($N370,[1]data!$A:$A,0)))</f>
        <v/>
      </c>
      <c r="AL370" s="73" t="str">
        <f>IF(ISNA(MATCH($N370,[1]data!$A:$A,0)),"",INDEX([1]data!V:V,MATCH($N370,[1]data!$A:$A,0)))</f>
        <v/>
      </c>
      <c r="AM370" s="38" t="str">
        <f>IF(ISNA(MATCH($N370,data!$A:$A,0)),"",INDEX(data!B:B,MATCH($N370,data!$A:$A,0)))</f>
        <v/>
      </c>
      <c r="AN370" s="38" t="str">
        <f>IF(ISNA(MATCH($N370,data!$A:$A,0)),"",INDEX(data!C:C,MATCH($N370,data!$A:$A,0)))</f>
        <v/>
      </c>
      <c r="AO370" s="38" t="str">
        <f>IF(ISNA(MATCH($N370,data!$A:$A,0)),"",INDEX(data!D:D,MATCH($N370,data!$A:$A,0)))</f>
        <v/>
      </c>
      <c r="AP370" s="38" t="str">
        <f>IF(ISNA(MATCH($N370,data!$A:$A,0)),"",INDEX(data!E:E,MATCH($N370,data!$A:$A,0)))</f>
        <v/>
      </c>
      <c r="AQ370" s="38" t="str">
        <f>IF(ISNA(MATCH($N370,data!$A:$A,0)),"",INDEX(data!F:F,MATCH($N370,data!$A:$A,0)))</f>
        <v/>
      </c>
      <c r="AR370" s="38" t="str">
        <f>IF(ISNA(MATCH($N370,data!$A:$A,0)),"",INDEX(data!G:G,MATCH($N370,data!$A:$A,0)))</f>
        <v/>
      </c>
      <c r="AS370" s="38" t="str">
        <f>IF(ISNA(MATCH($N370,data!$A:$A,0)),"",INDEX(data!H:H,MATCH($N370,data!$A:$A,0)))</f>
        <v/>
      </c>
      <c r="AT370" s="38" t="str">
        <f>IF(ISNA(MATCH($N370,data!$A:$A,0)),"",INDEX(data!I:I,MATCH($N370,data!$A:$A,0)))</f>
        <v/>
      </c>
      <c r="AU370" s="38" t="str">
        <f>IF(ISNA(MATCH($N370,[1]data!$A:$A,0)),"",INDEX([1]data!L:L,MATCH($N370,[1]data!$A:$A,0)))</f>
        <v/>
      </c>
      <c r="AV370" s="38" t="str">
        <f>IF(ISNA(MATCH($N370,[1]data!$A:$A,0)),"",INDEX([1]data!M:M,MATCH($N370,[1]data!$A:$A,0)))</f>
        <v/>
      </c>
      <c r="AW370" s="38" t="str">
        <f>IF(ISNA(MATCH($N370,data!$A:$A,0)),"",INDEX(data!J:J,MATCH($N370,data!$A:$A,0)))</f>
        <v/>
      </c>
      <c r="AX370" s="38" t="str">
        <f>IF(ISNA(MATCH($N370,data!$A:$A,0)),"",INDEX(data!K:K,MATCH($N370,data!$A:$A,0)))</f>
        <v/>
      </c>
      <c r="AY370" s="38" t="str">
        <f>IF(ISNA(MATCH($N370,data!$A:$A,0)),"",INDEX(data!O:O,MATCH($N370,data!$A:$A,0)))</f>
        <v/>
      </c>
      <c r="AZ370" s="38" t="str">
        <f>IF(ISNA(MATCH($N370,data!$A:$A,0)),"",INDEX(data!N:N,MATCH($N370,data!$A:$A,0)))</f>
        <v/>
      </c>
      <c r="BA370" s="38" t="str">
        <f>IF(ISNA(MATCH($N370,data!$A:$A,0)),"",INDEX(data!P:P,MATCH($N370,data!$A:$A,0)))</f>
        <v/>
      </c>
      <c r="BB370" s="38" t="str">
        <f>IF(ISNA(MATCH($N370,data!$A:$A,0)),"",INDEX(data!Q:Q,MATCH($N370,data!$A:$A,0)))</f>
        <v/>
      </c>
      <c r="BC370" s="38" t="str">
        <f>IF(ISNA(MATCH($N370,data!$A:$A,0)),"",INDEX(data!R:R,MATCH($N370,data!$A:$A,0)))</f>
        <v/>
      </c>
      <c r="BD370" s="38" t="str">
        <f>IF(ISNA(MATCH($N370,[1]data!$A:$A,0)),"",INDEX([1]data!U:U,MATCH($N370,[1]data!$A:$A,0)))</f>
        <v/>
      </c>
      <c r="BE370" s="61" t="e">
        <f>IF(COUNTIF([1]data!A:A,[1]!Table1[[#This Row],[UPC]])&lt;2,"","DUP")</f>
        <v>#VALUE!</v>
      </c>
      <c r="BF370" s="38" t="str">
        <f>IF(ISNA(MATCH($N370,data!$A:$A,0)),"",INDEX(data!W:W,MATCH($N370,data!$A:$A,0)))</f>
        <v/>
      </c>
    </row>
    <row r="371" spans="1:58" ht="12.75" customHeight="1">
      <c r="A371" s="35"/>
      <c r="B371" s="35"/>
      <c r="C371" s="35"/>
      <c r="D371" s="35"/>
      <c r="E371" s="67"/>
      <c r="F371" s="67"/>
      <c r="G371" s="36"/>
      <c r="H371" s="29"/>
      <c r="I371" s="78" t="str">
        <f t="shared" si="6"/>
        <v/>
      </c>
      <c r="J371" s="29"/>
      <c r="K371" s="29"/>
      <c r="L371" s="33"/>
      <c r="M371" s="33"/>
      <c r="N371" s="60"/>
      <c r="O371" s="71"/>
      <c r="P371" s="71"/>
      <c r="Q371" s="33"/>
      <c r="R371" s="31"/>
      <c r="S371" s="31"/>
      <c r="T371" s="59"/>
      <c r="U371" s="59"/>
      <c r="V371" s="59"/>
      <c r="W371" s="57">
        <f t="shared" si="7"/>
        <v>0</v>
      </c>
      <c r="X371" s="126" t="str">
        <f>IF(Table1[[#This Row],[Shipping Weight Pounds]]&gt;150,"See LTL Form","No")</f>
        <v>No</v>
      </c>
      <c r="Y371" s="28"/>
      <c r="Z371" s="33"/>
      <c r="AA371" s="34"/>
      <c r="AB371" s="30"/>
      <c r="AC371" s="30"/>
      <c r="AD371" s="32"/>
      <c r="AE371" s="32"/>
      <c r="AF371" s="2"/>
      <c r="AG371" s="2"/>
      <c r="AH371" s="2"/>
      <c r="AI371" s="2"/>
      <c r="AK371" s="73" t="str">
        <f>IF(ISNA(MATCH($N371,[1]data!$A:$A,0)),"",INDEX([1]data!S:S,MATCH($N371,[1]data!$A:$A,0)))</f>
        <v/>
      </c>
      <c r="AL371" s="73" t="str">
        <f>IF(ISNA(MATCH($N371,[1]data!$A:$A,0)),"",INDEX([1]data!V:V,MATCH($N371,[1]data!$A:$A,0)))</f>
        <v/>
      </c>
      <c r="AM371" s="38" t="str">
        <f>IF(ISNA(MATCH($N371,data!$A:$A,0)),"",INDEX(data!B:B,MATCH($N371,data!$A:$A,0)))</f>
        <v/>
      </c>
      <c r="AN371" s="38" t="str">
        <f>IF(ISNA(MATCH($N371,data!$A:$A,0)),"",INDEX(data!C:C,MATCH($N371,data!$A:$A,0)))</f>
        <v/>
      </c>
      <c r="AO371" s="38" t="str">
        <f>IF(ISNA(MATCH($N371,data!$A:$A,0)),"",INDEX(data!D:D,MATCH($N371,data!$A:$A,0)))</f>
        <v/>
      </c>
      <c r="AP371" s="38" t="str">
        <f>IF(ISNA(MATCH($N371,data!$A:$A,0)),"",INDEX(data!E:E,MATCH($N371,data!$A:$A,0)))</f>
        <v/>
      </c>
      <c r="AQ371" s="38" t="str">
        <f>IF(ISNA(MATCH($N371,data!$A:$A,0)),"",INDEX(data!F:F,MATCH($N371,data!$A:$A,0)))</f>
        <v/>
      </c>
      <c r="AR371" s="38" t="str">
        <f>IF(ISNA(MATCH($N371,data!$A:$A,0)),"",INDEX(data!G:G,MATCH($N371,data!$A:$A,0)))</f>
        <v/>
      </c>
      <c r="AS371" s="38" t="str">
        <f>IF(ISNA(MATCH($N371,data!$A:$A,0)),"",INDEX(data!H:H,MATCH($N371,data!$A:$A,0)))</f>
        <v/>
      </c>
      <c r="AT371" s="38" t="str">
        <f>IF(ISNA(MATCH($N371,data!$A:$A,0)),"",INDEX(data!I:I,MATCH($N371,data!$A:$A,0)))</f>
        <v/>
      </c>
      <c r="AU371" s="38" t="str">
        <f>IF(ISNA(MATCH($N371,[1]data!$A:$A,0)),"",INDEX([1]data!L:L,MATCH($N371,[1]data!$A:$A,0)))</f>
        <v/>
      </c>
      <c r="AV371" s="38" t="str">
        <f>IF(ISNA(MATCH($N371,[1]data!$A:$A,0)),"",INDEX([1]data!M:M,MATCH($N371,[1]data!$A:$A,0)))</f>
        <v/>
      </c>
      <c r="AW371" s="38" t="str">
        <f>IF(ISNA(MATCH($N371,data!$A:$A,0)),"",INDEX(data!J:J,MATCH($N371,data!$A:$A,0)))</f>
        <v/>
      </c>
      <c r="AX371" s="38" t="str">
        <f>IF(ISNA(MATCH($N371,data!$A:$A,0)),"",INDEX(data!K:K,MATCH($N371,data!$A:$A,0)))</f>
        <v/>
      </c>
      <c r="AY371" s="38" t="str">
        <f>IF(ISNA(MATCH($N371,data!$A:$A,0)),"",INDEX(data!O:O,MATCH($N371,data!$A:$A,0)))</f>
        <v/>
      </c>
      <c r="AZ371" s="38" t="str">
        <f>IF(ISNA(MATCH($N371,data!$A:$A,0)),"",INDEX(data!N:N,MATCH($N371,data!$A:$A,0)))</f>
        <v/>
      </c>
      <c r="BA371" s="38" t="str">
        <f>IF(ISNA(MATCH($N371,data!$A:$A,0)),"",INDEX(data!P:P,MATCH($N371,data!$A:$A,0)))</f>
        <v/>
      </c>
      <c r="BB371" s="38" t="str">
        <f>IF(ISNA(MATCH($N371,data!$A:$A,0)),"",INDEX(data!Q:Q,MATCH($N371,data!$A:$A,0)))</f>
        <v/>
      </c>
      <c r="BC371" s="38" t="str">
        <f>IF(ISNA(MATCH($N371,data!$A:$A,0)),"",INDEX(data!R:R,MATCH($N371,data!$A:$A,0)))</f>
        <v/>
      </c>
      <c r="BD371" s="38" t="str">
        <f>IF(ISNA(MATCH($N371,[1]data!$A:$A,0)),"",INDEX([1]data!U:U,MATCH($N371,[1]data!$A:$A,0)))</f>
        <v/>
      </c>
      <c r="BE371" s="61" t="e">
        <f>IF(COUNTIF([1]data!A:A,[1]!Table1[[#This Row],[UPC]])&lt;2,"","DUP")</f>
        <v>#VALUE!</v>
      </c>
      <c r="BF371" s="38" t="str">
        <f>IF(ISNA(MATCH($N371,data!$A:$A,0)),"",INDEX(data!W:W,MATCH($N371,data!$A:$A,0)))</f>
        <v/>
      </c>
    </row>
    <row r="372" spans="1:58" ht="12.75" customHeight="1">
      <c r="A372" s="35"/>
      <c r="B372" s="35"/>
      <c r="C372" s="35"/>
      <c r="D372" s="35"/>
      <c r="E372" s="67"/>
      <c r="F372" s="67"/>
      <c r="G372" s="36"/>
      <c r="H372" s="29"/>
      <c r="I372" s="78" t="str">
        <f t="shared" si="6"/>
        <v/>
      </c>
      <c r="J372" s="29"/>
      <c r="K372" s="29"/>
      <c r="L372" s="33"/>
      <c r="M372" s="33"/>
      <c r="N372" s="60"/>
      <c r="O372" s="71"/>
      <c r="P372" s="71"/>
      <c r="Q372" s="33"/>
      <c r="R372" s="31"/>
      <c r="S372" s="31"/>
      <c r="T372" s="59"/>
      <c r="U372" s="59"/>
      <c r="V372" s="59"/>
      <c r="W372" s="57">
        <f t="shared" si="7"/>
        <v>0</v>
      </c>
      <c r="X372" s="126" t="str">
        <f>IF(Table1[[#This Row],[Shipping Weight Pounds]]&gt;150,"See LTL Form","No")</f>
        <v>No</v>
      </c>
      <c r="Y372" s="28"/>
      <c r="Z372" s="33"/>
      <c r="AA372" s="34"/>
      <c r="AB372" s="30"/>
      <c r="AC372" s="30"/>
      <c r="AD372" s="32"/>
      <c r="AE372" s="32"/>
      <c r="AF372" s="2"/>
      <c r="AG372" s="2"/>
      <c r="AH372" s="2"/>
      <c r="AI372" s="2"/>
      <c r="AK372" s="73" t="str">
        <f>IF(ISNA(MATCH($N372,[1]data!$A:$A,0)),"",INDEX([1]data!S:S,MATCH($N372,[1]data!$A:$A,0)))</f>
        <v/>
      </c>
      <c r="AL372" s="73" t="str">
        <f>IF(ISNA(MATCH($N372,[1]data!$A:$A,0)),"",INDEX([1]data!V:V,MATCH($N372,[1]data!$A:$A,0)))</f>
        <v/>
      </c>
      <c r="AM372" s="38" t="str">
        <f>IF(ISNA(MATCH($N372,data!$A:$A,0)),"",INDEX(data!B:B,MATCH($N372,data!$A:$A,0)))</f>
        <v/>
      </c>
      <c r="AN372" s="38" t="str">
        <f>IF(ISNA(MATCH($N372,data!$A:$A,0)),"",INDEX(data!C:C,MATCH($N372,data!$A:$A,0)))</f>
        <v/>
      </c>
      <c r="AO372" s="38" t="str">
        <f>IF(ISNA(MATCH($N372,data!$A:$A,0)),"",INDEX(data!D:D,MATCH($N372,data!$A:$A,0)))</f>
        <v/>
      </c>
      <c r="AP372" s="38" t="str">
        <f>IF(ISNA(MATCH($N372,data!$A:$A,0)),"",INDEX(data!E:E,MATCH($N372,data!$A:$A,0)))</f>
        <v/>
      </c>
      <c r="AQ372" s="38" t="str">
        <f>IF(ISNA(MATCH($N372,data!$A:$A,0)),"",INDEX(data!F:F,MATCH($N372,data!$A:$A,0)))</f>
        <v/>
      </c>
      <c r="AR372" s="38" t="str">
        <f>IF(ISNA(MATCH($N372,data!$A:$A,0)),"",INDEX(data!G:G,MATCH($N372,data!$A:$A,0)))</f>
        <v/>
      </c>
      <c r="AS372" s="38" t="str">
        <f>IF(ISNA(MATCH($N372,data!$A:$A,0)),"",INDEX(data!H:H,MATCH($N372,data!$A:$A,0)))</f>
        <v/>
      </c>
      <c r="AT372" s="38" t="str">
        <f>IF(ISNA(MATCH($N372,data!$A:$A,0)),"",INDEX(data!I:I,MATCH($N372,data!$A:$A,0)))</f>
        <v/>
      </c>
      <c r="AU372" s="38" t="str">
        <f>IF(ISNA(MATCH($N372,[1]data!$A:$A,0)),"",INDEX([1]data!L:L,MATCH($N372,[1]data!$A:$A,0)))</f>
        <v/>
      </c>
      <c r="AV372" s="38" t="str">
        <f>IF(ISNA(MATCH($N372,[1]data!$A:$A,0)),"",INDEX([1]data!M:M,MATCH($N372,[1]data!$A:$A,0)))</f>
        <v/>
      </c>
      <c r="AW372" s="38" t="str">
        <f>IF(ISNA(MATCH($N372,data!$A:$A,0)),"",INDEX(data!J:J,MATCH($N372,data!$A:$A,0)))</f>
        <v/>
      </c>
      <c r="AX372" s="38" t="str">
        <f>IF(ISNA(MATCH($N372,data!$A:$A,0)),"",INDEX(data!K:K,MATCH($N372,data!$A:$A,0)))</f>
        <v/>
      </c>
      <c r="AY372" s="38" t="str">
        <f>IF(ISNA(MATCH($N372,data!$A:$A,0)),"",INDEX(data!O:O,MATCH($N372,data!$A:$A,0)))</f>
        <v/>
      </c>
      <c r="AZ372" s="38" t="str">
        <f>IF(ISNA(MATCH($N372,data!$A:$A,0)),"",INDEX(data!N:N,MATCH($N372,data!$A:$A,0)))</f>
        <v/>
      </c>
      <c r="BA372" s="38" t="str">
        <f>IF(ISNA(MATCH($N372,data!$A:$A,0)),"",INDEX(data!P:P,MATCH($N372,data!$A:$A,0)))</f>
        <v/>
      </c>
      <c r="BB372" s="38" t="str">
        <f>IF(ISNA(MATCH($N372,data!$A:$A,0)),"",INDEX(data!Q:Q,MATCH($N372,data!$A:$A,0)))</f>
        <v/>
      </c>
      <c r="BC372" s="38" t="str">
        <f>IF(ISNA(MATCH($N372,data!$A:$A,0)),"",INDEX(data!R:R,MATCH($N372,data!$A:$A,0)))</f>
        <v/>
      </c>
      <c r="BD372" s="38" t="str">
        <f>IF(ISNA(MATCH($N372,[1]data!$A:$A,0)),"",INDEX([1]data!U:U,MATCH($N372,[1]data!$A:$A,0)))</f>
        <v/>
      </c>
      <c r="BE372" s="61" t="e">
        <f>IF(COUNTIF([1]data!A:A,[1]!Table1[[#This Row],[UPC]])&lt;2,"","DUP")</f>
        <v>#VALUE!</v>
      </c>
      <c r="BF372" s="38" t="str">
        <f>IF(ISNA(MATCH($N372,data!$A:$A,0)),"",INDEX(data!W:W,MATCH($N372,data!$A:$A,0)))</f>
        <v/>
      </c>
    </row>
    <row r="373" spans="1:58" ht="12.75" customHeight="1">
      <c r="A373" s="35"/>
      <c r="B373" s="35"/>
      <c r="C373" s="35"/>
      <c r="D373" s="35"/>
      <c r="E373" s="67"/>
      <c r="F373" s="67"/>
      <c r="G373" s="36"/>
      <c r="H373" s="29"/>
      <c r="I373" s="78" t="str">
        <f t="shared" si="6"/>
        <v/>
      </c>
      <c r="J373" s="29"/>
      <c r="K373" s="29"/>
      <c r="L373" s="33"/>
      <c r="M373" s="33"/>
      <c r="N373" s="60"/>
      <c r="O373" s="71"/>
      <c r="P373" s="71"/>
      <c r="Q373" s="33"/>
      <c r="R373" s="31"/>
      <c r="S373" s="31"/>
      <c r="T373" s="59"/>
      <c r="U373" s="59"/>
      <c r="V373" s="59"/>
      <c r="W373" s="57">
        <f t="shared" si="7"/>
        <v>0</v>
      </c>
      <c r="X373" s="126" t="str">
        <f>IF(Table1[[#This Row],[Shipping Weight Pounds]]&gt;150,"See LTL Form","No")</f>
        <v>No</v>
      </c>
      <c r="Y373" s="28"/>
      <c r="Z373" s="33"/>
      <c r="AA373" s="34"/>
      <c r="AB373" s="30"/>
      <c r="AC373" s="30"/>
      <c r="AD373" s="32"/>
      <c r="AE373" s="32"/>
      <c r="AF373" s="2"/>
      <c r="AG373" s="2"/>
      <c r="AH373" s="2"/>
      <c r="AI373" s="2"/>
      <c r="AK373" s="73" t="str">
        <f>IF(ISNA(MATCH($N373,[1]data!$A:$A,0)),"",INDEX([1]data!S:S,MATCH($N373,[1]data!$A:$A,0)))</f>
        <v/>
      </c>
      <c r="AL373" s="73" t="str">
        <f>IF(ISNA(MATCH($N373,[1]data!$A:$A,0)),"",INDEX([1]data!V:V,MATCH($N373,[1]data!$A:$A,0)))</f>
        <v/>
      </c>
      <c r="AM373" s="38" t="str">
        <f>IF(ISNA(MATCH($N373,data!$A:$A,0)),"",INDEX(data!B:B,MATCH($N373,data!$A:$A,0)))</f>
        <v/>
      </c>
      <c r="AN373" s="38" t="str">
        <f>IF(ISNA(MATCH($N373,data!$A:$A,0)),"",INDEX(data!C:C,MATCH($N373,data!$A:$A,0)))</f>
        <v/>
      </c>
      <c r="AO373" s="38" t="str">
        <f>IF(ISNA(MATCH($N373,data!$A:$A,0)),"",INDEX(data!D:D,MATCH($N373,data!$A:$A,0)))</f>
        <v/>
      </c>
      <c r="AP373" s="38" t="str">
        <f>IF(ISNA(MATCH($N373,data!$A:$A,0)),"",INDEX(data!E:E,MATCH($N373,data!$A:$A,0)))</f>
        <v/>
      </c>
      <c r="AQ373" s="38" t="str">
        <f>IF(ISNA(MATCH($N373,data!$A:$A,0)),"",INDEX(data!F:F,MATCH($N373,data!$A:$A,0)))</f>
        <v/>
      </c>
      <c r="AR373" s="38" t="str">
        <f>IF(ISNA(MATCH($N373,data!$A:$A,0)),"",INDEX(data!G:G,MATCH($N373,data!$A:$A,0)))</f>
        <v/>
      </c>
      <c r="AS373" s="38" t="str">
        <f>IF(ISNA(MATCH($N373,data!$A:$A,0)),"",INDEX(data!H:H,MATCH($N373,data!$A:$A,0)))</f>
        <v/>
      </c>
      <c r="AT373" s="38" t="str">
        <f>IF(ISNA(MATCH($N373,data!$A:$A,0)),"",INDEX(data!I:I,MATCH($N373,data!$A:$A,0)))</f>
        <v/>
      </c>
      <c r="AU373" s="38" t="str">
        <f>IF(ISNA(MATCH($N373,[1]data!$A:$A,0)),"",INDEX([1]data!L:L,MATCH($N373,[1]data!$A:$A,0)))</f>
        <v/>
      </c>
      <c r="AV373" s="38" t="str">
        <f>IF(ISNA(MATCH($N373,[1]data!$A:$A,0)),"",INDEX([1]data!M:M,MATCH($N373,[1]data!$A:$A,0)))</f>
        <v/>
      </c>
      <c r="AW373" s="38" t="str">
        <f>IF(ISNA(MATCH($N373,data!$A:$A,0)),"",INDEX(data!J:J,MATCH($N373,data!$A:$A,0)))</f>
        <v/>
      </c>
      <c r="AX373" s="38" t="str">
        <f>IF(ISNA(MATCH($N373,data!$A:$A,0)),"",INDEX(data!K:K,MATCH($N373,data!$A:$A,0)))</f>
        <v/>
      </c>
      <c r="AY373" s="38" t="str">
        <f>IF(ISNA(MATCH($N373,data!$A:$A,0)),"",INDEX(data!O:O,MATCH($N373,data!$A:$A,0)))</f>
        <v/>
      </c>
      <c r="AZ373" s="38" t="str">
        <f>IF(ISNA(MATCH($N373,data!$A:$A,0)),"",INDEX(data!N:N,MATCH($N373,data!$A:$A,0)))</f>
        <v/>
      </c>
      <c r="BA373" s="38" t="str">
        <f>IF(ISNA(MATCH($N373,data!$A:$A,0)),"",INDEX(data!P:P,MATCH($N373,data!$A:$A,0)))</f>
        <v/>
      </c>
      <c r="BB373" s="38" t="str">
        <f>IF(ISNA(MATCH($N373,data!$A:$A,0)),"",INDEX(data!Q:Q,MATCH($N373,data!$A:$A,0)))</f>
        <v/>
      </c>
      <c r="BC373" s="38" t="str">
        <f>IF(ISNA(MATCH($N373,data!$A:$A,0)),"",INDEX(data!R:R,MATCH($N373,data!$A:$A,0)))</f>
        <v/>
      </c>
      <c r="BD373" s="38" t="str">
        <f>IF(ISNA(MATCH($N373,[1]data!$A:$A,0)),"",INDEX([1]data!U:U,MATCH($N373,[1]data!$A:$A,0)))</f>
        <v/>
      </c>
      <c r="BE373" s="61" t="e">
        <f>IF(COUNTIF([1]data!A:A,[1]!Table1[[#This Row],[UPC]])&lt;2,"","DUP")</f>
        <v>#VALUE!</v>
      </c>
      <c r="BF373" s="38" t="str">
        <f>IF(ISNA(MATCH($N373,data!$A:$A,0)),"",INDEX(data!W:W,MATCH($N373,data!$A:$A,0)))</f>
        <v/>
      </c>
    </row>
    <row r="374" spans="1:58" ht="12.75" customHeight="1">
      <c r="A374" s="35"/>
      <c r="B374" s="35"/>
      <c r="C374" s="35"/>
      <c r="D374" s="35"/>
      <c r="E374" s="67"/>
      <c r="F374" s="67"/>
      <c r="G374" s="36"/>
      <c r="H374" s="29"/>
      <c r="I374" s="78" t="str">
        <f t="shared" si="6"/>
        <v/>
      </c>
      <c r="J374" s="29"/>
      <c r="K374" s="29"/>
      <c r="L374" s="33"/>
      <c r="M374" s="33"/>
      <c r="N374" s="60"/>
      <c r="O374" s="71"/>
      <c r="P374" s="71"/>
      <c r="Q374" s="33"/>
      <c r="R374" s="31"/>
      <c r="S374" s="31"/>
      <c r="T374" s="59"/>
      <c r="U374" s="59"/>
      <c r="V374" s="59"/>
      <c r="W374" s="57">
        <f t="shared" si="7"/>
        <v>0</v>
      </c>
      <c r="X374" s="126" t="str">
        <f>IF(Table1[[#This Row],[Shipping Weight Pounds]]&gt;150,"See LTL Form","No")</f>
        <v>No</v>
      </c>
      <c r="Y374" s="28"/>
      <c r="Z374" s="33"/>
      <c r="AA374" s="34"/>
      <c r="AB374" s="30"/>
      <c r="AC374" s="30"/>
      <c r="AD374" s="32"/>
      <c r="AE374" s="32"/>
      <c r="AF374" s="2"/>
      <c r="AG374" s="2"/>
      <c r="AH374" s="2"/>
      <c r="AI374" s="2"/>
      <c r="AK374" s="73" t="str">
        <f>IF(ISNA(MATCH($N374,[1]data!$A:$A,0)),"",INDEX([1]data!S:S,MATCH($N374,[1]data!$A:$A,0)))</f>
        <v/>
      </c>
      <c r="AL374" s="73" t="str">
        <f>IF(ISNA(MATCH($N374,[1]data!$A:$A,0)),"",INDEX([1]data!V:V,MATCH($N374,[1]data!$A:$A,0)))</f>
        <v/>
      </c>
      <c r="AM374" s="38" t="str">
        <f>IF(ISNA(MATCH($N374,data!$A:$A,0)),"",INDEX(data!B:B,MATCH($N374,data!$A:$A,0)))</f>
        <v/>
      </c>
      <c r="AN374" s="38" t="str">
        <f>IF(ISNA(MATCH($N374,data!$A:$A,0)),"",INDEX(data!C:C,MATCH($N374,data!$A:$A,0)))</f>
        <v/>
      </c>
      <c r="AO374" s="38" t="str">
        <f>IF(ISNA(MATCH($N374,data!$A:$A,0)),"",INDEX(data!D:D,MATCH($N374,data!$A:$A,0)))</f>
        <v/>
      </c>
      <c r="AP374" s="38" t="str">
        <f>IF(ISNA(MATCH($N374,data!$A:$A,0)),"",INDEX(data!E:E,MATCH($N374,data!$A:$A,0)))</f>
        <v/>
      </c>
      <c r="AQ374" s="38" t="str">
        <f>IF(ISNA(MATCH($N374,data!$A:$A,0)),"",INDEX(data!F:F,MATCH($N374,data!$A:$A,0)))</f>
        <v/>
      </c>
      <c r="AR374" s="38" t="str">
        <f>IF(ISNA(MATCH($N374,data!$A:$A,0)),"",INDEX(data!G:G,MATCH($N374,data!$A:$A,0)))</f>
        <v/>
      </c>
      <c r="AS374" s="38" t="str">
        <f>IF(ISNA(MATCH($N374,data!$A:$A,0)),"",INDEX(data!H:H,MATCH($N374,data!$A:$A,0)))</f>
        <v/>
      </c>
      <c r="AT374" s="38" t="str">
        <f>IF(ISNA(MATCH($N374,data!$A:$A,0)),"",INDEX(data!I:I,MATCH($N374,data!$A:$A,0)))</f>
        <v/>
      </c>
      <c r="AU374" s="38" t="str">
        <f>IF(ISNA(MATCH($N374,[1]data!$A:$A,0)),"",INDEX([1]data!L:L,MATCH($N374,[1]data!$A:$A,0)))</f>
        <v/>
      </c>
      <c r="AV374" s="38" t="str">
        <f>IF(ISNA(MATCH($N374,[1]data!$A:$A,0)),"",INDEX([1]data!M:M,MATCH($N374,[1]data!$A:$A,0)))</f>
        <v/>
      </c>
      <c r="AW374" s="38" t="str">
        <f>IF(ISNA(MATCH($N374,data!$A:$A,0)),"",INDEX(data!J:J,MATCH($N374,data!$A:$A,0)))</f>
        <v/>
      </c>
      <c r="AX374" s="38" t="str">
        <f>IF(ISNA(MATCH($N374,data!$A:$A,0)),"",INDEX(data!K:K,MATCH($N374,data!$A:$A,0)))</f>
        <v/>
      </c>
      <c r="AY374" s="38" t="str">
        <f>IF(ISNA(MATCH($N374,data!$A:$A,0)),"",INDEX(data!O:O,MATCH($N374,data!$A:$A,0)))</f>
        <v/>
      </c>
      <c r="AZ374" s="38" t="str">
        <f>IF(ISNA(MATCH($N374,data!$A:$A,0)),"",INDEX(data!N:N,MATCH($N374,data!$A:$A,0)))</f>
        <v/>
      </c>
      <c r="BA374" s="38" t="str">
        <f>IF(ISNA(MATCH($N374,data!$A:$A,0)),"",INDEX(data!P:P,MATCH($N374,data!$A:$A,0)))</f>
        <v/>
      </c>
      <c r="BB374" s="38" t="str">
        <f>IF(ISNA(MATCH($N374,data!$A:$A,0)),"",INDEX(data!Q:Q,MATCH($N374,data!$A:$A,0)))</f>
        <v/>
      </c>
      <c r="BC374" s="38" t="str">
        <f>IF(ISNA(MATCH($N374,data!$A:$A,0)),"",INDEX(data!R:R,MATCH($N374,data!$A:$A,0)))</f>
        <v/>
      </c>
      <c r="BD374" s="38" t="str">
        <f>IF(ISNA(MATCH($N374,[1]data!$A:$A,0)),"",INDEX([1]data!U:U,MATCH($N374,[1]data!$A:$A,0)))</f>
        <v/>
      </c>
      <c r="BE374" s="61" t="e">
        <f>IF(COUNTIF([1]data!A:A,[1]!Table1[[#This Row],[UPC]])&lt;2,"","DUP")</f>
        <v>#VALUE!</v>
      </c>
      <c r="BF374" s="38" t="str">
        <f>IF(ISNA(MATCH($N374,data!$A:$A,0)),"",INDEX(data!W:W,MATCH($N374,data!$A:$A,0)))</f>
        <v/>
      </c>
    </row>
    <row r="375" spans="1:58" ht="12.75" customHeight="1">
      <c r="A375" s="35"/>
      <c r="B375" s="35"/>
      <c r="C375" s="35"/>
      <c r="D375" s="35"/>
      <c r="E375" s="67"/>
      <c r="F375" s="67"/>
      <c r="G375" s="36"/>
      <c r="H375" s="29"/>
      <c r="I375" s="78" t="str">
        <f t="shared" si="6"/>
        <v/>
      </c>
      <c r="J375" s="29"/>
      <c r="K375" s="29"/>
      <c r="L375" s="33"/>
      <c r="M375" s="33"/>
      <c r="N375" s="60"/>
      <c r="O375" s="71"/>
      <c r="P375" s="71"/>
      <c r="Q375" s="33"/>
      <c r="R375" s="31"/>
      <c r="S375" s="31"/>
      <c r="T375" s="59"/>
      <c r="U375" s="59"/>
      <c r="V375" s="59"/>
      <c r="W375" s="57">
        <f t="shared" si="7"/>
        <v>0</v>
      </c>
      <c r="X375" s="126" t="str">
        <f>IF(Table1[[#This Row],[Shipping Weight Pounds]]&gt;150,"See LTL Form","No")</f>
        <v>No</v>
      </c>
      <c r="Y375" s="28"/>
      <c r="Z375" s="33"/>
      <c r="AA375" s="34"/>
      <c r="AB375" s="30"/>
      <c r="AC375" s="30"/>
      <c r="AD375" s="32"/>
      <c r="AE375" s="32"/>
      <c r="AF375" s="2"/>
      <c r="AG375" s="2"/>
      <c r="AH375" s="2"/>
      <c r="AI375" s="2"/>
      <c r="AK375" s="73" t="str">
        <f>IF(ISNA(MATCH($N375,[1]data!$A:$A,0)),"",INDEX([1]data!S:S,MATCH($N375,[1]data!$A:$A,0)))</f>
        <v/>
      </c>
      <c r="AL375" s="73" t="str">
        <f>IF(ISNA(MATCH($N375,[1]data!$A:$A,0)),"",INDEX([1]data!V:V,MATCH($N375,[1]data!$A:$A,0)))</f>
        <v/>
      </c>
      <c r="AM375" s="38" t="str">
        <f>IF(ISNA(MATCH($N375,data!$A:$A,0)),"",INDEX(data!B:B,MATCH($N375,data!$A:$A,0)))</f>
        <v/>
      </c>
      <c r="AN375" s="38" t="str">
        <f>IF(ISNA(MATCH($N375,data!$A:$A,0)),"",INDEX(data!C:C,MATCH($N375,data!$A:$A,0)))</f>
        <v/>
      </c>
      <c r="AO375" s="38" t="str">
        <f>IF(ISNA(MATCH($N375,data!$A:$A,0)),"",INDEX(data!D:D,MATCH($N375,data!$A:$A,0)))</f>
        <v/>
      </c>
      <c r="AP375" s="38" t="str">
        <f>IF(ISNA(MATCH($N375,data!$A:$A,0)),"",INDEX(data!E:E,MATCH($N375,data!$A:$A,0)))</f>
        <v/>
      </c>
      <c r="AQ375" s="38" t="str">
        <f>IF(ISNA(MATCH($N375,data!$A:$A,0)),"",INDEX(data!F:F,MATCH($N375,data!$A:$A,0)))</f>
        <v/>
      </c>
      <c r="AR375" s="38" t="str">
        <f>IF(ISNA(MATCH($N375,data!$A:$A,0)),"",INDEX(data!G:G,MATCH($N375,data!$A:$A,0)))</f>
        <v/>
      </c>
      <c r="AS375" s="38" t="str">
        <f>IF(ISNA(MATCH($N375,data!$A:$A,0)),"",INDEX(data!H:H,MATCH($N375,data!$A:$A,0)))</f>
        <v/>
      </c>
      <c r="AT375" s="38" t="str">
        <f>IF(ISNA(MATCH($N375,data!$A:$A,0)),"",INDEX(data!I:I,MATCH($N375,data!$A:$A,0)))</f>
        <v/>
      </c>
      <c r="AU375" s="38" t="str">
        <f>IF(ISNA(MATCH($N375,[1]data!$A:$A,0)),"",INDEX([1]data!L:L,MATCH($N375,[1]data!$A:$A,0)))</f>
        <v/>
      </c>
      <c r="AV375" s="38" t="str">
        <f>IF(ISNA(MATCH($N375,[1]data!$A:$A,0)),"",INDEX([1]data!M:M,MATCH($N375,[1]data!$A:$A,0)))</f>
        <v/>
      </c>
      <c r="AW375" s="38" t="str">
        <f>IF(ISNA(MATCH($N375,data!$A:$A,0)),"",INDEX(data!J:J,MATCH($N375,data!$A:$A,0)))</f>
        <v/>
      </c>
      <c r="AX375" s="38" t="str">
        <f>IF(ISNA(MATCH($N375,data!$A:$A,0)),"",INDEX(data!K:K,MATCH($N375,data!$A:$A,0)))</f>
        <v/>
      </c>
      <c r="AY375" s="38" t="str">
        <f>IF(ISNA(MATCH($N375,data!$A:$A,0)),"",INDEX(data!O:O,MATCH($N375,data!$A:$A,0)))</f>
        <v/>
      </c>
      <c r="AZ375" s="38" t="str">
        <f>IF(ISNA(MATCH($N375,data!$A:$A,0)),"",INDEX(data!N:N,MATCH($N375,data!$A:$A,0)))</f>
        <v/>
      </c>
      <c r="BA375" s="38" t="str">
        <f>IF(ISNA(MATCH($N375,data!$A:$A,0)),"",INDEX(data!P:P,MATCH($N375,data!$A:$A,0)))</f>
        <v/>
      </c>
      <c r="BB375" s="38" t="str">
        <f>IF(ISNA(MATCH($N375,data!$A:$A,0)),"",INDEX(data!Q:Q,MATCH($N375,data!$A:$A,0)))</f>
        <v/>
      </c>
      <c r="BC375" s="38" t="str">
        <f>IF(ISNA(MATCH($N375,data!$A:$A,0)),"",INDEX(data!R:R,MATCH($N375,data!$A:$A,0)))</f>
        <v/>
      </c>
      <c r="BD375" s="38" t="str">
        <f>IF(ISNA(MATCH($N375,[1]data!$A:$A,0)),"",INDEX([1]data!U:U,MATCH($N375,[1]data!$A:$A,0)))</f>
        <v/>
      </c>
      <c r="BE375" s="61" t="e">
        <f>IF(COUNTIF([1]data!A:A,[1]!Table1[[#This Row],[UPC]])&lt;2,"","DUP")</f>
        <v>#VALUE!</v>
      </c>
      <c r="BF375" s="38" t="str">
        <f>IF(ISNA(MATCH($N375,data!$A:$A,0)),"",INDEX(data!W:W,MATCH($N375,data!$A:$A,0)))</f>
        <v/>
      </c>
    </row>
    <row r="376" spans="1:58" ht="12.75" customHeight="1">
      <c r="A376" s="35"/>
      <c r="B376" s="35"/>
      <c r="C376" s="35"/>
      <c r="D376" s="35"/>
      <c r="E376" s="67"/>
      <c r="F376" s="67"/>
      <c r="G376" s="36"/>
      <c r="H376" s="29"/>
      <c r="I376" s="78" t="str">
        <f t="shared" si="6"/>
        <v/>
      </c>
      <c r="J376" s="29"/>
      <c r="K376" s="29"/>
      <c r="L376" s="33"/>
      <c r="M376" s="33"/>
      <c r="N376" s="60"/>
      <c r="O376" s="71"/>
      <c r="P376" s="71"/>
      <c r="Q376" s="33"/>
      <c r="R376" s="31"/>
      <c r="S376" s="31"/>
      <c r="T376" s="59"/>
      <c r="U376" s="59"/>
      <c r="V376" s="59"/>
      <c r="W376" s="57">
        <f t="shared" si="7"/>
        <v>0</v>
      </c>
      <c r="X376" s="126" t="str">
        <f>IF(Table1[[#This Row],[Shipping Weight Pounds]]&gt;150,"See LTL Form","No")</f>
        <v>No</v>
      </c>
      <c r="Y376" s="28"/>
      <c r="Z376" s="33"/>
      <c r="AA376" s="34"/>
      <c r="AB376" s="30"/>
      <c r="AC376" s="30"/>
      <c r="AD376" s="32"/>
      <c r="AE376" s="32"/>
      <c r="AF376" s="2"/>
      <c r="AG376" s="2"/>
      <c r="AH376" s="2"/>
      <c r="AI376" s="2"/>
      <c r="AK376" s="73" t="str">
        <f>IF(ISNA(MATCH($N376,[1]data!$A:$A,0)),"",INDEX([1]data!S:S,MATCH($N376,[1]data!$A:$A,0)))</f>
        <v/>
      </c>
      <c r="AL376" s="73" t="str">
        <f>IF(ISNA(MATCH($N376,[1]data!$A:$A,0)),"",INDEX([1]data!V:V,MATCH($N376,[1]data!$A:$A,0)))</f>
        <v/>
      </c>
      <c r="AM376" s="38" t="str">
        <f>IF(ISNA(MATCH($N376,data!$A:$A,0)),"",INDEX(data!B:B,MATCH($N376,data!$A:$A,0)))</f>
        <v/>
      </c>
      <c r="AN376" s="38" t="str">
        <f>IF(ISNA(MATCH($N376,data!$A:$A,0)),"",INDEX(data!C:C,MATCH($N376,data!$A:$A,0)))</f>
        <v/>
      </c>
      <c r="AO376" s="38" t="str">
        <f>IF(ISNA(MATCH($N376,data!$A:$A,0)),"",INDEX(data!D:D,MATCH($N376,data!$A:$A,0)))</f>
        <v/>
      </c>
      <c r="AP376" s="38" t="str">
        <f>IF(ISNA(MATCH($N376,data!$A:$A,0)),"",INDEX(data!E:E,MATCH($N376,data!$A:$A,0)))</f>
        <v/>
      </c>
      <c r="AQ376" s="38" t="str">
        <f>IF(ISNA(MATCH($N376,data!$A:$A,0)),"",INDEX(data!F:F,MATCH($N376,data!$A:$A,0)))</f>
        <v/>
      </c>
      <c r="AR376" s="38" t="str">
        <f>IF(ISNA(MATCH($N376,data!$A:$A,0)),"",INDEX(data!G:G,MATCH($N376,data!$A:$A,0)))</f>
        <v/>
      </c>
      <c r="AS376" s="38" t="str">
        <f>IF(ISNA(MATCH($N376,data!$A:$A,0)),"",INDEX(data!H:H,MATCH($N376,data!$A:$A,0)))</f>
        <v/>
      </c>
      <c r="AT376" s="38" t="str">
        <f>IF(ISNA(MATCH($N376,data!$A:$A,0)),"",INDEX(data!I:I,MATCH($N376,data!$A:$A,0)))</f>
        <v/>
      </c>
      <c r="AU376" s="38" t="str">
        <f>IF(ISNA(MATCH($N376,[1]data!$A:$A,0)),"",INDEX([1]data!L:L,MATCH($N376,[1]data!$A:$A,0)))</f>
        <v/>
      </c>
      <c r="AV376" s="38" t="str">
        <f>IF(ISNA(MATCH($N376,[1]data!$A:$A,0)),"",INDEX([1]data!M:M,MATCH($N376,[1]data!$A:$A,0)))</f>
        <v/>
      </c>
      <c r="AW376" s="38" t="str">
        <f>IF(ISNA(MATCH($N376,data!$A:$A,0)),"",INDEX(data!J:J,MATCH($N376,data!$A:$A,0)))</f>
        <v/>
      </c>
      <c r="AX376" s="38" t="str">
        <f>IF(ISNA(MATCH($N376,data!$A:$A,0)),"",INDEX(data!K:K,MATCH($N376,data!$A:$A,0)))</f>
        <v/>
      </c>
      <c r="AY376" s="38" t="str">
        <f>IF(ISNA(MATCH($N376,data!$A:$A,0)),"",INDEX(data!O:O,MATCH($N376,data!$A:$A,0)))</f>
        <v/>
      </c>
      <c r="AZ376" s="38" t="str">
        <f>IF(ISNA(MATCH($N376,data!$A:$A,0)),"",INDEX(data!N:N,MATCH($N376,data!$A:$A,0)))</f>
        <v/>
      </c>
      <c r="BA376" s="38" t="str">
        <f>IF(ISNA(MATCH($N376,data!$A:$A,0)),"",INDEX(data!P:P,MATCH($N376,data!$A:$A,0)))</f>
        <v/>
      </c>
      <c r="BB376" s="38" t="str">
        <f>IF(ISNA(MATCH($N376,data!$A:$A,0)),"",INDEX(data!Q:Q,MATCH($N376,data!$A:$A,0)))</f>
        <v/>
      </c>
      <c r="BC376" s="38" t="str">
        <f>IF(ISNA(MATCH($N376,data!$A:$A,0)),"",INDEX(data!R:R,MATCH($N376,data!$A:$A,0)))</f>
        <v/>
      </c>
      <c r="BD376" s="38" t="str">
        <f>IF(ISNA(MATCH($N376,[1]data!$A:$A,0)),"",INDEX([1]data!U:U,MATCH($N376,[1]data!$A:$A,0)))</f>
        <v/>
      </c>
      <c r="BE376" s="61" t="e">
        <f>IF(COUNTIF([1]data!A:A,[1]!Table1[[#This Row],[UPC]])&lt;2,"","DUP")</f>
        <v>#VALUE!</v>
      </c>
      <c r="BF376" s="38" t="str">
        <f>IF(ISNA(MATCH($N376,data!$A:$A,0)),"",INDEX(data!W:W,MATCH($N376,data!$A:$A,0)))</f>
        <v/>
      </c>
    </row>
    <row r="377" spans="1:58" ht="12.75" customHeight="1">
      <c r="A377" s="35"/>
      <c r="B377" s="35"/>
      <c r="C377" s="35"/>
      <c r="D377" s="35"/>
      <c r="E377" s="67"/>
      <c r="F377" s="67"/>
      <c r="G377" s="36"/>
      <c r="H377" s="29"/>
      <c r="I377" s="78" t="str">
        <f t="shared" si="6"/>
        <v/>
      </c>
      <c r="J377" s="29"/>
      <c r="K377" s="29"/>
      <c r="L377" s="33"/>
      <c r="M377" s="33"/>
      <c r="N377" s="60"/>
      <c r="O377" s="71"/>
      <c r="P377" s="71"/>
      <c r="Q377" s="33"/>
      <c r="R377" s="31"/>
      <c r="S377" s="31"/>
      <c r="T377" s="59"/>
      <c r="U377" s="59"/>
      <c r="V377" s="59"/>
      <c r="W377" s="57">
        <f t="shared" si="7"/>
        <v>0</v>
      </c>
      <c r="X377" s="126" t="str">
        <f>IF(Table1[[#This Row],[Shipping Weight Pounds]]&gt;150,"See LTL Form","No")</f>
        <v>No</v>
      </c>
      <c r="Y377" s="28"/>
      <c r="Z377" s="33"/>
      <c r="AA377" s="34"/>
      <c r="AB377" s="30"/>
      <c r="AC377" s="30"/>
      <c r="AD377" s="32"/>
      <c r="AE377" s="32"/>
      <c r="AF377" s="2"/>
      <c r="AG377" s="2"/>
      <c r="AH377" s="2"/>
      <c r="AI377" s="2"/>
      <c r="AK377" s="73" t="str">
        <f>IF(ISNA(MATCH($N377,[1]data!$A:$A,0)),"",INDEX([1]data!S:S,MATCH($N377,[1]data!$A:$A,0)))</f>
        <v/>
      </c>
      <c r="AL377" s="73" t="str">
        <f>IF(ISNA(MATCH($N377,[1]data!$A:$A,0)),"",INDEX([1]data!V:V,MATCH($N377,[1]data!$A:$A,0)))</f>
        <v/>
      </c>
      <c r="AM377" s="38" t="str">
        <f>IF(ISNA(MATCH($N377,data!$A:$A,0)),"",INDEX(data!B:B,MATCH($N377,data!$A:$A,0)))</f>
        <v/>
      </c>
      <c r="AN377" s="38" t="str">
        <f>IF(ISNA(MATCH($N377,data!$A:$A,0)),"",INDEX(data!C:C,MATCH($N377,data!$A:$A,0)))</f>
        <v/>
      </c>
      <c r="AO377" s="38" t="str">
        <f>IF(ISNA(MATCH($N377,data!$A:$A,0)),"",INDEX(data!D:D,MATCH($N377,data!$A:$A,0)))</f>
        <v/>
      </c>
      <c r="AP377" s="38" t="str">
        <f>IF(ISNA(MATCH($N377,data!$A:$A,0)),"",INDEX(data!E:E,MATCH($N377,data!$A:$A,0)))</f>
        <v/>
      </c>
      <c r="AQ377" s="38" t="str">
        <f>IF(ISNA(MATCH($N377,data!$A:$A,0)),"",INDEX(data!F:F,MATCH($N377,data!$A:$A,0)))</f>
        <v/>
      </c>
      <c r="AR377" s="38" t="str">
        <f>IF(ISNA(MATCH($N377,data!$A:$A,0)),"",INDEX(data!G:G,MATCH($N377,data!$A:$A,0)))</f>
        <v/>
      </c>
      <c r="AS377" s="38" t="str">
        <f>IF(ISNA(MATCH($N377,data!$A:$A,0)),"",INDEX(data!H:H,MATCH($N377,data!$A:$A,0)))</f>
        <v/>
      </c>
      <c r="AT377" s="38" t="str">
        <f>IF(ISNA(MATCH($N377,data!$A:$A,0)),"",INDEX(data!I:I,MATCH($N377,data!$A:$A,0)))</f>
        <v/>
      </c>
      <c r="AU377" s="38" t="str">
        <f>IF(ISNA(MATCH($N377,[1]data!$A:$A,0)),"",INDEX([1]data!L:L,MATCH($N377,[1]data!$A:$A,0)))</f>
        <v/>
      </c>
      <c r="AV377" s="38" t="str">
        <f>IF(ISNA(MATCH($N377,[1]data!$A:$A,0)),"",INDEX([1]data!M:M,MATCH($N377,[1]data!$A:$A,0)))</f>
        <v/>
      </c>
      <c r="AW377" s="38" t="str">
        <f>IF(ISNA(MATCH($N377,data!$A:$A,0)),"",INDEX(data!J:J,MATCH($N377,data!$A:$A,0)))</f>
        <v/>
      </c>
      <c r="AX377" s="38" t="str">
        <f>IF(ISNA(MATCH($N377,data!$A:$A,0)),"",INDEX(data!K:K,MATCH($N377,data!$A:$A,0)))</f>
        <v/>
      </c>
      <c r="AY377" s="38" t="str">
        <f>IF(ISNA(MATCH($N377,data!$A:$A,0)),"",INDEX(data!O:O,MATCH($N377,data!$A:$A,0)))</f>
        <v/>
      </c>
      <c r="AZ377" s="38" t="str">
        <f>IF(ISNA(MATCH($N377,data!$A:$A,0)),"",INDEX(data!N:N,MATCH($N377,data!$A:$A,0)))</f>
        <v/>
      </c>
      <c r="BA377" s="38" t="str">
        <f>IF(ISNA(MATCH($N377,data!$A:$A,0)),"",INDEX(data!P:P,MATCH($N377,data!$A:$A,0)))</f>
        <v/>
      </c>
      <c r="BB377" s="38" t="str">
        <f>IF(ISNA(MATCH($N377,data!$A:$A,0)),"",INDEX(data!Q:Q,MATCH($N377,data!$A:$A,0)))</f>
        <v/>
      </c>
      <c r="BC377" s="38" t="str">
        <f>IF(ISNA(MATCH($N377,data!$A:$A,0)),"",INDEX(data!R:R,MATCH($N377,data!$A:$A,0)))</f>
        <v/>
      </c>
      <c r="BD377" s="38" t="str">
        <f>IF(ISNA(MATCH($N377,[1]data!$A:$A,0)),"",INDEX([1]data!U:U,MATCH($N377,[1]data!$A:$A,0)))</f>
        <v/>
      </c>
      <c r="BE377" s="61" t="e">
        <f>IF(COUNTIF([1]data!A:A,[1]!Table1[[#This Row],[UPC]])&lt;2,"","DUP")</f>
        <v>#VALUE!</v>
      </c>
      <c r="BF377" s="38" t="str">
        <f>IF(ISNA(MATCH($N377,data!$A:$A,0)),"",INDEX(data!W:W,MATCH($N377,data!$A:$A,0)))</f>
        <v/>
      </c>
    </row>
    <row r="378" spans="1:58" ht="12.75" customHeight="1">
      <c r="A378" s="35"/>
      <c r="B378" s="35"/>
      <c r="C378" s="35"/>
      <c r="D378" s="35"/>
      <c r="E378" s="67"/>
      <c r="F378" s="67"/>
      <c r="G378" s="36"/>
      <c r="H378" s="29"/>
      <c r="I378" s="78" t="str">
        <f t="shared" si="6"/>
        <v/>
      </c>
      <c r="J378" s="29"/>
      <c r="K378" s="29"/>
      <c r="L378" s="33"/>
      <c r="M378" s="33"/>
      <c r="N378" s="60"/>
      <c r="O378" s="71"/>
      <c r="P378" s="71"/>
      <c r="Q378" s="33"/>
      <c r="R378" s="31"/>
      <c r="S378" s="31"/>
      <c r="T378" s="59"/>
      <c r="U378" s="59"/>
      <c r="V378" s="59"/>
      <c r="W378" s="57">
        <f t="shared" si="7"/>
        <v>0</v>
      </c>
      <c r="X378" s="126" t="str">
        <f>IF(Table1[[#This Row],[Shipping Weight Pounds]]&gt;150,"See LTL Form","No")</f>
        <v>No</v>
      </c>
      <c r="Y378" s="28"/>
      <c r="Z378" s="33"/>
      <c r="AA378" s="34"/>
      <c r="AB378" s="30"/>
      <c r="AC378" s="30"/>
      <c r="AD378" s="32"/>
      <c r="AE378" s="32"/>
      <c r="AF378" s="2"/>
      <c r="AG378" s="2"/>
      <c r="AH378" s="2"/>
      <c r="AI378" s="2"/>
      <c r="AK378" s="73" t="str">
        <f>IF(ISNA(MATCH($N378,[1]data!$A:$A,0)),"",INDEX([1]data!S:S,MATCH($N378,[1]data!$A:$A,0)))</f>
        <v/>
      </c>
      <c r="AL378" s="73" t="str">
        <f>IF(ISNA(MATCH($N378,[1]data!$A:$A,0)),"",INDEX([1]data!V:V,MATCH($N378,[1]data!$A:$A,0)))</f>
        <v/>
      </c>
      <c r="AM378" s="38" t="str">
        <f>IF(ISNA(MATCH($N378,data!$A:$A,0)),"",INDEX(data!B:B,MATCH($N378,data!$A:$A,0)))</f>
        <v/>
      </c>
      <c r="AN378" s="38" t="str">
        <f>IF(ISNA(MATCH($N378,data!$A:$A,0)),"",INDEX(data!C:C,MATCH($N378,data!$A:$A,0)))</f>
        <v/>
      </c>
      <c r="AO378" s="38" t="str">
        <f>IF(ISNA(MATCH($N378,data!$A:$A,0)),"",INDEX(data!D:D,MATCH($N378,data!$A:$A,0)))</f>
        <v/>
      </c>
      <c r="AP378" s="38" t="str">
        <f>IF(ISNA(MATCH($N378,data!$A:$A,0)),"",INDEX(data!E:E,MATCH($N378,data!$A:$A,0)))</f>
        <v/>
      </c>
      <c r="AQ378" s="38" t="str">
        <f>IF(ISNA(MATCH($N378,data!$A:$A,0)),"",INDEX(data!F:F,MATCH($N378,data!$A:$A,0)))</f>
        <v/>
      </c>
      <c r="AR378" s="38" t="str">
        <f>IF(ISNA(MATCH($N378,data!$A:$A,0)),"",INDEX(data!G:G,MATCH($N378,data!$A:$A,0)))</f>
        <v/>
      </c>
      <c r="AS378" s="38" t="str">
        <f>IF(ISNA(MATCH($N378,data!$A:$A,0)),"",INDEX(data!H:H,MATCH($N378,data!$A:$A,0)))</f>
        <v/>
      </c>
      <c r="AT378" s="38" t="str">
        <f>IF(ISNA(MATCH($N378,data!$A:$A,0)),"",INDEX(data!I:I,MATCH($N378,data!$A:$A,0)))</f>
        <v/>
      </c>
      <c r="AU378" s="38" t="str">
        <f>IF(ISNA(MATCH($N378,[1]data!$A:$A,0)),"",INDEX([1]data!L:L,MATCH($N378,[1]data!$A:$A,0)))</f>
        <v/>
      </c>
      <c r="AV378" s="38" t="str">
        <f>IF(ISNA(MATCH($N378,[1]data!$A:$A,0)),"",INDEX([1]data!M:M,MATCH($N378,[1]data!$A:$A,0)))</f>
        <v/>
      </c>
      <c r="AW378" s="38" t="str">
        <f>IF(ISNA(MATCH($N378,data!$A:$A,0)),"",INDEX(data!J:J,MATCH($N378,data!$A:$A,0)))</f>
        <v/>
      </c>
      <c r="AX378" s="38" t="str">
        <f>IF(ISNA(MATCH($N378,data!$A:$A,0)),"",INDEX(data!K:K,MATCH($N378,data!$A:$A,0)))</f>
        <v/>
      </c>
      <c r="AY378" s="38" t="str">
        <f>IF(ISNA(MATCH($N378,data!$A:$A,0)),"",INDEX(data!O:O,MATCH($N378,data!$A:$A,0)))</f>
        <v/>
      </c>
      <c r="AZ378" s="38" t="str">
        <f>IF(ISNA(MATCH($N378,data!$A:$A,0)),"",INDEX(data!N:N,MATCH($N378,data!$A:$A,0)))</f>
        <v/>
      </c>
      <c r="BA378" s="38" t="str">
        <f>IF(ISNA(MATCH($N378,data!$A:$A,0)),"",INDEX(data!P:P,MATCH($N378,data!$A:$A,0)))</f>
        <v/>
      </c>
      <c r="BB378" s="38" t="str">
        <f>IF(ISNA(MATCH($N378,data!$A:$A,0)),"",INDEX(data!Q:Q,MATCH($N378,data!$A:$A,0)))</f>
        <v/>
      </c>
      <c r="BC378" s="38" t="str">
        <f>IF(ISNA(MATCH($N378,data!$A:$A,0)),"",INDEX(data!R:R,MATCH($N378,data!$A:$A,0)))</f>
        <v/>
      </c>
      <c r="BD378" s="38" t="str">
        <f>IF(ISNA(MATCH($N378,[1]data!$A:$A,0)),"",INDEX([1]data!U:U,MATCH($N378,[1]data!$A:$A,0)))</f>
        <v/>
      </c>
      <c r="BE378" s="61" t="e">
        <f>IF(COUNTIF([1]data!A:A,[1]!Table1[[#This Row],[UPC]])&lt;2,"","DUP")</f>
        <v>#VALUE!</v>
      </c>
      <c r="BF378" s="38" t="str">
        <f>IF(ISNA(MATCH($N378,data!$A:$A,0)),"",INDEX(data!W:W,MATCH($N378,data!$A:$A,0)))</f>
        <v/>
      </c>
    </row>
    <row r="379" spans="1:58" ht="12.75" customHeight="1">
      <c r="A379" s="35"/>
      <c r="B379" s="35"/>
      <c r="C379" s="35"/>
      <c r="D379" s="35"/>
      <c r="E379" s="67"/>
      <c r="F379" s="67"/>
      <c r="G379" s="36"/>
      <c r="H379" s="29"/>
      <c r="I379" s="78" t="str">
        <f t="shared" si="6"/>
        <v/>
      </c>
      <c r="J379" s="29"/>
      <c r="K379" s="29"/>
      <c r="L379" s="33"/>
      <c r="M379" s="33"/>
      <c r="N379" s="60"/>
      <c r="O379" s="71"/>
      <c r="P379" s="71"/>
      <c r="Q379" s="33"/>
      <c r="R379" s="31"/>
      <c r="S379" s="31"/>
      <c r="T379" s="59"/>
      <c r="U379" s="59"/>
      <c r="V379" s="59"/>
      <c r="W379" s="57">
        <f t="shared" si="7"/>
        <v>0</v>
      </c>
      <c r="X379" s="126" t="str">
        <f>IF(Table1[[#This Row],[Shipping Weight Pounds]]&gt;150,"See LTL Form","No")</f>
        <v>No</v>
      </c>
      <c r="Y379" s="28"/>
      <c r="Z379" s="33"/>
      <c r="AA379" s="34"/>
      <c r="AB379" s="30"/>
      <c r="AC379" s="30"/>
      <c r="AD379" s="32"/>
      <c r="AE379" s="32"/>
      <c r="AF379" s="2"/>
      <c r="AG379" s="2"/>
      <c r="AH379" s="2"/>
      <c r="AI379" s="2"/>
      <c r="AK379" s="73" t="str">
        <f>IF(ISNA(MATCH($N379,[1]data!$A:$A,0)),"",INDEX([1]data!S:S,MATCH($N379,[1]data!$A:$A,0)))</f>
        <v/>
      </c>
      <c r="AL379" s="73" t="str">
        <f>IF(ISNA(MATCH($N379,[1]data!$A:$A,0)),"",INDEX([1]data!V:V,MATCH($N379,[1]data!$A:$A,0)))</f>
        <v/>
      </c>
      <c r="AM379" s="38" t="str">
        <f>IF(ISNA(MATCH($N379,data!$A:$A,0)),"",INDEX(data!B:B,MATCH($N379,data!$A:$A,0)))</f>
        <v/>
      </c>
      <c r="AN379" s="38" t="str">
        <f>IF(ISNA(MATCH($N379,data!$A:$A,0)),"",INDEX(data!C:C,MATCH($N379,data!$A:$A,0)))</f>
        <v/>
      </c>
      <c r="AO379" s="38" t="str">
        <f>IF(ISNA(MATCH($N379,data!$A:$A,0)),"",INDEX(data!D:D,MATCH($N379,data!$A:$A,0)))</f>
        <v/>
      </c>
      <c r="AP379" s="38" t="str">
        <f>IF(ISNA(MATCH($N379,data!$A:$A,0)),"",INDEX(data!E:E,MATCH($N379,data!$A:$A,0)))</f>
        <v/>
      </c>
      <c r="AQ379" s="38" t="str">
        <f>IF(ISNA(MATCH($N379,data!$A:$A,0)),"",INDEX(data!F:F,MATCH($N379,data!$A:$A,0)))</f>
        <v/>
      </c>
      <c r="AR379" s="38" t="str">
        <f>IF(ISNA(MATCH($N379,data!$A:$A,0)),"",INDEX(data!G:G,MATCH($N379,data!$A:$A,0)))</f>
        <v/>
      </c>
      <c r="AS379" s="38" t="str">
        <f>IF(ISNA(MATCH($N379,data!$A:$A,0)),"",INDEX(data!H:H,MATCH($N379,data!$A:$A,0)))</f>
        <v/>
      </c>
      <c r="AT379" s="38" t="str">
        <f>IF(ISNA(MATCH($N379,data!$A:$A,0)),"",INDEX(data!I:I,MATCH($N379,data!$A:$A,0)))</f>
        <v/>
      </c>
      <c r="AU379" s="38" t="str">
        <f>IF(ISNA(MATCH($N379,[1]data!$A:$A,0)),"",INDEX([1]data!L:L,MATCH($N379,[1]data!$A:$A,0)))</f>
        <v/>
      </c>
      <c r="AV379" s="38" t="str">
        <f>IF(ISNA(MATCH($N379,[1]data!$A:$A,0)),"",INDEX([1]data!M:M,MATCH($N379,[1]data!$A:$A,0)))</f>
        <v/>
      </c>
      <c r="AW379" s="38" t="str">
        <f>IF(ISNA(MATCH($N379,data!$A:$A,0)),"",INDEX(data!J:J,MATCH($N379,data!$A:$A,0)))</f>
        <v/>
      </c>
      <c r="AX379" s="38" t="str">
        <f>IF(ISNA(MATCH($N379,data!$A:$A,0)),"",INDEX(data!K:K,MATCH($N379,data!$A:$A,0)))</f>
        <v/>
      </c>
      <c r="AY379" s="38" t="str">
        <f>IF(ISNA(MATCH($N379,data!$A:$A,0)),"",INDEX(data!O:O,MATCH($N379,data!$A:$A,0)))</f>
        <v/>
      </c>
      <c r="AZ379" s="38" t="str">
        <f>IF(ISNA(MATCH($N379,data!$A:$A,0)),"",INDEX(data!N:N,MATCH($N379,data!$A:$A,0)))</f>
        <v/>
      </c>
      <c r="BA379" s="38" t="str">
        <f>IF(ISNA(MATCH($N379,data!$A:$A,0)),"",INDEX(data!P:P,MATCH($N379,data!$A:$A,0)))</f>
        <v/>
      </c>
      <c r="BB379" s="38" t="str">
        <f>IF(ISNA(MATCH($N379,data!$A:$A,0)),"",INDEX(data!Q:Q,MATCH($N379,data!$A:$A,0)))</f>
        <v/>
      </c>
      <c r="BC379" s="38" t="str">
        <f>IF(ISNA(MATCH($N379,data!$A:$A,0)),"",INDEX(data!R:R,MATCH($N379,data!$A:$A,0)))</f>
        <v/>
      </c>
      <c r="BD379" s="38" t="str">
        <f>IF(ISNA(MATCH($N379,[1]data!$A:$A,0)),"",INDEX([1]data!U:U,MATCH($N379,[1]data!$A:$A,0)))</f>
        <v/>
      </c>
      <c r="BE379" s="61" t="e">
        <f>IF(COUNTIF([1]data!A:A,[1]!Table1[[#This Row],[UPC]])&lt;2,"","DUP")</f>
        <v>#VALUE!</v>
      </c>
      <c r="BF379" s="38" t="str">
        <f>IF(ISNA(MATCH($N379,data!$A:$A,0)),"",INDEX(data!W:W,MATCH($N379,data!$A:$A,0)))</f>
        <v/>
      </c>
    </row>
    <row r="380" spans="1:58" ht="12.75" customHeight="1">
      <c r="A380" s="35"/>
      <c r="B380" s="35"/>
      <c r="C380" s="35"/>
      <c r="D380" s="35"/>
      <c r="E380" s="67"/>
      <c r="F380" s="67"/>
      <c r="G380" s="36"/>
      <c r="H380" s="29"/>
      <c r="I380" s="78" t="str">
        <f t="shared" si="6"/>
        <v/>
      </c>
      <c r="J380" s="29"/>
      <c r="K380" s="29"/>
      <c r="L380" s="33"/>
      <c r="M380" s="33"/>
      <c r="N380" s="60"/>
      <c r="O380" s="71"/>
      <c r="P380" s="71"/>
      <c r="Q380" s="33"/>
      <c r="R380" s="31"/>
      <c r="S380" s="31"/>
      <c r="T380" s="59"/>
      <c r="U380" s="59"/>
      <c r="V380" s="59"/>
      <c r="W380" s="57">
        <f t="shared" si="7"/>
        <v>0</v>
      </c>
      <c r="X380" s="126" t="str">
        <f>IF(Table1[[#This Row],[Shipping Weight Pounds]]&gt;150,"See LTL Form","No")</f>
        <v>No</v>
      </c>
      <c r="Y380" s="28"/>
      <c r="Z380" s="33"/>
      <c r="AA380" s="34"/>
      <c r="AB380" s="30"/>
      <c r="AC380" s="30"/>
      <c r="AD380" s="32"/>
      <c r="AE380" s="32"/>
      <c r="AF380" s="2"/>
      <c r="AG380" s="2"/>
      <c r="AH380" s="2"/>
      <c r="AI380" s="2"/>
      <c r="AK380" s="73" t="str">
        <f>IF(ISNA(MATCH($N380,[1]data!$A:$A,0)),"",INDEX([1]data!S:S,MATCH($N380,[1]data!$A:$A,0)))</f>
        <v/>
      </c>
      <c r="AL380" s="73" t="str">
        <f>IF(ISNA(MATCH($N380,[1]data!$A:$A,0)),"",INDEX([1]data!V:V,MATCH($N380,[1]data!$A:$A,0)))</f>
        <v/>
      </c>
      <c r="AM380" s="38" t="str">
        <f>IF(ISNA(MATCH($N380,data!$A:$A,0)),"",INDEX(data!B:B,MATCH($N380,data!$A:$A,0)))</f>
        <v/>
      </c>
      <c r="AN380" s="38" t="str">
        <f>IF(ISNA(MATCH($N380,data!$A:$A,0)),"",INDEX(data!C:C,MATCH($N380,data!$A:$A,0)))</f>
        <v/>
      </c>
      <c r="AO380" s="38" t="str">
        <f>IF(ISNA(MATCH($N380,data!$A:$A,0)),"",INDEX(data!D:D,MATCH($N380,data!$A:$A,0)))</f>
        <v/>
      </c>
      <c r="AP380" s="38" t="str">
        <f>IF(ISNA(MATCH($N380,data!$A:$A,0)),"",INDEX(data!E:E,MATCH($N380,data!$A:$A,0)))</f>
        <v/>
      </c>
      <c r="AQ380" s="38" t="str">
        <f>IF(ISNA(MATCH($N380,data!$A:$A,0)),"",INDEX(data!F:F,MATCH($N380,data!$A:$A,0)))</f>
        <v/>
      </c>
      <c r="AR380" s="38" t="str">
        <f>IF(ISNA(MATCH($N380,data!$A:$A,0)),"",INDEX(data!G:G,MATCH($N380,data!$A:$A,0)))</f>
        <v/>
      </c>
      <c r="AS380" s="38" t="str">
        <f>IF(ISNA(MATCH($N380,data!$A:$A,0)),"",INDEX(data!H:H,MATCH($N380,data!$A:$A,0)))</f>
        <v/>
      </c>
      <c r="AT380" s="38" t="str">
        <f>IF(ISNA(MATCH($N380,data!$A:$A,0)),"",INDEX(data!I:I,MATCH($N380,data!$A:$A,0)))</f>
        <v/>
      </c>
      <c r="AU380" s="38" t="str">
        <f>IF(ISNA(MATCH($N380,[1]data!$A:$A,0)),"",INDEX([1]data!L:L,MATCH($N380,[1]data!$A:$A,0)))</f>
        <v/>
      </c>
      <c r="AV380" s="38" t="str">
        <f>IF(ISNA(MATCH($N380,[1]data!$A:$A,0)),"",INDEX([1]data!M:M,MATCH($N380,[1]data!$A:$A,0)))</f>
        <v/>
      </c>
      <c r="AW380" s="38" t="str">
        <f>IF(ISNA(MATCH($N380,data!$A:$A,0)),"",INDEX(data!J:J,MATCH($N380,data!$A:$A,0)))</f>
        <v/>
      </c>
      <c r="AX380" s="38" t="str">
        <f>IF(ISNA(MATCH($N380,data!$A:$A,0)),"",INDEX(data!K:K,MATCH($N380,data!$A:$A,0)))</f>
        <v/>
      </c>
      <c r="AY380" s="38" t="str">
        <f>IF(ISNA(MATCH($N380,data!$A:$A,0)),"",INDEX(data!O:O,MATCH($N380,data!$A:$A,0)))</f>
        <v/>
      </c>
      <c r="AZ380" s="38" t="str">
        <f>IF(ISNA(MATCH($N380,data!$A:$A,0)),"",INDEX(data!N:N,MATCH($N380,data!$A:$A,0)))</f>
        <v/>
      </c>
      <c r="BA380" s="38" t="str">
        <f>IF(ISNA(MATCH($N380,data!$A:$A,0)),"",INDEX(data!P:P,MATCH($N380,data!$A:$A,0)))</f>
        <v/>
      </c>
      <c r="BB380" s="38" t="str">
        <f>IF(ISNA(MATCH($N380,data!$A:$A,0)),"",INDEX(data!Q:Q,MATCH($N380,data!$A:$A,0)))</f>
        <v/>
      </c>
      <c r="BC380" s="38" t="str">
        <f>IF(ISNA(MATCH($N380,data!$A:$A,0)),"",INDEX(data!R:R,MATCH($N380,data!$A:$A,0)))</f>
        <v/>
      </c>
      <c r="BD380" s="38" t="str">
        <f>IF(ISNA(MATCH($N380,[1]data!$A:$A,0)),"",INDEX([1]data!U:U,MATCH($N380,[1]data!$A:$A,0)))</f>
        <v/>
      </c>
      <c r="BE380" s="61" t="e">
        <f>IF(COUNTIF([1]data!A:A,[1]!Table1[[#This Row],[UPC]])&lt;2,"","DUP")</f>
        <v>#VALUE!</v>
      </c>
      <c r="BF380" s="38" t="str">
        <f>IF(ISNA(MATCH($N380,data!$A:$A,0)),"",INDEX(data!W:W,MATCH($N380,data!$A:$A,0)))</f>
        <v/>
      </c>
    </row>
    <row r="381" spans="1:58" ht="12.75" customHeight="1">
      <c r="A381" s="35"/>
      <c r="B381" s="35"/>
      <c r="C381" s="35"/>
      <c r="D381" s="35"/>
      <c r="E381" s="67"/>
      <c r="F381" s="67"/>
      <c r="G381" s="36"/>
      <c r="H381" s="29"/>
      <c r="I381" s="78" t="str">
        <f t="shared" si="6"/>
        <v/>
      </c>
      <c r="J381" s="29"/>
      <c r="K381" s="29"/>
      <c r="L381" s="33"/>
      <c r="M381" s="33"/>
      <c r="N381" s="60"/>
      <c r="O381" s="71"/>
      <c r="P381" s="71"/>
      <c r="Q381" s="33"/>
      <c r="R381" s="31"/>
      <c r="S381" s="31"/>
      <c r="T381" s="59"/>
      <c r="U381" s="59"/>
      <c r="V381" s="59"/>
      <c r="W381" s="57">
        <f t="shared" si="7"/>
        <v>0</v>
      </c>
      <c r="X381" s="126" t="str">
        <f>IF(Table1[[#This Row],[Shipping Weight Pounds]]&gt;150,"See LTL Form","No")</f>
        <v>No</v>
      </c>
      <c r="Y381" s="28"/>
      <c r="Z381" s="33"/>
      <c r="AA381" s="34"/>
      <c r="AB381" s="30"/>
      <c r="AC381" s="30"/>
      <c r="AD381" s="32"/>
      <c r="AE381" s="32"/>
      <c r="AF381" s="2"/>
      <c r="AG381" s="2"/>
      <c r="AH381" s="2"/>
      <c r="AI381" s="2"/>
      <c r="AK381" s="73" t="str">
        <f>IF(ISNA(MATCH($N381,[1]data!$A:$A,0)),"",INDEX([1]data!S:S,MATCH($N381,[1]data!$A:$A,0)))</f>
        <v/>
      </c>
      <c r="AL381" s="73" t="str">
        <f>IF(ISNA(MATCH($N381,[1]data!$A:$A,0)),"",INDEX([1]data!V:V,MATCH($N381,[1]data!$A:$A,0)))</f>
        <v/>
      </c>
      <c r="AM381" s="38" t="str">
        <f>IF(ISNA(MATCH($N381,data!$A:$A,0)),"",INDEX(data!B:B,MATCH($N381,data!$A:$A,0)))</f>
        <v/>
      </c>
      <c r="AN381" s="38" t="str">
        <f>IF(ISNA(MATCH($N381,data!$A:$A,0)),"",INDEX(data!C:C,MATCH($N381,data!$A:$A,0)))</f>
        <v/>
      </c>
      <c r="AO381" s="38" t="str">
        <f>IF(ISNA(MATCH($N381,data!$A:$A,0)),"",INDEX(data!D:D,MATCH($N381,data!$A:$A,0)))</f>
        <v/>
      </c>
      <c r="AP381" s="38" t="str">
        <f>IF(ISNA(MATCH($N381,data!$A:$A,0)),"",INDEX(data!E:E,MATCH($N381,data!$A:$A,0)))</f>
        <v/>
      </c>
      <c r="AQ381" s="38" t="str">
        <f>IF(ISNA(MATCH($N381,data!$A:$A,0)),"",INDEX(data!F:F,MATCH($N381,data!$A:$A,0)))</f>
        <v/>
      </c>
      <c r="AR381" s="38" t="str">
        <f>IF(ISNA(MATCH($N381,data!$A:$A,0)),"",INDEX(data!G:G,MATCH($N381,data!$A:$A,0)))</f>
        <v/>
      </c>
      <c r="AS381" s="38" t="str">
        <f>IF(ISNA(MATCH($N381,data!$A:$A,0)),"",INDEX(data!H:H,MATCH($N381,data!$A:$A,0)))</f>
        <v/>
      </c>
      <c r="AT381" s="38" t="str">
        <f>IF(ISNA(MATCH($N381,data!$A:$A,0)),"",INDEX(data!I:I,MATCH($N381,data!$A:$A,0)))</f>
        <v/>
      </c>
      <c r="AU381" s="38" t="str">
        <f>IF(ISNA(MATCH($N381,[1]data!$A:$A,0)),"",INDEX([1]data!L:L,MATCH($N381,[1]data!$A:$A,0)))</f>
        <v/>
      </c>
      <c r="AV381" s="38" t="str">
        <f>IF(ISNA(MATCH($N381,[1]data!$A:$A,0)),"",INDEX([1]data!M:M,MATCH($N381,[1]data!$A:$A,0)))</f>
        <v/>
      </c>
      <c r="AW381" s="38" t="str">
        <f>IF(ISNA(MATCH($N381,data!$A:$A,0)),"",INDEX(data!J:J,MATCH($N381,data!$A:$A,0)))</f>
        <v/>
      </c>
      <c r="AX381" s="38" t="str">
        <f>IF(ISNA(MATCH($N381,data!$A:$A,0)),"",INDEX(data!K:K,MATCH($N381,data!$A:$A,0)))</f>
        <v/>
      </c>
      <c r="AY381" s="38" t="str">
        <f>IF(ISNA(MATCH($N381,data!$A:$A,0)),"",INDEX(data!O:O,MATCH($N381,data!$A:$A,0)))</f>
        <v/>
      </c>
      <c r="AZ381" s="38" t="str">
        <f>IF(ISNA(MATCH($N381,data!$A:$A,0)),"",INDEX(data!N:N,MATCH($N381,data!$A:$A,0)))</f>
        <v/>
      </c>
      <c r="BA381" s="38" t="str">
        <f>IF(ISNA(MATCH($N381,data!$A:$A,0)),"",INDEX(data!P:P,MATCH($N381,data!$A:$A,0)))</f>
        <v/>
      </c>
      <c r="BB381" s="38" t="str">
        <f>IF(ISNA(MATCH($N381,data!$A:$A,0)),"",INDEX(data!Q:Q,MATCH($N381,data!$A:$A,0)))</f>
        <v/>
      </c>
      <c r="BC381" s="38" t="str">
        <f>IF(ISNA(MATCH($N381,data!$A:$A,0)),"",INDEX(data!R:R,MATCH($N381,data!$A:$A,0)))</f>
        <v/>
      </c>
      <c r="BD381" s="38" t="str">
        <f>IF(ISNA(MATCH($N381,[1]data!$A:$A,0)),"",INDEX([1]data!U:U,MATCH($N381,[1]data!$A:$A,0)))</f>
        <v/>
      </c>
      <c r="BE381" s="61" t="e">
        <f>IF(COUNTIF([1]data!A:A,[1]!Table1[[#This Row],[UPC]])&lt;2,"","DUP")</f>
        <v>#VALUE!</v>
      </c>
      <c r="BF381" s="38" t="str">
        <f>IF(ISNA(MATCH($N381,data!$A:$A,0)),"",INDEX(data!W:W,MATCH($N381,data!$A:$A,0)))</f>
        <v/>
      </c>
    </row>
    <row r="382" spans="1:58" ht="12.75" customHeight="1">
      <c r="A382" s="35"/>
      <c r="B382" s="35"/>
      <c r="C382" s="35"/>
      <c r="D382" s="35"/>
      <c r="E382" s="67"/>
      <c r="F382" s="67"/>
      <c r="G382" s="36"/>
      <c r="H382" s="29"/>
      <c r="I382" s="78" t="str">
        <f t="shared" si="6"/>
        <v/>
      </c>
      <c r="J382" s="29"/>
      <c r="K382" s="29"/>
      <c r="L382" s="33"/>
      <c r="M382" s="33"/>
      <c r="N382" s="60"/>
      <c r="O382" s="71"/>
      <c r="P382" s="71"/>
      <c r="Q382" s="33"/>
      <c r="R382" s="31"/>
      <c r="S382" s="31"/>
      <c r="T382" s="59"/>
      <c r="U382" s="59"/>
      <c r="V382" s="59"/>
      <c r="W382" s="57">
        <f t="shared" si="7"/>
        <v>0</v>
      </c>
      <c r="X382" s="126" t="str">
        <f>IF(Table1[[#This Row],[Shipping Weight Pounds]]&gt;150,"See LTL Form","No")</f>
        <v>No</v>
      </c>
      <c r="Y382" s="28"/>
      <c r="Z382" s="33"/>
      <c r="AA382" s="34"/>
      <c r="AB382" s="30"/>
      <c r="AC382" s="30"/>
      <c r="AD382" s="32"/>
      <c r="AE382" s="32"/>
      <c r="AF382" s="2"/>
      <c r="AG382" s="2"/>
      <c r="AH382" s="2"/>
      <c r="AI382" s="2"/>
      <c r="AK382" s="73" t="str">
        <f>IF(ISNA(MATCH($N382,[1]data!$A:$A,0)),"",INDEX([1]data!S:S,MATCH($N382,[1]data!$A:$A,0)))</f>
        <v/>
      </c>
      <c r="AL382" s="73" t="str">
        <f>IF(ISNA(MATCH($N382,[1]data!$A:$A,0)),"",INDEX([1]data!V:V,MATCH($N382,[1]data!$A:$A,0)))</f>
        <v/>
      </c>
      <c r="AM382" s="38" t="str">
        <f>IF(ISNA(MATCH($N382,data!$A:$A,0)),"",INDEX(data!B:B,MATCH($N382,data!$A:$A,0)))</f>
        <v/>
      </c>
      <c r="AN382" s="38" t="str">
        <f>IF(ISNA(MATCH($N382,data!$A:$A,0)),"",INDEX(data!C:C,MATCH($N382,data!$A:$A,0)))</f>
        <v/>
      </c>
      <c r="AO382" s="38" t="str">
        <f>IF(ISNA(MATCH($N382,data!$A:$A,0)),"",INDEX(data!D:D,MATCH($N382,data!$A:$A,0)))</f>
        <v/>
      </c>
      <c r="AP382" s="38" t="str">
        <f>IF(ISNA(MATCH($N382,data!$A:$A,0)),"",INDEX(data!E:E,MATCH($N382,data!$A:$A,0)))</f>
        <v/>
      </c>
      <c r="AQ382" s="38" t="str">
        <f>IF(ISNA(MATCH($N382,data!$A:$A,0)),"",INDEX(data!F:F,MATCH($N382,data!$A:$A,0)))</f>
        <v/>
      </c>
      <c r="AR382" s="38" t="str">
        <f>IF(ISNA(MATCH($N382,data!$A:$A,0)),"",INDEX(data!G:G,MATCH($N382,data!$A:$A,0)))</f>
        <v/>
      </c>
      <c r="AS382" s="38" t="str">
        <f>IF(ISNA(MATCH($N382,data!$A:$A,0)),"",INDEX(data!H:H,MATCH($N382,data!$A:$A,0)))</f>
        <v/>
      </c>
      <c r="AT382" s="38" t="str">
        <f>IF(ISNA(MATCH($N382,data!$A:$A,0)),"",INDEX(data!I:I,MATCH($N382,data!$A:$A,0)))</f>
        <v/>
      </c>
      <c r="AU382" s="38" t="str">
        <f>IF(ISNA(MATCH($N382,[1]data!$A:$A,0)),"",INDEX([1]data!L:L,MATCH($N382,[1]data!$A:$A,0)))</f>
        <v/>
      </c>
      <c r="AV382" s="38" t="str">
        <f>IF(ISNA(MATCH($N382,[1]data!$A:$A,0)),"",INDEX([1]data!M:M,MATCH($N382,[1]data!$A:$A,0)))</f>
        <v/>
      </c>
      <c r="AW382" s="38" t="str">
        <f>IF(ISNA(MATCH($N382,data!$A:$A,0)),"",INDEX(data!J:J,MATCH($N382,data!$A:$A,0)))</f>
        <v/>
      </c>
      <c r="AX382" s="38" t="str">
        <f>IF(ISNA(MATCH($N382,data!$A:$A,0)),"",INDEX(data!K:K,MATCH($N382,data!$A:$A,0)))</f>
        <v/>
      </c>
      <c r="AY382" s="38" t="str">
        <f>IF(ISNA(MATCH($N382,data!$A:$A,0)),"",INDEX(data!O:O,MATCH($N382,data!$A:$A,0)))</f>
        <v/>
      </c>
      <c r="AZ382" s="38" t="str">
        <f>IF(ISNA(MATCH($N382,data!$A:$A,0)),"",INDEX(data!N:N,MATCH($N382,data!$A:$A,0)))</f>
        <v/>
      </c>
      <c r="BA382" s="38" t="str">
        <f>IF(ISNA(MATCH($N382,data!$A:$A,0)),"",INDEX(data!P:P,MATCH($N382,data!$A:$A,0)))</f>
        <v/>
      </c>
      <c r="BB382" s="38" t="str">
        <f>IF(ISNA(MATCH($N382,data!$A:$A,0)),"",INDEX(data!Q:Q,MATCH($N382,data!$A:$A,0)))</f>
        <v/>
      </c>
      <c r="BC382" s="38" t="str">
        <f>IF(ISNA(MATCH($N382,data!$A:$A,0)),"",INDEX(data!R:R,MATCH($N382,data!$A:$A,0)))</f>
        <v/>
      </c>
      <c r="BD382" s="38" t="str">
        <f>IF(ISNA(MATCH($N382,[1]data!$A:$A,0)),"",INDEX([1]data!U:U,MATCH($N382,[1]data!$A:$A,0)))</f>
        <v/>
      </c>
      <c r="BE382" s="61" t="e">
        <f>IF(COUNTIF([1]data!A:A,[1]!Table1[[#This Row],[UPC]])&lt;2,"","DUP")</f>
        <v>#VALUE!</v>
      </c>
      <c r="BF382" s="38" t="str">
        <f>IF(ISNA(MATCH($N382,data!$A:$A,0)),"",INDEX(data!W:W,MATCH($N382,data!$A:$A,0)))</f>
        <v/>
      </c>
    </row>
    <row r="383" spans="1:58" ht="12.75" customHeight="1">
      <c r="A383" s="35"/>
      <c r="B383" s="35"/>
      <c r="C383" s="35"/>
      <c r="D383" s="35"/>
      <c r="E383" s="67"/>
      <c r="F383" s="67"/>
      <c r="G383" s="36"/>
      <c r="H383" s="29"/>
      <c r="I383" s="78" t="str">
        <f t="shared" si="6"/>
        <v/>
      </c>
      <c r="J383" s="29"/>
      <c r="K383" s="29"/>
      <c r="L383" s="33"/>
      <c r="M383" s="33"/>
      <c r="N383" s="60"/>
      <c r="O383" s="71"/>
      <c r="P383" s="71"/>
      <c r="Q383" s="33"/>
      <c r="R383" s="31"/>
      <c r="S383" s="31"/>
      <c r="T383" s="59"/>
      <c r="U383" s="59"/>
      <c r="V383" s="59"/>
      <c r="W383" s="57">
        <f t="shared" si="7"/>
        <v>0</v>
      </c>
      <c r="X383" s="126" t="str">
        <f>IF(Table1[[#This Row],[Shipping Weight Pounds]]&gt;150,"See LTL Form","No")</f>
        <v>No</v>
      </c>
      <c r="Y383" s="28"/>
      <c r="Z383" s="33"/>
      <c r="AA383" s="34"/>
      <c r="AB383" s="30"/>
      <c r="AC383" s="30"/>
      <c r="AD383" s="32"/>
      <c r="AE383" s="32"/>
      <c r="AF383" s="2"/>
      <c r="AG383" s="2"/>
      <c r="AH383" s="2"/>
      <c r="AI383" s="2"/>
      <c r="AK383" s="73" t="str">
        <f>IF(ISNA(MATCH($N383,[1]data!$A:$A,0)),"",INDEX([1]data!S:S,MATCH($N383,[1]data!$A:$A,0)))</f>
        <v/>
      </c>
      <c r="AL383" s="73" t="str">
        <f>IF(ISNA(MATCH($N383,[1]data!$A:$A,0)),"",INDEX([1]data!V:V,MATCH($N383,[1]data!$A:$A,0)))</f>
        <v/>
      </c>
      <c r="AM383" s="38" t="str">
        <f>IF(ISNA(MATCH($N383,data!$A:$A,0)),"",INDEX(data!B:B,MATCH($N383,data!$A:$A,0)))</f>
        <v/>
      </c>
      <c r="AN383" s="38" t="str">
        <f>IF(ISNA(MATCH($N383,data!$A:$A,0)),"",INDEX(data!C:C,MATCH($N383,data!$A:$A,0)))</f>
        <v/>
      </c>
      <c r="AO383" s="38" t="str">
        <f>IF(ISNA(MATCH($N383,data!$A:$A,0)),"",INDEX(data!D:D,MATCH($N383,data!$A:$A,0)))</f>
        <v/>
      </c>
      <c r="AP383" s="38" t="str">
        <f>IF(ISNA(MATCH($N383,data!$A:$A,0)),"",INDEX(data!E:E,MATCH($N383,data!$A:$A,0)))</f>
        <v/>
      </c>
      <c r="AQ383" s="38" t="str">
        <f>IF(ISNA(MATCH($N383,data!$A:$A,0)),"",INDEX(data!F:F,MATCH($N383,data!$A:$A,0)))</f>
        <v/>
      </c>
      <c r="AR383" s="38" t="str">
        <f>IF(ISNA(MATCH($N383,data!$A:$A,0)),"",INDEX(data!G:G,MATCH($N383,data!$A:$A,0)))</f>
        <v/>
      </c>
      <c r="AS383" s="38" t="str">
        <f>IF(ISNA(MATCH($N383,data!$A:$A,0)),"",INDEX(data!H:H,MATCH($N383,data!$A:$A,0)))</f>
        <v/>
      </c>
      <c r="AT383" s="38" t="str">
        <f>IF(ISNA(MATCH($N383,data!$A:$A,0)),"",INDEX(data!I:I,MATCH($N383,data!$A:$A,0)))</f>
        <v/>
      </c>
      <c r="AU383" s="38" t="str">
        <f>IF(ISNA(MATCH($N383,[1]data!$A:$A,0)),"",INDEX([1]data!L:L,MATCH($N383,[1]data!$A:$A,0)))</f>
        <v/>
      </c>
      <c r="AV383" s="38" t="str">
        <f>IF(ISNA(MATCH($N383,[1]data!$A:$A,0)),"",INDEX([1]data!M:M,MATCH($N383,[1]data!$A:$A,0)))</f>
        <v/>
      </c>
      <c r="AW383" s="38" t="str">
        <f>IF(ISNA(MATCH($N383,data!$A:$A,0)),"",INDEX(data!J:J,MATCH($N383,data!$A:$A,0)))</f>
        <v/>
      </c>
      <c r="AX383" s="38" t="str">
        <f>IF(ISNA(MATCH($N383,data!$A:$A,0)),"",INDEX(data!K:K,MATCH($N383,data!$A:$A,0)))</f>
        <v/>
      </c>
      <c r="AY383" s="38" t="str">
        <f>IF(ISNA(MATCH($N383,data!$A:$A,0)),"",INDEX(data!O:O,MATCH($N383,data!$A:$A,0)))</f>
        <v/>
      </c>
      <c r="AZ383" s="38" t="str">
        <f>IF(ISNA(MATCH($N383,data!$A:$A,0)),"",INDEX(data!N:N,MATCH($N383,data!$A:$A,0)))</f>
        <v/>
      </c>
      <c r="BA383" s="38" t="str">
        <f>IF(ISNA(MATCH($N383,data!$A:$A,0)),"",INDEX(data!P:P,MATCH($N383,data!$A:$A,0)))</f>
        <v/>
      </c>
      <c r="BB383" s="38" t="str">
        <f>IF(ISNA(MATCH($N383,data!$A:$A,0)),"",INDEX(data!Q:Q,MATCH($N383,data!$A:$A,0)))</f>
        <v/>
      </c>
      <c r="BC383" s="38" t="str">
        <f>IF(ISNA(MATCH($N383,data!$A:$A,0)),"",INDEX(data!R:R,MATCH($N383,data!$A:$A,0)))</f>
        <v/>
      </c>
      <c r="BD383" s="38" t="str">
        <f>IF(ISNA(MATCH($N383,[1]data!$A:$A,0)),"",INDEX([1]data!U:U,MATCH($N383,[1]data!$A:$A,0)))</f>
        <v/>
      </c>
      <c r="BE383" s="61" t="e">
        <f>IF(COUNTIF([1]data!A:A,[1]!Table1[[#This Row],[UPC]])&lt;2,"","DUP")</f>
        <v>#VALUE!</v>
      </c>
      <c r="BF383" s="38" t="str">
        <f>IF(ISNA(MATCH($N383,data!$A:$A,0)),"",INDEX(data!W:W,MATCH($N383,data!$A:$A,0)))</f>
        <v/>
      </c>
    </row>
    <row r="384" spans="1:58" ht="12.75" customHeight="1">
      <c r="A384" s="35"/>
      <c r="B384" s="35"/>
      <c r="C384" s="35"/>
      <c r="D384" s="35"/>
      <c r="E384" s="67"/>
      <c r="F384" s="67"/>
      <c r="G384" s="36"/>
      <c r="H384" s="29"/>
      <c r="I384" s="78" t="str">
        <f t="shared" si="6"/>
        <v/>
      </c>
      <c r="J384" s="29"/>
      <c r="K384" s="29"/>
      <c r="L384" s="33"/>
      <c r="M384" s="33"/>
      <c r="N384" s="60"/>
      <c r="O384" s="71"/>
      <c r="P384" s="71"/>
      <c r="Q384" s="33"/>
      <c r="R384" s="31"/>
      <c r="S384" s="31"/>
      <c r="T384" s="59"/>
      <c r="U384" s="59"/>
      <c r="V384" s="59"/>
      <c r="W384" s="57">
        <f t="shared" si="7"/>
        <v>0</v>
      </c>
      <c r="X384" s="126" t="str">
        <f>IF(Table1[[#This Row],[Shipping Weight Pounds]]&gt;150,"See LTL Form","No")</f>
        <v>No</v>
      </c>
      <c r="Y384" s="28"/>
      <c r="Z384" s="33"/>
      <c r="AA384" s="34"/>
      <c r="AB384" s="30"/>
      <c r="AC384" s="30"/>
      <c r="AD384" s="32"/>
      <c r="AE384" s="32"/>
      <c r="AF384" s="2"/>
      <c r="AG384" s="2"/>
      <c r="AH384" s="2"/>
      <c r="AI384" s="2"/>
      <c r="AK384" s="73" t="str">
        <f>IF(ISNA(MATCH($N384,[1]data!$A:$A,0)),"",INDEX([1]data!S:S,MATCH($N384,[1]data!$A:$A,0)))</f>
        <v/>
      </c>
      <c r="AL384" s="73" t="str">
        <f>IF(ISNA(MATCH($N384,[1]data!$A:$A,0)),"",INDEX([1]data!V:V,MATCH($N384,[1]data!$A:$A,0)))</f>
        <v/>
      </c>
      <c r="AM384" s="38" t="str">
        <f>IF(ISNA(MATCH($N384,data!$A:$A,0)),"",INDEX(data!B:B,MATCH($N384,data!$A:$A,0)))</f>
        <v/>
      </c>
      <c r="AN384" s="38" t="str">
        <f>IF(ISNA(MATCH($N384,data!$A:$A,0)),"",INDEX(data!C:C,MATCH($N384,data!$A:$A,0)))</f>
        <v/>
      </c>
      <c r="AO384" s="38" t="str">
        <f>IF(ISNA(MATCH($N384,data!$A:$A,0)),"",INDEX(data!D:D,MATCH($N384,data!$A:$A,0)))</f>
        <v/>
      </c>
      <c r="AP384" s="38" t="str">
        <f>IF(ISNA(MATCH($N384,data!$A:$A,0)),"",INDEX(data!E:E,MATCH($N384,data!$A:$A,0)))</f>
        <v/>
      </c>
      <c r="AQ384" s="38" t="str">
        <f>IF(ISNA(MATCH($N384,data!$A:$A,0)),"",INDEX(data!F:F,MATCH($N384,data!$A:$A,0)))</f>
        <v/>
      </c>
      <c r="AR384" s="38" t="str">
        <f>IF(ISNA(MATCH($N384,data!$A:$A,0)),"",INDEX(data!G:G,MATCH($N384,data!$A:$A,0)))</f>
        <v/>
      </c>
      <c r="AS384" s="38" t="str">
        <f>IF(ISNA(MATCH($N384,data!$A:$A,0)),"",INDEX(data!H:H,MATCH($N384,data!$A:$A,0)))</f>
        <v/>
      </c>
      <c r="AT384" s="38" t="str">
        <f>IF(ISNA(MATCH($N384,data!$A:$A,0)),"",INDEX(data!I:I,MATCH($N384,data!$A:$A,0)))</f>
        <v/>
      </c>
      <c r="AU384" s="38" t="str">
        <f>IF(ISNA(MATCH($N384,[1]data!$A:$A,0)),"",INDEX([1]data!L:L,MATCH($N384,[1]data!$A:$A,0)))</f>
        <v/>
      </c>
      <c r="AV384" s="38" t="str">
        <f>IF(ISNA(MATCH($N384,[1]data!$A:$A,0)),"",INDEX([1]data!M:M,MATCH($N384,[1]data!$A:$A,0)))</f>
        <v/>
      </c>
      <c r="AW384" s="38" t="str">
        <f>IF(ISNA(MATCH($N384,data!$A:$A,0)),"",INDEX(data!J:J,MATCH($N384,data!$A:$A,0)))</f>
        <v/>
      </c>
      <c r="AX384" s="38" t="str">
        <f>IF(ISNA(MATCH($N384,data!$A:$A,0)),"",INDEX(data!K:K,MATCH($N384,data!$A:$A,0)))</f>
        <v/>
      </c>
      <c r="AY384" s="38" t="str">
        <f>IF(ISNA(MATCH($N384,data!$A:$A,0)),"",INDEX(data!O:O,MATCH($N384,data!$A:$A,0)))</f>
        <v/>
      </c>
      <c r="AZ384" s="38" t="str">
        <f>IF(ISNA(MATCH($N384,data!$A:$A,0)),"",INDEX(data!N:N,MATCH($N384,data!$A:$A,0)))</f>
        <v/>
      </c>
      <c r="BA384" s="38" t="str">
        <f>IF(ISNA(MATCH($N384,data!$A:$A,0)),"",INDEX(data!P:P,MATCH($N384,data!$A:$A,0)))</f>
        <v/>
      </c>
      <c r="BB384" s="38" t="str">
        <f>IF(ISNA(MATCH($N384,data!$A:$A,0)),"",INDEX(data!Q:Q,MATCH($N384,data!$A:$A,0)))</f>
        <v/>
      </c>
      <c r="BC384" s="38" t="str">
        <f>IF(ISNA(MATCH($N384,data!$A:$A,0)),"",INDEX(data!R:R,MATCH($N384,data!$A:$A,0)))</f>
        <v/>
      </c>
      <c r="BD384" s="38" t="str">
        <f>IF(ISNA(MATCH($N384,[1]data!$A:$A,0)),"",INDEX([1]data!U:U,MATCH($N384,[1]data!$A:$A,0)))</f>
        <v/>
      </c>
      <c r="BE384" s="61" t="e">
        <f>IF(COUNTIF([1]data!A:A,[1]!Table1[[#This Row],[UPC]])&lt;2,"","DUP")</f>
        <v>#VALUE!</v>
      </c>
      <c r="BF384" s="38" t="str">
        <f>IF(ISNA(MATCH($N384,data!$A:$A,0)),"",INDEX(data!W:W,MATCH($N384,data!$A:$A,0)))</f>
        <v/>
      </c>
    </row>
    <row r="385" spans="1:58" ht="12.75" customHeight="1">
      <c r="A385" s="35"/>
      <c r="B385" s="35"/>
      <c r="C385" s="35"/>
      <c r="D385" s="35"/>
      <c r="E385" s="67"/>
      <c r="F385" s="67"/>
      <c r="G385" s="36"/>
      <c r="H385" s="29"/>
      <c r="I385" s="78" t="str">
        <f t="shared" si="6"/>
        <v/>
      </c>
      <c r="J385" s="29"/>
      <c r="K385" s="29"/>
      <c r="L385" s="33"/>
      <c r="M385" s="33"/>
      <c r="N385" s="60"/>
      <c r="O385" s="71"/>
      <c r="P385" s="71"/>
      <c r="Q385" s="33"/>
      <c r="R385" s="31"/>
      <c r="S385" s="31"/>
      <c r="T385" s="59"/>
      <c r="U385" s="59"/>
      <c r="V385" s="59"/>
      <c r="W385" s="57">
        <f t="shared" si="7"/>
        <v>0</v>
      </c>
      <c r="X385" s="126" t="str">
        <f>IF(Table1[[#This Row],[Shipping Weight Pounds]]&gt;150,"See LTL Form","No")</f>
        <v>No</v>
      </c>
      <c r="Y385" s="28"/>
      <c r="Z385" s="33"/>
      <c r="AA385" s="34"/>
      <c r="AB385" s="30"/>
      <c r="AC385" s="30"/>
      <c r="AD385" s="32"/>
      <c r="AE385" s="32"/>
      <c r="AF385" s="2"/>
      <c r="AG385" s="2"/>
      <c r="AH385" s="2"/>
      <c r="AI385" s="2"/>
      <c r="AK385" s="73" t="str">
        <f>IF(ISNA(MATCH($N385,[1]data!$A:$A,0)),"",INDEX([1]data!S:S,MATCH($N385,[1]data!$A:$A,0)))</f>
        <v/>
      </c>
      <c r="AL385" s="73" t="str">
        <f>IF(ISNA(MATCH($N385,[1]data!$A:$A,0)),"",INDEX([1]data!V:V,MATCH($N385,[1]data!$A:$A,0)))</f>
        <v/>
      </c>
      <c r="AM385" s="38" t="str">
        <f>IF(ISNA(MATCH($N385,data!$A:$A,0)),"",INDEX(data!B:B,MATCH($N385,data!$A:$A,0)))</f>
        <v/>
      </c>
      <c r="AN385" s="38" t="str">
        <f>IF(ISNA(MATCH($N385,data!$A:$A,0)),"",INDEX(data!C:C,MATCH($N385,data!$A:$A,0)))</f>
        <v/>
      </c>
      <c r="AO385" s="38" t="str">
        <f>IF(ISNA(MATCH($N385,data!$A:$A,0)),"",INDEX(data!D:D,MATCH($N385,data!$A:$A,0)))</f>
        <v/>
      </c>
      <c r="AP385" s="38" t="str">
        <f>IF(ISNA(MATCH($N385,data!$A:$A,0)),"",INDEX(data!E:E,MATCH($N385,data!$A:$A,0)))</f>
        <v/>
      </c>
      <c r="AQ385" s="38" t="str">
        <f>IF(ISNA(MATCH($N385,data!$A:$A,0)),"",INDEX(data!F:F,MATCH($N385,data!$A:$A,0)))</f>
        <v/>
      </c>
      <c r="AR385" s="38" t="str">
        <f>IF(ISNA(MATCH($N385,data!$A:$A,0)),"",INDEX(data!G:G,MATCH($N385,data!$A:$A,0)))</f>
        <v/>
      </c>
      <c r="AS385" s="38" t="str">
        <f>IF(ISNA(MATCH($N385,data!$A:$A,0)),"",INDEX(data!H:H,MATCH($N385,data!$A:$A,0)))</f>
        <v/>
      </c>
      <c r="AT385" s="38" t="str">
        <f>IF(ISNA(MATCH($N385,data!$A:$A,0)),"",INDEX(data!I:I,MATCH($N385,data!$A:$A,0)))</f>
        <v/>
      </c>
      <c r="AU385" s="38" t="str">
        <f>IF(ISNA(MATCH($N385,[1]data!$A:$A,0)),"",INDEX([1]data!L:L,MATCH($N385,[1]data!$A:$A,0)))</f>
        <v/>
      </c>
      <c r="AV385" s="38" t="str">
        <f>IF(ISNA(MATCH($N385,[1]data!$A:$A,0)),"",INDEX([1]data!M:M,MATCH($N385,[1]data!$A:$A,0)))</f>
        <v/>
      </c>
      <c r="AW385" s="38" t="str">
        <f>IF(ISNA(MATCH($N385,data!$A:$A,0)),"",INDEX(data!J:J,MATCH($N385,data!$A:$A,0)))</f>
        <v/>
      </c>
      <c r="AX385" s="38" t="str">
        <f>IF(ISNA(MATCH($N385,data!$A:$A,0)),"",INDEX(data!K:K,MATCH($N385,data!$A:$A,0)))</f>
        <v/>
      </c>
      <c r="AY385" s="38" t="str">
        <f>IF(ISNA(MATCH($N385,data!$A:$A,0)),"",INDEX(data!O:O,MATCH($N385,data!$A:$A,0)))</f>
        <v/>
      </c>
      <c r="AZ385" s="38" t="str">
        <f>IF(ISNA(MATCH($N385,data!$A:$A,0)),"",INDEX(data!N:N,MATCH($N385,data!$A:$A,0)))</f>
        <v/>
      </c>
      <c r="BA385" s="38" t="str">
        <f>IF(ISNA(MATCH($N385,data!$A:$A,0)),"",INDEX(data!P:P,MATCH($N385,data!$A:$A,0)))</f>
        <v/>
      </c>
      <c r="BB385" s="38" t="str">
        <f>IF(ISNA(MATCH($N385,data!$A:$A,0)),"",INDEX(data!Q:Q,MATCH($N385,data!$A:$A,0)))</f>
        <v/>
      </c>
      <c r="BC385" s="38" t="str">
        <f>IF(ISNA(MATCH($N385,data!$A:$A,0)),"",INDEX(data!R:R,MATCH($N385,data!$A:$A,0)))</f>
        <v/>
      </c>
      <c r="BD385" s="38" t="str">
        <f>IF(ISNA(MATCH($N385,[1]data!$A:$A,0)),"",INDEX([1]data!U:U,MATCH($N385,[1]data!$A:$A,0)))</f>
        <v/>
      </c>
      <c r="BE385" s="61" t="e">
        <f>IF(COUNTIF([1]data!A:A,[1]!Table1[[#This Row],[UPC]])&lt;2,"","DUP")</f>
        <v>#VALUE!</v>
      </c>
      <c r="BF385" s="38" t="str">
        <f>IF(ISNA(MATCH($N385,data!$A:$A,0)),"",INDEX(data!W:W,MATCH($N385,data!$A:$A,0)))</f>
        <v/>
      </c>
    </row>
    <row r="386" spans="1:58" ht="12.75" customHeight="1">
      <c r="A386" s="35"/>
      <c r="B386" s="35"/>
      <c r="C386" s="35"/>
      <c r="D386" s="35"/>
      <c r="E386" s="67"/>
      <c r="F386" s="67"/>
      <c r="G386" s="36"/>
      <c r="H386" s="29"/>
      <c r="I386" s="78" t="str">
        <f t="shared" si="6"/>
        <v/>
      </c>
      <c r="J386" s="29"/>
      <c r="K386" s="29"/>
      <c r="L386" s="33"/>
      <c r="M386" s="33"/>
      <c r="N386" s="60"/>
      <c r="O386" s="71"/>
      <c r="P386" s="71"/>
      <c r="Q386" s="33"/>
      <c r="R386" s="31"/>
      <c r="S386" s="31"/>
      <c r="T386" s="59"/>
      <c r="U386" s="59"/>
      <c r="V386" s="59"/>
      <c r="W386" s="57">
        <f t="shared" si="7"/>
        <v>0</v>
      </c>
      <c r="X386" s="126" t="str">
        <f>IF(Table1[[#This Row],[Shipping Weight Pounds]]&gt;150,"See LTL Form","No")</f>
        <v>No</v>
      </c>
      <c r="Y386" s="28"/>
      <c r="Z386" s="33"/>
      <c r="AA386" s="34"/>
      <c r="AB386" s="30"/>
      <c r="AC386" s="30"/>
      <c r="AD386" s="32"/>
      <c r="AE386" s="32"/>
      <c r="AF386" s="2"/>
      <c r="AG386" s="2"/>
      <c r="AH386" s="2"/>
      <c r="AI386" s="2"/>
      <c r="AK386" s="73" t="str">
        <f>IF(ISNA(MATCH($N386,[1]data!$A:$A,0)),"",INDEX([1]data!S:S,MATCH($N386,[1]data!$A:$A,0)))</f>
        <v/>
      </c>
      <c r="AL386" s="73" t="str">
        <f>IF(ISNA(MATCH($N386,[1]data!$A:$A,0)),"",INDEX([1]data!V:V,MATCH($N386,[1]data!$A:$A,0)))</f>
        <v/>
      </c>
      <c r="AM386" s="38" t="str">
        <f>IF(ISNA(MATCH($N386,data!$A:$A,0)),"",INDEX(data!B:B,MATCH($N386,data!$A:$A,0)))</f>
        <v/>
      </c>
      <c r="AN386" s="38" t="str">
        <f>IF(ISNA(MATCH($N386,data!$A:$A,0)),"",INDEX(data!C:C,MATCH($N386,data!$A:$A,0)))</f>
        <v/>
      </c>
      <c r="AO386" s="38" t="str">
        <f>IF(ISNA(MATCH($N386,data!$A:$A,0)),"",INDEX(data!D:D,MATCH($N386,data!$A:$A,0)))</f>
        <v/>
      </c>
      <c r="AP386" s="38" t="str">
        <f>IF(ISNA(MATCH($N386,data!$A:$A,0)),"",INDEX(data!E:E,MATCH($N386,data!$A:$A,0)))</f>
        <v/>
      </c>
      <c r="AQ386" s="38" t="str">
        <f>IF(ISNA(MATCH($N386,data!$A:$A,0)),"",INDEX(data!F:F,MATCH($N386,data!$A:$A,0)))</f>
        <v/>
      </c>
      <c r="AR386" s="38" t="str">
        <f>IF(ISNA(MATCH($N386,data!$A:$A,0)),"",INDEX(data!G:G,MATCH($N386,data!$A:$A,0)))</f>
        <v/>
      </c>
      <c r="AS386" s="38" t="str">
        <f>IF(ISNA(MATCH($N386,data!$A:$A,0)),"",INDEX(data!H:H,MATCH($N386,data!$A:$A,0)))</f>
        <v/>
      </c>
      <c r="AT386" s="38" t="str">
        <f>IF(ISNA(MATCH($N386,data!$A:$A,0)),"",INDEX(data!I:I,MATCH($N386,data!$A:$A,0)))</f>
        <v/>
      </c>
      <c r="AU386" s="38" t="str">
        <f>IF(ISNA(MATCH($N386,[1]data!$A:$A,0)),"",INDEX([1]data!L:L,MATCH($N386,[1]data!$A:$A,0)))</f>
        <v/>
      </c>
      <c r="AV386" s="38" t="str">
        <f>IF(ISNA(MATCH($N386,[1]data!$A:$A,0)),"",INDEX([1]data!M:M,MATCH($N386,[1]data!$A:$A,0)))</f>
        <v/>
      </c>
      <c r="AW386" s="38" t="str">
        <f>IF(ISNA(MATCH($N386,data!$A:$A,0)),"",INDEX(data!J:J,MATCH($N386,data!$A:$A,0)))</f>
        <v/>
      </c>
      <c r="AX386" s="38" t="str">
        <f>IF(ISNA(MATCH($N386,data!$A:$A,0)),"",INDEX(data!K:K,MATCH($N386,data!$A:$A,0)))</f>
        <v/>
      </c>
      <c r="AY386" s="38" t="str">
        <f>IF(ISNA(MATCH($N386,data!$A:$A,0)),"",INDEX(data!O:O,MATCH($N386,data!$A:$A,0)))</f>
        <v/>
      </c>
      <c r="AZ386" s="38" t="str">
        <f>IF(ISNA(MATCH($N386,data!$A:$A,0)),"",INDEX(data!N:N,MATCH($N386,data!$A:$A,0)))</f>
        <v/>
      </c>
      <c r="BA386" s="38" t="str">
        <f>IF(ISNA(MATCH($N386,data!$A:$A,0)),"",INDEX(data!P:P,MATCH($N386,data!$A:$A,0)))</f>
        <v/>
      </c>
      <c r="BB386" s="38" t="str">
        <f>IF(ISNA(MATCH($N386,data!$A:$A,0)),"",INDEX(data!Q:Q,MATCH($N386,data!$A:$A,0)))</f>
        <v/>
      </c>
      <c r="BC386" s="38" t="str">
        <f>IF(ISNA(MATCH($N386,data!$A:$A,0)),"",INDEX(data!R:R,MATCH($N386,data!$A:$A,0)))</f>
        <v/>
      </c>
      <c r="BD386" s="38" t="str">
        <f>IF(ISNA(MATCH($N386,[1]data!$A:$A,0)),"",INDEX([1]data!U:U,MATCH($N386,[1]data!$A:$A,0)))</f>
        <v/>
      </c>
      <c r="BE386" s="61" t="e">
        <f>IF(COUNTIF([1]data!A:A,[1]!Table1[[#This Row],[UPC]])&lt;2,"","DUP")</f>
        <v>#VALUE!</v>
      </c>
      <c r="BF386" s="38" t="str">
        <f>IF(ISNA(MATCH($N386,data!$A:$A,0)),"",INDEX(data!W:W,MATCH($N386,data!$A:$A,0)))</f>
        <v/>
      </c>
    </row>
    <row r="387" spans="1:58" ht="12.75" customHeight="1">
      <c r="A387" s="35"/>
      <c r="B387" s="35"/>
      <c r="C387" s="35"/>
      <c r="D387" s="35"/>
      <c r="E387" s="67"/>
      <c r="F387" s="67"/>
      <c r="G387" s="36"/>
      <c r="H387" s="29"/>
      <c r="I387" s="78" t="str">
        <f t="shared" si="6"/>
        <v/>
      </c>
      <c r="J387" s="29"/>
      <c r="K387" s="29"/>
      <c r="L387" s="33"/>
      <c r="M387" s="33"/>
      <c r="N387" s="60"/>
      <c r="O387" s="71"/>
      <c r="P387" s="71"/>
      <c r="Q387" s="33"/>
      <c r="R387" s="31"/>
      <c r="S387" s="31"/>
      <c r="T387" s="59"/>
      <c r="U387" s="59"/>
      <c r="V387" s="59"/>
      <c r="W387" s="57">
        <f t="shared" si="7"/>
        <v>0</v>
      </c>
      <c r="X387" s="126" t="str">
        <f>IF(Table1[[#This Row],[Shipping Weight Pounds]]&gt;150,"See LTL Form","No")</f>
        <v>No</v>
      </c>
      <c r="Y387" s="28"/>
      <c r="Z387" s="33"/>
      <c r="AA387" s="34"/>
      <c r="AB387" s="30"/>
      <c r="AC387" s="30"/>
      <c r="AD387" s="32"/>
      <c r="AE387" s="32"/>
      <c r="AF387" s="2"/>
      <c r="AG387" s="2"/>
      <c r="AH387" s="2"/>
      <c r="AI387" s="2"/>
      <c r="AK387" s="73" t="str">
        <f>IF(ISNA(MATCH($N387,[1]data!$A:$A,0)),"",INDEX([1]data!S:S,MATCH($N387,[1]data!$A:$A,0)))</f>
        <v/>
      </c>
      <c r="AL387" s="73" t="str">
        <f>IF(ISNA(MATCH($N387,[1]data!$A:$A,0)),"",INDEX([1]data!V:V,MATCH($N387,[1]data!$A:$A,0)))</f>
        <v/>
      </c>
      <c r="AM387" s="38" t="str">
        <f>IF(ISNA(MATCH($N387,data!$A:$A,0)),"",INDEX(data!B:B,MATCH($N387,data!$A:$A,0)))</f>
        <v/>
      </c>
      <c r="AN387" s="38" t="str">
        <f>IF(ISNA(MATCH($N387,data!$A:$A,0)),"",INDEX(data!C:C,MATCH($N387,data!$A:$A,0)))</f>
        <v/>
      </c>
      <c r="AO387" s="38" t="str">
        <f>IF(ISNA(MATCH($N387,data!$A:$A,0)),"",INDEX(data!D:D,MATCH($N387,data!$A:$A,0)))</f>
        <v/>
      </c>
      <c r="AP387" s="38" t="str">
        <f>IF(ISNA(MATCH($N387,data!$A:$A,0)),"",INDEX(data!E:E,MATCH($N387,data!$A:$A,0)))</f>
        <v/>
      </c>
      <c r="AQ387" s="38" t="str">
        <f>IF(ISNA(MATCH($N387,data!$A:$A,0)),"",INDEX(data!F:F,MATCH($N387,data!$A:$A,0)))</f>
        <v/>
      </c>
      <c r="AR387" s="38" t="str">
        <f>IF(ISNA(MATCH($N387,data!$A:$A,0)),"",INDEX(data!G:G,MATCH($N387,data!$A:$A,0)))</f>
        <v/>
      </c>
      <c r="AS387" s="38" t="str">
        <f>IF(ISNA(MATCH($N387,data!$A:$A,0)),"",INDEX(data!H:H,MATCH($N387,data!$A:$A,0)))</f>
        <v/>
      </c>
      <c r="AT387" s="38" t="str">
        <f>IF(ISNA(MATCH($N387,data!$A:$A,0)),"",INDEX(data!I:I,MATCH($N387,data!$A:$A,0)))</f>
        <v/>
      </c>
      <c r="AU387" s="38" t="str">
        <f>IF(ISNA(MATCH($N387,[1]data!$A:$A,0)),"",INDEX([1]data!L:L,MATCH($N387,[1]data!$A:$A,0)))</f>
        <v/>
      </c>
      <c r="AV387" s="38" t="str">
        <f>IF(ISNA(MATCH($N387,[1]data!$A:$A,0)),"",INDEX([1]data!M:M,MATCH($N387,[1]data!$A:$A,0)))</f>
        <v/>
      </c>
      <c r="AW387" s="38" t="str">
        <f>IF(ISNA(MATCH($N387,data!$A:$A,0)),"",INDEX(data!J:J,MATCH($N387,data!$A:$A,0)))</f>
        <v/>
      </c>
      <c r="AX387" s="38" t="str">
        <f>IF(ISNA(MATCH($N387,data!$A:$A,0)),"",INDEX(data!K:K,MATCH($N387,data!$A:$A,0)))</f>
        <v/>
      </c>
      <c r="AY387" s="38" t="str">
        <f>IF(ISNA(MATCH($N387,data!$A:$A,0)),"",INDEX(data!O:O,MATCH($N387,data!$A:$A,0)))</f>
        <v/>
      </c>
      <c r="AZ387" s="38" t="str">
        <f>IF(ISNA(MATCH($N387,data!$A:$A,0)),"",INDEX(data!N:N,MATCH($N387,data!$A:$A,0)))</f>
        <v/>
      </c>
      <c r="BA387" s="38" t="str">
        <f>IF(ISNA(MATCH($N387,data!$A:$A,0)),"",INDEX(data!P:P,MATCH($N387,data!$A:$A,0)))</f>
        <v/>
      </c>
      <c r="BB387" s="38" t="str">
        <f>IF(ISNA(MATCH($N387,data!$A:$A,0)),"",INDEX(data!Q:Q,MATCH($N387,data!$A:$A,0)))</f>
        <v/>
      </c>
      <c r="BC387" s="38" t="str">
        <f>IF(ISNA(MATCH($N387,data!$A:$A,0)),"",INDEX(data!R:R,MATCH($N387,data!$A:$A,0)))</f>
        <v/>
      </c>
      <c r="BD387" s="38" t="str">
        <f>IF(ISNA(MATCH($N387,[1]data!$A:$A,0)),"",INDEX([1]data!U:U,MATCH($N387,[1]data!$A:$A,0)))</f>
        <v/>
      </c>
      <c r="BE387" s="61" t="e">
        <f>IF(COUNTIF([1]data!A:A,[1]!Table1[[#This Row],[UPC]])&lt;2,"","DUP")</f>
        <v>#VALUE!</v>
      </c>
      <c r="BF387" s="38" t="str">
        <f>IF(ISNA(MATCH($N387,data!$A:$A,0)),"",INDEX(data!W:W,MATCH($N387,data!$A:$A,0)))</f>
        <v/>
      </c>
    </row>
    <row r="388" spans="1:58" ht="12.75" customHeight="1">
      <c r="A388" s="35"/>
      <c r="B388" s="35"/>
      <c r="C388" s="35"/>
      <c r="D388" s="35"/>
      <c r="E388" s="67"/>
      <c r="F388" s="67"/>
      <c r="G388" s="36"/>
      <c r="H388" s="29"/>
      <c r="I388" s="78" t="str">
        <f t="shared" si="6"/>
        <v/>
      </c>
      <c r="J388" s="29"/>
      <c r="K388" s="29"/>
      <c r="L388" s="33"/>
      <c r="M388" s="33"/>
      <c r="N388" s="60"/>
      <c r="O388" s="71"/>
      <c r="P388" s="71"/>
      <c r="Q388" s="33"/>
      <c r="R388" s="31"/>
      <c r="S388" s="31"/>
      <c r="T388" s="59"/>
      <c r="U388" s="59"/>
      <c r="V388" s="59"/>
      <c r="W388" s="57">
        <f t="shared" si="7"/>
        <v>0</v>
      </c>
      <c r="X388" s="126" t="str">
        <f>IF(Table1[[#This Row],[Shipping Weight Pounds]]&gt;150,"See LTL Form","No")</f>
        <v>No</v>
      </c>
      <c r="Y388" s="28"/>
      <c r="Z388" s="33"/>
      <c r="AA388" s="34"/>
      <c r="AB388" s="30"/>
      <c r="AC388" s="30"/>
      <c r="AD388" s="32"/>
      <c r="AE388" s="32"/>
      <c r="AF388" s="2"/>
      <c r="AG388" s="2"/>
      <c r="AH388" s="2"/>
      <c r="AI388" s="2"/>
      <c r="AK388" s="73" t="str">
        <f>IF(ISNA(MATCH($N388,[1]data!$A:$A,0)),"",INDEX([1]data!S:S,MATCH($N388,[1]data!$A:$A,0)))</f>
        <v/>
      </c>
      <c r="AL388" s="73" t="str">
        <f>IF(ISNA(MATCH($N388,[1]data!$A:$A,0)),"",INDEX([1]data!V:V,MATCH($N388,[1]data!$A:$A,0)))</f>
        <v/>
      </c>
      <c r="AM388" s="38" t="str">
        <f>IF(ISNA(MATCH($N388,data!$A:$A,0)),"",INDEX(data!B:B,MATCH($N388,data!$A:$A,0)))</f>
        <v/>
      </c>
      <c r="AN388" s="38" t="str">
        <f>IF(ISNA(MATCH($N388,data!$A:$A,0)),"",INDEX(data!C:C,MATCH($N388,data!$A:$A,0)))</f>
        <v/>
      </c>
      <c r="AO388" s="38" t="str">
        <f>IF(ISNA(MATCH($N388,data!$A:$A,0)),"",INDEX(data!D:D,MATCH($N388,data!$A:$A,0)))</f>
        <v/>
      </c>
      <c r="AP388" s="38" t="str">
        <f>IF(ISNA(MATCH($N388,data!$A:$A,0)),"",INDEX(data!E:E,MATCH($N388,data!$A:$A,0)))</f>
        <v/>
      </c>
      <c r="AQ388" s="38" t="str">
        <f>IF(ISNA(MATCH($N388,data!$A:$A,0)),"",INDEX(data!F:F,MATCH($N388,data!$A:$A,0)))</f>
        <v/>
      </c>
      <c r="AR388" s="38" t="str">
        <f>IF(ISNA(MATCH($N388,data!$A:$A,0)),"",INDEX(data!G:G,MATCH($N388,data!$A:$A,0)))</f>
        <v/>
      </c>
      <c r="AS388" s="38" t="str">
        <f>IF(ISNA(MATCH($N388,data!$A:$A,0)),"",INDEX(data!H:H,MATCH($N388,data!$A:$A,0)))</f>
        <v/>
      </c>
      <c r="AT388" s="38" t="str">
        <f>IF(ISNA(MATCH($N388,data!$A:$A,0)),"",INDEX(data!I:I,MATCH($N388,data!$A:$A,0)))</f>
        <v/>
      </c>
      <c r="AU388" s="38" t="str">
        <f>IF(ISNA(MATCH($N388,[1]data!$A:$A,0)),"",INDEX([1]data!L:L,MATCH($N388,[1]data!$A:$A,0)))</f>
        <v/>
      </c>
      <c r="AV388" s="38" t="str">
        <f>IF(ISNA(MATCH($N388,[1]data!$A:$A,0)),"",INDEX([1]data!M:M,MATCH($N388,[1]data!$A:$A,0)))</f>
        <v/>
      </c>
      <c r="AW388" s="38" t="str">
        <f>IF(ISNA(MATCH($N388,data!$A:$A,0)),"",INDEX(data!J:J,MATCH($N388,data!$A:$A,0)))</f>
        <v/>
      </c>
      <c r="AX388" s="38" t="str">
        <f>IF(ISNA(MATCH($N388,data!$A:$A,0)),"",INDEX(data!K:K,MATCH($N388,data!$A:$A,0)))</f>
        <v/>
      </c>
      <c r="AY388" s="38" t="str">
        <f>IF(ISNA(MATCH($N388,data!$A:$A,0)),"",INDEX(data!O:O,MATCH($N388,data!$A:$A,0)))</f>
        <v/>
      </c>
      <c r="AZ388" s="38" t="str">
        <f>IF(ISNA(MATCH($N388,data!$A:$A,0)),"",INDEX(data!N:N,MATCH($N388,data!$A:$A,0)))</f>
        <v/>
      </c>
      <c r="BA388" s="38" t="str">
        <f>IF(ISNA(MATCH($N388,data!$A:$A,0)),"",INDEX(data!P:P,MATCH($N388,data!$A:$A,0)))</f>
        <v/>
      </c>
      <c r="BB388" s="38" t="str">
        <f>IF(ISNA(MATCH($N388,data!$A:$A,0)),"",INDEX(data!Q:Q,MATCH($N388,data!$A:$A,0)))</f>
        <v/>
      </c>
      <c r="BC388" s="38" t="str">
        <f>IF(ISNA(MATCH($N388,data!$A:$A,0)),"",INDEX(data!R:R,MATCH($N388,data!$A:$A,0)))</f>
        <v/>
      </c>
      <c r="BD388" s="38" t="str">
        <f>IF(ISNA(MATCH($N388,[1]data!$A:$A,0)),"",INDEX([1]data!U:U,MATCH($N388,[1]data!$A:$A,0)))</f>
        <v/>
      </c>
      <c r="BE388" s="61" t="e">
        <f>IF(COUNTIF([1]data!A:A,[1]!Table1[[#This Row],[UPC]])&lt;2,"","DUP")</f>
        <v>#VALUE!</v>
      </c>
      <c r="BF388" s="38" t="str">
        <f>IF(ISNA(MATCH($N388,data!$A:$A,0)),"",INDEX(data!W:W,MATCH($N388,data!$A:$A,0)))</f>
        <v/>
      </c>
    </row>
    <row r="389" spans="1:58" ht="12.75" customHeight="1">
      <c r="A389" s="35"/>
      <c r="B389" s="35"/>
      <c r="C389" s="35"/>
      <c r="D389" s="35"/>
      <c r="E389" s="67"/>
      <c r="F389" s="67"/>
      <c r="G389" s="36"/>
      <c r="H389" s="29"/>
      <c r="I389" s="78" t="str">
        <f t="shared" si="6"/>
        <v/>
      </c>
      <c r="J389" s="29"/>
      <c r="K389" s="29"/>
      <c r="L389" s="33"/>
      <c r="M389" s="33"/>
      <c r="N389" s="60"/>
      <c r="O389" s="71"/>
      <c r="P389" s="71"/>
      <c r="Q389" s="33"/>
      <c r="R389" s="31"/>
      <c r="S389" s="31"/>
      <c r="T389" s="59"/>
      <c r="U389" s="59"/>
      <c r="V389" s="59"/>
      <c r="W389" s="57">
        <f t="shared" si="7"/>
        <v>0</v>
      </c>
      <c r="X389" s="126" t="str">
        <f>IF(Table1[[#This Row],[Shipping Weight Pounds]]&gt;150,"See LTL Form","No")</f>
        <v>No</v>
      </c>
      <c r="Y389" s="28"/>
      <c r="Z389" s="33"/>
      <c r="AA389" s="34"/>
      <c r="AB389" s="30"/>
      <c r="AC389" s="30"/>
      <c r="AD389" s="32"/>
      <c r="AE389" s="32"/>
      <c r="AF389" s="2"/>
      <c r="AG389" s="2"/>
      <c r="AH389" s="2"/>
      <c r="AI389" s="2"/>
      <c r="AK389" s="73" t="str">
        <f>IF(ISNA(MATCH($N389,[1]data!$A:$A,0)),"",INDEX([1]data!S:S,MATCH($N389,[1]data!$A:$A,0)))</f>
        <v/>
      </c>
      <c r="AL389" s="73" t="str">
        <f>IF(ISNA(MATCH($N389,[1]data!$A:$A,0)),"",INDEX([1]data!V:V,MATCH($N389,[1]data!$A:$A,0)))</f>
        <v/>
      </c>
      <c r="AM389" s="38" t="str">
        <f>IF(ISNA(MATCH($N389,data!$A:$A,0)),"",INDEX(data!B:B,MATCH($N389,data!$A:$A,0)))</f>
        <v/>
      </c>
      <c r="AN389" s="38" t="str">
        <f>IF(ISNA(MATCH($N389,data!$A:$A,0)),"",INDEX(data!C:C,MATCH($N389,data!$A:$A,0)))</f>
        <v/>
      </c>
      <c r="AO389" s="38" t="str">
        <f>IF(ISNA(MATCH($N389,data!$A:$A,0)),"",INDEX(data!D:D,MATCH($N389,data!$A:$A,0)))</f>
        <v/>
      </c>
      <c r="AP389" s="38" t="str">
        <f>IF(ISNA(MATCH($N389,data!$A:$A,0)),"",INDEX(data!E:E,MATCH($N389,data!$A:$A,0)))</f>
        <v/>
      </c>
      <c r="AQ389" s="38" t="str">
        <f>IF(ISNA(MATCH($N389,data!$A:$A,0)),"",INDEX(data!F:F,MATCH($N389,data!$A:$A,0)))</f>
        <v/>
      </c>
      <c r="AR389" s="38" t="str">
        <f>IF(ISNA(MATCH($N389,data!$A:$A,0)),"",INDEX(data!G:G,MATCH($N389,data!$A:$A,0)))</f>
        <v/>
      </c>
      <c r="AS389" s="38" t="str">
        <f>IF(ISNA(MATCH($N389,data!$A:$A,0)),"",INDEX(data!H:H,MATCH($N389,data!$A:$A,0)))</f>
        <v/>
      </c>
      <c r="AT389" s="38" t="str">
        <f>IF(ISNA(MATCH($N389,data!$A:$A,0)),"",INDEX(data!I:I,MATCH($N389,data!$A:$A,0)))</f>
        <v/>
      </c>
      <c r="AU389" s="38" t="str">
        <f>IF(ISNA(MATCH($N389,[1]data!$A:$A,0)),"",INDEX([1]data!L:L,MATCH($N389,[1]data!$A:$A,0)))</f>
        <v/>
      </c>
      <c r="AV389" s="38" t="str">
        <f>IF(ISNA(MATCH($N389,[1]data!$A:$A,0)),"",INDEX([1]data!M:M,MATCH($N389,[1]data!$A:$A,0)))</f>
        <v/>
      </c>
      <c r="AW389" s="38" t="str">
        <f>IF(ISNA(MATCH($N389,data!$A:$A,0)),"",INDEX(data!J:J,MATCH($N389,data!$A:$A,0)))</f>
        <v/>
      </c>
      <c r="AX389" s="38" t="str">
        <f>IF(ISNA(MATCH($N389,data!$A:$A,0)),"",INDEX(data!K:K,MATCH($N389,data!$A:$A,0)))</f>
        <v/>
      </c>
      <c r="AY389" s="38" t="str">
        <f>IF(ISNA(MATCH($N389,data!$A:$A,0)),"",INDEX(data!O:O,MATCH($N389,data!$A:$A,0)))</f>
        <v/>
      </c>
      <c r="AZ389" s="38" t="str">
        <f>IF(ISNA(MATCH($N389,data!$A:$A,0)),"",INDEX(data!N:N,MATCH($N389,data!$A:$A,0)))</f>
        <v/>
      </c>
      <c r="BA389" s="38" t="str">
        <f>IF(ISNA(MATCH($N389,data!$A:$A,0)),"",INDEX(data!P:P,MATCH($N389,data!$A:$A,0)))</f>
        <v/>
      </c>
      <c r="BB389" s="38" t="str">
        <f>IF(ISNA(MATCH($N389,data!$A:$A,0)),"",INDEX(data!Q:Q,MATCH($N389,data!$A:$A,0)))</f>
        <v/>
      </c>
      <c r="BC389" s="38" t="str">
        <f>IF(ISNA(MATCH($N389,data!$A:$A,0)),"",INDEX(data!R:R,MATCH($N389,data!$A:$A,0)))</f>
        <v/>
      </c>
      <c r="BD389" s="38" t="str">
        <f>IF(ISNA(MATCH($N389,[1]data!$A:$A,0)),"",INDEX([1]data!U:U,MATCH($N389,[1]data!$A:$A,0)))</f>
        <v/>
      </c>
      <c r="BE389" s="61" t="e">
        <f>IF(COUNTIF([1]data!A:A,[1]!Table1[[#This Row],[UPC]])&lt;2,"","DUP")</f>
        <v>#VALUE!</v>
      </c>
      <c r="BF389" s="38" t="str">
        <f>IF(ISNA(MATCH($N389,data!$A:$A,0)),"",INDEX(data!W:W,MATCH($N389,data!$A:$A,0)))</f>
        <v/>
      </c>
    </row>
    <row r="390" spans="1:58" ht="12.75" customHeight="1">
      <c r="A390" s="35"/>
      <c r="B390" s="35"/>
      <c r="C390" s="35"/>
      <c r="D390" s="35"/>
      <c r="E390" s="67"/>
      <c r="F390" s="67"/>
      <c r="G390" s="36"/>
      <c r="H390" s="29"/>
      <c r="I390" s="78" t="str">
        <f t="shared" si="6"/>
        <v/>
      </c>
      <c r="J390" s="29"/>
      <c r="K390" s="29"/>
      <c r="L390" s="33"/>
      <c r="M390" s="33"/>
      <c r="N390" s="60"/>
      <c r="O390" s="71"/>
      <c r="P390" s="71"/>
      <c r="Q390" s="33"/>
      <c r="R390" s="31"/>
      <c r="S390" s="31"/>
      <c r="T390" s="59"/>
      <c r="U390" s="59"/>
      <c r="V390" s="59"/>
      <c r="W390" s="57">
        <f t="shared" si="7"/>
        <v>0</v>
      </c>
      <c r="X390" s="126" t="str">
        <f>IF(Table1[[#This Row],[Shipping Weight Pounds]]&gt;150,"See LTL Form","No")</f>
        <v>No</v>
      </c>
      <c r="Y390" s="28"/>
      <c r="Z390" s="33"/>
      <c r="AA390" s="34"/>
      <c r="AB390" s="30"/>
      <c r="AC390" s="30"/>
      <c r="AD390" s="32"/>
      <c r="AE390" s="32"/>
      <c r="AF390" s="2"/>
      <c r="AG390" s="2"/>
      <c r="AH390" s="2"/>
      <c r="AI390" s="2"/>
      <c r="AK390" s="73" t="str">
        <f>IF(ISNA(MATCH($N390,[1]data!$A:$A,0)),"",INDEX([1]data!S:S,MATCH($N390,[1]data!$A:$A,0)))</f>
        <v/>
      </c>
      <c r="AL390" s="73" t="str">
        <f>IF(ISNA(MATCH($N390,[1]data!$A:$A,0)),"",INDEX([1]data!V:V,MATCH($N390,[1]data!$A:$A,0)))</f>
        <v/>
      </c>
      <c r="AM390" s="38" t="str">
        <f>IF(ISNA(MATCH($N390,data!$A:$A,0)),"",INDEX(data!B:B,MATCH($N390,data!$A:$A,0)))</f>
        <v/>
      </c>
      <c r="AN390" s="38" t="str">
        <f>IF(ISNA(MATCH($N390,data!$A:$A,0)),"",INDEX(data!C:C,MATCH($N390,data!$A:$A,0)))</f>
        <v/>
      </c>
      <c r="AO390" s="38" t="str">
        <f>IF(ISNA(MATCH($N390,data!$A:$A,0)),"",INDEX(data!D:D,MATCH($N390,data!$A:$A,0)))</f>
        <v/>
      </c>
      <c r="AP390" s="38" t="str">
        <f>IF(ISNA(MATCH($N390,data!$A:$A,0)),"",INDEX(data!E:E,MATCH($N390,data!$A:$A,0)))</f>
        <v/>
      </c>
      <c r="AQ390" s="38" t="str">
        <f>IF(ISNA(MATCH($N390,data!$A:$A,0)),"",INDEX(data!F:F,MATCH($N390,data!$A:$A,0)))</f>
        <v/>
      </c>
      <c r="AR390" s="38" t="str">
        <f>IF(ISNA(MATCH($N390,data!$A:$A,0)),"",INDEX(data!G:G,MATCH($N390,data!$A:$A,0)))</f>
        <v/>
      </c>
      <c r="AS390" s="38" t="str">
        <f>IF(ISNA(MATCH($N390,data!$A:$A,0)),"",INDEX(data!H:H,MATCH($N390,data!$A:$A,0)))</f>
        <v/>
      </c>
      <c r="AT390" s="38" t="str">
        <f>IF(ISNA(MATCH($N390,data!$A:$A,0)),"",INDEX(data!I:I,MATCH($N390,data!$A:$A,0)))</f>
        <v/>
      </c>
      <c r="AU390" s="38" t="str">
        <f>IF(ISNA(MATCH($N390,[1]data!$A:$A,0)),"",INDEX([1]data!L:L,MATCH($N390,[1]data!$A:$A,0)))</f>
        <v/>
      </c>
      <c r="AV390" s="38" t="str">
        <f>IF(ISNA(MATCH($N390,[1]data!$A:$A,0)),"",INDEX([1]data!M:M,MATCH($N390,[1]data!$A:$A,0)))</f>
        <v/>
      </c>
      <c r="AW390" s="38" t="str">
        <f>IF(ISNA(MATCH($N390,data!$A:$A,0)),"",INDEX(data!J:J,MATCH($N390,data!$A:$A,0)))</f>
        <v/>
      </c>
      <c r="AX390" s="38" t="str">
        <f>IF(ISNA(MATCH($N390,data!$A:$A,0)),"",INDEX(data!K:K,MATCH($N390,data!$A:$A,0)))</f>
        <v/>
      </c>
      <c r="AY390" s="38" t="str">
        <f>IF(ISNA(MATCH($N390,data!$A:$A,0)),"",INDEX(data!O:O,MATCH($N390,data!$A:$A,0)))</f>
        <v/>
      </c>
      <c r="AZ390" s="38" t="str">
        <f>IF(ISNA(MATCH($N390,data!$A:$A,0)),"",INDEX(data!N:N,MATCH($N390,data!$A:$A,0)))</f>
        <v/>
      </c>
      <c r="BA390" s="38" t="str">
        <f>IF(ISNA(MATCH($N390,data!$A:$A,0)),"",INDEX(data!P:P,MATCH($N390,data!$A:$A,0)))</f>
        <v/>
      </c>
      <c r="BB390" s="38" t="str">
        <f>IF(ISNA(MATCH($N390,data!$A:$A,0)),"",INDEX(data!Q:Q,MATCH($N390,data!$A:$A,0)))</f>
        <v/>
      </c>
      <c r="BC390" s="38" t="str">
        <f>IF(ISNA(MATCH($N390,data!$A:$A,0)),"",INDEX(data!R:R,MATCH($N390,data!$A:$A,0)))</f>
        <v/>
      </c>
      <c r="BD390" s="38" t="str">
        <f>IF(ISNA(MATCH($N390,[1]data!$A:$A,0)),"",INDEX([1]data!U:U,MATCH($N390,[1]data!$A:$A,0)))</f>
        <v/>
      </c>
      <c r="BE390" s="61" t="e">
        <f>IF(COUNTIF([1]data!A:A,[1]!Table1[[#This Row],[UPC]])&lt;2,"","DUP")</f>
        <v>#VALUE!</v>
      </c>
      <c r="BF390" s="38" t="str">
        <f>IF(ISNA(MATCH($N390,data!$A:$A,0)),"",INDEX(data!W:W,MATCH($N390,data!$A:$A,0)))</f>
        <v/>
      </c>
    </row>
    <row r="391" spans="1:58" ht="12.75" customHeight="1">
      <c r="A391" s="35"/>
      <c r="B391" s="35"/>
      <c r="C391" s="35"/>
      <c r="D391" s="35"/>
      <c r="E391" s="67"/>
      <c r="F391" s="67"/>
      <c r="G391" s="36"/>
      <c r="H391" s="29"/>
      <c r="I391" s="78" t="str">
        <f t="shared" si="6"/>
        <v/>
      </c>
      <c r="J391" s="29"/>
      <c r="K391" s="29"/>
      <c r="L391" s="33"/>
      <c r="M391" s="33"/>
      <c r="N391" s="60"/>
      <c r="O391" s="71"/>
      <c r="P391" s="71"/>
      <c r="Q391" s="33"/>
      <c r="R391" s="31"/>
      <c r="S391" s="31"/>
      <c r="T391" s="59"/>
      <c r="U391" s="59"/>
      <c r="V391" s="59"/>
      <c r="W391" s="57">
        <f t="shared" si="7"/>
        <v>0</v>
      </c>
      <c r="X391" s="126" t="str">
        <f>IF(Table1[[#This Row],[Shipping Weight Pounds]]&gt;150,"See LTL Form","No")</f>
        <v>No</v>
      </c>
      <c r="Y391" s="28"/>
      <c r="Z391" s="33"/>
      <c r="AA391" s="34"/>
      <c r="AB391" s="30"/>
      <c r="AC391" s="30"/>
      <c r="AD391" s="32"/>
      <c r="AE391" s="32"/>
      <c r="AF391" s="2"/>
      <c r="AG391" s="2"/>
      <c r="AH391" s="2"/>
      <c r="AI391" s="2"/>
      <c r="AK391" s="73" t="str">
        <f>IF(ISNA(MATCH($N391,[1]data!$A:$A,0)),"",INDEX([1]data!S:S,MATCH($N391,[1]data!$A:$A,0)))</f>
        <v/>
      </c>
      <c r="AL391" s="73" t="str">
        <f>IF(ISNA(MATCH($N391,[1]data!$A:$A,0)),"",INDEX([1]data!V:V,MATCH($N391,[1]data!$A:$A,0)))</f>
        <v/>
      </c>
      <c r="AM391" s="38" t="str">
        <f>IF(ISNA(MATCH($N391,data!$A:$A,0)),"",INDEX(data!B:B,MATCH($N391,data!$A:$A,0)))</f>
        <v/>
      </c>
      <c r="AN391" s="38" t="str">
        <f>IF(ISNA(MATCH($N391,data!$A:$A,0)),"",INDEX(data!C:C,MATCH($N391,data!$A:$A,0)))</f>
        <v/>
      </c>
      <c r="AO391" s="38" t="str">
        <f>IF(ISNA(MATCH($N391,data!$A:$A,0)),"",INDEX(data!D:D,MATCH($N391,data!$A:$A,0)))</f>
        <v/>
      </c>
      <c r="AP391" s="38" t="str">
        <f>IF(ISNA(MATCH($N391,data!$A:$A,0)),"",INDEX(data!E:E,MATCH($N391,data!$A:$A,0)))</f>
        <v/>
      </c>
      <c r="AQ391" s="38" t="str">
        <f>IF(ISNA(MATCH($N391,data!$A:$A,0)),"",INDEX(data!F:F,MATCH($N391,data!$A:$A,0)))</f>
        <v/>
      </c>
      <c r="AR391" s="38" t="str">
        <f>IF(ISNA(MATCH($N391,data!$A:$A,0)),"",INDEX(data!G:G,MATCH($N391,data!$A:$A,0)))</f>
        <v/>
      </c>
      <c r="AS391" s="38" t="str">
        <f>IF(ISNA(MATCH($N391,data!$A:$A,0)),"",INDEX(data!H:H,MATCH($N391,data!$A:$A,0)))</f>
        <v/>
      </c>
      <c r="AT391" s="38" t="str">
        <f>IF(ISNA(MATCH($N391,data!$A:$A,0)),"",INDEX(data!I:I,MATCH($N391,data!$A:$A,0)))</f>
        <v/>
      </c>
      <c r="AU391" s="38" t="str">
        <f>IF(ISNA(MATCH($N391,[1]data!$A:$A,0)),"",INDEX([1]data!L:L,MATCH($N391,[1]data!$A:$A,0)))</f>
        <v/>
      </c>
      <c r="AV391" s="38" t="str">
        <f>IF(ISNA(MATCH($N391,[1]data!$A:$A,0)),"",INDEX([1]data!M:M,MATCH($N391,[1]data!$A:$A,0)))</f>
        <v/>
      </c>
      <c r="AW391" s="38" t="str">
        <f>IF(ISNA(MATCH($N391,data!$A:$A,0)),"",INDEX(data!J:J,MATCH($N391,data!$A:$A,0)))</f>
        <v/>
      </c>
      <c r="AX391" s="38" t="str">
        <f>IF(ISNA(MATCH($N391,data!$A:$A,0)),"",INDEX(data!K:K,MATCH($N391,data!$A:$A,0)))</f>
        <v/>
      </c>
      <c r="AY391" s="38" t="str">
        <f>IF(ISNA(MATCH($N391,data!$A:$A,0)),"",INDEX(data!O:O,MATCH($N391,data!$A:$A,0)))</f>
        <v/>
      </c>
      <c r="AZ391" s="38" t="str">
        <f>IF(ISNA(MATCH($N391,data!$A:$A,0)),"",INDEX(data!N:N,MATCH($N391,data!$A:$A,0)))</f>
        <v/>
      </c>
      <c r="BA391" s="38" t="str">
        <f>IF(ISNA(MATCH($N391,data!$A:$A,0)),"",INDEX(data!P:P,MATCH($N391,data!$A:$A,0)))</f>
        <v/>
      </c>
      <c r="BB391" s="38" t="str">
        <f>IF(ISNA(MATCH($N391,data!$A:$A,0)),"",INDEX(data!Q:Q,MATCH($N391,data!$A:$A,0)))</f>
        <v/>
      </c>
      <c r="BC391" s="38" t="str">
        <f>IF(ISNA(MATCH($N391,data!$A:$A,0)),"",INDEX(data!R:R,MATCH($N391,data!$A:$A,0)))</f>
        <v/>
      </c>
      <c r="BD391" s="38" t="str">
        <f>IF(ISNA(MATCH($N391,[1]data!$A:$A,0)),"",INDEX([1]data!U:U,MATCH($N391,[1]data!$A:$A,0)))</f>
        <v/>
      </c>
      <c r="BE391" s="61" t="e">
        <f>IF(COUNTIF([1]data!A:A,[1]!Table1[[#This Row],[UPC]])&lt;2,"","DUP")</f>
        <v>#VALUE!</v>
      </c>
      <c r="BF391" s="38" t="str">
        <f>IF(ISNA(MATCH($N391,data!$A:$A,0)),"",INDEX(data!W:W,MATCH($N391,data!$A:$A,0)))</f>
        <v/>
      </c>
    </row>
    <row r="392" spans="1:58" ht="12.75" customHeight="1">
      <c r="A392" s="35"/>
      <c r="B392" s="35"/>
      <c r="C392" s="35"/>
      <c r="D392" s="35"/>
      <c r="E392" s="67"/>
      <c r="F392" s="67"/>
      <c r="G392" s="36"/>
      <c r="H392" s="29"/>
      <c r="I392" s="78" t="str">
        <f t="shared" ref="I392:I455" si="8">IF(H392&lt;&gt;0,(H392-G392)/H392,"")</f>
        <v/>
      </c>
      <c r="J392" s="29"/>
      <c r="K392" s="29"/>
      <c r="L392" s="33"/>
      <c r="M392" s="33"/>
      <c r="N392" s="60"/>
      <c r="O392" s="71"/>
      <c r="P392" s="71"/>
      <c r="Q392" s="33"/>
      <c r="R392" s="31"/>
      <c r="S392" s="31"/>
      <c r="T392" s="59"/>
      <c r="U392" s="59"/>
      <c r="V392" s="59"/>
      <c r="W392" s="57">
        <f t="shared" ref="W392:W455" si="9">IF(ISERR(Q392*R392*S392),"",(Q392*R392*S392))</f>
        <v>0</v>
      </c>
      <c r="X392" s="126" t="str">
        <f>IF(Table1[[#This Row],[Shipping Weight Pounds]]&gt;150,"See LTL Form","No")</f>
        <v>No</v>
      </c>
      <c r="Y392" s="28"/>
      <c r="Z392" s="33"/>
      <c r="AA392" s="34"/>
      <c r="AB392" s="30"/>
      <c r="AC392" s="30"/>
      <c r="AD392" s="32"/>
      <c r="AE392" s="32"/>
      <c r="AF392" s="2"/>
      <c r="AG392" s="2"/>
      <c r="AH392" s="2"/>
      <c r="AI392" s="2"/>
      <c r="AK392" s="73" t="str">
        <f>IF(ISNA(MATCH($N392,[1]data!$A:$A,0)),"",INDEX([1]data!S:S,MATCH($N392,[1]data!$A:$A,0)))</f>
        <v/>
      </c>
      <c r="AL392" s="73" t="str">
        <f>IF(ISNA(MATCH($N392,[1]data!$A:$A,0)),"",INDEX([1]data!V:V,MATCH($N392,[1]data!$A:$A,0)))</f>
        <v/>
      </c>
      <c r="AM392" s="38" t="str">
        <f>IF(ISNA(MATCH($N392,data!$A:$A,0)),"",INDEX(data!B:B,MATCH($N392,data!$A:$A,0)))</f>
        <v/>
      </c>
      <c r="AN392" s="38" t="str">
        <f>IF(ISNA(MATCH($N392,data!$A:$A,0)),"",INDEX(data!C:C,MATCH($N392,data!$A:$A,0)))</f>
        <v/>
      </c>
      <c r="AO392" s="38" t="str">
        <f>IF(ISNA(MATCH($N392,data!$A:$A,0)),"",INDEX(data!D:D,MATCH($N392,data!$A:$A,0)))</f>
        <v/>
      </c>
      <c r="AP392" s="38" t="str">
        <f>IF(ISNA(MATCH($N392,data!$A:$A,0)),"",INDEX(data!E:E,MATCH($N392,data!$A:$A,0)))</f>
        <v/>
      </c>
      <c r="AQ392" s="38" t="str">
        <f>IF(ISNA(MATCH($N392,data!$A:$A,0)),"",INDEX(data!F:F,MATCH($N392,data!$A:$A,0)))</f>
        <v/>
      </c>
      <c r="AR392" s="38" t="str">
        <f>IF(ISNA(MATCH($N392,data!$A:$A,0)),"",INDEX(data!G:G,MATCH($N392,data!$A:$A,0)))</f>
        <v/>
      </c>
      <c r="AS392" s="38" t="str">
        <f>IF(ISNA(MATCH($N392,data!$A:$A,0)),"",INDEX(data!H:H,MATCH($N392,data!$A:$A,0)))</f>
        <v/>
      </c>
      <c r="AT392" s="38" t="str">
        <f>IF(ISNA(MATCH($N392,data!$A:$A,0)),"",INDEX(data!I:I,MATCH($N392,data!$A:$A,0)))</f>
        <v/>
      </c>
      <c r="AU392" s="38" t="str">
        <f>IF(ISNA(MATCH($N392,[1]data!$A:$A,0)),"",INDEX([1]data!L:L,MATCH($N392,[1]data!$A:$A,0)))</f>
        <v/>
      </c>
      <c r="AV392" s="38" t="str">
        <f>IF(ISNA(MATCH($N392,[1]data!$A:$A,0)),"",INDEX([1]data!M:M,MATCH($N392,[1]data!$A:$A,0)))</f>
        <v/>
      </c>
      <c r="AW392" s="38" t="str">
        <f>IF(ISNA(MATCH($N392,data!$A:$A,0)),"",INDEX(data!J:J,MATCH($N392,data!$A:$A,0)))</f>
        <v/>
      </c>
      <c r="AX392" s="38" t="str">
        <f>IF(ISNA(MATCH($N392,data!$A:$A,0)),"",INDEX(data!K:K,MATCH($N392,data!$A:$A,0)))</f>
        <v/>
      </c>
      <c r="AY392" s="38" t="str">
        <f>IF(ISNA(MATCH($N392,data!$A:$A,0)),"",INDEX(data!O:O,MATCH($N392,data!$A:$A,0)))</f>
        <v/>
      </c>
      <c r="AZ392" s="38" t="str">
        <f>IF(ISNA(MATCH($N392,data!$A:$A,0)),"",INDEX(data!N:N,MATCH($N392,data!$A:$A,0)))</f>
        <v/>
      </c>
      <c r="BA392" s="38" t="str">
        <f>IF(ISNA(MATCH($N392,data!$A:$A,0)),"",INDEX(data!P:P,MATCH($N392,data!$A:$A,0)))</f>
        <v/>
      </c>
      <c r="BB392" s="38" t="str">
        <f>IF(ISNA(MATCH($N392,data!$A:$A,0)),"",INDEX(data!Q:Q,MATCH($N392,data!$A:$A,0)))</f>
        <v/>
      </c>
      <c r="BC392" s="38" t="str">
        <f>IF(ISNA(MATCH($N392,data!$A:$A,0)),"",INDEX(data!R:R,MATCH($N392,data!$A:$A,0)))</f>
        <v/>
      </c>
      <c r="BD392" s="38" t="str">
        <f>IF(ISNA(MATCH($N392,[1]data!$A:$A,0)),"",INDEX([1]data!U:U,MATCH($N392,[1]data!$A:$A,0)))</f>
        <v/>
      </c>
      <c r="BE392" s="61" t="e">
        <f>IF(COUNTIF([1]data!A:A,[1]!Table1[[#This Row],[UPC]])&lt;2,"","DUP")</f>
        <v>#VALUE!</v>
      </c>
      <c r="BF392" s="38" t="str">
        <f>IF(ISNA(MATCH($N392,data!$A:$A,0)),"",INDEX(data!W:W,MATCH($N392,data!$A:$A,0)))</f>
        <v/>
      </c>
    </row>
    <row r="393" spans="1:58" ht="12.75" customHeight="1">
      <c r="A393" s="35"/>
      <c r="B393" s="35"/>
      <c r="C393" s="35"/>
      <c r="D393" s="35"/>
      <c r="E393" s="67"/>
      <c r="F393" s="67"/>
      <c r="G393" s="36"/>
      <c r="H393" s="29"/>
      <c r="I393" s="78" t="str">
        <f t="shared" si="8"/>
        <v/>
      </c>
      <c r="J393" s="29"/>
      <c r="K393" s="29"/>
      <c r="L393" s="33"/>
      <c r="M393" s="33"/>
      <c r="N393" s="60"/>
      <c r="O393" s="71"/>
      <c r="P393" s="71"/>
      <c r="Q393" s="33"/>
      <c r="R393" s="31"/>
      <c r="S393" s="31"/>
      <c r="T393" s="59"/>
      <c r="U393" s="59"/>
      <c r="V393" s="59"/>
      <c r="W393" s="57">
        <f t="shared" si="9"/>
        <v>0</v>
      </c>
      <c r="X393" s="126" t="str">
        <f>IF(Table1[[#This Row],[Shipping Weight Pounds]]&gt;150,"See LTL Form","No")</f>
        <v>No</v>
      </c>
      <c r="Y393" s="28"/>
      <c r="Z393" s="33"/>
      <c r="AA393" s="34"/>
      <c r="AB393" s="30"/>
      <c r="AC393" s="30"/>
      <c r="AD393" s="32"/>
      <c r="AE393" s="32"/>
      <c r="AF393" s="2"/>
      <c r="AG393" s="2"/>
      <c r="AH393" s="2"/>
      <c r="AI393" s="2"/>
      <c r="AK393" s="73" t="str">
        <f>IF(ISNA(MATCH($N393,[1]data!$A:$A,0)),"",INDEX([1]data!S:S,MATCH($N393,[1]data!$A:$A,0)))</f>
        <v/>
      </c>
      <c r="AL393" s="73" t="str">
        <f>IF(ISNA(MATCH($N393,[1]data!$A:$A,0)),"",INDEX([1]data!V:V,MATCH($N393,[1]data!$A:$A,0)))</f>
        <v/>
      </c>
      <c r="AM393" s="38" t="str">
        <f>IF(ISNA(MATCH($N393,data!$A:$A,0)),"",INDEX(data!B:B,MATCH($N393,data!$A:$A,0)))</f>
        <v/>
      </c>
      <c r="AN393" s="38" t="str">
        <f>IF(ISNA(MATCH($N393,data!$A:$A,0)),"",INDEX(data!C:C,MATCH($N393,data!$A:$A,0)))</f>
        <v/>
      </c>
      <c r="AO393" s="38" t="str">
        <f>IF(ISNA(MATCH($N393,data!$A:$A,0)),"",INDEX(data!D:D,MATCH($N393,data!$A:$A,0)))</f>
        <v/>
      </c>
      <c r="AP393" s="38" t="str">
        <f>IF(ISNA(MATCH($N393,data!$A:$A,0)),"",INDEX(data!E:E,MATCH($N393,data!$A:$A,0)))</f>
        <v/>
      </c>
      <c r="AQ393" s="38" t="str">
        <f>IF(ISNA(MATCH($N393,data!$A:$A,0)),"",INDEX(data!F:F,MATCH($N393,data!$A:$A,0)))</f>
        <v/>
      </c>
      <c r="AR393" s="38" t="str">
        <f>IF(ISNA(MATCH($N393,data!$A:$A,0)),"",INDEX(data!G:G,MATCH($N393,data!$A:$A,0)))</f>
        <v/>
      </c>
      <c r="AS393" s="38" t="str">
        <f>IF(ISNA(MATCH($N393,data!$A:$A,0)),"",INDEX(data!H:H,MATCH($N393,data!$A:$A,0)))</f>
        <v/>
      </c>
      <c r="AT393" s="38" t="str">
        <f>IF(ISNA(MATCH($N393,data!$A:$A,0)),"",INDEX(data!I:I,MATCH($N393,data!$A:$A,0)))</f>
        <v/>
      </c>
      <c r="AU393" s="38" t="str">
        <f>IF(ISNA(MATCH($N393,[1]data!$A:$A,0)),"",INDEX([1]data!L:L,MATCH($N393,[1]data!$A:$A,0)))</f>
        <v/>
      </c>
      <c r="AV393" s="38" t="str">
        <f>IF(ISNA(MATCH($N393,[1]data!$A:$A,0)),"",INDEX([1]data!M:M,MATCH($N393,[1]data!$A:$A,0)))</f>
        <v/>
      </c>
      <c r="AW393" s="38" t="str">
        <f>IF(ISNA(MATCH($N393,data!$A:$A,0)),"",INDEX(data!J:J,MATCH($N393,data!$A:$A,0)))</f>
        <v/>
      </c>
      <c r="AX393" s="38" t="str">
        <f>IF(ISNA(MATCH($N393,data!$A:$A,0)),"",INDEX(data!K:K,MATCH($N393,data!$A:$A,0)))</f>
        <v/>
      </c>
      <c r="AY393" s="38" t="str">
        <f>IF(ISNA(MATCH($N393,data!$A:$A,0)),"",INDEX(data!O:O,MATCH($N393,data!$A:$A,0)))</f>
        <v/>
      </c>
      <c r="AZ393" s="38" t="str">
        <f>IF(ISNA(MATCH($N393,data!$A:$A,0)),"",INDEX(data!N:N,MATCH($N393,data!$A:$A,0)))</f>
        <v/>
      </c>
      <c r="BA393" s="38" t="str">
        <f>IF(ISNA(MATCH($N393,data!$A:$A,0)),"",INDEX(data!P:P,MATCH($N393,data!$A:$A,0)))</f>
        <v/>
      </c>
      <c r="BB393" s="38" t="str">
        <f>IF(ISNA(MATCH($N393,data!$A:$A,0)),"",INDEX(data!Q:Q,MATCH($N393,data!$A:$A,0)))</f>
        <v/>
      </c>
      <c r="BC393" s="38" t="str">
        <f>IF(ISNA(MATCH($N393,data!$A:$A,0)),"",INDEX(data!R:R,MATCH($N393,data!$A:$A,0)))</f>
        <v/>
      </c>
      <c r="BD393" s="38" t="str">
        <f>IF(ISNA(MATCH($N393,[1]data!$A:$A,0)),"",INDEX([1]data!U:U,MATCH($N393,[1]data!$A:$A,0)))</f>
        <v/>
      </c>
      <c r="BE393" s="61" t="e">
        <f>IF(COUNTIF([1]data!A:A,[1]!Table1[[#This Row],[UPC]])&lt;2,"","DUP")</f>
        <v>#VALUE!</v>
      </c>
      <c r="BF393" s="38" t="str">
        <f>IF(ISNA(MATCH($N393,data!$A:$A,0)),"",INDEX(data!W:W,MATCH($N393,data!$A:$A,0)))</f>
        <v/>
      </c>
    </row>
    <row r="394" spans="1:58" ht="12.75" customHeight="1">
      <c r="A394" s="35"/>
      <c r="B394" s="35"/>
      <c r="C394" s="35"/>
      <c r="D394" s="35"/>
      <c r="E394" s="67"/>
      <c r="F394" s="67"/>
      <c r="G394" s="36"/>
      <c r="H394" s="29"/>
      <c r="I394" s="78" t="str">
        <f t="shared" si="8"/>
        <v/>
      </c>
      <c r="J394" s="29"/>
      <c r="K394" s="29"/>
      <c r="L394" s="33"/>
      <c r="M394" s="33"/>
      <c r="N394" s="60"/>
      <c r="O394" s="71"/>
      <c r="P394" s="71"/>
      <c r="Q394" s="33"/>
      <c r="R394" s="31"/>
      <c r="S394" s="31"/>
      <c r="T394" s="59"/>
      <c r="U394" s="59"/>
      <c r="V394" s="59"/>
      <c r="W394" s="57">
        <f t="shared" si="9"/>
        <v>0</v>
      </c>
      <c r="X394" s="126" t="str">
        <f>IF(Table1[[#This Row],[Shipping Weight Pounds]]&gt;150,"See LTL Form","No")</f>
        <v>No</v>
      </c>
      <c r="Y394" s="28"/>
      <c r="Z394" s="33"/>
      <c r="AA394" s="34"/>
      <c r="AB394" s="30"/>
      <c r="AC394" s="30"/>
      <c r="AD394" s="32"/>
      <c r="AE394" s="32"/>
      <c r="AF394" s="2"/>
      <c r="AG394" s="2"/>
      <c r="AH394" s="2"/>
      <c r="AI394" s="2"/>
      <c r="AK394" s="73" t="str">
        <f>IF(ISNA(MATCH($N394,[1]data!$A:$A,0)),"",INDEX([1]data!S:S,MATCH($N394,[1]data!$A:$A,0)))</f>
        <v/>
      </c>
      <c r="AL394" s="73" t="str">
        <f>IF(ISNA(MATCH($N394,[1]data!$A:$A,0)),"",INDEX([1]data!V:V,MATCH($N394,[1]data!$A:$A,0)))</f>
        <v/>
      </c>
      <c r="AM394" s="38" t="str">
        <f>IF(ISNA(MATCH($N394,data!$A:$A,0)),"",INDEX(data!B:B,MATCH($N394,data!$A:$A,0)))</f>
        <v/>
      </c>
      <c r="AN394" s="38" t="str">
        <f>IF(ISNA(MATCH($N394,data!$A:$A,0)),"",INDEX(data!C:C,MATCH($N394,data!$A:$A,0)))</f>
        <v/>
      </c>
      <c r="AO394" s="38" t="str">
        <f>IF(ISNA(MATCH($N394,data!$A:$A,0)),"",INDEX(data!D:D,MATCH($N394,data!$A:$A,0)))</f>
        <v/>
      </c>
      <c r="AP394" s="38" t="str">
        <f>IF(ISNA(MATCH($N394,data!$A:$A,0)),"",INDEX(data!E:E,MATCH($N394,data!$A:$A,0)))</f>
        <v/>
      </c>
      <c r="AQ394" s="38" t="str">
        <f>IF(ISNA(MATCH($N394,data!$A:$A,0)),"",INDEX(data!F:F,MATCH($N394,data!$A:$A,0)))</f>
        <v/>
      </c>
      <c r="AR394" s="38" t="str">
        <f>IF(ISNA(MATCH($N394,data!$A:$A,0)),"",INDEX(data!G:G,MATCH($N394,data!$A:$A,0)))</f>
        <v/>
      </c>
      <c r="AS394" s="38" t="str">
        <f>IF(ISNA(MATCH($N394,data!$A:$A,0)),"",INDEX(data!H:H,MATCH($N394,data!$A:$A,0)))</f>
        <v/>
      </c>
      <c r="AT394" s="38" t="str">
        <f>IF(ISNA(MATCH($N394,data!$A:$A,0)),"",INDEX(data!I:I,MATCH($N394,data!$A:$A,0)))</f>
        <v/>
      </c>
      <c r="AU394" s="38" t="str">
        <f>IF(ISNA(MATCH($N394,[1]data!$A:$A,0)),"",INDEX([1]data!L:L,MATCH($N394,[1]data!$A:$A,0)))</f>
        <v/>
      </c>
      <c r="AV394" s="38" t="str">
        <f>IF(ISNA(MATCH($N394,[1]data!$A:$A,0)),"",INDEX([1]data!M:M,MATCH($N394,[1]data!$A:$A,0)))</f>
        <v/>
      </c>
      <c r="AW394" s="38" t="str">
        <f>IF(ISNA(MATCH($N394,data!$A:$A,0)),"",INDEX(data!J:J,MATCH($N394,data!$A:$A,0)))</f>
        <v/>
      </c>
      <c r="AX394" s="38" t="str">
        <f>IF(ISNA(MATCH($N394,data!$A:$A,0)),"",INDEX(data!K:K,MATCH($N394,data!$A:$A,0)))</f>
        <v/>
      </c>
      <c r="AY394" s="38" t="str">
        <f>IF(ISNA(MATCH($N394,data!$A:$A,0)),"",INDEX(data!O:O,MATCH($N394,data!$A:$A,0)))</f>
        <v/>
      </c>
      <c r="AZ394" s="38" t="str">
        <f>IF(ISNA(MATCH($N394,data!$A:$A,0)),"",INDEX(data!N:N,MATCH($N394,data!$A:$A,0)))</f>
        <v/>
      </c>
      <c r="BA394" s="38" t="str">
        <f>IF(ISNA(MATCH($N394,data!$A:$A,0)),"",INDEX(data!P:P,MATCH($N394,data!$A:$A,0)))</f>
        <v/>
      </c>
      <c r="BB394" s="38" t="str">
        <f>IF(ISNA(MATCH($N394,data!$A:$A,0)),"",INDEX(data!Q:Q,MATCH($N394,data!$A:$A,0)))</f>
        <v/>
      </c>
      <c r="BC394" s="38" t="str">
        <f>IF(ISNA(MATCH($N394,data!$A:$A,0)),"",INDEX(data!R:R,MATCH($N394,data!$A:$A,0)))</f>
        <v/>
      </c>
      <c r="BD394" s="38" t="str">
        <f>IF(ISNA(MATCH($N394,[1]data!$A:$A,0)),"",INDEX([1]data!U:U,MATCH($N394,[1]data!$A:$A,0)))</f>
        <v/>
      </c>
      <c r="BE394" s="61" t="e">
        <f>IF(COUNTIF([1]data!A:A,[1]!Table1[[#This Row],[UPC]])&lt;2,"","DUP")</f>
        <v>#VALUE!</v>
      </c>
      <c r="BF394" s="38" t="str">
        <f>IF(ISNA(MATCH($N394,data!$A:$A,0)),"",INDEX(data!W:W,MATCH($N394,data!$A:$A,0)))</f>
        <v/>
      </c>
    </row>
    <row r="395" spans="1:58" ht="12.75" customHeight="1">
      <c r="A395" s="35"/>
      <c r="B395" s="35"/>
      <c r="C395" s="35"/>
      <c r="D395" s="35"/>
      <c r="E395" s="67"/>
      <c r="F395" s="67"/>
      <c r="G395" s="36"/>
      <c r="H395" s="29"/>
      <c r="I395" s="78" t="str">
        <f t="shared" si="8"/>
        <v/>
      </c>
      <c r="J395" s="29"/>
      <c r="K395" s="29"/>
      <c r="L395" s="33"/>
      <c r="M395" s="33"/>
      <c r="N395" s="60"/>
      <c r="O395" s="71"/>
      <c r="P395" s="71"/>
      <c r="Q395" s="33"/>
      <c r="R395" s="31"/>
      <c r="S395" s="31"/>
      <c r="T395" s="59"/>
      <c r="U395" s="59"/>
      <c r="V395" s="59"/>
      <c r="W395" s="57">
        <f t="shared" si="9"/>
        <v>0</v>
      </c>
      <c r="X395" s="126" t="str">
        <f>IF(Table1[[#This Row],[Shipping Weight Pounds]]&gt;150,"See LTL Form","No")</f>
        <v>No</v>
      </c>
      <c r="Y395" s="28"/>
      <c r="Z395" s="33"/>
      <c r="AA395" s="34"/>
      <c r="AB395" s="30"/>
      <c r="AC395" s="30"/>
      <c r="AD395" s="32"/>
      <c r="AE395" s="32"/>
      <c r="AF395" s="2"/>
      <c r="AG395" s="2"/>
      <c r="AH395" s="2"/>
      <c r="AI395" s="2"/>
      <c r="AK395" s="73" t="str">
        <f>IF(ISNA(MATCH($N395,[1]data!$A:$A,0)),"",INDEX([1]data!S:S,MATCH($N395,[1]data!$A:$A,0)))</f>
        <v/>
      </c>
      <c r="AL395" s="73" t="str">
        <f>IF(ISNA(MATCH($N395,[1]data!$A:$A,0)),"",INDEX([1]data!V:V,MATCH($N395,[1]data!$A:$A,0)))</f>
        <v/>
      </c>
      <c r="AM395" s="38" t="str">
        <f>IF(ISNA(MATCH($N395,data!$A:$A,0)),"",INDEX(data!B:B,MATCH($N395,data!$A:$A,0)))</f>
        <v/>
      </c>
      <c r="AN395" s="38" t="str">
        <f>IF(ISNA(MATCH($N395,data!$A:$A,0)),"",INDEX(data!C:C,MATCH($N395,data!$A:$A,0)))</f>
        <v/>
      </c>
      <c r="AO395" s="38" t="str">
        <f>IF(ISNA(MATCH($N395,data!$A:$A,0)),"",INDEX(data!D:D,MATCH($N395,data!$A:$A,0)))</f>
        <v/>
      </c>
      <c r="AP395" s="38" t="str">
        <f>IF(ISNA(MATCH($N395,data!$A:$A,0)),"",INDEX(data!E:E,MATCH($N395,data!$A:$A,0)))</f>
        <v/>
      </c>
      <c r="AQ395" s="38" t="str">
        <f>IF(ISNA(MATCH($N395,data!$A:$A,0)),"",INDEX(data!F:F,MATCH($N395,data!$A:$A,0)))</f>
        <v/>
      </c>
      <c r="AR395" s="38" t="str">
        <f>IF(ISNA(MATCH($N395,data!$A:$A,0)),"",INDEX(data!G:G,MATCH($N395,data!$A:$A,0)))</f>
        <v/>
      </c>
      <c r="AS395" s="38" t="str">
        <f>IF(ISNA(MATCH($N395,data!$A:$A,0)),"",INDEX(data!H:H,MATCH($N395,data!$A:$A,0)))</f>
        <v/>
      </c>
      <c r="AT395" s="38" t="str">
        <f>IF(ISNA(MATCH($N395,data!$A:$A,0)),"",INDEX(data!I:I,MATCH($N395,data!$A:$A,0)))</f>
        <v/>
      </c>
      <c r="AU395" s="38" t="str">
        <f>IF(ISNA(MATCH($N395,[1]data!$A:$A,0)),"",INDEX([1]data!L:L,MATCH($N395,[1]data!$A:$A,0)))</f>
        <v/>
      </c>
      <c r="AV395" s="38" t="str">
        <f>IF(ISNA(MATCH($N395,[1]data!$A:$A,0)),"",INDEX([1]data!M:M,MATCH($N395,[1]data!$A:$A,0)))</f>
        <v/>
      </c>
      <c r="AW395" s="38" t="str">
        <f>IF(ISNA(MATCH($N395,data!$A:$A,0)),"",INDEX(data!J:J,MATCH($N395,data!$A:$A,0)))</f>
        <v/>
      </c>
      <c r="AX395" s="38" t="str">
        <f>IF(ISNA(MATCH($N395,data!$A:$A,0)),"",INDEX(data!K:K,MATCH($N395,data!$A:$A,0)))</f>
        <v/>
      </c>
      <c r="AY395" s="38" t="str">
        <f>IF(ISNA(MATCH($N395,data!$A:$A,0)),"",INDEX(data!O:O,MATCH($N395,data!$A:$A,0)))</f>
        <v/>
      </c>
      <c r="AZ395" s="38" t="str">
        <f>IF(ISNA(MATCH($N395,data!$A:$A,0)),"",INDEX(data!N:N,MATCH($N395,data!$A:$A,0)))</f>
        <v/>
      </c>
      <c r="BA395" s="38" t="str">
        <f>IF(ISNA(MATCH($N395,data!$A:$A,0)),"",INDEX(data!P:P,MATCH($N395,data!$A:$A,0)))</f>
        <v/>
      </c>
      <c r="BB395" s="38" t="str">
        <f>IF(ISNA(MATCH($N395,data!$A:$A,0)),"",INDEX(data!Q:Q,MATCH($N395,data!$A:$A,0)))</f>
        <v/>
      </c>
      <c r="BC395" s="38" t="str">
        <f>IF(ISNA(MATCH($N395,data!$A:$A,0)),"",INDEX(data!R:R,MATCH($N395,data!$A:$A,0)))</f>
        <v/>
      </c>
      <c r="BD395" s="38" t="str">
        <f>IF(ISNA(MATCH($N395,[1]data!$A:$A,0)),"",INDEX([1]data!U:U,MATCH($N395,[1]data!$A:$A,0)))</f>
        <v/>
      </c>
      <c r="BE395" s="61" t="e">
        <f>IF(COUNTIF([1]data!A:A,[1]!Table1[[#This Row],[UPC]])&lt;2,"","DUP")</f>
        <v>#VALUE!</v>
      </c>
      <c r="BF395" s="38" t="str">
        <f>IF(ISNA(MATCH($N395,data!$A:$A,0)),"",INDEX(data!W:W,MATCH($N395,data!$A:$A,0)))</f>
        <v/>
      </c>
    </row>
    <row r="396" spans="1:58" ht="12.75" customHeight="1">
      <c r="A396" s="35"/>
      <c r="B396" s="35"/>
      <c r="C396" s="35"/>
      <c r="D396" s="35"/>
      <c r="E396" s="67"/>
      <c r="F396" s="67"/>
      <c r="G396" s="36"/>
      <c r="H396" s="29"/>
      <c r="I396" s="78" t="str">
        <f t="shared" si="8"/>
        <v/>
      </c>
      <c r="J396" s="29"/>
      <c r="K396" s="29"/>
      <c r="L396" s="33"/>
      <c r="M396" s="33"/>
      <c r="N396" s="60"/>
      <c r="O396" s="71"/>
      <c r="P396" s="71"/>
      <c r="Q396" s="33"/>
      <c r="R396" s="31"/>
      <c r="S396" s="31"/>
      <c r="T396" s="59"/>
      <c r="U396" s="59"/>
      <c r="V396" s="59"/>
      <c r="W396" s="57">
        <f t="shared" si="9"/>
        <v>0</v>
      </c>
      <c r="X396" s="126" t="str">
        <f>IF(Table1[[#This Row],[Shipping Weight Pounds]]&gt;150,"See LTL Form","No")</f>
        <v>No</v>
      </c>
      <c r="Y396" s="28"/>
      <c r="Z396" s="33"/>
      <c r="AA396" s="34"/>
      <c r="AB396" s="30"/>
      <c r="AC396" s="30"/>
      <c r="AD396" s="32"/>
      <c r="AE396" s="32"/>
      <c r="AF396" s="2"/>
      <c r="AG396" s="2"/>
      <c r="AH396" s="2"/>
      <c r="AI396" s="2"/>
      <c r="AK396" s="73" t="str">
        <f>IF(ISNA(MATCH($N396,[1]data!$A:$A,0)),"",INDEX([1]data!S:S,MATCH($N396,[1]data!$A:$A,0)))</f>
        <v/>
      </c>
      <c r="AL396" s="73" t="str">
        <f>IF(ISNA(MATCH($N396,[1]data!$A:$A,0)),"",INDEX([1]data!V:V,MATCH($N396,[1]data!$A:$A,0)))</f>
        <v/>
      </c>
      <c r="AM396" s="38" t="str">
        <f>IF(ISNA(MATCH($N396,data!$A:$A,0)),"",INDEX(data!B:B,MATCH($N396,data!$A:$A,0)))</f>
        <v/>
      </c>
      <c r="AN396" s="38" t="str">
        <f>IF(ISNA(MATCH($N396,data!$A:$A,0)),"",INDEX(data!C:C,MATCH($N396,data!$A:$A,0)))</f>
        <v/>
      </c>
      <c r="AO396" s="38" t="str">
        <f>IF(ISNA(MATCH($N396,data!$A:$A,0)),"",INDEX(data!D:D,MATCH($N396,data!$A:$A,0)))</f>
        <v/>
      </c>
      <c r="AP396" s="38" t="str">
        <f>IF(ISNA(MATCH($N396,data!$A:$A,0)),"",INDEX(data!E:E,MATCH($N396,data!$A:$A,0)))</f>
        <v/>
      </c>
      <c r="AQ396" s="38" t="str">
        <f>IF(ISNA(MATCH($N396,data!$A:$A,0)),"",INDEX(data!F:F,MATCH($N396,data!$A:$A,0)))</f>
        <v/>
      </c>
      <c r="AR396" s="38" t="str">
        <f>IF(ISNA(MATCH($N396,data!$A:$A,0)),"",INDEX(data!G:G,MATCH($N396,data!$A:$A,0)))</f>
        <v/>
      </c>
      <c r="AS396" s="38" t="str">
        <f>IF(ISNA(MATCH($N396,data!$A:$A,0)),"",INDEX(data!H:H,MATCH($N396,data!$A:$A,0)))</f>
        <v/>
      </c>
      <c r="AT396" s="38" t="str">
        <f>IF(ISNA(MATCH($N396,data!$A:$A,0)),"",INDEX(data!I:I,MATCH($N396,data!$A:$A,0)))</f>
        <v/>
      </c>
      <c r="AU396" s="38" t="str">
        <f>IF(ISNA(MATCH($N396,[1]data!$A:$A,0)),"",INDEX([1]data!L:L,MATCH($N396,[1]data!$A:$A,0)))</f>
        <v/>
      </c>
      <c r="AV396" s="38" t="str">
        <f>IF(ISNA(MATCH($N396,[1]data!$A:$A,0)),"",INDEX([1]data!M:M,MATCH($N396,[1]data!$A:$A,0)))</f>
        <v/>
      </c>
      <c r="AW396" s="38" t="str">
        <f>IF(ISNA(MATCH($N396,data!$A:$A,0)),"",INDEX(data!J:J,MATCH($N396,data!$A:$A,0)))</f>
        <v/>
      </c>
      <c r="AX396" s="38" t="str">
        <f>IF(ISNA(MATCH($N396,data!$A:$A,0)),"",INDEX(data!K:K,MATCH($N396,data!$A:$A,0)))</f>
        <v/>
      </c>
      <c r="AY396" s="38" t="str">
        <f>IF(ISNA(MATCH($N396,data!$A:$A,0)),"",INDEX(data!O:O,MATCH($N396,data!$A:$A,0)))</f>
        <v/>
      </c>
      <c r="AZ396" s="38" t="str">
        <f>IF(ISNA(MATCH($N396,data!$A:$A,0)),"",INDEX(data!N:N,MATCH($N396,data!$A:$A,0)))</f>
        <v/>
      </c>
      <c r="BA396" s="38" t="str">
        <f>IF(ISNA(MATCH($N396,data!$A:$A,0)),"",INDEX(data!P:P,MATCH($N396,data!$A:$A,0)))</f>
        <v/>
      </c>
      <c r="BB396" s="38" t="str">
        <f>IF(ISNA(MATCH($N396,data!$A:$A,0)),"",INDEX(data!Q:Q,MATCH($N396,data!$A:$A,0)))</f>
        <v/>
      </c>
      <c r="BC396" s="38" t="str">
        <f>IF(ISNA(MATCH($N396,data!$A:$A,0)),"",INDEX(data!R:R,MATCH($N396,data!$A:$A,0)))</f>
        <v/>
      </c>
      <c r="BD396" s="38" t="str">
        <f>IF(ISNA(MATCH($N396,[1]data!$A:$A,0)),"",INDEX([1]data!U:U,MATCH($N396,[1]data!$A:$A,0)))</f>
        <v/>
      </c>
      <c r="BE396" s="61" t="e">
        <f>IF(COUNTIF([1]data!A:A,[1]!Table1[[#This Row],[UPC]])&lt;2,"","DUP")</f>
        <v>#VALUE!</v>
      </c>
      <c r="BF396" s="38" t="str">
        <f>IF(ISNA(MATCH($N396,data!$A:$A,0)),"",INDEX(data!W:W,MATCH($N396,data!$A:$A,0)))</f>
        <v/>
      </c>
    </row>
    <row r="397" spans="1:58" ht="12.75" customHeight="1">
      <c r="A397" s="35"/>
      <c r="B397" s="35"/>
      <c r="C397" s="35"/>
      <c r="D397" s="35"/>
      <c r="E397" s="67"/>
      <c r="F397" s="67"/>
      <c r="G397" s="36"/>
      <c r="H397" s="29"/>
      <c r="I397" s="78" t="str">
        <f t="shared" si="8"/>
        <v/>
      </c>
      <c r="J397" s="29"/>
      <c r="K397" s="29"/>
      <c r="L397" s="33"/>
      <c r="M397" s="33"/>
      <c r="N397" s="60"/>
      <c r="O397" s="71"/>
      <c r="P397" s="71"/>
      <c r="Q397" s="33"/>
      <c r="R397" s="31"/>
      <c r="S397" s="31"/>
      <c r="T397" s="59"/>
      <c r="U397" s="59"/>
      <c r="V397" s="59"/>
      <c r="W397" s="57">
        <f t="shared" si="9"/>
        <v>0</v>
      </c>
      <c r="X397" s="126" t="str">
        <f>IF(Table1[[#This Row],[Shipping Weight Pounds]]&gt;150,"See LTL Form","No")</f>
        <v>No</v>
      </c>
      <c r="Y397" s="28"/>
      <c r="Z397" s="33"/>
      <c r="AA397" s="34"/>
      <c r="AB397" s="30"/>
      <c r="AC397" s="30"/>
      <c r="AD397" s="32"/>
      <c r="AE397" s="32"/>
      <c r="AF397" s="2"/>
      <c r="AG397" s="2"/>
      <c r="AH397" s="2"/>
      <c r="AI397" s="2"/>
      <c r="AK397" s="73" t="str">
        <f>IF(ISNA(MATCH($N397,[1]data!$A:$A,0)),"",INDEX([1]data!S:S,MATCH($N397,[1]data!$A:$A,0)))</f>
        <v/>
      </c>
      <c r="AL397" s="73" t="str">
        <f>IF(ISNA(MATCH($N397,[1]data!$A:$A,0)),"",INDEX([1]data!V:V,MATCH($N397,[1]data!$A:$A,0)))</f>
        <v/>
      </c>
      <c r="AM397" s="38" t="str">
        <f>IF(ISNA(MATCH($N397,data!$A:$A,0)),"",INDEX(data!B:B,MATCH($N397,data!$A:$A,0)))</f>
        <v/>
      </c>
      <c r="AN397" s="38" t="str">
        <f>IF(ISNA(MATCH($N397,data!$A:$A,0)),"",INDEX(data!C:C,MATCH($N397,data!$A:$A,0)))</f>
        <v/>
      </c>
      <c r="AO397" s="38" t="str">
        <f>IF(ISNA(MATCH($N397,data!$A:$A,0)),"",INDEX(data!D:D,MATCH($N397,data!$A:$A,0)))</f>
        <v/>
      </c>
      <c r="AP397" s="38" t="str">
        <f>IF(ISNA(MATCH($N397,data!$A:$A,0)),"",INDEX(data!E:E,MATCH($N397,data!$A:$A,0)))</f>
        <v/>
      </c>
      <c r="AQ397" s="38" t="str">
        <f>IF(ISNA(MATCH($N397,data!$A:$A,0)),"",INDEX(data!F:F,MATCH($N397,data!$A:$A,0)))</f>
        <v/>
      </c>
      <c r="AR397" s="38" t="str">
        <f>IF(ISNA(MATCH($N397,data!$A:$A,0)),"",INDEX(data!G:G,MATCH($N397,data!$A:$A,0)))</f>
        <v/>
      </c>
      <c r="AS397" s="38" t="str">
        <f>IF(ISNA(MATCH($N397,data!$A:$A,0)),"",INDEX(data!H:H,MATCH($N397,data!$A:$A,0)))</f>
        <v/>
      </c>
      <c r="AT397" s="38" t="str">
        <f>IF(ISNA(MATCH($N397,data!$A:$A,0)),"",INDEX(data!I:I,MATCH($N397,data!$A:$A,0)))</f>
        <v/>
      </c>
      <c r="AU397" s="38" t="str">
        <f>IF(ISNA(MATCH($N397,[1]data!$A:$A,0)),"",INDEX([1]data!L:L,MATCH($N397,[1]data!$A:$A,0)))</f>
        <v/>
      </c>
      <c r="AV397" s="38" t="str">
        <f>IF(ISNA(MATCH($N397,[1]data!$A:$A,0)),"",INDEX([1]data!M:M,MATCH($N397,[1]data!$A:$A,0)))</f>
        <v/>
      </c>
      <c r="AW397" s="38" t="str">
        <f>IF(ISNA(MATCH($N397,data!$A:$A,0)),"",INDEX(data!J:J,MATCH($N397,data!$A:$A,0)))</f>
        <v/>
      </c>
      <c r="AX397" s="38" t="str">
        <f>IF(ISNA(MATCH($N397,data!$A:$A,0)),"",INDEX(data!K:K,MATCH($N397,data!$A:$A,0)))</f>
        <v/>
      </c>
      <c r="AY397" s="38" t="str">
        <f>IF(ISNA(MATCH($N397,data!$A:$A,0)),"",INDEX(data!O:O,MATCH($N397,data!$A:$A,0)))</f>
        <v/>
      </c>
      <c r="AZ397" s="38" t="str">
        <f>IF(ISNA(MATCH($N397,data!$A:$A,0)),"",INDEX(data!N:N,MATCH($N397,data!$A:$A,0)))</f>
        <v/>
      </c>
      <c r="BA397" s="38" t="str">
        <f>IF(ISNA(MATCH($N397,data!$A:$A,0)),"",INDEX(data!P:P,MATCH($N397,data!$A:$A,0)))</f>
        <v/>
      </c>
      <c r="BB397" s="38" t="str">
        <f>IF(ISNA(MATCH($N397,data!$A:$A,0)),"",INDEX(data!Q:Q,MATCH($N397,data!$A:$A,0)))</f>
        <v/>
      </c>
      <c r="BC397" s="38" t="str">
        <f>IF(ISNA(MATCH($N397,data!$A:$A,0)),"",INDEX(data!R:R,MATCH($N397,data!$A:$A,0)))</f>
        <v/>
      </c>
      <c r="BD397" s="38" t="str">
        <f>IF(ISNA(MATCH($N397,[1]data!$A:$A,0)),"",INDEX([1]data!U:U,MATCH($N397,[1]data!$A:$A,0)))</f>
        <v/>
      </c>
      <c r="BE397" s="61" t="e">
        <f>IF(COUNTIF([1]data!A:A,[1]!Table1[[#This Row],[UPC]])&lt;2,"","DUP")</f>
        <v>#VALUE!</v>
      </c>
      <c r="BF397" s="38" t="str">
        <f>IF(ISNA(MATCH($N397,data!$A:$A,0)),"",INDEX(data!W:W,MATCH($N397,data!$A:$A,0)))</f>
        <v/>
      </c>
    </row>
    <row r="398" spans="1:58" ht="12.75" customHeight="1">
      <c r="A398" s="35"/>
      <c r="B398" s="35"/>
      <c r="C398" s="35"/>
      <c r="D398" s="35"/>
      <c r="E398" s="67"/>
      <c r="F398" s="67"/>
      <c r="G398" s="36"/>
      <c r="H398" s="29"/>
      <c r="I398" s="78" t="str">
        <f t="shared" si="8"/>
        <v/>
      </c>
      <c r="J398" s="29"/>
      <c r="K398" s="29"/>
      <c r="L398" s="33"/>
      <c r="M398" s="33"/>
      <c r="N398" s="60"/>
      <c r="O398" s="71"/>
      <c r="P398" s="71"/>
      <c r="Q398" s="33"/>
      <c r="R398" s="31"/>
      <c r="S398" s="31"/>
      <c r="T398" s="59"/>
      <c r="U398" s="59"/>
      <c r="V398" s="59"/>
      <c r="W398" s="57">
        <f t="shared" si="9"/>
        <v>0</v>
      </c>
      <c r="X398" s="126" t="str">
        <f>IF(Table1[[#This Row],[Shipping Weight Pounds]]&gt;150,"See LTL Form","No")</f>
        <v>No</v>
      </c>
      <c r="Y398" s="28"/>
      <c r="Z398" s="33"/>
      <c r="AA398" s="34"/>
      <c r="AB398" s="30"/>
      <c r="AC398" s="30"/>
      <c r="AD398" s="32"/>
      <c r="AE398" s="32"/>
      <c r="AF398" s="2"/>
      <c r="AG398" s="2"/>
      <c r="AH398" s="2"/>
      <c r="AI398" s="2"/>
      <c r="AK398" s="73" t="str">
        <f>IF(ISNA(MATCH($N398,[1]data!$A:$A,0)),"",INDEX([1]data!S:S,MATCH($N398,[1]data!$A:$A,0)))</f>
        <v/>
      </c>
      <c r="AL398" s="73" t="str">
        <f>IF(ISNA(MATCH($N398,[1]data!$A:$A,0)),"",INDEX([1]data!V:V,MATCH($N398,[1]data!$A:$A,0)))</f>
        <v/>
      </c>
      <c r="AM398" s="38" t="str">
        <f>IF(ISNA(MATCH($N398,data!$A:$A,0)),"",INDEX(data!B:B,MATCH($N398,data!$A:$A,0)))</f>
        <v/>
      </c>
      <c r="AN398" s="38" t="str">
        <f>IF(ISNA(MATCH($N398,data!$A:$A,0)),"",INDEX(data!C:C,MATCH($N398,data!$A:$A,0)))</f>
        <v/>
      </c>
      <c r="AO398" s="38" t="str">
        <f>IF(ISNA(MATCH($N398,data!$A:$A,0)),"",INDEX(data!D:D,MATCH($N398,data!$A:$A,0)))</f>
        <v/>
      </c>
      <c r="AP398" s="38" t="str">
        <f>IF(ISNA(MATCH($N398,data!$A:$A,0)),"",INDEX(data!E:E,MATCH($N398,data!$A:$A,0)))</f>
        <v/>
      </c>
      <c r="AQ398" s="38" t="str">
        <f>IF(ISNA(MATCH($N398,data!$A:$A,0)),"",INDEX(data!F:F,MATCH($N398,data!$A:$A,0)))</f>
        <v/>
      </c>
      <c r="AR398" s="38" t="str">
        <f>IF(ISNA(MATCH($N398,data!$A:$A,0)),"",INDEX(data!G:G,MATCH($N398,data!$A:$A,0)))</f>
        <v/>
      </c>
      <c r="AS398" s="38" t="str">
        <f>IF(ISNA(MATCH($N398,data!$A:$A,0)),"",INDEX(data!H:H,MATCH($N398,data!$A:$A,0)))</f>
        <v/>
      </c>
      <c r="AT398" s="38" t="str">
        <f>IF(ISNA(MATCH($N398,data!$A:$A,0)),"",INDEX(data!I:I,MATCH($N398,data!$A:$A,0)))</f>
        <v/>
      </c>
      <c r="AU398" s="38" t="str">
        <f>IF(ISNA(MATCH($N398,[1]data!$A:$A,0)),"",INDEX([1]data!L:L,MATCH($N398,[1]data!$A:$A,0)))</f>
        <v/>
      </c>
      <c r="AV398" s="38" t="str">
        <f>IF(ISNA(MATCH($N398,[1]data!$A:$A,0)),"",INDEX([1]data!M:M,MATCH($N398,[1]data!$A:$A,0)))</f>
        <v/>
      </c>
      <c r="AW398" s="38" t="str">
        <f>IF(ISNA(MATCH($N398,data!$A:$A,0)),"",INDEX(data!J:J,MATCH($N398,data!$A:$A,0)))</f>
        <v/>
      </c>
      <c r="AX398" s="38" t="str">
        <f>IF(ISNA(MATCH($N398,data!$A:$A,0)),"",INDEX(data!K:K,MATCH($N398,data!$A:$A,0)))</f>
        <v/>
      </c>
      <c r="AY398" s="38" t="str">
        <f>IF(ISNA(MATCH($N398,data!$A:$A,0)),"",INDEX(data!O:O,MATCH($N398,data!$A:$A,0)))</f>
        <v/>
      </c>
      <c r="AZ398" s="38" t="str">
        <f>IF(ISNA(MATCH($N398,data!$A:$A,0)),"",INDEX(data!N:N,MATCH($N398,data!$A:$A,0)))</f>
        <v/>
      </c>
      <c r="BA398" s="38" t="str">
        <f>IF(ISNA(MATCH($N398,data!$A:$A,0)),"",INDEX(data!P:P,MATCH($N398,data!$A:$A,0)))</f>
        <v/>
      </c>
      <c r="BB398" s="38" t="str">
        <f>IF(ISNA(MATCH($N398,data!$A:$A,0)),"",INDEX(data!Q:Q,MATCH($N398,data!$A:$A,0)))</f>
        <v/>
      </c>
      <c r="BC398" s="38" t="str">
        <f>IF(ISNA(MATCH($N398,data!$A:$A,0)),"",INDEX(data!R:R,MATCH($N398,data!$A:$A,0)))</f>
        <v/>
      </c>
      <c r="BD398" s="38" t="str">
        <f>IF(ISNA(MATCH($N398,[1]data!$A:$A,0)),"",INDEX([1]data!U:U,MATCH($N398,[1]data!$A:$A,0)))</f>
        <v/>
      </c>
      <c r="BE398" s="61" t="e">
        <f>IF(COUNTIF([1]data!A:A,[1]!Table1[[#This Row],[UPC]])&lt;2,"","DUP")</f>
        <v>#VALUE!</v>
      </c>
      <c r="BF398" s="38" t="str">
        <f>IF(ISNA(MATCH($N398,data!$A:$A,0)),"",INDEX(data!W:W,MATCH($N398,data!$A:$A,0)))</f>
        <v/>
      </c>
    </row>
    <row r="399" spans="1:58" ht="12.75" customHeight="1">
      <c r="A399" s="35"/>
      <c r="B399" s="35"/>
      <c r="C399" s="35"/>
      <c r="D399" s="35"/>
      <c r="E399" s="67"/>
      <c r="F399" s="67"/>
      <c r="G399" s="36"/>
      <c r="H399" s="29"/>
      <c r="I399" s="78" t="str">
        <f t="shared" si="8"/>
        <v/>
      </c>
      <c r="J399" s="29"/>
      <c r="K399" s="29"/>
      <c r="L399" s="33"/>
      <c r="M399" s="33"/>
      <c r="N399" s="60"/>
      <c r="O399" s="71"/>
      <c r="P399" s="71"/>
      <c r="Q399" s="33"/>
      <c r="R399" s="31"/>
      <c r="S399" s="31"/>
      <c r="T399" s="59"/>
      <c r="U399" s="59"/>
      <c r="V399" s="59"/>
      <c r="W399" s="57">
        <f t="shared" si="9"/>
        <v>0</v>
      </c>
      <c r="X399" s="126" t="str">
        <f>IF(Table1[[#This Row],[Shipping Weight Pounds]]&gt;150,"See LTL Form","No")</f>
        <v>No</v>
      </c>
      <c r="Y399" s="28"/>
      <c r="Z399" s="33"/>
      <c r="AA399" s="34"/>
      <c r="AB399" s="30"/>
      <c r="AC399" s="30"/>
      <c r="AD399" s="32"/>
      <c r="AE399" s="32"/>
      <c r="AF399" s="2"/>
      <c r="AG399" s="2"/>
      <c r="AH399" s="2"/>
      <c r="AI399" s="2"/>
      <c r="AK399" s="73" t="str">
        <f>IF(ISNA(MATCH($N399,[1]data!$A:$A,0)),"",INDEX([1]data!S:S,MATCH($N399,[1]data!$A:$A,0)))</f>
        <v/>
      </c>
      <c r="AL399" s="73" t="str">
        <f>IF(ISNA(MATCH($N399,[1]data!$A:$A,0)),"",INDEX([1]data!V:V,MATCH($N399,[1]data!$A:$A,0)))</f>
        <v/>
      </c>
      <c r="AM399" s="38" t="str">
        <f>IF(ISNA(MATCH($N399,data!$A:$A,0)),"",INDEX(data!B:B,MATCH($N399,data!$A:$A,0)))</f>
        <v/>
      </c>
      <c r="AN399" s="38" t="str">
        <f>IF(ISNA(MATCH($N399,data!$A:$A,0)),"",INDEX(data!C:C,MATCH($N399,data!$A:$A,0)))</f>
        <v/>
      </c>
      <c r="AO399" s="38" t="str">
        <f>IF(ISNA(MATCH($N399,data!$A:$A,0)),"",INDEX(data!D:D,MATCH($N399,data!$A:$A,0)))</f>
        <v/>
      </c>
      <c r="AP399" s="38" t="str">
        <f>IF(ISNA(MATCH($N399,data!$A:$A,0)),"",INDEX(data!E:E,MATCH($N399,data!$A:$A,0)))</f>
        <v/>
      </c>
      <c r="AQ399" s="38" t="str">
        <f>IF(ISNA(MATCH($N399,data!$A:$A,0)),"",INDEX(data!F:F,MATCH($N399,data!$A:$A,0)))</f>
        <v/>
      </c>
      <c r="AR399" s="38" t="str">
        <f>IF(ISNA(MATCH($N399,data!$A:$A,0)),"",INDEX(data!G:G,MATCH($N399,data!$A:$A,0)))</f>
        <v/>
      </c>
      <c r="AS399" s="38" t="str">
        <f>IF(ISNA(MATCH($N399,data!$A:$A,0)),"",INDEX(data!H:H,MATCH($N399,data!$A:$A,0)))</f>
        <v/>
      </c>
      <c r="AT399" s="38" t="str">
        <f>IF(ISNA(MATCH($N399,data!$A:$A,0)),"",INDEX(data!I:I,MATCH($N399,data!$A:$A,0)))</f>
        <v/>
      </c>
      <c r="AU399" s="38" t="str">
        <f>IF(ISNA(MATCH($N399,[1]data!$A:$A,0)),"",INDEX([1]data!L:L,MATCH($N399,[1]data!$A:$A,0)))</f>
        <v/>
      </c>
      <c r="AV399" s="38" t="str">
        <f>IF(ISNA(MATCH($N399,[1]data!$A:$A,0)),"",INDEX([1]data!M:M,MATCH($N399,[1]data!$A:$A,0)))</f>
        <v/>
      </c>
      <c r="AW399" s="38" t="str">
        <f>IF(ISNA(MATCH($N399,data!$A:$A,0)),"",INDEX(data!J:J,MATCH($N399,data!$A:$A,0)))</f>
        <v/>
      </c>
      <c r="AX399" s="38" t="str">
        <f>IF(ISNA(MATCH($N399,data!$A:$A,0)),"",INDEX(data!K:K,MATCH($N399,data!$A:$A,0)))</f>
        <v/>
      </c>
      <c r="AY399" s="38" t="str">
        <f>IF(ISNA(MATCH($N399,data!$A:$A,0)),"",INDEX(data!O:O,MATCH($N399,data!$A:$A,0)))</f>
        <v/>
      </c>
      <c r="AZ399" s="38" t="str">
        <f>IF(ISNA(MATCH($N399,data!$A:$A,0)),"",INDEX(data!N:N,MATCH($N399,data!$A:$A,0)))</f>
        <v/>
      </c>
      <c r="BA399" s="38" t="str">
        <f>IF(ISNA(MATCH($N399,data!$A:$A,0)),"",INDEX(data!P:P,MATCH($N399,data!$A:$A,0)))</f>
        <v/>
      </c>
      <c r="BB399" s="38" t="str">
        <f>IF(ISNA(MATCH($N399,data!$A:$A,0)),"",INDEX(data!Q:Q,MATCH($N399,data!$A:$A,0)))</f>
        <v/>
      </c>
      <c r="BC399" s="38" t="str">
        <f>IF(ISNA(MATCH($N399,data!$A:$A,0)),"",INDEX(data!R:R,MATCH($N399,data!$A:$A,0)))</f>
        <v/>
      </c>
      <c r="BD399" s="38" t="str">
        <f>IF(ISNA(MATCH($N399,[1]data!$A:$A,0)),"",INDEX([1]data!U:U,MATCH($N399,[1]data!$A:$A,0)))</f>
        <v/>
      </c>
      <c r="BE399" s="61" t="e">
        <f>IF(COUNTIF([1]data!A:A,[1]!Table1[[#This Row],[UPC]])&lt;2,"","DUP")</f>
        <v>#VALUE!</v>
      </c>
      <c r="BF399" s="38" t="str">
        <f>IF(ISNA(MATCH($N399,data!$A:$A,0)),"",INDEX(data!W:W,MATCH($N399,data!$A:$A,0)))</f>
        <v/>
      </c>
    </row>
    <row r="400" spans="1:58" ht="12.75" customHeight="1">
      <c r="A400" s="35"/>
      <c r="B400" s="35"/>
      <c r="C400" s="35"/>
      <c r="D400" s="35"/>
      <c r="E400" s="67"/>
      <c r="F400" s="67"/>
      <c r="G400" s="36"/>
      <c r="H400" s="29"/>
      <c r="I400" s="78" t="str">
        <f t="shared" si="8"/>
        <v/>
      </c>
      <c r="J400" s="29"/>
      <c r="K400" s="29"/>
      <c r="L400" s="33"/>
      <c r="M400" s="33"/>
      <c r="N400" s="60"/>
      <c r="O400" s="71"/>
      <c r="P400" s="71"/>
      <c r="Q400" s="33"/>
      <c r="R400" s="31"/>
      <c r="S400" s="31"/>
      <c r="T400" s="59"/>
      <c r="U400" s="59"/>
      <c r="V400" s="59"/>
      <c r="W400" s="57">
        <f t="shared" si="9"/>
        <v>0</v>
      </c>
      <c r="X400" s="126" t="str">
        <f>IF(Table1[[#This Row],[Shipping Weight Pounds]]&gt;150,"See LTL Form","No")</f>
        <v>No</v>
      </c>
      <c r="Y400" s="28"/>
      <c r="Z400" s="33"/>
      <c r="AA400" s="34"/>
      <c r="AB400" s="30"/>
      <c r="AC400" s="30"/>
      <c r="AD400" s="32"/>
      <c r="AE400" s="32"/>
      <c r="AF400" s="2"/>
      <c r="AG400" s="2"/>
      <c r="AH400" s="2"/>
      <c r="AI400" s="2"/>
      <c r="AK400" s="73" t="str">
        <f>IF(ISNA(MATCH($N400,[1]data!$A:$A,0)),"",INDEX([1]data!S:S,MATCH($N400,[1]data!$A:$A,0)))</f>
        <v/>
      </c>
      <c r="AL400" s="73" t="str">
        <f>IF(ISNA(MATCH($N400,[1]data!$A:$A,0)),"",INDEX([1]data!V:V,MATCH($N400,[1]data!$A:$A,0)))</f>
        <v/>
      </c>
      <c r="AM400" s="38" t="str">
        <f>IF(ISNA(MATCH($N400,data!$A:$A,0)),"",INDEX(data!B:B,MATCH($N400,data!$A:$A,0)))</f>
        <v/>
      </c>
      <c r="AN400" s="38" t="str">
        <f>IF(ISNA(MATCH($N400,data!$A:$A,0)),"",INDEX(data!C:C,MATCH($N400,data!$A:$A,0)))</f>
        <v/>
      </c>
      <c r="AO400" s="38" t="str">
        <f>IF(ISNA(MATCH($N400,data!$A:$A,0)),"",INDEX(data!D:D,MATCH($N400,data!$A:$A,0)))</f>
        <v/>
      </c>
      <c r="AP400" s="38" t="str">
        <f>IF(ISNA(MATCH($N400,data!$A:$A,0)),"",INDEX(data!E:E,MATCH($N400,data!$A:$A,0)))</f>
        <v/>
      </c>
      <c r="AQ400" s="38" t="str">
        <f>IF(ISNA(MATCH($N400,data!$A:$A,0)),"",INDEX(data!F:F,MATCH($N400,data!$A:$A,0)))</f>
        <v/>
      </c>
      <c r="AR400" s="38" t="str">
        <f>IF(ISNA(MATCH($N400,data!$A:$A,0)),"",INDEX(data!G:G,MATCH($N400,data!$A:$A,0)))</f>
        <v/>
      </c>
      <c r="AS400" s="38" t="str">
        <f>IF(ISNA(MATCH($N400,data!$A:$A,0)),"",INDEX(data!H:H,MATCH($N400,data!$A:$A,0)))</f>
        <v/>
      </c>
      <c r="AT400" s="38" t="str">
        <f>IF(ISNA(MATCH($N400,data!$A:$A,0)),"",INDEX(data!I:I,MATCH($N400,data!$A:$A,0)))</f>
        <v/>
      </c>
      <c r="AU400" s="38" t="str">
        <f>IF(ISNA(MATCH($N400,[1]data!$A:$A,0)),"",INDEX([1]data!L:L,MATCH($N400,[1]data!$A:$A,0)))</f>
        <v/>
      </c>
      <c r="AV400" s="38" t="str">
        <f>IF(ISNA(MATCH($N400,[1]data!$A:$A,0)),"",INDEX([1]data!M:M,MATCH($N400,[1]data!$A:$A,0)))</f>
        <v/>
      </c>
      <c r="AW400" s="38" t="str">
        <f>IF(ISNA(MATCH($N400,data!$A:$A,0)),"",INDEX(data!J:J,MATCH($N400,data!$A:$A,0)))</f>
        <v/>
      </c>
      <c r="AX400" s="38" t="str">
        <f>IF(ISNA(MATCH($N400,data!$A:$A,0)),"",INDEX(data!K:K,MATCH($N400,data!$A:$A,0)))</f>
        <v/>
      </c>
      <c r="AY400" s="38" t="str">
        <f>IF(ISNA(MATCH($N400,data!$A:$A,0)),"",INDEX(data!O:O,MATCH($N400,data!$A:$A,0)))</f>
        <v/>
      </c>
      <c r="AZ400" s="38" t="str">
        <f>IF(ISNA(MATCH($N400,data!$A:$A,0)),"",INDEX(data!N:N,MATCH($N400,data!$A:$A,0)))</f>
        <v/>
      </c>
      <c r="BA400" s="38" t="str">
        <f>IF(ISNA(MATCH($N400,data!$A:$A,0)),"",INDEX(data!P:P,MATCH($N400,data!$A:$A,0)))</f>
        <v/>
      </c>
      <c r="BB400" s="38" t="str">
        <f>IF(ISNA(MATCH($N400,data!$A:$A,0)),"",INDEX(data!Q:Q,MATCH($N400,data!$A:$A,0)))</f>
        <v/>
      </c>
      <c r="BC400" s="38" t="str">
        <f>IF(ISNA(MATCH($N400,data!$A:$A,0)),"",INDEX(data!R:R,MATCH($N400,data!$A:$A,0)))</f>
        <v/>
      </c>
      <c r="BD400" s="38" t="str">
        <f>IF(ISNA(MATCH($N400,[1]data!$A:$A,0)),"",INDEX([1]data!U:U,MATCH($N400,[1]data!$A:$A,0)))</f>
        <v/>
      </c>
      <c r="BE400" s="61" t="e">
        <f>IF(COUNTIF([1]data!A:A,[1]!Table1[[#This Row],[UPC]])&lt;2,"","DUP")</f>
        <v>#VALUE!</v>
      </c>
      <c r="BF400" s="38" t="str">
        <f>IF(ISNA(MATCH($N400,data!$A:$A,0)),"",INDEX(data!W:W,MATCH($N400,data!$A:$A,0)))</f>
        <v/>
      </c>
    </row>
    <row r="401" spans="1:58" ht="12.75" customHeight="1">
      <c r="A401" s="35"/>
      <c r="B401" s="35"/>
      <c r="C401" s="35"/>
      <c r="D401" s="35"/>
      <c r="E401" s="67"/>
      <c r="F401" s="67"/>
      <c r="G401" s="36"/>
      <c r="H401" s="29"/>
      <c r="I401" s="78" t="str">
        <f t="shared" si="8"/>
        <v/>
      </c>
      <c r="J401" s="29"/>
      <c r="K401" s="29"/>
      <c r="L401" s="33"/>
      <c r="M401" s="33"/>
      <c r="N401" s="60"/>
      <c r="O401" s="71"/>
      <c r="P401" s="71"/>
      <c r="Q401" s="33"/>
      <c r="R401" s="31"/>
      <c r="S401" s="31"/>
      <c r="T401" s="59"/>
      <c r="U401" s="59"/>
      <c r="V401" s="59"/>
      <c r="W401" s="57">
        <f t="shared" si="9"/>
        <v>0</v>
      </c>
      <c r="X401" s="126" t="str">
        <f>IF(Table1[[#This Row],[Shipping Weight Pounds]]&gt;150,"See LTL Form","No")</f>
        <v>No</v>
      </c>
      <c r="Y401" s="28"/>
      <c r="Z401" s="33"/>
      <c r="AA401" s="34"/>
      <c r="AB401" s="30"/>
      <c r="AC401" s="30"/>
      <c r="AD401" s="32"/>
      <c r="AE401" s="32"/>
      <c r="AF401" s="2"/>
      <c r="AG401" s="2"/>
      <c r="AH401" s="2"/>
      <c r="AI401" s="2"/>
      <c r="AK401" s="73" t="str">
        <f>IF(ISNA(MATCH($N401,[1]data!$A:$A,0)),"",INDEX([1]data!S:S,MATCH($N401,[1]data!$A:$A,0)))</f>
        <v/>
      </c>
      <c r="AL401" s="73" t="str">
        <f>IF(ISNA(MATCH($N401,[1]data!$A:$A,0)),"",INDEX([1]data!V:V,MATCH($N401,[1]data!$A:$A,0)))</f>
        <v/>
      </c>
      <c r="AM401" s="38" t="str">
        <f>IF(ISNA(MATCH($N401,data!$A:$A,0)),"",INDEX(data!B:B,MATCH($N401,data!$A:$A,0)))</f>
        <v/>
      </c>
      <c r="AN401" s="38" t="str">
        <f>IF(ISNA(MATCH($N401,data!$A:$A,0)),"",INDEX(data!C:C,MATCH($N401,data!$A:$A,0)))</f>
        <v/>
      </c>
      <c r="AO401" s="38" t="str">
        <f>IF(ISNA(MATCH($N401,data!$A:$A,0)),"",INDEX(data!D:D,MATCH($N401,data!$A:$A,0)))</f>
        <v/>
      </c>
      <c r="AP401" s="38" t="str">
        <f>IF(ISNA(MATCH($N401,data!$A:$A,0)),"",INDEX(data!E:E,MATCH($N401,data!$A:$A,0)))</f>
        <v/>
      </c>
      <c r="AQ401" s="38" t="str">
        <f>IF(ISNA(MATCH($N401,data!$A:$A,0)),"",INDEX(data!F:F,MATCH($N401,data!$A:$A,0)))</f>
        <v/>
      </c>
      <c r="AR401" s="38" t="str">
        <f>IF(ISNA(MATCH($N401,data!$A:$A,0)),"",INDEX(data!G:G,MATCH($N401,data!$A:$A,0)))</f>
        <v/>
      </c>
      <c r="AS401" s="38" t="str">
        <f>IF(ISNA(MATCH($N401,data!$A:$A,0)),"",INDEX(data!H:H,MATCH($N401,data!$A:$A,0)))</f>
        <v/>
      </c>
      <c r="AT401" s="38" t="str">
        <f>IF(ISNA(MATCH($N401,data!$A:$A,0)),"",INDEX(data!I:I,MATCH($N401,data!$A:$A,0)))</f>
        <v/>
      </c>
      <c r="AU401" s="38" t="str">
        <f>IF(ISNA(MATCH($N401,[1]data!$A:$A,0)),"",INDEX([1]data!L:L,MATCH($N401,[1]data!$A:$A,0)))</f>
        <v/>
      </c>
      <c r="AV401" s="38" t="str">
        <f>IF(ISNA(MATCH($N401,[1]data!$A:$A,0)),"",INDEX([1]data!M:M,MATCH($N401,[1]data!$A:$A,0)))</f>
        <v/>
      </c>
      <c r="AW401" s="38" t="str">
        <f>IF(ISNA(MATCH($N401,data!$A:$A,0)),"",INDEX(data!J:J,MATCH($N401,data!$A:$A,0)))</f>
        <v/>
      </c>
      <c r="AX401" s="38" t="str">
        <f>IF(ISNA(MATCH($N401,data!$A:$A,0)),"",INDEX(data!K:K,MATCH($N401,data!$A:$A,0)))</f>
        <v/>
      </c>
      <c r="AY401" s="38" t="str">
        <f>IF(ISNA(MATCH($N401,data!$A:$A,0)),"",INDEX(data!O:O,MATCH($N401,data!$A:$A,0)))</f>
        <v/>
      </c>
      <c r="AZ401" s="38" t="str">
        <f>IF(ISNA(MATCH($N401,data!$A:$A,0)),"",INDEX(data!N:N,MATCH($N401,data!$A:$A,0)))</f>
        <v/>
      </c>
      <c r="BA401" s="38" t="str">
        <f>IF(ISNA(MATCH($N401,data!$A:$A,0)),"",INDEX(data!P:P,MATCH($N401,data!$A:$A,0)))</f>
        <v/>
      </c>
      <c r="BB401" s="38" t="str">
        <f>IF(ISNA(MATCH($N401,data!$A:$A,0)),"",INDEX(data!Q:Q,MATCH($N401,data!$A:$A,0)))</f>
        <v/>
      </c>
      <c r="BC401" s="38" t="str">
        <f>IF(ISNA(MATCH($N401,data!$A:$A,0)),"",INDEX(data!R:R,MATCH($N401,data!$A:$A,0)))</f>
        <v/>
      </c>
      <c r="BD401" s="38" t="str">
        <f>IF(ISNA(MATCH($N401,[1]data!$A:$A,0)),"",INDEX([1]data!U:U,MATCH($N401,[1]data!$A:$A,0)))</f>
        <v/>
      </c>
      <c r="BE401" s="61" t="e">
        <f>IF(COUNTIF([1]data!A:A,[1]!Table1[[#This Row],[UPC]])&lt;2,"","DUP")</f>
        <v>#VALUE!</v>
      </c>
      <c r="BF401" s="38" t="str">
        <f>IF(ISNA(MATCH($N401,data!$A:$A,0)),"",INDEX(data!W:W,MATCH($N401,data!$A:$A,0)))</f>
        <v/>
      </c>
    </row>
    <row r="402" spans="1:58" ht="12.75" customHeight="1">
      <c r="A402" s="35"/>
      <c r="B402" s="35"/>
      <c r="C402" s="35"/>
      <c r="D402" s="35"/>
      <c r="E402" s="67"/>
      <c r="F402" s="67"/>
      <c r="G402" s="36"/>
      <c r="H402" s="29"/>
      <c r="I402" s="78" t="str">
        <f t="shared" si="8"/>
        <v/>
      </c>
      <c r="J402" s="29"/>
      <c r="K402" s="29"/>
      <c r="L402" s="33"/>
      <c r="M402" s="33"/>
      <c r="N402" s="60"/>
      <c r="O402" s="71"/>
      <c r="P402" s="71"/>
      <c r="Q402" s="33"/>
      <c r="R402" s="31"/>
      <c r="S402" s="31"/>
      <c r="T402" s="59"/>
      <c r="U402" s="59"/>
      <c r="V402" s="59"/>
      <c r="W402" s="57">
        <f t="shared" si="9"/>
        <v>0</v>
      </c>
      <c r="X402" s="126" t="str">
        <f>IF(Table1[[#This Row],[Shipping Weight Pounds]]&gt;150,"See LTL Form","No")</f>
        <v>No</v>
      </c>
      <c r="Y402" s="28"/>
      <c r="Z402" s="33"/>
      <c r="AA402" s="34"/>
      <c r="AB402" s="30"/>
      <c r="AC402" s="30"/>
      <c r="AD402" s="32"/>
      <c r="AE402" s="32"/>
      <c r="AF402" s="2"/>
      <c r="AG402" s="2"/>
      <c r="AH402" s="2"/>
      <c r="AI402" s="2"/>
      <c r="AK402" s="73" t="str">
        <f>IF(ISNA(MATCH($N402,[1]data!$A:$A,0)),"",INDEX([1]data!S:S,MATCH($N402,[1]data!$A:$A,0)))</f>
        <v/>
      </c>
      <c r="AL402" s="73" t="str">
        <f>IF(ISNA(MATCH($N402,[1]data!$A:$A,0)),"",INDEX([1]data!V:V,MATCH($N402,[1]data!$A:$A,0)))</f>
        <v/>
      </c>
      <c r="AM402" s="38" t="str">
        <f>IF(ISNA(MATCH($N402,data!$A:$A,0)),"",INDEX(data!B:B,MATCH($N402,data!$A:$A,0)))</f>
        <v/>
      </c>
      <c r="AN402" s="38" t="str">
        <f>IF(ISNA(MATCH($N402,data!$A:$A,0)),"",INDEX(data!C:C,MATCH($N402,data!$A:$A,0)))</f>
        <v/>
      </c>
      <c r="AO402" s="38" t="str">
        <f>IF(ISNA(MATCH($N402,data!$A:$A,0)),"",INDEX(data!D:D,MATCH($N402,data!$A:$A,0)))</f>
        <v/>
      </c>
      <c r="AP402" s="38" t="str">
        <f>IF(ISNA(MATCH($N402,data!$A:$A,0)),"",INDEX(data!E:E,MATCH($N402,data!$A:$A,0)))</f>
        <v/>
      </c>
      <c r="AQ402" s="38" t="str">
        <f>IF(ISNA(MATCH($N402,data!$A:$A,0)),"",INDEX(data!F:F,MATCH($N402,data!$A:$A,0)))</f>
        <v/>
      </c>
      <c r="AR402" s="38" t="str">
        <f>IF(ISNA(MATCH($N402,data!$A:$A,0)),"",INDEX(data!G:G,MATCH($N402,data!$A:$A,0)))</f>
        <v/>
      </c>
      <c r="AS402" s="38" t="str">
        <f>IF(ISNA(MATCH($N402,data!$A:$A,0)),"",INDEX(data!H:H,MATCH($N402,data!$A:$A,0)))</f>
        <v/>
      </c>
      <c r="AT402" s="38" t="str">
        <f>IF(ISNA(MATCH($N402,data!$A:$A,0)),"",INDEX(data!I:I,MATCH($N402,data!$A:$A,0)))</f>
        <v/>
      </c>
      <c r="AU402" s="38" t="str">
        <f>IF(ISNA(MATCH($N402,[1]data!$A:$A,0)),"",INDEX([1]data!L:L,MATCH($N402,[1]data!$A:$A,0)))</f>
        <v/>
      </c>
      <c r="AV402" s="38" t="str">
        <f>IF(ISNA(MATCH($N402,[1]data!$A:$A,0)),"",INDEX([1]data!M:M,MATCH($N402,[1]data!$A:$A,0)))</f>
        <v/>
      </c>
      <c r="AW402" s="38" t="str">
        <f>IF(ISNA(MATCH($N402,data!$A:$A,0)),"",INDEX(data!J:J,MATCH($N402,data!$A:$A,0)))</f>
        <v/>
      </c>
      <c r="AX402" s="38" t="str">
        <f>IF(ISNA(MATCH($N402,data!$A:$A,0)),"",INDEX(data!K:K,MATCH($N402,data!$A:$A,0)))</f>
        <v/>
      </c>
      <c r="AY402" s="38" t="str">
        <f>IF(ISNA(MATCH($N402,data!$A:$A,0)),"",INDEX(data!O:O,MATCH($N402,data!$A:$A,0)))</f>
        <v/>
      </c>
      <c r="AZ402" s="38" t="str">
        <f>IF(ISNA(MATCH($N402,data!$A:$A,0)),"",INDEX(data!N:N,MATCH($N402,data!$A:$A,0)))</f>
        <v/>
      </c>
      <c r="BA402" s="38" t="str">
        <f>IF(ISNA(MATCH($N402,data!$A:$A,0)),"",INDEX(data!P:P,MATCH($N402,data!$A:$A,0)))</f>
        <v/>
      </c>
      <c r="BB402" s="38" t="str">
        <f>IF(ISNA(MATCH($N402,data!$A:$A,0)),"",INDEX(data!Q:Q,MATCH($N402,data!$A:$A,0)))</f>
        <v/>
      </c>
      <c r="BC402" s="38" t="str">
        <f>IF(ISNA(MATCH($N402,data!$A:$A,0)),"",INDEX(data!R:R,MATCH($N402,data!$A:$A,0)))</f>
        <v/>
      </c>
      <c r="BD402" s="38" t="str">
        <f>IF(ISNA(MATCH($N402,[1]data!$A:$A,0)),"",INDEX([1]data!U:U,MATCH($N402,[1]data!$A:$A,0)))</f>
        <v/>
      </c>
      <c r="BE402" s="61" t="e">
        <f>IF(COUNTIF([1]data!A:A,[1]!Table1[[#This Row],[UPC]])&lt;2,"","DUP")</f>
        <v>#VALUE!</v>
      </c>
      <c r="BF402" s="38" t="str">
        <f>IF(ISNA(MATCH($N402,data!$A:$A,0)),"",INDEX(data!W:W,MATCH($N402,data!$A:$A,0)))</f>
        <v/>
      </c>
    </row>
    <row r="403" spans="1:58" ht="12.75" customHeight="1">
      <c r="A403" s="35"/>
      <c r="B403" s="35"/>
      <c r="C403" s="35"/>
      <c r="D403" s="35"/>
      <c r="E403" s="67"/>
      <c r="F403" s="67"/>
      <c r="G403" s="36"/>
      <c r="H403" s="29"/>
      <c r="I403" s="78" t="str">
        <f t="shared" si="8"/>
        <v/>
      </c>
      <c r="J403" s="29"/>
      <c r="K403" s="29"/>
      <c r="L403" s="33"/>
      <c r="M403" s="33"/>
      <c r="N403" s="60"/>
      <c r="O403" s="71"/>
      <c r="P403" s="71"/>
      <c r="Q403" s="33"/>
      <c r="R403" s="31"/>
      <c r="S403" s="31"/>
      <c r="T403" s="59"/>
      <c r="U403" s="59"/>
      <c r="V403" s="59"/>
      <c r="W403" s="57">
        <f t="shared" si="9"/>
        <v>0</v>
      </c>
      <c r="X403" s="126" t="str">
        <f>IF(Table1[[#This Row],[Shipping Weight Pounds]]&gt;150,"See LTL Form","No")</f>
        <v>No</v>
      </c>
      <c r="Y403" s="28"/>
      <c r="Z403" s="33"/>
      <c r="AA403" s="34"/>
      <c r="AB403" s="30"/>
      <c r="AC403" s="30"/>
      <c r="AD403" s="32"/>
      <c r="AE403" s="32"/>
      <c r="AF403" s="2"/>
      <c r="AG403" s="2"/>
      <c r="AH403" s="2"/>
      <c r="AI403" s="2"/>
      <c r="AK403" s="73" t="str">
        <f>IF(ISNA(MATCH($N403,[1]data!$A:$A,0)),"",INDEX([1]data!S:S,MATCH($N403,[1]data!$A:$A,0)))</f>
        <v/>
      </c>
      <c r="AL403" s="73" t="str">
        <f>IF(ISNA(MATCH($N403,[1]data!$A:$A,0)),"",INDEX([1]data!V:V,MATCH($N403,[1]data!$A:$A,0)))</f>
        <v/>
      </c>
      <c r="AM403" s="38" t="str">
        <f>IF(ISNA(MATCH($N403,data!$A:$A,0)),"",INDEX(data!B:B,MATCH($N403,data!$A:$A,0)))</f>
        <v/>
      </c>
      <c r="AN403" s="38" t="str">
        <f>IF(ISNA(MATCH($N403,data!$A:$A,0)),"",INDEX(data!C:C,MATCH($N403,data!$A:$A,0)))</f>
        <v/>
      </c>
      <c r="AO403" s="38" t="str">
        <f>IF(ISNA(MATCH($N403,data!$A:$A,0)),"",INDEX(data!D:D,MATCH($N403,data!$A:$A,0)))</f>
        <v/>
      </c>
      <c r="AP403" s="38" t="str">
        <f>IF(ISNA(MATCH($N403,data!$A:$A,0)),"",INDEX(data!E:E,MATCH($N403,data!$A:$A,0)))</f>
        <v/>
      </c>
      <c r="AQ403" s="38" t="str">
        <f>IF(ISNA(MATCH($N403,data!$A:$A,0)),"",INDEX(data!F:F,MATCH($N403,data!$A:$A,0)))</f>
        <v/>
      </c>
      <c r="AR403" s="38" t="str">
        <f>IF(ISNA(MATCH($N403,data!$A:$A,0)),"",INDEX(data!G:G,MATCH($N403,data!$A:$A,0)))</f>
        <v/>
      </c>
      <c r="AS403" s="38" t="str">
        <f>IF(ISNA(MATCH($N403,data!$A:$A,0)),"",INDEX(data!H:H,MATCH($N403,data!$A:$A,0)))</f>
        <v/>
      </c>
      <c r="AT403" s="38" t="str">
        <f>IF(ISNA(MATCH($N403,data!$A:$A,0)),"",INDEX(data!I:I,MATCH($N403,data!$A:$A,0)))</f>
        <v/>
      </c>
      <c r="AU403" s="38" t="str">
        <f>IF(ISNA(MATCH($N403,[1]data!$A:$A,0)),"",INDEX([1]data!L:L,MATCH($N403,[1]data!$A:$A,0)))</f>
        <v/>
      </c>
      <c r="AV403" s="38" t="str">
        <f>IF(ISNA(MATCH($N403,[1]data!$A:$A,0)),"",INDEX([1]data!M:M,MATCH($N403,[1]data!$A:$A,0)))</f>
        <v/>
      </c>
      <c r="AW403" s="38" t="str">
        <f>IF(ISNA(MATCH($N403,data!$A:$A,0)),"",INDEX(data!J:J,MATCH($N403,data!$A:$A,0)))</f>
        <v/>
      </c>
      <c r="AX403" s="38" t="str">
        <f>IF(ISNA(MATCH($N403,data!$A:$A,0)),"",INDEX(data!K:K,MATCH($N403,data!$A:$A,0)))</f>
        <v/>
      </c>
      <c r="AY403" s="38" t="str">
        <f>IF(ISNA(MATCH($N403,data!$A:$A,0)),"",INDEX(data!O:O,MATCH($N403,data!$A:$A,0)))</f>
        <v/>
      </c>
      <c r="AZ403" s="38" t="str">
        <f>IF(ISNA(MATCH($N403,data!$A:$A,0)),"",INDEX(data!N:N,MATCH($N403,data!$A:$A,0)))</f>
        <v/>
      </c>
      <c r="BA403" s="38" t="str">
        <f>IF(ISNA(MATCH($N403,data!$A:$A,0)),"",INDEX(data!P:P,MATCH($N403,data!$A:$A,0)))</f>
        <v/>
      </c>
      <c r="BB403" s="38" t="str">
        <f>IF(ISNA(MATCH($N403,data!$A:$A,0)),"",INDEX(data!Q:Q,MATCH($N403,data!$A:$A,0)))</f>
        <v/>
      </c>
      <c r="BC403" s="38" t="str">
        <f>IF(ISNA(MATCH($N403,data!$A:$A,0)),"",INDEX(data!R:R,MATCH($N403,data!$A:$A,0)))</f>
        <v/>
      </c>
      <c r="BD403" s="38" t="str">
        <f>IF(ISNA(MATCH($N403,[1]data!$A:$A,0)),"",INDEX([1]data!U:U,MATCH($N403,[1]data!$A:$A,0)))</f>
        <v/>
      </c>
      <c r="BE403" s="61" t="e">
        <f>IF(COUNTIF([1]data!A:A,[1]!Table1[[#This Row],[UPC]])&lt;2,"","DUP")</f>
        <v>#VALUE!</v>
      </c>
      <c r="BF403" s="38" t="str">
        <f>IF(ISNA(MATCH($N403,data!$A:$A,0)),"",INDEX(data!W:W,MATCH($N403,data!$A:$A,0)))</f>
        <v/>
      </c>
    </row>
    <row r="404" spans="1:58" ht="12.75" customHeight="1">
      <c r="A404" s="35"/>
      <c r="B404" s="35"/>
      <c r="C404" s="35"/>
      <c r="D404" s="35"/>
      <c r="E404" s="67"/>
      <c r="F404" s="67"/>
      <c r="G404" s="36"/>
      <c r="H404" s="29"/>
      <c r="I404" s="78" t="str">
        <f t="shared" si="8"/>
        <v/>
      </c>
      <c r="J404" s="29"/>
      <c r="K404" s="29"/>
      <c r="L404" s="33"/>
      <c r="M404" s="33"/>
      <c r="N404" s="60"/>
      <c r="O404" s="71"/>
      <c r="P404" s="71"/>
      <c r="Q404" s="33"/>
      <c r="R404" s="31"/>
      <c r="S404" s="31"/>
      <c r="T404" s="59"/>
      <c r="U404" s="59"/>
      <c r="V404" s="59"/>
      <c r="W404" s="57">
        <f t="shared" si="9"/>
        <v>0</v>
      </c>
      <c r="X404" s="126" t="str">
        <f>IF(Table1[[#This Row],[Shipping Weight Pounds]]&gt;150,"See LTL Form","No")</f>
        <v>No</v>
      </c>
      <c r="Y404" s="28"/>
      <c r="Z404" s="33"/>
      <c r="AA404" s="34"/>
      <c r="AB404" s="30"/>
      <c r="AC404" s="30"/>
      <c r="AD404" s="32"/>
      <c r="AE404" s="32"/>
      <c r="AF404" s="2"/>
      <c r="AG404" s="2"/>
      <c r="AH404" s="2"/>
      <c r="AI404" s="2"/>
      <c r="AK404" s="73" t="str">
        <f>IF(ISNA(MATCH($N404,[1]data!$A:$A,0)),"",INDEX([1]data!S:S,MATCH($N404,[1]data!$A:$A,0)))</f>
        <v/>
      </c>
      <c r="AL404" s="73" t="str">
        <f>IF(ISNA(MATCH($N404,[1]data!$A:$A,0)),"",INDEX([1]data!V:V,MATCH($N404,[1]data!$A:$A,0)))</f>
        <v/>
      </c>
      <c r="AM404" s="38" t="str">
        <f>IF(ISNA(MATCH($N404,data!$A:$A,0)),"",INDEX(data!B:B,MATCH($N404,data!$A:$A,0)))</f>
        <v/>
      </c>
      <c r="AN404" s="38" t="str">
        <f>IF(ISNA(MATCH($N404,data!$A:$A,0)),"",INDEX(data!C:C,MATCH($N404,data!$A:$A,0)))</f>
        <v/>
      </c>
      <c r="AO404" s="38" t="str">
        <f>IF(ISNA(MATCH($N404,data!$A:$A,0)),"",INDEX(data!D:D,MATCH($N404,data!$A:$A,0)))</f>
        <v/>
      </c>
      <c r="AP404" s="38" t="str">
        <f>IF(ISNA(MATCH($N404,data!$A:$A,0)),"",INDEX(data!E:E,MATCH($N404,data!$A:$A,0)))</f>
        <v/>
      </c>
      <c r="AQ404" s="38" t="str">
        <f>IF(ISNA(MATCH($N404,data!$A:$A,0)),"",INDEX(data!F:F,MATCH($N404,data!$A:$A,0)))</f>
        <v/>
      </c>
      <c r="AR404" s="38" t="str">
        <f>IF(ISNA(MATCH($N404,data!$A:$A,0)),"",INDEX(data!G:G,MATCH($N404,data!$A:$A,0)))</f>
        <v/>
      </c>
      <c r="AS404" s="38" t="str">
        <f>IF(ISNA(MATCH($N404,data!$A:$A,0)),"",INDEX(data!H:H,MATCH($N404,data!$A:$A,0)))</f>
        <v/>
      </c>
      <c r="AT404" s="38" t="str">
        <f>IF(ISNA(MATCH($N404,data!$A:$A,0)),"",INDEX(data!I:I,MATCH($N404,data!$A:$A,0)))</f>
        <v/>
      </c>
      <c r="AU404" s="38" t="str">
        <f>IF(ISNA(MATCH($N404,[1]data!$A:$A,0)),"",INDEX([1]data!L:L,MATCH($N404,[1]data!$A:$A,0)))</f>
        <v/>
      </c>
      <c r="AV404" s="38" t="str">
        <f>IF(ISNA(MATCH($N404,[1]data!$A:$A,0)),"",INDEX([1]data!M:M,MATCH($N404,[1]data!$A:$A,0)))</f>
        <v/>
      </c>
      <c r="AW404" s="38" t="str">
        <f>IF(ISNA(MATCH($N404,data!$A:$A,0)),"",INDEX(data!J:J,MATCH($N404,data!$A:$A,0)))</f>
        <v/>
      </c>
      <c r="AX404" s="38" t="str">
        <f>IF(ISNA(MATCH($N404,data!$A:$A,0)),"",INDEX(data!K:K,MATCH($N404,data!$A:$A,0)))</f>
        <v/>
      </c>
      <c r="AY404" s="38" t="str">
        <f>IF(ISNA(MATCH($N404,data!$A:$A,0)),"",INDEX(data!O:O,MATCH($N404,data!$A:$A,0)))</f>
        <v/>
      </c>
      <c r="AZ404" s="38" t="str">
        <f>IF(ISNA(MATCH($N404,data!$A:$A,0)),"",INDEX(data!N:N,MATCH($N404,data!$A:$A,0)))</f>
        <v/>
      </c>
      <c r="BA404" s="38" t="str">
        <f>IF(ISNA(MATCH($N404,data!$A:$A,0)),"",INDEX(data!P:P,MATCH($N404,data!$A:$A,0)))</f>
        <v/>
      </c>
      <c r="BB404" s="38" t="str">
        <f>IF(ISNA(MATCH($N404,data!$A:$A,0)),"",INDEX(data!Q:Q,MATCH($N404,data!$A:$A,0)))</f>
        <v/>
      </c>
      <c r="BC404" s="38" t="str">
        <f>IF(ISNA(MATCH($N404,data!$A:$A,0)),"",INDEX(data!R:R,MATCH($N404,data!$A:$A,0)))</f>
        <v/>
      </c>
      <c r="BD404" s="38" t="str">
        <f>IF(ISNA(MATCH($N404,[1]data!$A:$A,0)),"",INDEX([1]data!U:U,MATCH($N404,[1]data!$A:$A,0)))</f>
        <v/>
      </c>
      <c r="BE404" s="61" t="e">
        <f>IF(COUNTIF([1]data!A:A,[1]!Table1[[#This Row],[UPC]])&lt;2,"","DUP")</f>
        <v>#VALUE!</v>
      </c>
      <c r="BF404" s="38" t="str">
        <f>IF(ISNA(MATCH($N404,data!$A:$A,0)),"",INDEX(data!W:W,MATCH($N404,data!$A:$A,0)))</f>
        <v/>
      </c>
    </row>
    <row r="405" spans="1:58" ht="12.75" customHeight="1">
      <c r="A405" s="35"/>
      <c r="B405" s="35"/>
      <c r="C405" s="35"/>
      <c r="D405" s="35"/>
      <c r="E405" s="67"/>
      <c r="F405" s="67"/>
      <c r="G405" s="36"/>
      <c r="H405" s="29"/>
      <c r="I405" s="78" t="str">
        <f t="shared" si="8"/>
        <v/>
      </c>
      <c r="J405" s="29"/>
      <c r="K405" s="29"/>
      <c r="L405" s="33"/>
      <c r="M405" s="33"/>
      <c r="N405" s="60"/>
      <c r="O405" s="71"/>
      <c r="P405" s="71"/>
      <c r="Q405" s="33"/>
      <c r="R405" s="31"/>
      <c r="S405" s="31"/>
      <c r="T405" s="59"/>
      <c r="U405" s="59"/>
      <c r="V405" s="59"/>
      <c r="W405" s="57">
        <f t="shared" si="9"/>
        <v>0</v>
      </c>
      <c r="X405" s="126" t="str">
        <f>IF(Table1[[#This Row],[Shipping Weight Pounds]]&gt;150,"See LTL Form","No")</f>
        <v>No</v>
      </c>
      <c r="Y405" s="28"/>
      <c r="Z405" s="33"/>
      <c r="AA405" s="34"/>
      <c r="AB405" s="30"/>
      <c r="AC405" s="30"/>
      <c r="AD405" s="32"/>
      <c r="AE405" s="32"/>
      <c r="AF405" s="2"/>
      <c r="AG405" s="2"/>
      <c r="AH405" s="2"/>
      <c r="AI405" s="2"/>
      <c r="AK405" s="73" t="str">
        <f>IF(ISNA(MATCH($N405,[1]data!$A:$A,0)),"",INDEX([1]data!S:S,MATCH($N405,[1]data!$A:$A,0)))</f>
        <v/>
      </c>
      <c r="AL405" s="73" t="str">
        <f>IF(ISNA(MATCH($N405,[1]data!$A:$A,0)),"",INDEX([1]data!V:V,MATCH($N405,[1]data!$A:$A,0)))</f>
        <v/>
      </c>
      <c r="AM405" s="38" t="str">
        <f>IF(ISNA(MATCH($N405,data!$A:$A,0)),"",INDEX(data!B:B,MATCH($N405,data!$A:$A,0)))</f>
        <v/>
      </c>
      <c r="AN405" s="38" t="str">
        <f>IF(ISNA(MATCH($N405,data!$A:$A,0)),"",INDEX(data!C:C,MATCH($N405,data!$A:$A,0)))</f>
        <v/>
      </c>
      <c r="AO405" s="38" t="str">
        <f>IF(ISNA(MATCH($N405,data!$A:$A,0)),"",INDEX(data!D:D,MATCH($N405,data!$A:$A,0)))</f>
        <v/>
      </c>
      <c r="AP405" s="38" t="str">
        <f>IF(ISNA(MATCH($N405,data!$A:$A,0)),"",INDEX(data!E:E,MATCH($N405,data!$A:$A,0)))</f>
        <v/>
      </c>
      <c r="AQ405" s="38" t="str">
        <f>IF(ISNA(MATCH($N405,data!$A:$A,0)),"",INDEX(data!F:F,MATCH($N405,data!$A:$A,0)))</f>
        <v/>
      </c>
      <c r="AR405" s="38" t="str">
        <f>IF(ISNA(MATCH($N405,data!$A:$A,0)),"",INDEX(data!G:G,MATCH($N405,data!$A:$A,0)))</f>
        <v/>
      </c>
      <c r="AS405" s="38" t="str">
        <f>IF(ISNA(MATCH($N405,data!$A:$A,0)),"",INDEX(data!H:H,MATCH($N405,data!$A:$A,0)))</f>
        <v/>
      </c>
      <c r="AT405" s="38" t="str">
        <f>IF(ISNA(MATCH($N405,data!$A:$A,0)),"",INDEX(data!I:I,MATCH($N405,data!$A:$A,0)))</f>
        <v/>
      </c>
      <c r="AU405" s="38" t="str">
        <f>IF(ISNA(MATCH($N405,[1]data!$A:$A,0)),"",INDEX([1]data!L:L,MATCH($N405,[1]data!$A:$A,0)))</f>
        <v/>
      </c>
      <c r="AV405" s="38" t="str">
        <f>IF(ISNA(MATCH($N405,[1]data!$A:$A,0)),"",INDEX([1]data!M:M,MATCH($N405,[1]data!$A:$A,0)))</f>
        <v/>
      </c>
      <c r="AW405" s="38" t="str">
        <f>IF(ISNA(MATCH($N405,data!$A:$A,0)),"",INDEX(data!J:J,MATCH($N405,data!$A:$A,0)))</f>
        <v/>
      </c>
      <c r="AX405" s="38" t="str">
        <f>IF(ISNA(MATCH($N405,data!$A:$A,0)),"",INDEX(data!K:K,MATCH($N405,data!$A:$A,0)))</f>
        <v/>
      </c>
      <c r="AY405" s="38" t="str">
        <f>IF(ISNA(MATCH($N405,data!$A:$A,0)),"",INDEX(data!O:O,MATCH($N405,data!$A:$A,0)))</f>
        <v/>
      </c>
      <c r="AZ405" s="38" t="str">
        <f>IF(ISNA(MATCH($N405,data!$A:$A,0)),"",INDEX(data!N:N,MATCH($N405,data!$A:$A,0)))</f>
        <v/>
      </c>
      <c r="BA405" s="38" t="str">
        <f>IF(ISNA(MATCH($N405,data!$A:$A,0)),"",INDEX(data!P:P,MATCH($N405,data!$A:$A,0)))</f>
        <v/>
      </c>
      <c r="BB405" s="38" t="str">
        <f>IF(ISNA(MATCH($N405,data!$A:$A,0)),"",INDEX(data!Q:Q,MATCH($N405,data!$A:$A,0)))</f>
        <v/>
      </c>
      <c r="BC405" s="38" t="str">
        <f>IF(ISNA(MATCH($N405,data!$A:$A,0)),"",INDEX(data!R:R,MATCH($N405,data!$A:$A,0)))</f>
        <v/>
      </c>
      <c r="BD405" s="38" t="str">
        <f>IF(ISNA(MATCH($N405,[1]data!$A:$A,0)),"",INDEX([1]data!U:U,MATCH($N405,[1]data!$A:$A,0)))</f>
        <v/>
      </c>
      <c r="BE405" s="61" t="e">
        <f>IF(COUNTIF([1]data!A:A,[1]!Table1[[#This Row],[UPC]])&lt;2,"","DUP")</f>
        <v>#VALUE!</v>
      </c>
      <c r="BF405" s="38" t="str">
        <f>IF(ISNA(MATCH($N405,data!$A:$A,0)),"",INDEX(data!W:W,MATCH($N405,data!$A:$A,0)))</f>
        <v/>
      </c>
    </row>
    <row r="406" spans="1:58" ht="12.75" customHeight="1">
      <c r="A406" s="35"/>
      <c r="B406" s="35"/>
      <c r="C406" s="35"/>
      <c r="D406" s="35"/>
      <c r="E406" s="67"/>
      <c r="F406" s="67"/>
      <c r="G406" s="36"/>
      <c r="H406" s="29"/>
      <c r="I406" s="78" t="str">
        <f t="shared" si="8"/>
        <v/>
      </c>
      <c r="J406" s="29"/>
      <c r="K406" s="29"/>
      <c r="L406" s="33"/>
      <c r="M406" s="33"/>
      <c r="N406" s="60"/>
      <c r="O406" s="71"/>
      <c r="P406" s="71"/>
      <c r="Q406" s="33"/>
      <c r="R406" s="31"/>
      <c r="S406" s="31"/>
      <c r="T406" s="59"/>
      <c r="U406" s="59"/>
      <c r="V406" s="59"/>
      <c r="W406" s="57">
        <f t="shared" si="9"/>
        <v>0</v>
      </c>
      <c r="X406" s="126" t="str">
        <f>IF(Table1[[#This Row],[Shipping Weight Pounds]]&gt;150,"See LTL Form","No")</f>
        <v>No</v>
      </c>
      <c r="Y406" s="28"/>
      <c r="Z406" s="33"/>
      <c r="AA406" s="34"/>
      <c r="AB406" s="30"/>
      <c r="AC406" s="30"/>
      <c r="AD406" s="32"/>
      <c r="AE406" s="32"/>
      <c r="AF406" s="2"/>
      <c r="AG406" s="2"/>
      <c r="AH406" s="2"/>
      <c r="AI406" s="2"/>
      <c r="AK406" s="73" t="str">
        <f>IF(ISNA(MATCH($N406,[1]data!$A:$A,0)),"",INDEX([1]data!S:S,MATCH($N406,[1]data!$A:$A,0)))</f>
        <v/>
      </c>
      <c r="AL406" s="73" t="str">
        <f>IF(ISNA(MATCH($N406,[1]data!$A:$A,0)),"",INDEX([1]data!V:V,MATCH($N406,[1]data!$A:$A,0)))</f>
        <v/>
      </c>
      <c r="AM406" s="38" t="str">
        <f>IF(ISNA(MATCH($N406,data!$A:$A,0)),"",INDEX(data!B:B,MATCH($N406,data!$A:$A,0)))</f>
        <v/>
      </c>
      <c r="AN406" s="38" t="str">
        <f>IF(ISNA(MATCH($N406,data!$A:$A,0)),"",INDEX(data!C:C,MATCH($N406,data!$A:$A,0)))</f>
        <v/>
      </c>
      <c r="AO406" s="38" t="str">
        <f>IF(ISNA(MATCH($N406,data!$A:$A,0)),"",INDEX(data!D:D,MATCH($N406,data!$A:$A,0)))</f>
        <v/>
      </c>
      <c r="AP406" s="38" t="str">
        <f>IF(ISNA(MATCH($N406,data!$A:$A,0)),"",INDEX(data!E:E,MATCH($N406,data!$A:$A,0)))</f>
        <v/>
      </c>
      <c r="AQ406" s="38" t="str">
        <f>IF(ISNA(MATCH($N406,data!$A:$A,0)),"",INDEX(data!F:F,MATCH($N406,data!$A:$A,0)))</f>
        <v/>
      </c>
      <c r="AR406" s="38" t="str">
        <f>IF(ISNA(MATCH($N406,data!$A:$A,0)),"",INDEX(data!G:G,MATCH($N406,data!$A:$A,0)))</f>
        <v/>
      </c>
      <c r="AS406" s="38" t="str">
        <f>IF(ISNA(MATCH($N406,data!$A:$A,0)),"",INDEX(data!H:H,MATCH($N406,data!$A:$A,0)))</f>
        <v/>
      </c>
      <c r="AT406" s="38" t="str">
        <f>IF(ISNA(MATCH($N406,data!$A:$A,0)),"",INDEX(data!I:I,MATCH($N406,data!$A:$A,0)))</f>
        <v/>
      </c>
      <c r="AU406" s="38" t="str">
        <f>IF(ISNA(MATCH($N406,[1]data!$A:$A,0)),"",INDEX([1]data!L:L,MATCH($N406,[1]data!$A:$A,0)))</f>
        <v/>
      </c>
      <c r="AV406" s="38" t="str">
        <f>IF(ISNA(MATCH($N406,[1]data!$A:$A,0)),"",INDEX([1]data!M:M,MATCH($N406,[1]data!$A:$A,0)))</f>
        <v/>
      </c>
      <c r="AW406" s="38" t="str">
        <f>IF(ISNA(MATCH($N406,data!$A:$A,0)),"",INDEX(data!J:J,MATCH($N406,data!$A:$A,0)))</f>
        <v/>
      </c>
      <c r="AX406" s="38" t="str">
        <f>IF(ISNA(MATCH($N406,data!$A:$A,0)),"",INDEX(data!K:K,MATCH($N406,data!$A:$A,0)))</f>
        <v/>
      </c>
      <c r="AY406" s="38" t="str">
        <f>IF(ISNA(MATCH($N406,data!$A:$A,0)),"",INDEX(data!O:O,MATCH($N406,data!$A:$A,0)))</f>
        <v/>
      </c>
      <c r="AZ406" s="38" t="str">
        <f>IF(ISNA(MATCH($N406,data!$A:$A,0)),"",INDEX(data!N:N,MATCH($N406,data!$A:$A,0)))</f>
        <v/>
      </c>
      <c r="BA406" s="38" t="str">
        <f>IF(ISNA(MATCH($N406,data!$A:$A,0)),"",INDEX(data!P:P,MATCH($N406,data!$A:$A,0)))</f>
        <v/>
      </c>
      <c r="BB406" s="38" t="str">
        <f>IF(ISNA(MATCH($N406,data!$A:$A,0)),"",INDEX(data!Q:Q,MATCH($N406,data!$A:$A,0)))</f>
        <v/>
      </c>
      <c r="BC406" s="38" t="str">
        <f>IF(ISNA(MATCH($N406,data!$A:$A,0)),"",INDEX(data!R:R,MATCH($N406,data!$A:$A,0)))</f>
        <v/>
      </c>
      <c r="BD406" s="38" t="str">
        <f>IF(ISNA(MATCH($N406,[1]data!$A:$A,0)),"",INDEX([1]data!U:U,MATCH($N406,[1]data!$A:$A,0)))</f>
        <v/>
      </c>
      <c r="BE406" s="61" t="e">
        <f>IF(COUNTIF([1]data!A:A,[1]!Table1[[#This Row],[UPC]])&lt;2,"","DUP")</f>
        <v>#VALUE!</v>
      </c>
      <c r="BF406" s="38" t="str">
        <f>IF(ISNA(MATCH($N406,data!$A:$A,0)),"",INDEX(data!W:W,MATCH($N406,data!$A:$A,0)))</f>
        <v/>
      </c>
    </row>
    <row r="407" spans="1:58" ht="12.75" customHeight="1">
      <c r="A407" s="35"/>
      <c r="B407" s="35"/>
      <c r="C407" s="35"/>
      <c r="D407" s="35"/>
      <c r="E407" s="67"/>
      <c r="F407" s="67"/>
      <c r="G407" s="36"/>
      <c r="H407" s="29"/>
      <c r="I407" s="78" t="str">
        <f t="shared" si="8"/>
        <v/>
      </c>
      <c r="J407" s="29"/>
      <c r="K407" s="29"/>
      <c r="L407" s="33"/>
      <c r="M407" s="33"/>
      <c r="N407" s="60"/>
      <c r="O407" s="71"/>
      <c r="P407" s="71"/>
      <c r="Q407" s="33"/>
      <c r="R407" s="31"/>
      <c r="S407" s="31"/>
      <c r="T407" s="59"/>
      <c r="U407" s="59"/>
      <c r="V407" s="59"/>
      <c r="W407" s="57">
        <f t="shared" si="9"/>
        <v>0</v>
      </c>
      <c r="X407" s="126" t="str">
        <f>IF(Table1[[#This Row],[Shipping Weight Pounds]]&gt;150,"See LTL Form","No")</f>
        <v>No</v>
      </c>
      <c r="Y407" s="28"/>
      <c r="Z407" s="33"/>
      <c r="AA407" s="34"/>
      <c r="AB407" s="30"/>
      <c r="AC407" s="30"/>
      <c r="AD407" s="32"/>
      <c r="AE407" s="32"/>
      <c r="AF407" s="2"/>
      <c r="AG407" s="2"/>
      <c r="AH407" s="2"/>
      <c r="AI407" s="2"/>
      <c r="AK407" s="73" t="str">
        <f>IF(ISNA(MATCH($N407,[1]data!$A:$A,0)),"",INDEX([1]data!S:S,MATCH($N407,[1]data!$A:$A,0)))</f>
        <v/>
      </c>
      <c r="AL407" s="73" t="str">
        <f>IF(ISNA(MATCH($N407,[1]data!$A:$A,0)),"",INDEX([1]data!V:V,MATCH($N407,[1]data!$A:$A,0)))</f>
        <v/>
      </c>
      <c r="AM407" s="38" t="str">
        <f>IF(ISNA(MATCH($N407,data!$A:$A,0)),"",INDEX(data!B:B,MATCH($N407,data!$A:$A,0)))</f>
        <v/>
      </c>
      <c r="AN407" s="38" t="str">
        <f>IF(ISNA(MATCH($N407,data!$A:$A,0)),"",INDEX(data!C:C,MATCH($N407,data!$A:$A,0)))</f>
        <v/>
      </c>
      <c r="AO407" s="38" t="str">
        <f>IF(ISNA(MATCH($N407,data!$A:$A,0)),"",INDEX(data!D:D,MATCH($N407,data!$A:$A,0)))</f>
        <v/>
      </c>
      <c r="AP407" s="38" t="str">
        <f>IF(ISNA(MATCH($N407,data!$A:$A,0)),"",INDEX(data!E:E,MATCH($N407,data!$A:$A,0)))</f>
        <v/>
      </c>
      <c r="AQ407" s="38" t="str">
        <f>IF(ISNA(MATCH($N407,data!$A:$A,0)),"",INDEX(data!F:F,MATCH($N407,data!$A:$A,0)))</f>
        <v/>
      </c>
      <c r="AR407" s="38" t="str">
        <f>IF(ISNA(MATCH($N407,data!$A:$A,0)),"",INDEX(data!G:G,MATCH($N407,data!$A:$A,0)))</f>
        <v/>
      </c>
      <c r="AS407" s="38" t="str">
        <f>IF(ISNA(MATCH($N407,data!$A:$A,0)),"",INDEX(data!H:H,MATCH($N407,data!$A:$A,0)))</f>
        <v/>
      </c>
      <c r="AT407" s="38" t="str">
        <f>IF(ISNA(MATCH($N407,data!$A:$A,0)),"",INDEX(data!I:I,MATCH($N407,data!$A:$A,0)))</f>
        <v/>
      </c>
      <c r="AU407" s="38" t="str">
        <f>IF(ISNA(MATCH($N407,[1]data!$A:$A,0)),"",INDEX([1]data!L:L,MATCH($N407,[1]data!$A:$A,0)))</f>
        <v/>
      </c>
      <c r="AV407" s="38" t="str">
        <f>IF(ISNA(MATCH($N407,[1]data!$A:$A,0)),"",INDEX([1]data!M:M,MATCH($N407,[1]data!$A:$A,0)))</f>
        <v/>
      </c>
      <c r="AW407" s="38" t="str">
        <f>IF(ISNA(MATCH($N407,data!$A:$A,0)),"",INDEX(data!J:J,MATCH($N407,data!$A:$A,0)))</f>
        <v/>
      </c>
      <c r="AX407" s="38" t="str">
        <f>IF(ISNA(MATCH($N407,data!$A:$A,0)),"",INDEX(data!K:K,MATCH($N407,data!$A:$A,0)))</f>
        <v/>
      </c>
      <c r="AY407" s="38" t="str">
        <f>IF(ISNA(MATCH($N407,data!$A:$A,0)),"",INDEX(data!O:O,MATCH($N407,data!$A:$A,0)))</f>
        <v/>
      </c>
      <c r="AZ407" s="38" t="str">
        <f>IF(ISNA(MATCH($N407,data!$A:$A,0)),"",INDEX(data!N:N,MATCH($N407,data!$A:$A,0)))</f>
        <v/>
      </c>
      <c r="BA407" s="38" t="str">
        <f>IF(ISNA(MATCH($N407,data!$A:$A,0)),"",INDEX(data!P:P,MATCH($N407,data!$A:$A,0)))</f>
        <v/>
      </c>
      <c r="BB407" s="38" t="str">
        <f>IF(ISNA(MATCH($N407,data!$A:$A,0)),"",INDEX(data!Q:Q,MATCH($N407,data!$A:$A,0)))</f>
        <v/>
      </c>
      <c r="BC407" s="38" t="str">
        <f>IF(ISNA(MATCH($N407,data!$A:$A,0)),"",INDEX(data!R:R,MATCH($N407,data!$A:$A,0)))</f>
        <v/>
      </c>
      <c r="BD407" s="38" t="str">
        <f>IF(ISNA(MATCH($N407,[1]data!$A:$A,0)),"",INDEX([1]data!U:U,MATCH($N407,[1]data!$A:$A,0)))</f>
        <v/>
      </c>
      <c r="BE407" s="61" t="e">
        <f>IF(COUNTIF([1]data!A:A,[1]!Table1[[#This Row],[UPC]])&lt;2,"","DUP")</f>
        <v>#VALUE!</v>
      </c>
      <c r="BF407" s="38" t="str">
        <f>IF(ISNA(MATCH($N407,data!$A:$A,0)),"",INDEX(data!W:W,MATCH($N407,data!$A:$A,0)))</f>
        <v/>
      </c>
    </row>
    <row r="408" spans="1:58" ht="12.75" customHeight="1">
      <c r="A408" s="35"/>
      <c r="B408" s="35"/>
      <c r="C408" s="35"/>
      <c r="D408" s="35"/>
      <c r="E408" s="67"/>
      <c r="F408" s="67"/>
      <c r="G408" s="36"/>
      <c r="H408" s="29"/>
      <c r="I408" s="78" t="str">
        <f t="shared" si="8"/>
        <v/>
      </c>
      <c r="J408" s="29"/>
      <c r="K408" s="29"/>
      <c r="L408" s="33"/>
      <c r="M408" s="33"/>
      <c r="N408" s="60"/>
      <c r="O408" s="71"/>
      <c r="P408" s="71"/>
      <c r="Q408" s="33"/>
      <c r="R408" s="31"/>
      <c r="S408" s="31"/>
      <c r="T408" s="59"/>
      <c r="U408" s="59"/>
      <c r="V408" s="59"/>
      <c r="W408" s="57">
        <f t="shared" si="9"/>
        <v>0</v>
      </c>
      <c r="X408" s="126" t="str">
        <f>IF(Table1[[#This Row],[Shipping Weight Pounds]]&gt;150,"See LTL Form","No")</f>
        <v>No</v>
      </c>
      <c r="Y408" s="28"/>
      <c r="Z408" s="33"/>
      <c r="AA408" s="34"/>
      <c r="AB408" s="30"/>
      <c r="AC408" s="30"/>
      <c r="AD408" s="32"/>
      <c r="AE408" s="32"/>
      <c r="AF408" s="2"/>
      <c r="AG408" s="2"/>
      <c r="AH408" s="2"/>
      <c r="AI408" s="2"/>
      <c r="AK408" s="73" t="str">
        <f>IF(ISNA(MATCH($N408,[1]data!$A:$A,0)),"",INDEX([1]data!S:S,MATCH($N408,[1]data!$A:$A,0)))</f>
        <v/>
      </c>
      <c r="AL408" s="73" t="str">
        <f>IF(ISNA(MATCH($N408,[1]data!$A:$A,0)),"",INDEX([1]data!V:V,MATCH($N408,[1]data!$A:$A,0)))</f>
        <v/>
      </c>
      <c r="AM408" s="38" t="str">
        <f>IF(ISNA(MATCH($N408,data!$A:$A,0)),"",INDEX(data!B:B,MATCH($N408,data!$A:$A,0)))</f>
        <v/>
      </c>
      <c r="AN408" s="38" t="str">
        <f>IF(ISNA(MATCH($N408,data!$A:$A,0)),"",INDEX(data!C:C,MATCH($N408,data!$A:$A,0)))</f>
        <v/>
      </c>
      <c r="AO408" s="38" t="str">
        <f>IF(ISNA(MATCH($N408,data!$A:$A,0)),"",INDEX(data!D:D,MATCH($N408,data!$A:$A,0)))</f>
        <v/>
      </c>
      <c r="AP408" s="38" t="str">
        <f>IF(ISNA(MATCH($N408,data!$A:$A,0)),"",INDEX(data!E:E,MATCH($N408,data!$A:$A,0)))</f>
        <v/>
      </c>
      <c r="AQ408" s="38" t="str">
        <f>IF(ISNA(MATCH($N408,data!$A:$A,0)),"",INDEX(data!F:F,MATCH($N408,data!$A:$A,0)))</f>
        <v/>
      </c>
      <c r="AR408" s="38" t="str">
        <f>IF(ISNA(MATCH($N408,data!$A:$A,0)),"",INDEX(data!G:G,MATCH($N408,data!$A:$A,0)))</f>
        <v/>
      </c>
      <c r="AS408" s="38" t="str">
        <f>IF(ISNA(MATCH($N408,data!$A:$A,0)),"",INDEX(data!H:H,MATCH($N408,data!$A:$A,0)))</f>
        <v/>
      </c>
      <c r="AT408" s="38" t="str">
        <f>IF(ISNA(MATCH($N408,data!$A:$A,0)),"",INDEX(data!I:I,MATCH($N408,data!$A:$A,0)))</f>
        <v/>
      </c>
      <c r="AU408" s="38" t="str">
        <f>IF(ISNA(MATCH($N408,[1]data!$A:$A,0)),"",INDEX([1]data!L:L,MATCH($N408,[1]data!$A:$A,0)))</f>
        <v/>
      </c>
      <c r="AV408" s="38" t="str">
        <f>IF(ISNA(MATCH($N408,[1]data!$A:$A,0)),"",INDEX([1]data!M:M,MATCH($N408,[1]data!$A:$A,0)))</f>
        <v/>
      </c>
      <c r="AW408" s="38" t="str">
        <f>IF(ISNA(MATCH($N408,data!$A:$A,0)),"",INDEX(data!J:J,MATCH($N408,data!$A:$A,0)))</f>
        <v/>
      </c>
      <c r="AX408" s="38" t="str">
        <f>IF(ISNA(MATCH($N408,data!$A:$A,0)),"",INDEX(data!K:K,MATCH($N408,data!$A:$A,0)))</f>
        <v/>
      </c>
      <c r="AY408" s="38" t="str">
        <f>IF(ISNA(MATCH($N408,data!$A:$A,0)),"",INDEX(data!O:O,MATCH($N408,data!$A:$A,0)))</f>
        <v/>
      </c>
      <c r="AZ408" s="38" t="str">
        <f>IF(ISNA(MATCH($N408,data!$A:$A,0)),"",INDEX(data!N:N,MATCH($N408,data!$A:$A,0)))</f>
        <v/>
      </c>
      <c r="BA408" s="38" t="str">
        <f>IF(ISNA(MATCH($N408,data!$A:$A,0)),"",INDEX(data!P:P,MATCH($N408,data!$A:$A,0)))</f>
        <v/>
      </c>
      <c r="BB408" s="38" t="str">
        <f>IF(ISNA(MATCH($N408,data!$A:$A,0)),"",INDEX(data!Q:Q,MATCH($N408,data!$A:$A,0)))</f>
        <v/>
      </c>
      <c r="BC408" s="38" t="str">
        <f>IF(ISNA(MATCH($N408,data!$A:$A,0)),"",INDEX(data!R:R,MATCH($N408,data!$A:$A,0)))</f>
        <v/>
      </c>
      <c r="BD408" s="38" t="str">
        <f>IF(ISNA(MATCH($N408,[1]data!$A:$A,0)),"",INDEX([1]data!U:U,MATCH($N408,[1]data!$A:$A,0)))</f>
        <v/>
      </c>
      <c r="BE408" s="61" t="e">
        <f>IF(COUNTIF([1]data!A:A,[1]!Table1[[#This Row],[UPC]])&lt;2,"","DUP")</f>
        <v>#VALUE!</v>
      </c>
      <c r="BF408" s="38" t="str">
        <f>IF(ISNA(MATCH($N408,data!$A:$A,0)),"",INDEX(data!W:W,MATCH($N408,data!$A:$A,0)))</f>
        <v/>
      </c>
    </row>
    <row r="409" spans="1:58" ht="12.75" customHeight="1">
      <c r="A409" s="35"/>
      <c r="B409" s="35"/>
      <c r="C409" s="35"/>
      <c r="D409" s="35"/>
      <c r="E409" s="67"/>
      <c r="F409" s="67"/>
      <c r="G409" s="36"/>
      <c r="H409" s="29"/>
      <c r="I409" s="78" t="str">
        <f t="shared" si="8"/>
        <v/>
      </c>
      <c r="J409" s="29"/>
      <c r="K409" s="29"/>
      <c r="L409" s="33"/>
      <c r="M409" s="33"/>
      <c r="N409" s="60"/>
      <c r="O409" s="71"/>
      <c r="P409" s="71"/>
      <c r="Q409" s="33"/>
      <c r="R409" s="31"/>
      <c r="S409" s="31"/>
      <c r="T409" s="59"/>
      <c r="U409" s="59"/>
      <c r="V409" s="59"/>
      <c r="W409" s="57">
        <f t="shared" si="9"/>
        <v>0</v>
      </c>
      <c r="X409" s="126" t="str">
        <f>IF(Table1[[#This Row],[Shipping Weight Pounds]]&gt;150,"See LTL Form","No")</f>
        <v>No</v>
      </c>
      <c r="Y409" s="28"/>
      <c r="Z409" s="33"/>
      <c r="AA409" s="34"/>
      <c r="AB409" s="30"/>
      <c r="AC409" s="30"/>
      <c r="AD409" s="32"/>
      <c r="AE409" s="32"/>
      <c r="AF409" s="2"/>
      <c r="AG409" s="2"/>
      <c r="AH409" s="2"/>
      <c r="AI409" s="2"/>
      <c r="AK409" s="73" t="str">
        <f>IF(ISNA(MATCH($N409,[1]data!$A:$A,0)),"",INDEX([1]data!S:S,MATCH($N409,[1]data!$A:$A,0)))</f>
        <v/>
      </c>
      <c r="AL409" s="73" t="str">
        <f>IF(ISNA(MATCH($N409,[1]data!$A:$A,0)),"",INDEX([1]data!V:V,MATCH($N409,[1]data!$A:$A,0)))</f>
        <v/>
      </c>
      <c r="AM409" s="38" t="str">
        <f>IF(ISNA(MATCH($N409,data!$A:$A,0)),"",INDEX(data!B:B,MATCH($N409,data!$A:$A,0)))</f>
        <v/>
      </c>
      <c r="AN409" s="38" t="str">
        <f>IF(ISNA(MATCH($N409,data!$A:$A,0)),"",INDEX(data!C:C,MATCH($N409,data!$A:$A,0)))</f>
        <v/>
      </c>
      <c r="AO409" s="38" t="str">
        <f>IF(ISNA(MATCH($N409,data!$A:$A,0)),"",INDEX(data!D:D,MATCH($N409,data!$A:$A,0)))</f>
        <v/>
      </c>
      <c r="AP409" s="38" t="str">
        <f>IF(ISNA(MATCH($N409,data!$A:$A,0)),"",INDEX(data!E:E,MATCH($N409,data!$A:$A,0)))</f>
        <v/>
      </c>
      <c r="AQ409" s="38" t="str">
        <f>IF(ISNA(MATCH($N409,data!$A:$A,0)),"",INDEX(data!F:F,MATCH($N409,data!$A:$A,0)))</f>
        <v/>
      </c>
      <c r="AR409" s="38" t="str">
        <f>IF(ISNA(MATCH($N409,data!$A:$A,0)),"",INDEX(data!G:G,MATCH($N409,data!$A:$A,0)))</f>
        <v/>
      </c>
      <c r="AS409" s="38" t="str">
        <f>IF(ISNA(MATCH($N409,data!$A:$A,0)),"",INDEX(data!H:H,MATCH($N409,data!$A:$A,0)))</f>
        <v/>
      </c>
      <c r="AT409" s="38" t="str">
        <f>IF(ISNA(MATCH($N409,data!$A:$A,0)),"",INDEX(data!I:I,MATCH($N409,data!$A:$A,0)))</f>
        <v/>
      </c>
      <c r="AU409" s="38" t="str">
        <f>IF(ISNA(MATCH($N409,[1]data!$A:$A,0)),"",INDEX([1]data!L:L,MATCH($N409,[1]data!$A:$A,0)))</f>
        <v/>
      </c>
      <c r="AV409" s="38" t="str">
        <f>IF(ISNA(MATCH($N409,[1]data!$A:$A,0)),"",INDEX([1]data!M:M,MATCH($N409,[1]data!$A:$A,0)))</f>
        <v/>
      </c>
      <c r="AW409" s="38" t="str">
        <f>IF(ISNA(MATCH($N409,data!$A:$A,0)),"",INDEX(data!J:J,MATCH($N409,data!$A:$A,0)))</f>
        <v/>
      </c>
      <c r="AX409" s="38" t="str">
        <f>IF(ISNA(MATCH($N409,data!$A:$A,0)),"",INDEX(data!K:K,MATCH($N409,data!$A:$A,0)))</f>
        <v/>
      </c>
      <c r="AY409" s="38" t="str">
        <f>IF(ISNA(MATCH($N409,data!$A:$A,0)),"",INDEX(data!O:O,MATCH($N409,data!$A:$A,0)))</f>
        <v/>
      </c>
      <c r="AZ409" s="38" t="str">
        <f>IF(ISNA(MATCH($N409,data!$A:$A,0)),"",INDEX(data!N:N,MATCH($N409,data!$A:$A,0)))</f>
        <v/>
      </c>
      <c r="BA409" s="38" t="str">
        <f>IF(ISNA(MATCH($N409,data!$A:$A,0)),"",INDEX(data!P:P,MATCH($N409,data!$A:$A,0)))</f>
        <v/>
      </c>
      <c r="BB409" s="38" t="str">
        <f>IF(ISNA(MATCH($N409,data!$A:$A,0)),"",INDEX(data!Q:Q,MATCH($N409,data!$A:$A,0)))</f>
        <v/>
      </c>
      <c r="BC409" s="38" t="str">
        <f>IF(ISNA(MATCH($N409,data!$A:$A,0)),"",INDEX(data!R:R,MATCH($N409,data!$A:$A,0)))</f>
        <v/>
      </c>
      <c r="BD409" s="38" t="str">
        <f>IF(ISNA(MATCH($N409,[1]data!$A:$A,0)),"",INDEX([1]data!U:U,MATCH($N409,[1]data!$A:$A,0)))</f>
        <v/>
      </c>
      <c r="BE409" s="61" t="e">
        <f>IF(COUNTIF([1]data!A:A,[1]!Table1[[#This Row],[UPC]])&lt;2,"","DUP")</f>
        <v>#VALUE!</v>
      </c>
      <c r="BF409" s="38" t="str">
        <f>IF(ISNA(MATCH($N409,data!$A:$A,0)),"",INDEX(data!W:W,MATCH($N409,data!$A:$A,0)))</f>
        <v/>
      </c>
    </row>
    <row r="410" spans="1:58" ht="12.75" customHeight="1">
      <c r="A410" s="35"/>
      <c r="B410" s="35"/>
      <c r="C410" s="35"/>
      <c r="D410" s="35"/>
      <c r="E410" s="67"/>
      <c r="F410" s="67"/>
      <c r="G410" s="36"/>
      <c r="H410" s="29"/>
      <c r="I410" s="78" t="str">
        <f t="shared" si="8"/>
        <v/>
      </c>
      <c r="J410" s="29"/>
      <c r="K410" s="29"/>
      <c r="L410" s="33"/>
      <c r="M410" s="33"/>
      <c r="N410" s="60"/>
      <c r="O410" s="71"/>
      <c r="P410" s="71"/>
      <c r="Q410" s="33"/>
      <c r="R410" s="31"/>
      <c r="S410" s="31"/>
      <c r="T410" s="59"/>
      <c r="U410" s="59"/>
      <c r="V410" s="59"/>
      <c r="W410" s="57">
        <f t="shared" si="9"/>
        <v>0</v>
      </c>
      <c r="X410" s="126" t="str">
        <f>IF(Table1[[#This Row],[Shipping Weight Pounds]]&gt;150,"See LTL Form","No")</f>
        <v>No</v>
      </c>
      <c r="Y410" s="28"/>
      <c r="Z410" s="33"/>
      <c r="AA410" s="34"/>
      <c r="AB410" s="30"/>
      <c r="AC410" s="30"/>
      <c r="AD410" s="32"/>
      <c r="AE410" s="32"/>
      <c r="AF410" s="2"/>
      <c r="AG410" s="2"/>
      <c r="AH410" s="2"/>
      <c r="AI410" s="2"/>
      <c r="AK410" s="73" t="str">
        <f>IF(ISNA(MATCH($N410,[1]data!$A:$A,0)),"",INDEX([1]data!S:S,MATCH($N410,[1]data!$A:$A,0)))</f>
        <v/>
      </c>
      <c r="AL410" s="73" t="str">
        <f>IF(ISNA(MATCH($N410,[1]data!$A:$A,0)),"",INDEX([1]data!V:V,MATCH($N410,[1]data!$A:$A,0)))</f>
        <v/>
      </c>
      <c r="AM410" s="38" t="str">
        <f>IF(ISNA(MATCH($N410,data!$A:$A,0)),"",INDEX(data!B:B,MATCH($N410,data!$A:$A,0)))</f>
        <v/>
      </c>
      <c r="AN410" s="38" t="str">
        <f>IF(ISNA(MATCH($N410,data!$A:$A,0)),"",INDEX(data!C:C,MATCH($N410,data!$A:$A,0)))</f>
        <v/>
      </c>
      <c r="AO410" s="38" t="str">
        <f>IF(ISNA(MATCH($N410,data!$A:$A,0)),"",INDEX(data!D:D,MATCH($N410,data!$A:$A,0)))</f>
        <v/>
      </c>
      <c r="AP410" s="38" t="str">
        <f>IF(ISNA(MATCH($N410,data!$A:$A,0)),"",INDEX(data!E:E,MATCH($N410,data!$A:$A,0)))</f>
        <v/>
      </c>
      <c r="AQ410" s="38" t="str">
        <f>IF(ISNA(MATCH($N410,data!$A:$A,0)),"",INDEX(data!F:F,MATCH($N410,data!$A:$A,0)))</f>
        <v/>
      </c>
      <c r="AR410" s="38" t="str">
        <f>IF(ISNA(MATCH($N410,data!$A:$A,0)),"",INDEX(data!G:G,MATCH($N410,data!$A:$A,0)))</f>
        <v/>
      </c>
      <c r="AS410" s="38" t="str">
        <f>IF(ISNA(MATCH($N410,data!$A:$A,0)),"",INDEX(data!H:H,MATCH($N410,data!$A:$A,0)))</f>
        <v/>
      </c>
      <c r="AT410" s="38" t="str">
        <f>IF(ISNA(MATCH($N410,data!$A:$A,0)),"",INDEX(data!I:I,MATCH($N410,data!$A:$A,0)))</f>
        <v/>
      </c>
      <c r="AU410" s="38" t="str">
        <f>IF(ISNA(MATCH($N410,[1]data!$A:$A,0)),"",INDEX([1]data!L:L,MATCH($N410,[1]data!$A:$A,0)))</f>
        <v/>
      </c>
      <c r="AV410" s="38" t="str">
        <f>IF(ISNA(MATCH($N410,[1]data!$A:$A,0)),"",INDEX([1]data!M:M,MATCH($N410,[1]data!$A:$A,0)))</f>
        <v/>
      </c>
      <c r="AW410" s="38" t="str">
        <f>IF(ISNA(MATCH($N410,data!$A:$A,0)),"",INDEX(data!J:J,MATCH($N410,data!$A:$A,0)))</f>
        <v/>
      </c>
      <c r="AX410" s="38" t="str">
        <f>IF(ISNA(MATCH($N410,data!$A:$A,0)),"",INDEX(data!K:K,MATCH($N410,data!$A:$A,0)))</f>
        <v/>
      </c>
      <c r="AY410" s="38" t="str">
        <f>IF(ISNA(MATCH($N410,data!$A:$A,0)),"",INDEX(data!O:O,MATCH($N410,data!$A:$A,0)))</f>
        <v/>
      </c>
      <c r="AZ410" s="38" t="str">
        <f>IF(ISNA(MATCH($N410,data!$A:$A,0)),"",INDEX(data!N:N,MATCH($N410,data!$A:$A,0)))</f>
        <v/>
      </c>
      <c r="BA410" s="38" t="str">
        <f>IF(ISNA(MATCH($N410,data!$A:$A,0)),"",INDEX(data!P:P,MATCH($N410,data!$A:$A,0)))</f>
        <v/>
      </c>
      <c r="BB410" s="38" t="str">
        <f>IF(ISNA(MATCH($N410,data!$A:$A,0)),"",INDEX(data!Q:Q,MATCH($N410,data!$A:$A,0)))</f>
        <v/>
      </c>
      <c r="BC410" s="38" t="str">
        <f>IF(ISNA(MATCH($N410,data!$A:$A,0)),"",INDEX(data!R:R,MATCH($N410,data!$A:$A,0)))</f>
        <v/>
      </c>
      <c r="BD410" s="38" t="str">
        <f>IF(ISNA(MATCH($N410,[1]data!$A:$A,0)),"",INDEX([1]data!U:U,MATCH($N410,[1]data!$A:$A,0)))</f>
        <v/>
      </c>
      <c r="BE410" s="61" t="e">
        <f>IF(COUNTIF([1]data!A:A,[1]!Table1[[#This Row],[UPC]])&lt;2,"","DUP")</f>
        <v>#VALUE!</v>
      </c>
      <c r="BF410" s="38" t="str">
        <f>IF(ISNA(MATCH($N410,data!$A:$A,0)),"",INDEX(data!W:W,MATCH($N410,data!$A:$A,0)))</f>
        <v/>
      </c>
    </row>
    <row r="411" spans="1:58" ht="12.75" customHeight="1">
      <c r="A411" s="35"/>
      <c r="B411" s="35"/>
      <c r="C411" s="35"/>
      <c r="D411" s="35"/>
      <c r="E411" s="67"/>
      <c r="F411" s="67"/>
      <c r="G411" s="36"/>
      <c r="H411" s="29"/>
      <c r="I411" s="78" t="str">
        <f t="shared" si="8"/>
        <v/>
      </c>
      <c r="J411" s="29"/>
      <c r="K411" s="29"/>
      <c r="L411" s="33"/>
      <c r="M411" s="33"/>
      <c r="N411" s="60"/>
      <c r="O411" s="71"/>
      <c r="P411" s="71"/>
      <c r="Q411" s="33"/>
      <c r="R411" s="31"/>
      <c r="S411" s="31"/>
      <c r="T411" s="59"/>
      <c r="U411" s="59"/>
      <c r="V411" s="59"/>
      <c r="W411" s="57">
        <f t="shared" si="9"/>
        <v>0</v>
      </c>
      <c r="X411" s="126" t="str">
        <f>IF(Table1[[#This Row],[Shipping Weight Pounds]]&gt;150,"See LTL Form","No")</f>
        <v>No</v>
      </c>
      <c r="Y411" s="28"/>
      <c r="Z411" s="33"/>
      <c r="AA411" s="34"/>
      <c r="AB411" s="30"/>
      <c r="AC411" s="30"/>
      <c r="AD411" s="32"/>
      <c r="AE411" s="32"/>
      <c r="AF411" s="2"/>
      <c r="AG411" s="2"/>
      <c r="AH411" s="2"/>
      <c r="AI411" s="2"/>
      <c r="AK411" s="73" t="str">
        <f>IF(ISNA(MATCH($N411,[1]data!$A:$A,0)),"",INDEX([1]data!S:S,MATCH($N411,[1]data!$A:$A,0)))</f>
        <v/>
      </c>
      <c r="AL411" s="73" t="str">
        <f>IF(ISNA(MATCH($N411,[1]data!$A:$A,0)),"",INDEX([1]data!V:V,MATCH($N411,[1]data!$A:$A,0)))</f>
        <v/>
      </c>
      <c r="AM411" s="38" t="str">
        <f>IF(ISNA(MATCH($N411,data!$A:$A,0)),"",INDEX(data!B:B,MATCH($N411,data!$A:$A,0)))</f>
        <v/>
      </c>
      <c r="AN411" s="38" t="str">
        <f>IF(ISNA(MATCH($N411,data!$A:$A,0)),"",INDEX(data!C:C,MATCH($N411,data!$A:$A,0)))</f>
        <v/>
      </c>
      <c r="AO411" s="38" t="str">
        <f>IF(ISNA(MATCH($N411,data!$A:$A,0)),"",INDEX(data!D:D,MATCH($N411,data!$A:$A,0)))</f>
        <v/>
      </c>
      <c r="AP411" s="38" t="str">
        <f>IF(ISNA(MATCH($N411,data!$A:$A,0)),"",INDEX(data!E:E,MATCH($N411,data!$A:$A,0)))</f>
        <v/>
      </c>
      <c r="AQ411" s="38" t="str">
        <f>IF(ISNA(MATCH($N411,data!$A:$A,0)),"",INDEX(data!F:F,MATCH($N411,data!$A:$A,0)))</f>
        <v/>
      </c>
      <c r="AR411" s="38" t="str">
        <f>IF(ISNA(MATCH($N411,data!$A:$A,0)),"",INDEX(data!G:G,MATCH($N411,data!$A:$A,0)))</f>
        <v/>
      </c>
      <c r="AS411" s="38" t="str">
        <f>IF(ISNA(MATCH($N411,data!$A:$A,0)),"",INDEX(data!H:H,MATCH($N411,data!$A:$A,0)))</f>
        <v/>
      </c>
      <c r="AT411" s="38" t="str">
        <f>IF(ISNA(MATCH($N411,data!$A:$A,0)),"",INDEX(data!I:I,MATCH($N411,data!$A:$A,0)))</f>
        <v/>
      </c>
      <c r="AU411" s="38" t="str">
        <f>IF(ISNA(MATCH($N411,[1]data!$A:$A,0)),"",INDEX([1]data!L:L,MATCH($N411,[1]data!$A:$A,0)))</f>
        <v/>
      </c>
      <c r="AV411" s="38" t="str">
        <f>IF(ISNA(MATCH($N411,[1]data!$A:$A,0)),"",INDEX([1]data!M:M,MATCH($N411,[1]data!$A:$A,0)))</f>
        <v/>
      </c>
      <c r="AW411" s="38" t="str">
        <f>IF(ISNA(MATCH($N411,data!$A:$A,0)),"",INDEX(data!J:J,MATCH($N411,data!$A:$A,0)))</f>
        <v/>
      </c>
      <c r="AX411" s="38" t="str">
        <f>IF(ISNA(MATCH($N411,data!$A:$A,0)),"",INDEX(data!K:K,MATCH($N411,data!$A:$A,0)))</f>
        <v/>
      </c>
      <c r="AY411" s="38" t="str">
        <f>IF(ISNA(MATCH($N411,data!$A:$A,0)),"",INDEX(data!O:O,MATCH($N411,data!$A:$A,0)))</f>
        <v/>
      </c>
      <c r="AZ411" s="38" t="str">
        <f>IF(ISNA(MATCH($N411,data!$A:$A,0)),"",INDEX(data!N:N,MATCH($N411,data!$A:$A,0)))</f>
        <v/>
      </c>
      <c r="BA411" s="38" t="str">
        <f>IF(ISNA(MATCH($N411,data!$A:$A,0)),"",INDEX(data!P:P,MATCH($N411,data!$A:$A,0)))</f>
        <v/>
      </c>
      <c r="BB411" s="38" t="str">
        <f>IF(ISNA(MATCH($N411,data!$A:$A,0)),"",INDEX(data!Q:Q,MATCH($N411,data!$A:$A,0)))</f>
        <v/>
      </c>
      <c r="BC411" s="38" t="str">
        <f>IF(ISNA(MATCH($N411,data!$A:$A,0)),"",INDEX(data!R:R,MATCH($N411,data!$A:$A,0)))</f>
        <v/>
      </c>
      <c r="BD411" s="38" t="str">
        <f>IF(ISNA(MATCH($N411,[1]data!$A:$A,0)),"",INDEX([1]data!U:U,MATCH($N411,[1]data!$A:$A,0)))</f>
        <v/>
      </c>
      <c r="BE411" s="61" t="e">
        <f>IF(COUNTIF([1]data!A:A,[1]!Table1[[#This Row],[UPC]])&lt;2,"","DUP")</f>
        <v>#VALUE!</v>
      </c>
      <c r="BF411" s="38" t="str">
        <f>IF(ISNA(MATCH($N411,data!$A:$A,0)),"",INDEX(data!W:W,MATCH($N411,data!$A:$A,0)))</f>
        <v/>
      </c>
    </row>
    <row r="412" spans="1:58" ht="12.75" customHeight="1">
      <c r="A412" s="35"/>
      <c r="B412" s="35"/>
      <c r="C412" s="35"/>
      <c r="D412" s="35"/>
      <c r="E412" s="67"/>
      <c r="F412" s="67"/>
      <c r="G412" s="36"/>
      <c r="H412" s="29"/>
      <c r="I412" s="78" t="str">
        <f t="shared" si="8"/>
        <v/>
      </c>
      <c r="J412" s="29"/>
      <c r="K412" s="29"/>
      <c r="L412" s="33"/>
      <c r="M412" s="33"/>
      <c r="N412" s="60"/>
      <c r="O412" s="71"/>
      <c r="P412" s="71"/>
      <c r="Q412" s="33"/>
      <c r="R412" s="31"/>
      <c r="S412" s="31"/>
      <c r="T412" s="59"/>
      <c r="U412" s="59"/>
      <c r="V412" s="59"/>
      <c r="W412" s="57">
        <f t="shared" si="9"/>
        <v>0</v>
      </c>
      <c r="X412" s="126" t="str">
        <f>IF(Table1[[#This Row],[Shipping Weight Pounds]]&gt;150,"See LTL Form","No")</f>
        <v>No</v>
      </c>
      <c r="Y412" s="28"/>
      <c r="Z412" s="33"/>
      <c r="AA412" s="34"/>
      <c r="AB412" s="30"/>
      <c r="AC412" s="30"/>
      <c r="AD412" s="32"/>
      <c r="AE412" s="32"/>
      <c r="AF412" s="2"/>
      <c r="AG412" s="2"/>
      <c r="AH412" s="2"/>
      <c r="AI412" s="2"/>
      <c r="AK412" s="73" t="str">
        <f>IF(ISNA(MATCH($N412,[1]data!$A:$A,0)),"",INDEX([1]data!S:S,MATCH($N412,[1]data!$A:$A,0)))</f>
        <v/>
      </c>
      <c r="AL412" s="73" t="str">
        <f>IF(ISNA(MATCH($N412,[1]data!$A:$A,0)),"",INDEX([1]data!V:V,MATCH($N412,[1]data!$A:$A,0)))</f>
        <v/>
      </c>
      <c r="AM412" s="38" t="str">
        <f>IF(ISNA(MATCH($N412,data!$A:$A,0)),"",INDEX(data!B:B,MATCH($N412,data!$A:$A,0)))</f>
        <v/>
      </c>
      <c r="AN412" s="38" t="str">
        <f>IF(ISNA(MATCH($N412,data!$A:$A,0)),"",INDEX(data!C:C,MATCH($N412,data!$A:$A,0)))</f>
        <v/>
      </c>
      <c r="AO412" s="38" t="str">
        <f>IF(ISNA(MATCH($N412,data!$A:$A,0)),"",INDEX(data!D:D,MATCH($N412,data!$A:$A,0)))</f>
        <v/>
      </c>
      <c r="AP412" s="38" t="str">
        <f>IF(ISNA(MATCH($N412,data!$A:$A,0)),"",INDEX(data!E:E,MATCH($N412,data!$A:$A,0)))</f>
        <v/>
      </c>
      <c r="AQ412" s="38" t="str">
        <f>IF(ISNA(MATCH($N412,data!$A:$A,0)),"",INDEX(data!F:F,MATCH($N412,data!$A:$A,0)))</f>
        <v/>
      </c>
      <c r="AR412" s="38" t="str">
        <f>IF(ISNA(MATCH($N412,data!$A:$A,0)),"",INDEX(data!G:G,MATCH($N412,data!$A:$A,0)))</f>
        <v/>
      </c>
      <c r="AS412" s="38" t="str">
        <f>IF(ISNA(MATCH($N412,data!$A:$A,0)),"",INDEX(data!H:H,MATCH($N412,data!$A:$A,0)))</f>
        <v/>
      </c>
      <c r="AT412" s="38" t="str">
        <f>IF(ISNA(MATCH($N412,data!$A:$A,0)),"",INDEX(data!I:I,MATCH($N412,data!$A:$A,0)))</f>
        <v/>
      </c>
      <c r="AU412" s="38" t="str">
        <f>IF(ISNA(MATCH($N412,[1]data!$A:$A,0)),"",INDEX([1]data!L:L,MATCH($N412,[1]data!$A:$A,0)))</f>
        <v/>
      </c>
      <c r="AV412" s="38" t="str">
        <f>IF(ISNA(MATCH($N412,[1]data!$A:$A,0)),"",INDEX([1]data!M:M,MATCH($N412,[1]data!$A:$A,0)))</f>
        <v/>
      </c>
      <c r="AW412" s="38" t="str">
        <f>IF(ISNA(MATCH($N412,data!$A:$A,0)),"",INDEX(data!J:J,MATCH($N412,data!$A:$A,0)))</f>
        <v/>
      </c>
      <c r="AX412" s="38" t="str">
        <f>IF(ISNA(MATCH($N412,data!$A:$A,0)),"",INDEX(data!K:K,MATCH($N412,data!$A:$A,0)))</f>
        <v/>
      </c>
      <c r="AY412" s="38" t="str">
        <f>IF(ISNA(MATCH($N412,data!$A:$A,0)),"",INDEX(data!O:O,MATCH($N412,data!$A:$A,0)))</f>
        <v/>
      </c>
      <c r="AZ412" s="38" t="str">
        <f>IF(ISNA(MATCH($N412,data!$A:$A,0)),"",INDEX(data!N:N,MATCH($N412,data!$A:$A,0)))</f>
        <v/>
      </c>
      <c r="BA412" s="38" t="str">
        <f>IF(ISNA(MATCH($N412,data!$A:$A,0)),"",INDEX(data!P:P,MATCH($N412,data!$A:$A,0)))</f>
        <v/>
      </c>
      <c r="BB412" s="38" t="str">
        <f>IF(ISNA(MATCH($N412,data!$A:$A,0)),"",INDEX(data!Q:Q,MATCH($N412,data!$A:$A,0)))</f>
        <v/>
      </c>
      <c r="BC412" s="38" t="str">
        <f>IF(ISNA(MATCH($N412,data!$A:$A,0)),"",INDEX(data!R:R,MATCH($N412,data!$A:$A,0)))</f>
        <v/>
      </c>
      <c r="BD412" s="38" t="str">
        <f>IF(ISNA(MATCH($N412,[1]data!$A:$A,0)),"",INDEX([1]data!U:U,MATCH($N412,[1]data!$A:$A,0)))</f>
        <v/>
      </c>
      <c r="BE412" s="61" t="e">
        <f>IF(COUNTIF([1]data!A:A,[1]!Table1[[#This Row],[UPC]])&lt;2,"","DUP")</f>
        <v>#VALUE!</v>
      </c>
      <c r="BF412" s="38" t="str">
        <f>IF(ISNA(MATCH($N412,data!$A:$A,0)),"",INDEX(data!W:W,MATCH($N412,data!$A:$A,0)))</f>
        <v/>
      </c>
    </row>
    <row r="413" spans="1:58" ht="12.75" customHeight="1">
      <c r="A413" s="35"/>
      <c r="B413" s="35"/>
      <c r="C413" s="35"/>
      <c r="D413" s="35"/>
      <c r="E413" s="67"/>
      <c r="F413" s="67"/>
      <c r="G413" s="36"/>
      <c r="H413" s="29"/>
      <c r="I413" s="78" t="str">
        <f t="shared" si="8"/>
        <v/>
      </c>
      <c r="J413" s="29"/>
      <c r="K413" s="29"/>
      <c r="L413" s="33"/>
      <c r="M413" s="33"/>
      <c r="N413" s="60"/>
      <c r="O413" s="71"/>
      <c r="P413" s="71"/>
      <c r="Q413" s="33"/>
      <c r="R413" s="31"/>
      <c r="S413" s="31"/>
      <c r="T413" s="59"/>
      <c r="U413" s="59"/>
      <c r="V413" s="59"/>
      <c r="W413" s="57">
        <f t="shared" si="9"/>
        <v>0</v>
      </c>
      <c r="X413" s="126" t="str">
        <f>IF(Table1[[#This Row],[Shipping Weight Pounds]]&gt;150,"See LTL Form","No")</f>
        <v>No</v>
      </c>
      <c r="Y413" s="28"/>
      <c r="Z413" s="33"/>
      <c r="AA413" s="34"/>
      <c r="AB413" s="30"/>
      <c r="AC413" s="30"/>
      <c r="AD413" s="32"/>
      <c r="AE413" s="32"/>
      <c r="AF413" s="2"/>
      <c r="AG413" s="2"/>
      <c r="AH413" s="2"/>
      <c r="AI413" s="2"/>
      <c r="AK413" s="73" t="str">
        <f>IF(ISNA(MATCH($N413,[1]data!$A:$A,0)),"",INDEX([1]data!S:S,MATCH($N413,[1]data!$A:$A,0)))</f>
        <v/>
      </c>
      <c r="AL413" s="73" t="str">
        <f>IF(ISNA(MATCH($N413,[1]data!$A:$A,0)),"",INDEX([1]data!V:V,MATCH($N413,[1]data!$A:$A,0)))</f>
        <v/>
      </c>
      <c r="AM413" s="38" t="str">
        <f>IF(ISNA(MATCH($N413,data!$A:$A,0)),"",INDEX(data!B:B,MATCH($N413,data!$A:$A,0)))</f>
        <v/>
      </c>
      <c r="AN413" s="38" t="str">
        <f>IF(ISNA(MATCH($N413,data!$A:$A,0)),"",INDEX(data!C:C,MATCH($N413,data!$A:$A,0)))</f>
        <v/>
      </c>
      <c r="AO413" s="38" t="str">
        <f>IF(ISNA(MATCH($N413,data!$A:$A,0)),"",INDEX(data!D:D,MATCH($N413,data!$A:$A,0)))</f>
        <v/>
      </c>
      <c r="AP413" s="38" t="str">
        <f>IF(ISNA(MATCH($N413,data!$A:$A,0)),"",INDEX(data!E:E,MATCH($N413,data!$A:$A,0)))</f>
        <v/>
      </c>
      <c r="AQ413" s="38" t="str">
        <f>IF(ISNA(MATCH($N413,data!$A:$A,0)),"",INDEX(data!F:F,MATCH($N413,data!$A:$A,0)))</f>
        <v/>
      </c>
      <c r="AR413" s="38" t="str">
        <f>IF(ISNA(MATCH($N413,data!$A:$A,0)),"",INDEX(data!G:G,MATCH($N413,data!$A:$A,0)))</f>
        <v/>
      </c>
      <c r="AS413" s="38" t="str">
        <f>IF(ISNA(MATCH($N413,data!$A:$A,0)),"",INDEX(data!H:H,MATCH($N413,data!$A:$A,0)))</f>
        <v/>
      </c>
      <c r="AT413" s="38" t="str">
        <f>IF(ISNA(MATCH($N413,data!$A:$A,0)),"",INDEX(data!I:I,MATCH($N413,data!$A:$A,0)))</f>
        <v/>
      </c>
      <c r="AU413" s="38" t="str">
        <f>IF(ISNA(MATCH($N413,[1]data!$A:$A,0)),"",INDEX([1]data!L:L,MATCH($N413,[1]data!$A:$A,0)))</f>
        <v/>
      </c>
      <c r="AV413" s="38" t="str">
        <f>IF(ISNA(MATCH($N413,[1]data!$A:$A,0)),"",INDEX([1]data!M:M,MATCH($N413,[1]data!$A:$A,0)))</f>
        <v/>
      </c>
      <c r="AW413" s="38" t="str">
        <f>IF(ISNA(MATCH($N413,data!$A:$A,0)),"",INDEX(data!J:J,MATCH($N413,data!$A:$A,0)))</f>
        <v/>
      </c>
      <c r="AX413" s="38" t="str">
        <f>IF(ISNA(MATCH($N413,data!$A:$A,0)),"",INDEX(data!K:K,MATCH($N413,data!$A:$A,0)))</f>
        <v/>
      </c>
      <c r="AY413" s="38" t="str">
        <f>IF(ISNA(MATCH($N413,data!$A:$A,0)),"",INDEX(data!O:O,MATCH($N413,data!$A:$A,0)))</f>
        <v/>
      </c>
      <c r="AZ413" s="38" t="str">
        <f>IF(ISNA(MATCH($N413,data!$A:$A,0)),"",INDEX(data!N:N,MATCH($N413,data!$A:$A,0)))</f>
        <v/>
      </c>
      <c r="BA413" s="38" t="str">
        <f>IF(ISNA(MATCH($N413,data!$A:$A,0)),"",INDEX(data!P:P,MATCH($N413,data!$A:$A,0)))</f>
        <v/>
      </c>
      <c r="BB413" s="38" t="str">
        <f>IF(ISNA(MATCH($N413,data!$A:$A,0)),"",INDEX(data!Q:Q,MATCH($N413,data!$A:$A,0)))</f>
        <v/>
      </c>
      <c r="BC413" s="38" t="str">
        <f>IF(ISNA(MATCH($N413,data!$A:$A,0)),"",INDEX(data!R:R,MATCH($N413,data!$A:$A,0)))</f>
        <v/>
      </c>
      <c r="BD413" s="38" t="str">
        <f>IF(ISNA(MATCH($N413,[1]data!$A:$A,0)),"",INDEX([1]data!U:U,MATCH($N413,[1]data!$A:$A,0)))</f>
        <v/>
      </c>
      <c r="BE413" s="61" t="e">
        <f>IF(COUNTIF([1]data!A:A,[1]!Table1[[#This Row],[UPC]])&lt;2,"","DUP")</f>
        <v>#VALUE!</v>
      </c>
      <c r="BF413" s="38" t="str">
        <f>IF(ISNA(MATCH($N413,data!$A:$A,0)),"",INDEX(data!W:W,MATCH($N413,data!$A:$A,0)))</f>
        <v/>
      </c>
    </row>
    <row r="414" spans="1:58" ht="12.75" customHeight="1">
      <c r="A414" s="35"/>
      <c r="B414" s="35"/>
      <c r="C414" s="35"/>
      <c r="D414" s="35"/>
      <c r="E414" s="67"/>
      <c r="F414" s="67"/>
      <c r="G414" s="36"/>
      <c r="H414" s="29"/>
      <c r="I414" s="78" t="str">
        <f t="shared" si="8"/>
        <v/>
      </c>
      <c r="J414" s="29"/>
      <c r="K414" s="29"/>
      <c r="L414" s="33"/>
      <c r="M414" s="33"/>
      <c r="N414" s="60"/>
      <c r="O414" s="71"/>
      <c r="P414" s="71"/>
      <c r="Q414" s="33"/>
      <c r="R414" s="31"/>
      <c r="S414" s="31"/>
      <c r="T414" s="59"/>
      <c r="U414" s="59"/>
      <c r="V414" s="59"/>
      <c r="W414" s="57">
        <f t="shared" si="9"/>
        <v>0</v>
      </c>
      <c r="X414" s="126" t="str">
        <f>IF(Table1[[#This Row],[Shipping Weight Pounds]]&gt;150,"See LTL Form","No")</f>
        <v>No</v>
      </c>
      <c r="Y414" s="28"/>
      <c r="Z414" s="33"/>
      <c r="AA414" s="34"/>
      <c r="AB414" s="30"/>
      <c r="AC414" s="30"/>
      <c r="AD414" s="32"/>
      <c r="AE414" s="32"/>
      <c r="AF414" s="2"/>
      <c r="AG414" s="2"/>
      <c r="AH414" s="2"/>
      <c r="AI414" s="2"/>
      <c r="AK414" s="73" t="str">
        <f>IF(ISNA(MATCH($N414,[1]data!$A:$A,0)),"",INDEX([1]data!S:S,MATCH($N414,[1]data!$A:$A,0)))</f>
        <v/>
      </c>
      <c r="AL414" s="73" t="str">
        <f>IF(ISNA(MATCH($N414,[1]data!$A:$A,0)),"",INDEX([1]data!V:V,MATCH($N414,[1]data!$A:$A,0)))</f>
        <v/>
      </c>
      <c r="AM414" s="38" t="str">
        <f>IF(ISNA(MATCH($N414,data!$A:$A,0)),"",INDEX(data!B:B,MATCH($N414,data!$A:$A,0)))</f>
        <v/>
      </c>
      <c r="AN414" s="38" t="str">
        <f>IF(ISNA(MATCH($N414,data!$A:$A,0)),"",INDEX(data!C:C,MATCH($N414,data!$A:$A,0)))</f>
        <v/>
      </c>
      <c r="AO414" s="38" t="str">
        <f>IF(ISNA(MATCH($N414,data!$A:$A,0)),"",INDEX(data!D:D,MATCH($N414,data!$A:$A,0)))</f>
        <v/>
      </c>
      <c r="AP414" s="38" t="str">
        <f>IF(ISNA(MATCH($N414,data!$A:$A,0)),"",INDEX(data!E:E,MATCH($N414,data!$A:$A,0)))</f>
        <v/>
      </c>
      <c r="AQ414" s="38" t="str">
        <f>IF(ISNA(MATCH($N414,data!$A:$A,0)),"",INDEX(data!F:F,MATCH($N414,data!$A:$A,0)))</f>
        <v/>
      </c>
      <c r="AR414" s="38" t="str">
        <f>IF(ISNA(MATCH($N414,data!$A:$A,0)),"",INDEX(data!G:G,MATCH($N414,data!$A:$A,0)))</f>
        <v/>
      </c>
      <c r="AS414" s="38" t="str">
        <f>IF(ISNA(MATCH($N414,data!$A:$A,0)),"",INDEX(data!H:H,MATCH($N414,data!$A:$A,0)))</f>
        <v/>
      </c>
      <c r="AT414" s="38" t="str">
        <f>IF(ISNA(MATCH($N414,data!$A:$A,0)),"",INDEX(data!I:I,MATCH($N414,data!$A:$A,0)))</f>
        <v/>
      </c>
      <c r="AU414" s="38" t="str">
        <f>IF(ISNA(MATCH($N414,[1]data!$A:$A,0)),"",INDEX([1]data!L:L,MATCH($N414,[1]data!$A:$A,0)))</f>
        <v/>
      </c>
      <c r="AV414" s="38" t="str">
        <f>IF(ISNA(MATCH($N414,[1]data!$A:$A,0)),"",INDEX([1]data!M:M,MATCH($N414,[1]data!$A:$A,0)))</f>
        <v/>
      </c>
      <c r="AW414" s="38" t="str">
        <f>IF(ISNA(MATCH($N414,data!$A:$A,0)),"",INDEX(data!J:J,MATCH($N414,data!$A:$A,0)))</f>
        <v/>
      </c>
      <c r="AX414" s="38" t="str">
        <f>IF(ISNA(MATCH($N414,data!$A:$A,0)),"",INDEX(data!K:K,MATCH($N414,data!$A:$A,0)))</f>
        <v/>
      </c>
      <c r="AY414" s="38" t="str">
        <f>IF(ISNA(MATCH($N414,data!$A:$A,0)),"",INDEX(data!O:O,MATCH($N414,data!$A:$A,0)))</f>
        <v/>
      </c>
      <c r="AZ414" s="38" t="str">
        <f>IF(ISNA(MATCH($N414,data!$A:$A,0)),"",INDEX(data!N:N,MATCH($N414,data!$A:$A,0)))</f>
        <v/>
      </c>
      <c r="BA414" s="38" t="str">
        <f>IF(ISNA(MATCH($N414,data!$A:$A,0)),"",INDEX(data!P:P,MATCH($N414,data!$A:$A,0)))</f>
        <v/>
      </c>
      <c r="BB414" s="38" t="str">
        <f>IF(ISNA(MATCH($N414,data!$A:$A,0)),"",INDEX(data!Q:Q,MATCH($N414,data!$A:$A,0)))</f>
        <v/>
      </c>
      <c r="BC414" s="38" t="str">
        <f>IF(ISNA(MATCH($N414,data!$A:$A,0)),"",INDEX(data!R:R,MATCH($N414,data!$A:$A,0)))</f>
        <v/>
      </c>
      <c r="BD414" s="38" t="str">
        <f>IF(ISNA(MATCH($N414,[1]data!$A:$A,0)),"",INDEX([1]data!U:U,MATCH($N414,[1]data!$A:$A,0)))</f>
        <v/>
      </c>
      <c r="BE414" s="61" t="e">
        <f>IF(COUNTIF([1]data!A:A,[1]!Table1[[#This Row],[UPC]])&lt;2,"","DUP")</f>
        <v>#VALUE!</v>
      </c>
      <c r="BF414" s="38" t="str">
        <f>IF(ISNA(MATCH($N414,data!$A:$A,0)),"",INDEX(data!W:W,MATCH($N414,data!$A:$A,0)))</f>
        <v/>
      </c>
    </row>
    <row r="415" spans="1:58" ht="12.75" customHeight="1">
      <c r="A415" s="35"/>
      <c r="B415" s="35"/>
      <c r="C415" s="35"/>
      <c r="D415" s="35"/>
      <c r="E415" s="67"/>
      <c r="F415" s="67"/>
      <c r="G415" s="36"/>
      <c r="H415" s="29"/>
      <c r="I415" s="78" t="str">
        <f t="shared" si="8"/>
        <v/>
      </c>
      <c r="J415" s="29"/>
      <c r="K415" s="29"/>
      <c r="L415" s="33"/>
      <c r="M415" s="33"/>
      <c r="N415" s="60"/>
      <c r="O415" s="71"/>
      <c r="P415" s="71"/>
      <c r="Q415" s="33"/>
      <c r="R415" s="31"/>
      <c r="S415" s="31"/>
      <c r="T415" s="59"/>
      <c r="U415" s="59"/>
      <c r="V415" s="59"/>
      <c r="W415" s="57">
        <f t="shared" si="9"/>
        <v>0</v>
      </c>
      <c r="X415" s="126" t="str">
        <f>IF(Table1[[#This Row],[Shipping Weight Pounds]]&gt;150,"See LTL Form","No")</f>
        <v>No</v>
      </c>
      <c r="Y415" s="28"/>
      <c r="Z415" s="33"/>
      <c r="AA415" s="34"/>
      <c r="AB415" s="30"/>
      <c r="AC415" s="30"/>
      <c r="AD415" s="32"/>
      <c r="AE415" s="32"/>
      <c r="AF415" s="2"/>
      <c r="AG415" s="2"/>
      <c r="AH415" s="2"/>
      <c r="AI415" s="2"/>
      <c r="AK415" s="73" t="str">
        <f>IF(ISNA(MATCH($N415,[1]data!$A:$A,0)),"",INDEX([1]data!S:S,MATCH($N415,[1]data!$A:$A,0)))</f>
        <v/>
      </c>
      <c r="AL415" s="73" t="str">
        <f>IF(ISNA(MATCH($N415,[1]data!$A:$A,0)),"",INDEX([1]data!V:V,MATCH($N415,[1]data!$A:$A,0)))</f>
        <v/>
      </c>
      <c r="AM415" s="38" t="str">
        <f>IF(ISNA(MATCH($N415,data!$A:$A,0)),"",INDEX(data!B:B,MATCH($N415,data!$A:$A,0)))</f>
        <v/>
      </c>
      <c r="AN415" s="38" t="str">
        <f>IF(ISNA(MATCH($N415,data!$A:$A,0)),"",INDEX(data!C:C,MATCH($N415,data!$A:$A,0)))</f>
        <v/>
      </c>
      <c r="AO415" s="38" t="str">
        <f>IF(ISNA(MATCH($N415,data!$A:$A,0)),"",INDEX(data!D:D,MATCH($N415,data!$A:$A,0)))</f>
        <v/>
      </c>
      <c r="AP415" s="38" t="str">
        <f>IF(ISNA(MATCH($N415,data!$A:$A,0)),"",INDEX(data!E:E,MATCH($N415,data!$A:$A,0)))</f>
        <v/>
      </c>
      <c r="AQ415" s="38" t="str">
        <f>IF(ISNA(MATCH($N415,data!$A:$A,0)),"",INDEX(data!F:F,MATCH($N415,data!$A:$A,0)))</f>
        <v/>
      </c>
      <c r="AR415" s="38" t="str">
        <f>IF(ISNA(MATCH($N415,data!$A:$A,0)),"",INDEX(data!G:G,MATCH($N415,data!$A:$A,0)))</f>
        <v/>
      </c>
      <c r="AS415" s="38" t="str">
        <f>IF(ISNA(MATCH($N415,data!$A:$A,0)),"",INDEX(data!H:H,MATCH($N415,data!$A:$A,0)))</f>
        <v/>
      </c>
      <c r="AT415" s="38" t="str">
        <f>IF(ISNA(MATCH($N415,data!$A:$A,0)),"",INDEX(data!I:I,MATCH($N415,data!$A:$A,0)))</f>
        <v/>
      </c>
      <c r="AU415" s="38" t="str">
        <f>IF(ISNA(MATCH($N415,[1]data!$A:$A,0)),"",INDEX([1]data!L:L,MATCH($N415,[1]data!$A:$A,0)))</f>
        <v/>
      </c>
      <c r="AV415" s="38" t="str">
        <f>IF(ISNA(MATCH($N415,[1]data!$A:$A,0)),"",INDEX([1]data!M:M,MATCH($N415,[1]data!$A:$A,0)))</f>
        <v/>
      </c>
      <c r="AW415" s="38" t="str">
        <f>IF(ISNA(MATCH($N415,data!$A:$A,0)),"",INDEX(data!J:J,MATCH($N415,data!$A:$A,0)))</f>
        <v/>
      </c>
      <c r="AX415" s="38" t="str">
        <f>IF(ISNA(MATCH($N415,data!$A:$A,0)),"",INDEX(data!K:K,MATCH($N415,data!$A:$A,0)))</f>
        <v/>
      </c>
      <c r="AY415" s="38" t="str">
        <f>IF(ISNA(MATCH($N415,data!$A:$A,0)),"",INDEX(data!O:O,MATCH($N415,data!$A:$A,0)))</f>
        <v/>
      </c>
      <c r="AZ415" s="38" t="str">
        <f>IF(ISNA(MATCH($N415,data!$A:$A,0)),"",INDEX(data!N:N,MATCH($N415,data!$A:$A,0)))</f>
        <v/>
      </c>
      <c r="BA415" s="38" t="str">
        <f>IF(ISNA(MATCH($N415,data!$A:$A,0)),"",INDEX(data!P:P,MATCH($N415,data!$A:$A,0)))</f>
        <v/>
      </c>
      <c r="BB415" s="38" t="str">
        <f>IF(ISNA(MATCH($N415,data!$A:$A,0)),"",INDEX(data!Q:Q,MATCH($N415,data!$A:$A,0)))</f>
        <v/>
      </c>
      <c r="BC415" s="38" t="str">
        <f>IF(ISNA(MATCH($N415,data!$A:$A,0)),"",INDEX(data!R:R,MATCH($N415,data!$A:$A,0)))</f>
        <v/>
      </c>
      <c r="BD415" s="38" t="str">
        <f>IF(ISNA(MATCH($N415,[1]data!$A:$A,0)),"",INDEX([1]data!U:U,MATCH($N415,[1]data!$A:$A,0)))</f>
        <v/>
      </c>
      <c r="BE415" s="61" t="e">
        <f>IF(COUNTIF([1]data!A:A,[1]!Table1[[#This Row],[UPC]])&lt;2,"","DUP")</f>
        <v>#VALUE!</v>
      </c>
      <c r="BF415" s="38" t="str">
        <f>IF(ISNA(MATCH($N415,data!$A:$A,0)),"",INDEX(data!W:W,MATCH($N415,data!$A:$A,0)))</f>
        <v/>
      </c>
    </row>
    <row r="416" spans="1:58" ht="12.75" customHeight="1">
      <c r="A416" s="35"/>
      <c r="B416" s="35"/>
      <c r="C416" s="35"/>
      <c r="D416" s="35"/>
      <c r="E416" s="67"/>
      <c r="F416" s="67"/>
      <c r="G416" s="36"/>
      <c r="H416" s="29"/>
      <c r="I416" s="78" t="str">
        <f t="shared" si="8"/>
        <v/>
      </c>
      <c r="J416" s="29"/>
      <c r="K416" s="29"/>
      <c r="L416" s="33"/>
      <c r="M416" s="33"/>
      <c r="N416" s="60"/>
      <c r="O416" s="71"/>
      <c r="P416" s="71"/>
      <c r="Q416" s="33"/>
      <c r="R416" s="31"/>
      <c r="S416" s="31"/>
      <c r="T416" s="59"/>
      <c r="U416" s="59"/>
      <c r="V416" s="59"/>
      <c r="W416" s="57">
        <f t="shared" si="9"/>
        <v>0</v>
      </c>
      <c r="X416" s="126" t="str">
        <f>IF(Table1[[#This Row],[Shipping Weight Pounds]]&gt;150,"See LTL Form","No")</f>
        <v>No</v>
      </c>
      <c r="Y416" s="28"/>
      <c r="Z416" s="33"/>
      <c r="AA416" s="34"/>
      <c r="AB416" s="30"/>
      <c r="AC416" s="30"/>
      <c r="AD416" s="32"/>
      <c r="AE416" s="32"/>
      <c r="AF416" s="2"/>
      <c r="AG416" s="2"/>
      <c r="AH416" s="2"/>
      <c r="AI416" s="2"/>
      <c r="AK416" s="73" t="str">
        <f>IF(ISNA(MATCH($N416,[1]data!$A:$A,0)),"",INDEX([1]data!S:S,MATCH($N416,[1]data!$A:$A,0)))</f>
        <v/>
      </c>
      <c r="AL416" s="73" t="str">
        <f>IF(ISNA(MATCH($N416,[1]data!$A:$A,0)),"",INDEX([1]data!V:V,MATCH($N416,[1]data!$A:$A,0)))</f>
        <v/>
      </c>
      <c r="AM416" s="38" t="str">
        <f>IF(ISNA(MATCH($N416,data!$A:$A,0)),"",INDEX(data!B:B,MATCH($N416,data!$A:$A,0)))</f>
        <v/>
      </c>
      <c r="AN416" s="38" t="str">
        <f>IF(ISNA(MATCH($N416,data!$A:$A,0)),"",INDEX(data!C:C,MATCH($N416,data!$A:$A,0)))</f>
        <v/>
      </c>
      <c r="AO416" s="38" t="str">
        <f>IF(ISNA(MATCH($N416,data!$A:$A,0)),"",INDEX(data!D:D,MATCH($N416,data!$A:$A,0)))</f>
        <v/>
      </c>
      <c r="AP416" s="38" t="str">
        <f>IF(ISNA(MATCH($N416,data!$A:$A,0)),"",INDEX(data!E:E,MATCH($N416,data!$A:$A,0)))</f>
        <v/>
      </c>
      <c r="AQ416" s="38" t="str">
        <f>IF(ISNA(MATCH($N416,data!$A:$A,0)),"",INDEX(data!F:F,MATCH($N416,data!$A:$A,0)))</f>
        <v/>
      </c>
      <c r="AR416" s="38" t="str">
        <f>IF(ISNA(MATCH($N416,data!$A:$A,0)),"",INDEX(data!G:G,MATCH($N416,data!$A:$A,0)))</f>
        <v/>
      </c>
      <c r="AS416" s="38" t="str">
        <f>IF(ISNA(MATCH($N416,data!$A:$A,0)),"",INDEX(data!H:H,MATCH($N416,data!$A:$A,0)))</f>
        <v/>
      </c>
      <c r="AT416" s="38" t="str">
        <f>IF(ISNA(MATCH($N416,data!$A:$A,0)),"",INDEX(data!I:I,MATCH($N416,data!$A:$A,0)))</f>
        <v/>
      </c>
      <c r="AU416" s="38" t="str">
        <f>IF(ISNA(MATCH($N416,[1]data!$A:$A,0)),"",INDEX([1]data!L:L,MATCH($N416,[1]data!$A:$A,0)))</f>
        <v/>
      </c>
      <c r="AV416" s="38" t="str">
        <f>IF(ISNA(MATCH($N416,[1]data!$A:$A,0)),"",INDEX([1]data!M:M,MATCH($N416,[1]data!$A:$A,0)))</f>
        <v/>
      </c>
      <c r="AW416" s="38" t="str">
        <f>IF(ISNA(MATCH($N416,data!$A:$A,0)),"",INDEX(data!J:J,MATCH($N416,data!$A:$A,0)))</f>
        <v/>
      </c>
      <c r="AX416" s="38" t="str">
        <f>IF(ISNA(MATCH($N416,data!$A:$A,0)),"",INDEX(data!K:K,MATCH($N416,data!$A:$A,0)))</f>
        <v/>
      </c>
      <c r="AY416" s="38" t="str">
        <f>IF(ISNA(MATCH($N416,data!$A:$A,0)),"",INDEX(data!O:O,MATCH($N416,data!$A:$A,0)))</f>
        <v/>
      </c>
      <c r="AZ416" s="38" t="str">
        <f>IF(ISNA(MATCH($N416,data!$A:$A,0)),"",INDEX(data!N:N,MATCH($N416,data!$A:$A,0)))</f>
        <v/>
      </c>
      <c r="BA416" s="38" t="str">
        <f>IF(ISNA(MATCH($N416,data!$A:$A,0)),"",INDEX(data!P:P,MATCH($N416,data!$A:$A,0)))</f>
        <v/>
      </c>
      <c r="BB416" s="38" t="str">
        <f>IF(ISNA(MATCH($N416,data!$A:$A,0)),"",INDEX(data!Q:Q,MATCH($N416,data!$A:$A,0)))</f>
        <v/>
      </c>
      <c r="BC416" s="38" t="str">
        <f>IF(ISNA(MATCH($N416,data!$A:$A,0)),"",INDEX(data!R:R,MATCH($N416,data!$A:$A,0)))</f>
        <v/>
      </c>
      <c r="BD416" s="38" t="str">
        <f>IF(ISNA(MATCH($N416,[1]data!$A:$A,0)),"",INDEX([1]data!U:U,MATCH($N416,[1]data!$A:$A,0)))</f>
        <v/>
      </c>
      <c r="BE416" s="61" t="e">
        <f>IF(COUNTIF([1]data!A:A,[1]!Table1[[#This Row],[UPC]])&lt;2,"","DUP")</f>
        <v>#VALUE!</v>
      </c>
      <c r="BF416" s="38" t="str">
        <f>IF(ISNA(MATCH($N416,data!$A:$A,0)),"",INDEX(data!W:W,MATCH($N416,data!$A:$A,0)))</f>
        <v/>
      </c>
    </row>
    <row r="417" spans="1:58" ht="12.75" customHeight="1">
      <c r="A417" s="35"/>
      <c r="B417" s="35"/>
      <c r="C417" s="35"/>
      <c r="D417" s="35"/>
      <c r="E417" s="67"/>
      <c r="F417" s="67"/>
      <c r="G417" s="36"/>
      <c r="H417" s="29"/>
      <c r="I417" s="78" t="str">
        <f t="shared" si="8"/>
        <v/>
      </c>
      <c r="J417" s="29"/>
      <c r="K417" s="29"/>
      <c r="L417" s="33"/>
      <c r="M417" s="33"/>
      <c r="N417" s="60"/>
      <c r="O417" s="71"/>
      <c r="P417" s="71"/>
      <c r="Q417" s="33"/>
      <c r="R417" s="31"/>
      <c r="S417" s="31"/>
      <c r="T417" s="59"/>
      <c r="U417" s="59"/>
      <c r="V417" s="59"/>
      <c r="W417" s="57">
        <f t="shared" si="9"/>
        <v>0</v>
      </c>
      <c r="X417" s="126" t="str">
        <f>IF(Table1[[#This Row],[Shipping Weight Pounds]]&gt;150,"See LTL Form","No")</f>
        <v>No</v>
      </c>
      <c r="Y417" s="28"/>
      <c r="Z417" s="33"/>
      <c r="AA417" s="34"/>
      <c r="AB417" s="30"/>
      <c r="AC417" s="30"/>
      <c r="AD417" s="32"/>
      <c r="AE417" s="32"/>
      <c r="AF417" s="2"/>
      <c r="AG417" s="2"/>
      <c r="AH417" s="2"/>
      <c r="AI417" s="2"/>
      <c r="AK417" s="73" t="str">
        <f>IF(ISNA(MATCH($N417,[1]data!$A:$A,0)),"",INDEX([1]data!S:S,MATCH($N417,[1]data!$A:$A,0)))</f>
        <v/>
      </c>
      <c r="AL417" s="73" t="str">
        <f>IF(ISNA(MATCH($N417,[1]data!$A:$A,0)),"",INDEX([1]data!V:V,MATCH($N417,[1]data!$A:$A,0)))</f>
        <v/>
      </c>
      <c r="AM417" s="38" t="str">
        <f>IF(ISNA(MATCH($N417,data!$A:$A,0)),"",INDEX(data!B:B,MATCH($N417,data!$A:$A,0)))</f>
        <v/>
      </c>
      <c r="AN417" s="38" t="str">
        <f>IF(ISNA(MATCH($N417,data!$A:$A,0)),"",INDEX(data!C:C,MATCH($N417,data!$A:$A,0)))</f>
        <v/>
      </c>
      <c r="AO417" s="38" t="str">
        <f>IF(ISNA(MATCH($N417,data!$A:$A,0)),"",INDEX(data!D:D,MATCH($N417,data!$A:$A,0)))</f>
        <v/>
      </c>
      <c r="AP417" s="38" t="str">
        <f>IF(ISNA(MATCH($N417,data!$A:$A,0)),"",INDEX(data!E:E,MATCH($N417,data!$A:$A,0)))</f>
        <v/>
      </c>
      <c r="AQ417" s="38" t="str">
        <f>IF(ISNA(MATCH($N417,data!$A:$A,0)),"",INDEX(data!F:F,MATCH($N417,data!$A:$A,0)))</f>
        <v/>
      </c>
      <c r="AR417" s="38" t="str">
        <f>IF(ISNA(MATCH($N417,data!$A:$A,0)),"",INDEX(data!G:G,MATCH($N417,data!$A:$A,0)))</f>
        <v/>
      </c>
      <c r="AS417" s="38" t="str">
        <f>IF(ISNA(MATCH($N417,data!$A:$A,0)),"",INDEX(data!H:H,MATCH($N417,data!$A:$A,0)))</f>
        <v/>
      </c>
      <c r="AT417" s="38" t="str">
        <f>IF(ISNA(MATCH($N417,data!$A:$A,0)),"",INDEX(data!I:I,MATCH($N417,data!$A:$A,0)))</f>
        <v/>
      </c>
      <c r="AU417" s="38" t="str">
        <f>IF(ISNA(MATCH($N417,[1]data!$A:$A,0)),"",INDEX([1]data!L:L,MATCH($N417,[1]data!$A:$A,0)))</f>
        <v/>
      </c>
      <c r="AV417" s="38" t="str">
        <f>IF(ISNA(MATCH($N417,[1]data!$A:$A,0)),"",INDEX([1]data!M:M,MATCH($N417,[1]data!$A:$A,0)))</f>
        <v/>
      </c>
      <c r="AW417" s="38" t="str">
        <f>IF(ISNA(MATCH($N417,data!$A:$A,0)),"",INDEX(data!J:J,MATCH($N417,data!$A:$A,0)))</f>
        <v/>
      </c>
      <c r="AX417" s="38" t="str">
        <f>IF(ISNA(MATCH($N417,data!$A:$A,0)),"",INDEX(data!K:K,MATCH($N417,data!$A:$A,0)))</f>
        <v/>
      </c>
      <c r="AY417" s="38" t="str">
        <f>IF(ISNA(MATCH($N417,data!$A:$A,0)),"",INDEX(data!O:O,MATCH($N417,data!$A:$A,0)))</f>
        <v/>
      </c>
      <c r="AZ417" s="38" t="str">
        <f>IF(ISNA(MATCH($N417,data!$A:$A,0)),"",INDEX(data!N:N,MATCH($N417,data!$A:$A,0)))</f>
        <v/>
      </c>
      <c r="BA417" s="38" t="str">
        <f>IF(ISNA(MATCH($N417,data!$A:$A,0)),"",INDEX(data!P:P,MATCH($N417,data!$A:$A,0)))</f>
        <v/>
      </c>
      <c r="BB417" s="38" t="str">
        <f>IF(ISNA(MATCH($N417,data!$A:$A,0)),"",INDEX(data!Q:Q,MATCH($N417,data!$A:$A,0)))</f>
        <v/>
      </c>
      <c r="BC417" s="38" t="str">
        <f>IF(ISNA(MATCH($N417,data!$A:$A,0)),"",INDEX(data!R:R,MATCH($N417,data!$A:$A,0)))</f>
        <v/>
      </c>
      <c r="BD417" s="38" t="str">
        <f>IF(ISNA(MATCH($N417,[1]data!$A:$A,0)),"",INDEX([1]data!U:U,MATCH($N417,[1]data!$A:$A,0)))</f>
        <v/>
      </c>
      <c r="BE417" s="61" t="e">
        <f>IF(COUNTIF([1]data!A:A,[1]!Table1[[#This Row],[UPC]])&lt;2,"","DUP")</f>
        <v>#VALUE!</v>
      </c>
      <c r="BF417" s="38" t="str">
        <f>IF(ISNA(MATCH($N417,data!$A:$A,0)),"",INDEX(data!W:W,MATCH($N417,data!$A:$A,0)))</f>
        <v/>
      </c>
    </row>
    <row r="418" spans="1:58" ht="12.75" customHeight="1">
      <c r="A418" s="35"/>
      <c r="B418" s="35"/>
      <c r="C418" s="35"/>
      <c r="D418" s="35"/>
      <c r="E418" s="67"/>
      <c r="F418" s="67"/>
      <c r="G418" s="36"/>
      <c r="H418" s="29"/>
      <c r="I418" s="78" t="str">
        <f t="shared" si="8"/>
        <v/>
      </c>
      <c r="J418" s="29"/>
      <c r="K418" s="29"/>
      <c r="L418" s="33"/>
      <c r="M418" s="33"/>
      <c r="N418" s="60"/>
      <c r="O418" s="71"/>
      <c r="P418" s="71"/>
      <c r="Q418" s="33"/>
      <c r="R418" s="31"/>
      <c r="S418" s="31"/>
      <c r="T418" s="59"/>
      <c r="U418" s="59"/>
      <c r="V418" s="59"/>
      <c r="W418" s="57">
        <f t="shared" si="9"/>
        <v>0</v>
      </c>
      <c r="X418" s="126" t="str">
        <f>IF(Table1[[#This Row],[Shipping Weight Pounds]]&gt;150,"See LTL Form","No")</f>
        <v>No</v>
      </c>
      <c r="Y418" s="28"/>
      <c r="Z418" s="33"/>
      <c r="AA418" s="34"/>
      <c r="AB418" s="30"/>
      <c r="AC418" s="30"/>
      <c r="AD418" s="32"/>
      <c r="AE418" s="32"/>
      <c r="AF418" s="2"/>
      <c r="AG418" s="2"/>
      <c r="AH418" s="2"/>
      <c r="AI418" s="2"/>
      <c r="AK418" s="73" t="str">
        <f>IF(ISNA(MATCH($N418,[1]data!$A:$A,0)),"",INDEX([1]data!S:S,MATCH($N418,[1]data!$A:$A,0)))</f>
        <v/>
      </c>
      <c r="AL418" s="73" t="str">
        <f>IF(ISNA(MATCH($N418,[1]data!$A:$A,0)),"",INDEX([1]data!V:V,MATCH($N418,[1]data!$A:$A,0)))</f>
        <v/>
      </c>
      <c r="AM418" s="38" t="str">
        <f>IF(ISNA(MATCH($N418,data!$A:$A,0)),"",INDEX(data!B:B,MATCH($N418,data!$A:$A,0)))</f>
        <v/>
      </c>
      <c r="AN418" s="38" t="str">
        <f>IF(ISNA(MATCH($N418,data!$A:$A,0)),"",INDEX(data!C:C,MATCH($N418,data!$A:$A,0)))</f>
        <v/>
      </c>
      <c r="AO418" s="38" t="str">
        <f>IF(ISNA(MATCH($N418,data!$A:$A,0)),"",INDEX(data!D:D,MATCH($N418,data!$A:$A,0)))</f>
        <v/>
      </c>
      <c r="AP418" s="38" t="str">
        <f>IF(ISNA(MATCH($N418,data!$A:$A,0)),"",INDEX(data!E:E,MATCH($N418,data!$A:$A,0)))</f>
        <v/>
      </c>
      <c r="AQ418" s="38" t="str">
        <f>IF(ISNA(MATCH($N418,data!$A:$A,0)),"",INDEX(data!F:F,MATCH($N418,data!$A:$A,0)))</f>
        <v/>
      </c>
      <c r="AR418" s="38" t="str">
        <f>IF(ISNA(MATCH($N418,data!$A:$A,0)),"",INDEX(data!G:G,MATCH($N418,data!$A:$A,0)))</f>
        <v/>
      </c>
      <c r="AS418" s="38" t="str">
        <f>IF(ISNA(MATCH($N418,data!$A:$A,0)),"",INDEX(data!H:H,MATCH($N418,data!$A:$A,0)))</f>
        <v/>
      </c>
      <c r="AT418" s="38" t="str">
        <f>IF(ISNA(MATCH($N418,data!$A:$A,0)),"",INDEX(data!I:I,MATCH($N418,data!$A:$A,0)))</f>
        <v/>
      </c>
      <c r="AU418" s="38" t="str">
        <f>IF(ISNA(MATCH($N418,[1]data!$A:$A,0)),"",INDEX([1]data!L:L,MATCH($N418,[1]data!$A:$A,0)))</f>
        <v/>
      </c>
      <c r="AV418" s="38" t="str">
        <f>IF(ISNA(MATCH($N418,[1]data!$A:$A,0)),"",INDEX([1]data!M:M,MATCH($N418,[1]data!$A:$A,0)))</f>
        <v/>
      </c>
      <c r="AW418" s="38" t="str">
        <f>IF(ISNA(MATCH($N418,data!$A:$A,0)),"",INDEX(data!J:J,MATCH($N418,data!$A:$A,0)))</f>
        <v/>
      </c>
      <c r="AX418" s="38" t="str">
        <f>IF(ISNA(MATCH($N418,data!$A:$A,0)),"",INDEX(data!K:K,MATCH($N418,data!$A:$A,0)))</f>
        <v/>
      </c>
      <c r="AY418" s="38" t="str">
        <f>IF(ISNA(MATCH($N418,data!$A:$A,0)),"",INDEX(data!O:O,MATCH($N418,data!$A:$A,0)))</f>
        <v/>
      </c>
      <c r="AZ418" s="38" t="str">
        <f>IF(ISNA(MATCH($N418,data!$A:$A,0)),"",INDEX(data!N:N,MATCH($N418,data!$A:$A,0)))</f>
        <v/>
      </c>
      <c r="BA418" s="38" t="str">
        <f>IF(ISNA(MATCH($N418,data!$A:$A,0)),"",INDEX(data!P:P,MATCH($N418,data!$A:$A,0)))</f>
        <v/>
      </c>
      <c r="BB418" s="38" t="str">
        <f>IF(ISNA(MATCH($N418,data!$A:$A,0)),"",INDEX(data!Q:Q,MATCH($N418,data!$A:$A,0)))</f>
        <v/>
      </c>
      <c r="BC418" s="38" t="str">
        <f>IF(ISNA(MATCH($N418,data!$A:$A,0)),"",INDEX(data!R:R,MATCH($N418,data!$A:$A,0)))</f>
        <v/>
      </c>
      <c r="BD418" s="38" t="str">
        <f>IF(ISNA(MATCH($N418,[1]data!$A:$A,0)),"",INDEX([1]data!U:U,MATCH($N418,[1]data!$A:$A,0)))</f>
        <v/>
      </c>
      <c r="BE418" s="61" t="e">
        <f>IF(COUNTIF([1]data!A:A,[1]!Table1[[#This Row],[UPC]])&lt;2,"","DUP")</f>
        <v>#VALUE!</v>
      </c>
      <c r="BF418" s="38" t="str">
        <f>IF(ISNA(MATCH($N418,data!$A:$A,0)),"",INDEX(data!W:W,MATCH($N418,data!$A:$A,0)))</f>
        <v/>
      </c>
    </row>
    <row r="419" spans="1:58" ht="12.75" customHeight="1">
      <c r="A419" s="35"/>
      <c r="B419" s="35"/>
      <c r="C419" s="35"/>
      <c r="D419" s="35"/>
      <c r="E419" s="67"/>
      <c r="F419" s="67"/>
      <c r="G419" s="36"/>
      <c r="H419" s="29"/>
      <c r="I419" s="78" t="str">
        <f t="shared" si="8"/>
        <v/>
      </c>
      <c r="J419" s="29"/>
      <c r="K419" s="29"/>
      <c r="L419" s="33"/>
      <c r="M419" s="33"/>
      <c r="N419" s="60"/>
      <c r="O419" s="71"/>
      <c r="P419" s="71"/>
      <c r="Q419" s="33"/>
      <c r="R419" s="31"/>
      <c r="S419" s="31"/>
      <c r="T419" s="59"/>
      <c r="U419" s="59"/>
      <c r="V419" s="59"/>
      <c r="W419" s="57">
        <f t="shared" si="9"/>
        <v>0</v>
      </c>
      <c r="X419" s="126" t="str">
        <f>IF(Table1[[#This Row],[Shipping Weight Pounds]]&gt;150,"See LTL Form","No")</f>
        <v>No</v>
      </c>
      <c r="Y419" s="28"/>
      <c r="Z419" s="33"/>
      <c r="AA419" s="34"/>
      <c r="AB419" s="30"/>
      <c r="AC419" s="30"/>
      <c r="AD419" s="32"/>
      <c r="AE419" s="32"/>
      <c r="AF419" s="2"/>
      <c r="AG419" s="2"/>
      <c r="AH419" s="2"/>
      <c r="AI419" s="2"/>
      <c r="AK419" s="73" t="str">
        <f>IF(ISNA(MATCH($N419,[1]data!$A:$A,0)),"",INDEX([1]data!S:S,MATCH($N419,[1]data!$A:$A,0)))</f>
        <v/>
      </c>
      <c r="AL419" s="73" t="str">
        <f>IF(ISNA(MATCH($N419,[1]data!$A:$A,0)),"",INDEX([1]data!V:V,MATCH($N419,[1]data!$A:$A,0)))</f>
        <v/>
      </c>
      <c r="AM419" s="38" t="str">
        <f>IF(ISNA(MATCH($N419,data!$A:$A,0)),"",INDEX(data!B:B,MATCH($N419,data!$A:$A,0)))</f>
        <v/>
      </c>
      <c r="AN419" s="38" t="str">
        <f>IF(ISNA(MATCH($N419,data!$A:$A,0)),"",INDEX(data!C:C,MATCH($N419,data!$A:$A,0)))</f>
        <v/>
      </c>
      <c r="AO419" s="38" t="str">
        <f>IF(ISNA(MATCH($N419,data!$A:$A,0)),"",INDEX(data!D:D,MATCH($N419,data!$A:$A,0)))</f>
        <v/>
      </c>
      <c r="AP419" s="38" t="str">
        <f>IF(ISNA(MATCH($N419,data!$A:$A,0)),"",INDEX(data!E:E,MATCH($N419,data!$A:$A,0)))</f>
        <v/>
      </c>
      <c r="AQ419" s="38" t="str">
        <f>IF(ISNA(MATCH($N419,data!$A:$A,0)),"",INDEX(data!F:F,MATCH($N419,data!$A:$A,0)))</f>
        <v/>
      </c>
      <c r="AR419" s="38" t="str">
        <f>IF(ISNA(MATCH($N419,data!$A:$A,0)),"",INDEX(data!G:G,MATCH($N419,data!$A:$A,0)))</f>
        <v/>
      </c>
      <c r="AS419" s="38" t="str">
        <f>IF(ISNA(MATCH($N419,data!$A:$A,0)),"",INDEX(data!H:H,MATCH($N419,data!$A:$A,0)))</f>
        <v/>
      </c>
      <c r="AT419" s="38" t="str">
        <f>IF(ISNA(MATCH($N419,data!$A:$A,0)),"",INDEX(data!I:I,MATCH($N419,data!$A:$A,0)))</f>
        <v/>
      </c>
      <c r="AU419" s="38" t="str">
        <f>IF(ISNA(MATCH($N419,[1]data!$A:$A,0)),"",INDEX([1]data!L:L,MATCH($N419,[1]data!$A:$A,0)))</f>
        <v/>
      </c>
      <c r="AV419" s="38" t="str">
        <f>IF(ISNA(MATCH($N419,[1]data!$A:$A,0)),"",INDEX([1]data!M:M,MATCH($N419,[1]data!$A:$A,0)))</f>
        <v/>
      </c>
      <c r="AW419" s="38" t="str">
        <f>IF(ISNA(MATCH($N419,data!$A:$A,0)),"",INDEX(data!J:J,MATCH($N419,data!$A:$A,0)))</f>
        <v/>
      </c>
      <c r="AX419" s="38" t="str">
        <f>IF(ISNA(MATCH($N419,data!$A:$A,0)),"",INDEX(data!K:K,MATCH($N419,data!$A:$A,0)))</f>
        <v/>
      </c>
      <c r="AY419" s="38" t="str">
        <f>IF(ISNA(MATCH($N419,data!$A:$A,0)),"",INDEX(data!O:O,MATCH($N419,data!$A:$A,0)))</f>
        <v/>
      </c>
      <c r="AZ419" s="38" t="str">
        <f>IF(ISNA(MATCH($N419,data!$A:$A,0)),"",INDEX(data!N:N,MATCH($N419,data!$A:$A,0)))</f>
        <v/>
      </c>
      <c r="BA419" s="38" t="str">
        <f>IF(ISNA(MATCH($N419,data!$A:$A,0)),"",INDEX(data!P:P,MATCH($N419,data!$A:$A,0)))</f>
        <v/>
      </c>
      <c r="BB419" s="38" t="str">
        <f>IF(ISNA(MATCH($N419,data!$A:$A,0)),"",INDEX(data!Q:Q,MATCH($N419,data!$A:$A,0)))</f>
        <v/>
      </c>
      <c r="BC419" s="38" t="str">
        <f>IF(ISNA(MATCH($N419,data!$A:$A,0)),"",INDEX(data!R:R,MATCH($N419,data!$A:$A,0)))</f>
        <v/>
      </c>
      <c r="BD419" s="38" t="str">
        <f>IF(ISNA(MATCH($N419,[1]data!$A:$A,0)),"",INDEX([1]data!U:U,MATCH($N419,[1]data!$A:$A,0)))</f>
        <v/>
      </c>
      <c r="BE419" s="61" t="e">
        <f>IF(COUNTIF([1]data!A:A,[1]!Table1[[#This Row],[UPC]])&lt;2,"","DUP")</f>
        <v>#VALUE!</v>
      </c>
      <c r="BF419" s="38" t="str">
        <f>IF(ISNA(MATCH($N419,data!$A:$A,0)),"",INDEX(data!W:W,MATCH($N419,data!$A:$A,0)))</f>
        <v/>
      </c>
    </row>
    <row r="420" spans="1:58" ht="12.75" customHeight="1">
      <c r="A420" s="35"/>
      <c r="B420" s="35"/>
      <c r="C420" s="35"/>
      <c r="D420" s="35"/>
      <c r="E420" s="67"/>
      <c r="F420" s="67"/>
      <c r="G420" s="36"/>
      <c r="H420" s="29"/>
      <c r="I420" s="78" t="str">
        <f t="shared" si="8"/>
        <v/>
      </c>
      <c r="J420" s="29"/>
      <c r="K420" s="29"/>
      <c r="L420" s="33"/>
      <c r="M420" s="33"/>
      <c r="N420" s="60"/>
      <c r="O420" s="71"/>
      <c r="P420" s="71"/>
      <c r="Q420" s="33"/>
      <c r="R420" s="31"/>
      <c r="S420" s="31"/>
      <c r="T420" s="59"/>
      <c r="U420" s="59"/>
      <c r="V420" s="59"/>
      <c r="W420" s="57">
        <f t="shared" si="9"/>
        <v>0</v>
      </c>
      <c r="X420" s="126" t="str">
        <f>IF(Table1[[#This Row],[Shipping Weight Pounds]]&gt;150,"See LTL Form","No")</f>
        <v>No</v>
      </c>
      <c r="Y420" s="28"/>
      <c r="Z420" s="33"/>
      <c r="AA420" s="34"/>
      <c r="AB420" s="30"/>
      <c r="AC420" s="30"/>
      <c r="AD420" s="32"/>
      <c r="AE420" s="32"/>
      <c r="AF420" s="2"/>
      <c r="AG420" s="2"/>
      <c r="AH420" s="2"/>
      <c r="AI420" s="2"/>
      <c r="AK420" s="73" t="str">
        <f>IF(ISNA(MATCH($N420,[1]data!$A:$A,0)),"",INDEX([1]data!S:S,MATCH($N420,[1]data!$A:$A,0)))</f>
        <v/>
      </c>
      <c r="AL420" s="73" t="str">
        <f>IF(ISNA(MATCH($N420,[1]data!$A:$A,0)),"",INDEX([1]data!V:V,MATCH($N420,[1]data!$A:$A,0)))</f>
        <v/>
      </c>
      <c r="AM420" s="38" t="str">
        <f>IF(ISNA(MATCH($N420,data!$A:$A,0)),"",INDEX(data!B:B,MATCH($N420,data!$A:$A,0)))</f>
        <v/>
      </c>
      <c r="AN420" s="38" t="str">
        <f>IF(ISNA(MATCH($N420,data!$A:$A,0)),"",INDEX(data!C:C,MATCH($N420,data!$A:$A,0)))</f>
        <v/>
      </c>
      <c r="AO420" s="38" t="str">
        <f>IF(ISNA(MATCH($N420,data!$A:$A,0)),"",INDEX(data!D:D,MATCH($N420,data!$A:$A,0)))</f>
        <v/>
      </c>
      <c r="AP420" s="38" t="str">
        <f>IF(ISNA(MATCH($N420,data!$A:$A,0)),"",INDEX(data!E:E,MATCH($N420,data!$A:$A,0)))</f>
        <v/>
      </c>
      <c r="AQ420" s="38" t="str">
        <f>IF(ISNA(MATCH($N420,data!$A:$A,0)),"",INDEX(data!F:F,MATCH($N420,data!$A:$A,0)))</f>
        <v/>
      </c>
      <c r="AR420" s="38" t="str">
        <f>IF(ISNA(MATCH($N420,data!$A:$A,0)),"",INDEX(data!G:G,MATCH($N420,data!$A:$A,0)))</f>
        <v/>
      </c>
      <c r="AS420" s="38" t="str">
        <f>IF(ISNA(MATCH($N420,data!$A:$A,0)),"",INDEX(data!H:H,MATCH($N420,data!$A:$A,0)))</f>
        <v/>
      </c>
      <c r="AT420" s="38" t="str">
        <f>IF(ISNA(MATCH($N420,data!$A:$A,0)),"",INDEX(data!I:I,MATCH($N420,data!$A:$A,0)))</f>
        <v/>
      </c>
      <c r="AU420" s="38" t="str">
        <f>IF(ISNA(MATCH($N420,[1]data!$A:$A,0)),"",INDEX([1]data!L:L,MATCH($N420,[1]data!$A:$A,0)))</f>
        <v/>
      </c>
      <c r="AV420" s="38" t="str">
        <f>IF(ISNA(MATCH($N420,[1]data!$A:$A,0)),"",INDEX([1]data!M:M,MATCH($N420,[1]data!$A:$A,0)))</f>
        <v/>
      </c>
      <c r="AW420" s="38" t="str">
        <f>IF(ISNA(MATCH($N420,data!$A:$A,0)),"",INDEX(data!J:J,MATCH($N420,data!$A:$A,0)))</f>
        <v/>
      </c>
      <c r="AX420" s="38" t="str">
        <f>IF(ISNA(MATCH($N420,data!$A:$A,0)),"",INDEX(data!K:K,MATCH($N420,data!$A:$A,0)))</f>
        <v/>
      </c>
      <c r="AY420" s="38" t="str">
        <f>IF(ISNA(MATCH($N420,data!$A:$A,0)),"",INDEX(data!O:O,MATCH($N420,data!$A:$A,0)))</f>
        <v/>
      </c>
      <c r="AZ420" s="38" t="str">
        <f>IF(ISNA(MATCH($N420,data!$A:$A,0)),"",INDEX(data!N:N,MATCH($N420,data!$A:$A,0)))</f>
        <v/>
      </c>
      <c r="BA420" s="38" t="str">
        <f>IF(ISNA(MATCH($N420,data!$A:$A,0)),"",INDEX(data!P:P,MATCH($N420,data!$A:$A,0)))</f>
        <v/>
      </c>
      <c r="BB420" s="38" t="str">
        <f>IF(ISNA(MATCH($N420,data!$A:$A,0)),"",INDEX(data!Q:Q,MATCH($N420,data!$A:$A,0)))</f>
        <v/>
      </c>
      <c r="BC420" s="38" t="str">
        <f>IF(ISNA(MATCH($N420,data!$A:$A,0)),"",INDEX(data!R:R,MATCH($N420,data!$A:$A,0)))</f>
        <v/>
      </c>
      <c r="BD420" s="38" t="str">
        <f>IF(ISNA(MATCH($N420,[1]data!$A:$A,0)),"",INDEX([1]data!U:U,MATCH($N420,[1]data!$A:$A,0)))</f>
        <v/>
      </c>
      <c r="BE420" s="61" t="e">
        <f>IF(COUNTIF([1]data!A:A,[1]!Table1[[#This Row],[UPC]])&lt;2,"","DUP")</f>
        <v>#VALUE!</v>
      </c>
      <c r="BF420" s="38" t="str">
        <f>IF(ISNA(MATCH($N420,data!$A:$A,0)),"",INDEX(data!W:W,MATCH($N420,data!$A:$A,0)))</f>
        <v/>
      </c>
    </row>
    <row r="421" spans="1:58" ht="12.75" customHeight="1">
      <c r="A421" s="35"/>
      <c r="B421" s="35"/>
      <c r="C421" s="35"/>
      <c r="D421" s="35"/>
      <c r="E421" s="67"/>
      <c r="F421" s="67"/>
      <c r="G421" s="36"/>
      <c r="H421" s="29"/>
      <c r="I421" s="78" t="str">
        <f t="shared" si="8"/>
        <v/>
      </c>
      <c r="J421" s="29"/>
      <c r="K421" s="29"/>
      <c r="L421" s="33"/>
      <c r="M421" s="33"/>
      <c r="N421" s="60"/>
      <c r="O421" s="71"/>
      <c r="P421" s="71"/>
      <c r="Q421" s="33"/>
      <c r="R421" s="31"/>
      <c r="S421" s="31"/>
      <c r="T421" s="59"/>
      <c r="U421" s="59"/>
      <c r="V421" s="59"/>
      <c r="W421" s="57">
        <f t="shared" si="9"/>
        <v>0</v>
      </c>
      <c r="X421" s="126" t="str">
        <f>IF(Table1[[#This Row],[Shipping Weight Pounds]]&gt;150,"See LTL Form","No")</f>
        <v>No</v>
      </c>
      <c r="Y421" s="28"/>
      <c r="Z421" s="33"/>
      <c r="AA421" s="34"/>
      <c r="AB421" s="30"/>
      <c r="AC421" s="30"/>
      <c r="AD421" s="32"/>
      <c r="AE421" s="32"/>
      <c r="AF421" s="2"/>
      <c r="AG421" s="2"/>
      <c r="AH421" s="2"/>
      <c r="AI421" s="2"/>
      <c r="AK421" s="73" t="str">
        <f>IF(ISNA(MATCH($N421,[1]data!$A:$A,0)),"",INDEX([1]data!S:S,MATCH($N421,[1]data!$A:$A,0)))</f>
        <v/>
      </c>
      <c r="AL421" s="73" t="str">
        <f>IF(ISNA(MATCH($N421,[1]data!$A:$A,0)),"",INDEX([1]data!V:V,MATCH($N421,[1]data!$A:$A,0)))</f>
        <v/>
      </c>
      <c r="AM421" s="38" t="str">
        <f>IF(ISNA(MATCH($N421,data!$A:$A,0)),"",INDEX(data!B:B,MATCH($N421,data!$A:$A,0)))</f>
        <v/>
      </c>
      <c r="AN421" s="38" t="str">
        <f>IF(ISNA(MATCH($N421,data!$A:$A,0)),"",INDEX(data!C:C,MATCH($N421,data!$A:$A,0)))</f>
        <v/>
      </c>
      <c r="AO421" s="38" t="str">
        <f>IF(ISNA(MATCH($N421,data!$A:$A,0)),"",INDEX(data!D:D,MATCH($N421,data!$A:$A,0)))</f>
        <v/>
      </c>
      <c r="AP421" s="38" t="str">
        <f>IF(ISNA(MATCH($N421,data!$A:$A,0)),"",INDEX(data!E:E,MATCH($N421,data!$A:$A,0)))</f>
        <v/>
      </c>
      <c r="AQ421" s="38" t="str">
        <f>IF(ISNA(MATCH($N421,data!$A:$A,0)),"",INDEX(data!F:F,MATCH($N421,data!$A:$A,0)))</f>
        <v/>
      </c>
      <c r="AR421" s="38" t="str">
        <f>IF(ISNA(MATCH($N421,data!$A:$A,0)),"",INDEX(data!G:G,MATCH($N421,data!$A:$A,0)))</f>
        <v/>
      </c>
      <c r="AS421" s="38" t="str">
        <f>IF(ISNA(MATCH($N421,data!$A:$A,0)),"",INDEX(data!H:H,MATCH($N421,data!$A:$A,0)))</f>
        <v/>
      </c>
      <c r="AT421" s="38" t="str">
        <f>IF(ISNA(MATCH($N421,data!$A:$A,0)),"",INDEX(data!I:I,MATCH($N421,data!$A:$A,0)))</f>
        <v/>
      </c>
      <c r="AU421" s="38" t="str">
        <f>IF(ISNA(MATCH($N421,[1]data!$A:$A,0)),"",INDEX([1]data!L:L,MATCH($N421,[1]data!$A:$A,0)))</f>
        <v/>
      </c>
      <c r="AV421" s="38" t="str">
        <f>IF(ISNA(MATCH($N421,[1]data!$A:$A,0)),"",INDEX([1]data!M:M,MATCH($N421,[1]data!$A:$A,0)))</f>
        <v/>
      </c>
      <c r="AW421" s="38" t="str">
        <f>IF(ISNA(MATCH($N421,data!$A:$A,0)),"",INDEX(data!J:J,MATCH($N421,data!$A:$A,0)))</f>
        <v/>
      </c>
      <c r="AX421" s="38" t="str">
        <f>IF(ISNA(MATCH($N421,data!$A:$A,0)),"",INDEX(data!K:K,MATCH($N421,data!$A:$A,0)))</f>
        <v/>
      </c>
      <c r="AY421" s="38" t="str">
        <f>IF(ISNA(MATCH($N421,data!$A:$A,0)),"",INDEX(data!O:O,MATCH($N421,data!$A:$A,0)))</f>
        <v/>
      </c>
      <c r="AZ421" s="38" t="str">
        <f>IF(ISNA(MATCH($N421,data!$A:$A,0)),"",INDEX(data!N:N,MATCH($N421,data!$A:$A,0)))</f>
        <v/>
      </c>
      <c r="BA421" s="38" t="str">
        <f>IF(ISNA(MATCH($N421,data!$A:$A,0)),"",INDEX(data!P:P,MATCH($N421,data!$A:$A,0)))</f>
        <v/>
      </c>
      <c r="BB421" s="38" t="str">
        <f>IF(ISNA(MATCH($N421,data!$A:$A,0)),"",INDEX(data!Q:Q,MATCH($N421,data!$A:$A,0)))</f>
        <v/>
      </c>
      <c r="BC421" s="38" t="str">
        <f>IF(ISNA(MATCH($N421,data!$A:$A,0)),"",INDEX(data!R:R,MATCH($N421,data!$A:$A,0)))</f>
        <v/>
      </c>
      <c r="BD421" s="38" t="str">
        <f>IF(ISNA(MATCH($N421,[1]data!$A:$A,0)),"",INDEX([1]data!U:U,MATCH($N421,[1]data!$A:$A,0)))</f>
        <v/>
      </c>
      <c r="BE421" s="61" t="e">
        <f>IF(COUNTIF([1]data!A:A,[1]!Table1[[#This Row],[UPC]])&lt;2,"","DUP")</f>
        <v>#VALUE!</v>
      </c>
      <c r="BF421" s="38" t="str">
        <f>IF(ISNA(MATCH($N421,data!$A:$A,0)),"",INDEX(data!W:W,MATCH($N421,data!$A:$A,0)))</f>
        <v/>
      </c>
    </row>
    <row r="422" spans="1:58" ht="12.75" customHeight="1">
      <c r="A422" s="35"/>
      <c r="B422" s="35"/>
      <c r="C422" s="35"/>
      <c r="D422" s="35"/>
      <c r="E422" s="67"/>
      <c r="F422" s="67"/>
      <c r="G422" s="36"/>
      <c r="H422" s="29"/>
      <c r="I422" s="78" t="str">
        <f t="shared" si="8"/>
        <v/>
      </c>
      <c r="J422" s="29"/>
      <c r="K422" s="29"/>
      <c r="L422" s="33"/>
      <c r="M422" s="33"/>
      <c r="N422" s="60"/>
      <c r="O422" s="71"/>
      <c r="P422" s="71"/>
      <c r="Q422" s="33"/>
      <c r="R422" s="31"/>
      <c r="S422" s="31"/>
      <c r="T422" s="59"/>
      <c r="U422" s="59"/>
      <c r="V422" s="59"/>
      <c r="W422" s="57">
        <f t="shared" si="9"/>
        <v>0</v>
      </c>
      <c r="X422" s="126" t="str">
        <f>IF(Table1[[#This Row],[Shipping Weight Pounds]]&gt;150,"See LTL Form","No")</f>
        <v>No</v>
      </c>
      <c r="Y422" s="28"/>
      <c r="Z422" s="33"/>
      <c r="AA422" s="34"/>
      <c r="AB422" s="30"/>
      <c r="AC422" s="30"/>
      <c r="AD422" s="32"/>
      <c r="AE422" s="32"/>
      <c r="AF422" s="2"/>
      <c r="AG422" s="2"/>
      <c r="AH422" s="2"/>
      <c r="AI422" s="2"/>
      <c r="AK422" s="73" t="str">
        <f>IF(ISNA(MATCH($N422,[1]data!$A:$A,0)),"",INDEX([1]data!S:S,MATCH($N422,[1]data!$A:$A,0)))</f>
        <v/>
      </c>
      <c r="AL422" s="73" t="str">
        <f>IF(ISNA(MATCH($N422,[1]data!$A:$A,0)),"",INDEX([1]data!V:V,MATCH($N422,[1]data!$A:$A,0)))</f>
        <v/>
      </c>
      <c r="AM422" s="38" t="str">
        <f>IF(ISNA(MATCH($N422,data!$A:$A,0)),"",INDEX(data!B:B,MATCH($N422,data!$A:$A,0)))</f>
        <v/>
      </c>
      <c r="AN422" s="38" t="str">
        <f>IF(ISNA(MATCH($N422,data!$A:$A,0)),"",INDEX(data!C:C,MATCH($N422,data!$A:$A,0)))</f>
        <v/>
      </c>
      <c r="AO422" s="38" t="str">
        <f>IF(ISNA(MATCH($N422,data!$A:$A,0)),"",INDEX(data!D:D,MATCH($N422,data!$A:$A,0)))</f>
        <v/>
      </c>
      <c r="AP422" s="38" t="str">
        <f>IF(ISNA(MATCH($N422,data!$A:$A,0)),"",INDEX(data!E:E,MATCH($N422,data!$A:$A,0)))</f>
        <v/>
      </c>
      <c r="AQ422" s="38" t="str">
        <f>IF(ISNA(MATCH($N422,data!$A:$A,0)),"",INDEX(data!F:F,MATCH($N422,data!$A:$A,0)))</f>
        <v/>
      </c>
      <c r="AR422" s="38" t="str">
        <f>IF(ISNA(MATCH($N422,data!$A:$A,0)),"",INDEX(data!G:G,MATCH($N422,data!$A:$A,0)))</f>
        <v/>
      </c>
      <c r="AS422" s="38" t="str">
        <f>IF(ISNA(MATCH($N422,data!$A:$A,0)),"",INDEX(data!H:H,MATCH($N422,data!$A:$A,0)))</f>
        <v/>
      </c>
      <c r="AT422" s="38" t="str">
        <f>IF(ISNA(MATCH($N422,data!$A:$A,0)),"",INDEX(data!I:I,MATCH($N422,data!$A:$A,0)))</f>
        <v/>
      </c>
      <c r="AU422" s="38" t="str">
        <f>IF(ISNA(MATCH($N422,[1]data!$A:$A,0)),"",INDEX([1]data!L:L,MATCH($N422,[1]data!$A:$A,0)))</f>
        <v/>
      </c>
      <c r="AV422" s="38" t="str">
        <f>IF(ISNA(MATCH($N422,[1]data!$A:$A,0)),"",INDEX([1]data!M:M,MATCH($N422,[1]data!$A:$A,0)))</f>
        <v/>
      </c>
      <c r="AW422" s="38" t="str">
        <f>IF(ISNA(MATCH($N422,data!$A:$A,0)),"",INDEX(data!J:J,MATCH($N422,data!$A:$A,0)))</f>
        <v/>
      </c>
      <c r="AX422" s="38" t="str">
        <f>IF(ISNA(MATCH($N422,data!$A:$A,0)),"",INDEX(data!K:K,MATCH($N422,data!$A:$A,0)))</f>
        <v/>
      </c>
      <c r="AY422" s="38" t="str">
        <f>IF(ISNA(MATCH($N422,data!$A:$A,0)),"",INDEX(data!O:O,MATCH($N422,data!$A:$A,0)))</f>
        <v/>
      </c>
      <c r="AZ422" s="38" t="str">
        <f>IF(ISNA(MATCH($N422,data!$A:$A,0)),"",INDEX(data!N:N,MATCH($N422,data!$A:$A,0)))</f>
        <v/>
      </c>
      <c r="BA422" s="38" t="str">
        <f>IF(ISNA(MATCH($N422,data!$A:$A,0)),"",INDEX(data!P:P,MATCH($N422,data!$A:$A,0)))</f>
        <v/>
      </c>
      <c r="BB422" s="38" t="str">
        <f>IF(ISNA(MATCH($N422,data!$A:$A,0)),"",INDEX(data!Q:Q,MATCH($N422,data!$A:$A,0)))</f>
        <v/>
      </c>
      <c r="BC422" s="38" t="str">
        <f>IF(ISNA(MATCH($N422,data!$A:$A,0)),"",INDEX(data!R:R,MATCH($N422,data!$A:$A,0)))</f>
        <v/>
      </c>
      <c r="BD422" s="38" t="str">
        <f>IF(ISNA(MATCH($N422,[1]data!$A:$A,0)),"",INDEX([1]data!U:U,MATCH($N422,[1]data!$A:$A,0)))</f>
        <v/>
      </c>
      <c r="BE422" s="61" t="e">
        <f>IF(COUNTIF([1]data!A:A,[1]!Table1[[#This Row],[UPC]])&lt;2,"","DUP")</f>
        <v>#VALUE!</v>
      </c>
      <c r="BF422" s="38" t="str">
        <f>IF(ISNA(MATCH($N422,data!$A:$A,0)),"",INDEX(data!W:W,MATCH($N422,data!$A:$A,0)))</f>
        <v/>
      </c>
    </row>
    <row r="423" spans="1:58" ht="12.75" customHeight="1">
      <c r="A423" s="35"/>
      <c r="B423" s="35"/>
      <c r="C423" s="35"/>
      <c r="D423" s="35"/>
      <c r="E423" s="67"/>
      <c r="F423" s="67"/>
      <c r="G423" s="36"/>
      <c r="H423" s="29"/>
      <c r="I423" s="78" t="str">
        <f t="shared" si="8"/>
        <v/>
      </c>
      <c r="J423" s="29"/>
      <c r="K423" s="29"/>
      <c r="L423" s="33"/>
      <c r="M423" s="33"/>
      <c r="N423" s="60"/>
      <c r="O423" s="71"/>
      <c r="P423" s="71"/>
      <c r="Q423" s="33"/>
      <c r="R423" s="31"/>
      <c r="S423" s="31"/>
      <c r="T423" s="59"/>
      <c r="U423" s="59"/>
      <c r="V423" s="59"/>
      <c r="W423" s="57">
        <f t="shared" si="9"/>
        <v>0</v>
      </c>
      <c r="X423" s="126" t="str">
        <f>IF(Table1[[#This Row],[Shipping Weight Pounds]]&gt;150,"See LTL Form","No")</f>
        <v>No</v>
      </c>
      <c r="Y423" s="28"/>
      <c r="Z423" s="33"/>
      <c r="AA423" s="34"/>
      <c r="AB423" s="30"/>
      <c r="AC423" s="30"/>
      <c r="AD423" s="32"/>
      <c r="AE423" s="32"/>
      <c r="AF423" s="2"/>
      <c r="AG423" s="2"/>
      <c r="AH423" s="2"/>
      <c r="AI423" s="2"/>
      <c r="AK423" s="73" t="str">
        <f>IF(ISNA(MATCH($N423,[1]data!$A:$A,0)),"",INDEX([1]data!S:S,MATCH($N423,[1]data!$A:$A,0)))</f>
        <v/>
      </c>
      <c r="AL423" s="73" t="str">
        <f>IF(ISNA(MATCH($N423,[1]data!$A:$A,0)),"",INDEX([1]data!V:V,MATCH($N423,[1]data!$A:$A,0)))</f>
        <v/>
      </c>
      <c r="AM423" s="38" t="str">
        <f>IF(ISNA(MATCH($N423,data!$A:$A,0)),"",INDEX(data!B:B,MATCH($N423,data!$A:$A,0)))</f>
        <v/>
      </c>
      <c r="AN423" s="38" t="str">
        <f>IF(ISNA(MATCH($N423,data!$A:$A,0)),"",INDEX(data!C:C,MATCH($N423,data!$A:$A,0)))</f>
        <v/>
      </c>
      <c r="AO423" s="38" t="str">
        <f>IF(ISNA(MATCH($N423,data!$A:$A,0)),"",INDEX(data!D:D,MATCH($N423,data!$A:$A,0)))</f>
        <v/>
      </c>
      <c r="AP423" s="38" t="str">
        <f>IF(ISNA(MATCH($N423,data!$A:$A,0)),"",INDEX(data!E:E,MATCH($N423,data!$A:$A,0)))</f>
        <v/>
      </c>
      <c r="AQ423" s="38" t="str">
        <f>IF(ISNA(MATCH($N423,data!$A:$A,0)),"",INDEX(data!F:F,MATCH($N423,data!$A:$A,0)))</f>
        <v/>
      </c>
      <c r="AR423" s="38" t="str">
        <f>IF(ISNA(MATCH($N423,data!$A:$A,0)),"",INDEX(data!G:G,MATCH($N423,data!$A:$A,0)))</f>
        <v/>
      </c>
      <c r="AS423" s="38" t="str">
        <f>IF(ISNA(MATCH($N423,data!$A:$A,0)),"",INDEX(data!H:H,MATCH($N423,data!$A:$A,0)))</f>
        <v/>
      </c>
      <c r="AT423" s="38" t="str">
        <f>IF(ISNA(MATCH($N423,data!$A:$A,0)),"",INDEX(data!I:I,MATCH($N423,data!$A:$A,0)))</f>
        <v/>
      </c>
      <c r="AU423" s="38" t="str">
        <f>IF(ISNA(MATCH($N423,[1]data!$A:$A,0)),"",INDEX([1]data!L:L,MATCH($N423,[1]data!$A:$A,0)))</f>
        <v/>
      </c>
      <c r="AV423" s="38" t="str">
        <f>IF(ISNA(MATCH($N423,[1]data!$A:$A,0)),"",INDEX([1]data!M:M,MATCH($N423,[1]data!$A:$A,0)))</f>
        <v/>
      </c>
      <c r="AW423" s="38" t="str">
        <f>IF(ISNA(MATCH($N423,data!$A:$A,0)),"",INDEX(data!J:J,MATCH($N423,data!$A:$A,0)))</f>
        <v/>
      </c>
      <c r="AX423" s="38" t="str">
        <f>IF(ISNA(MATCH($N423,data!$A:$A,0)),"",INDEX(data!K:K,MATCH($N423,data!$A:$A,0)))</f>
        <v/>
      </c>
      <c r="AY423" s="38" t="str">
        <f>IF(ISNA(MATCH($N423,data!$A:$A,0)),"",INDEX(data!O:O,MATCH($N423,data!$A:$A,0)))</f>
        <v/>
      </c>
      <c r="AZ423" s="38" t="str">
        <f>IF(ISNA(MATCH($N423,data!$A:$A,0)),"",INDEX(data!N:N,MATCH($N423,data!$A:$A,0)))</f>
        <v/>
      </c>
      <c r="BA423" s="38" t="str">
        <f>IF(ISNA(MATCH($N423,data!$A:$A,0)),"",INDEX(data!P:P,MATCH($N423,data!$A:$A,0)))</f>
        <v/>
      </c>
      <c r="BB423" s="38" t="str">
        <f>IF(ISNA(MATCH($N423,data!$A:$A,0)),"",INDEX(data!Q:Q,MATCH($N423,data!$A:$A,0)))</f>
        <v/>
      </c>
      <c r="BC423" s="38" t="str">
        <f>IF(ISNA(MATCH($N423,data!$A:$A,0)),"",INDEX(data!R:R,MATCH($N423,data!$A:$A,0)))</f>
        <v/>
      </c>
      <c r="BD423" s="38" t="str">
        <f>IF(ISNA(MATCH($N423,[1]data!$A:$A,0)),"",INDEX([1]data!U:U,MATCH($N423,[1]data!$A:$A,0)))</f>
        <v/>
      </c>
      <c r="BE423" s="61" t="e">
        <f>IF(COUNTIF([1]data!A:A,[1]!Table1[[#This Row],[UPC]])&lt;2,"","DUP")</f>
        <v>#VALUE!</v>
      </c>
      <c r="BF423" s="38" t="str">
        <f>IF(ISNA(MATCH($N423,data!$A:$A,0)),"",INDEX(data!W:W,MATCH($N423,data!$A:$A,0)))</f>
        <v/>
      </c>
    </row>
    <row r="424" spans="1:58" ht="12.75" customHeight="1">
      <c r="A424" s="35"/>
      <c r="B424" s="35"/>
      <c r="C424" s="35"/>
      <c r="D424" s="35"/>
      <c r="E424" s="67"/>
      <c r="F424" s="67"/>
      <c r="G424" s="36"/>
      <c r="H424" s="29"/>
      <c r="I424" s="78" t="str">
        <f t="shared" si="8"/>
        <v/>
      </c>
      <c r="J424" s="29"/>
      <c r="K424" s="29"/>
      <c r="L424" s="33"/>
      <c r="M424" s="33"/>
      <c r="N424" s="60"/>
      <c r="O424" s="71"/>
      <c r="P424" s="71"/>
      <c r="Q424" s="33"/>
      <c r="R424" s="31"/>
      <c r="S424" s="31"/>
      <c r="T424" s="59"/>
      <c r="U424" s="59"/>
      <c r="V424" s="59"/>
      <c r="W424" s="57">
        <f t="shared" si="9"/>
        <v>0</v>
      </c>
      <c r="X424" s="126" t="str">
        <f>IF(Table1[[#This Row],[Shipping Weight Pounds]]&gt;150,"See LTL Form","No")</f>
        <v>No</v>
      </c>
      <c r="Y424" s="28"/>
      <c r="Z424" s="33"/>
      <c r="AA424" s="34"/>
      <c r="AB424" s="30"/>
      <c r="AC424" s="30"/>
      <c r="AD424" s="32"/>
      <c r="AE424" s="32"/>
      <c r="AF424" s="2"/>
      <c r="AG424" s="2"/>
      <c r="AH424" s="2"/>
      <c r="AI424" s="2"/>
      <c r="AK424" s="73" t="str">
        <f>IF(ISNA(MATCH($N424,[1]data!$A:$A,0)),"",INDEX([1]data!S:S,MATCH($N424,[1]data!$A:$A,0)))</f>
        <v/>
      </c>
      <c r="AL424" s="73" t="str">
        <f>IF(ISNA(MATCH($N424,[1]data!$A:$A,0)),"",INDEX([1]data!V:V,MATCH($N424,[1]data!$A:$A,0)))</f>
        <v/>
      </c>
      <c r="AM424" s="38" t="str">
        <f>IF(ISNA(MATCH($N424,data!$A:$A,0)),"",INDEX(data!B:B,MATCH($N424,data!$A:$A,0)))</f>
        <v/>
      </c>
      <c r="AN424" s="38" t="str">
        <f>IF(ISNA(MATCH($N424,data!$A:$A,0)),"",INDEX(data!C:C,MATCH($N424,data!$A:$A,0)))</f>
        <v/>
      </c>
      <c r="AO424" s="38" t="str">
        <f>IF(ISNA(MATCH($N424,data!$A:$A,0)),"",INDEX(data!D:D,MATCH($N424,data!$A:$A,0)))</f>
        <v/>
      </c>
      <c r="AP424" s="38" t="str">
        <f>IF(ISNA(MATCH($N424,data!$A:$A,0)),"",INDEX(data!E:E,MATCH($N424,data!$A:$A,0)))</f>
        <v/>
      </c>
      <c r="AQ424" s="38" t="str">
        <f>IF(ISNA(MATCH($N424,data!$A:$A,0)),"",INDEX(data!F:F,MATCH($N424,data!$A:$A,0)))</f>
        <v/>
      </c>
      <c r="AR424" s="38" t="str">
        <f>IF(ISNA(MATCH($N424,data!$A:$A,0)),"",INDEX(data!G:G,MATCH($N424,data!$A:$A,0)))</f>
        <v/>
      </c>
      <c r="AS424" s="38" t="str">
        <f>IF(ISNA(MATCH($N424,data!$A:$A,0)),"",INDEX(data!H:H,MATCH($N424,data!$A:$A,0)))</f>
        <v/>
      </c>
      <c r="AT424" s="38" t="str">
        <f>IF(ISNA(MATCH($N424,data!$A:$A,0)),"",INDEX(data!I:I,MATCH($N424,data!$A:$A,0)))</f>
        <v/>
      </c>
      <c r="AU424" s="38" t="str">
        <f>IF(ISNA(MATCH($N424,[1]data!$A:$A,0)),"",INDEX([1]data!L:L,MATCH($N424,[1]data!$A:$A,0)))</f>
        <v/>
      </c>
      <c r="AV424" s="38" t="str">
        <f>IF(ISNA(MATCH($N424,[1]data!$A:$A,0)),"",INDEX([1]data!M:M,MATCH($N424,[1]data!$A:$A,0)))</f>
        <v/>
      </c>
      <c r="AW424" s="38" t="str">
        <f>IF(ISNA(MATCH($N424,data!$A:$A,0)),"",INDEX(data!J:J,MATCH($N424,data!$A:$A,0)))</f>
        <v/>
      </c>
      <c r="AX424" s="38" t="str">
        <f>IF(ISNA(MATCH($N424,data!$A:$A,0)),"",INDEX(data!K:K,MATCH($N424,data!$A:$A,0)))</f>
        <v/>
      </c>
      <c r="AY424" s="38" t="str">
        <f>IF(ISNA(MATCH($N424,data!$A:$A,0)),"",INDEX(data!O:O,MATCH($N424,data!$A:$A,0)))</f>
        <v/>
      </c>
      <c r="AZ424" s="38" t="str">
        <f>IF(ISNA(MATCH($N424,data!$A:$A,0)),"",INDEX(data!N:N,MATCH($N424,data!$A:$A,0)))</f>
        <v/>
      </c>
      <c r="BA424" s="38" t="str">
        <f>IF(ISNA(MATCH($N424,data!$A:$A,0)),"",INDEX(data!P:P,MATCH($N424,data!$A:$A,0)))</f>
        <v/>
      </c>
      <c r="BB424" s="38" t="str">
        <f>IF(ISNA(MATCH($N424,data!$A:$A,0)),"",INDEX(data!Q:Q,MATCH($N424,data!$A:$A,0)))</f>
        <v/>
      </c>
      <c r="BC424" s="38" t="str">
        <f>IF(ISNA(MATCH($N424,data!$A:$A,0)),"",INDEX(data!R:R,MATCH($N424,data!$A:$A,0)))</f>
        <v/>
      </c>
      <c r="BD424" s="38" t="str">
        <f>IF(ISNA(MATCH($N424,[1]data!$A:$A,0)),"",INDEX([1]data!U:U,MATCH($N424,[1]data!$A:$A,0)))</f>
        <v/>
      </c>
      <c r="BE424" s="61" t="e">
        <f>IF(COUNTIF([1]data!A:A,[1]!Table1[[#This Row],[UPC]])&lt;2,"","DUP")</f>
        <v>#VALUE!</v>
      </c>
      <c r="BF424" s="38" t="str">
        <f>IF(ISNA(MATCH($N424,data!$A:$A,0)),"",INDEX(data!W:W,MATCH($N424,data!$A:$A,0)))</f>
        <v/>
      </c>
    </row>
    <row r="425" spans="1:58" ht="12.75" customHeight="1">
      <c r="A425" s="35"/>
      <c r="B425" s="35"/>
      <c r="C425" s="35"/>
      <c r="D425" s="35"/>
      <c r="E425" s="67"/>
      <c r="F425" s="67"/>
      <c r="G425" s="36"/>
      <c r="H425" s="29"/>
      <c r="I425" s="78" t="str">
        <f t="shared" si="8"/>
        <v/>
      </c>
      <c r="J425" s="29"/>
      <c r="K425" s="29"/>
      <c r="L425" s="33"/>
      <c r="M425" s="33"/>
      <c r="N425" s="60"/>
      <c r="O425" s="71"/>
      <c r="P425" s="71"/>
      <c r="Q425" s="33"/>
      <c r="R425" s="31"/>
      <c r="S425" s="31"/>
      <c r="T425" s="59"/>
      <c r="U425" s="59"/>
      <c r="V425" s="59"/>
      <c r="W425" s="57">
        <f t="shared" si="9"/>
        <v>0</v>
      </c>
      <c r="X425" s="126" t="str">
        <f>IF(Table1[[#This Row],[Shipping Weight Pounds]]&gt;150,"See LTL Form","No")</f>
        <v>No</v>
      </c>
      <c r="Y425" s="28"/>
      <c r="Z425" s="33"/>
      <c r="AA425" s="34"/>
      <c r="AB425" s="30"/>
      <c r="AC425" s="30"/>
      <c r="AD425" s="32"/>
      <c r="AE425" s="32"/>
      <c r="AF425" s="2"/>
      <c r="AG425" s="2"/>
      <c r="AH425" s="2"/>
      <c r="AI425" s="2"/>
      <c r="AK425" s="73" t="str">
        <f>IF(ISNA(MATCH($N425,[1]data!$A:$A,0)),"",INDEX([1]data!S:S,MATCH($N425,[1]data!$A:$A,0)))</f>
        <v/>
      </c>
      <c r="AL425" s="73" t="str">
        <f>IF(ISNA(MATCH($N425,[1]data!$A:$A,0)),"",INDEX([1]data!V:V,MATCH($N425,[1]data!$A:$A,0)))</f>
        <v/>
      </c>
      <c r="AM425" s="38" t="str">
        <f>IF(ISNA(MATCH($N425,data!$A:$A,0)),"",INDEX(data!B:B,MATCH($N425,data!$A:$A,0)))</f>
        <v/>
      </c>
      <c r="AN425" s="38" t="str">
        <f>IF(ISNA(MATCH($N425,data!$A:$A,0)),"",INDEX(data!C:C,MATCH($N425,data!$A:$A,0)))</f>
        <v/>
      </c>
      <c r="AO425" s="38" t="str">
        <f>IF(ISNA(MATCH($N425,data!$A:$A,0)),"",INDEX(data!D:D,MATCH($N425,data!$A:$A,0)))</f>
        <v/>
      </c>
      <c r="AP425" s="38" t="str">
        <f>IF(ISNA(MATCH($N425,data!$A:$A,0)),"",INDEX(data!E:E,MATCH($N425,data!$A:$A,0)))</f>
        <v/>
      </c>
      <c r="AQ425" s="38" t="str">
        <f>IF(ISNA(MATCH($N425,data!$A:$A,0)),"",INDEX(data!F:F,MATCH($N425,data!$A:$A,0)))</f>
        <v/>
      </c>
      <c r="AR425" s="38" t="str">
        <f>IF(ISNA(MATCH($N425,data!$A:$A,0)),"",INDEX(data!G:G,MATCH($N425,data!$A:$A,0)))</f>
        <v/>
      </c>
      <c r="AS425" s="38" t="str">
        <f>IF(ISNA(MATCH($N425,data!$A:$A,0)),"",INDEX(data!H:H,MATCH($N425,data!$A:$A,0)))</f>
        <v/>
      </c>
      <c r="AT425" s="38" t="str">
        <f>IF(ISNA(MATCH($N425,data!$A:$A,0)),"",INDEX(data!I:I,MATCH($N425,data!$A:$A,0)))</f>
        <v/>
      </c>
      <c r="AU425" s="38" t="str">
        <f>IF(ISNA(MATCH($N425,[1]data!$A:$A,0)),"",INDEX([1]data!L:L,MATCH($N425,[1]data!$A:$A,0)))</f>
        <v/>
      </c>
      <c r="AV425" s="38" t="str">
        <f>IF(ISNA(MATCH($N425,[1]data!$A:$A,0)),"",INDEX([1]data!M:M,MATCH($N425,[1]data!$A:$A,0)))</f>
        <v/>
      </c>
      <c r="AW425" s="38" t="str">
        <f>IF(ISNA(MATCH($N425,data!$A:$A,0)),"",INDEX(data!J:J,MATCH($N425,data!$A:$A,0)))</f>
        <v/>
      </c>
      <c r="AX425" s="38" t="str">
        <f>IF(ISNA(MATCH($N425,data!$A:$A,0)),"",INDEX(data!K:K,MATCH($N425,data!$A:$A,0)))</f>
        <v/>
      </c>
      <c r="AY425" s="38" t="str">
        <f>IF(ISNA(MATCH($N425,data!$A:$A,0)),"",INDEX(data!O:O,MATCH($N425,data!$A:$A,0)))</f>
        <v/>
      </c>
      <c r="AZ425" s="38" t="str">
        <f>IF(ISNA(MATCH($N425,data!$A:$A,0)),"",INDEX(data!N:N,MATCH($N425,data!$A:$A,0)))</f>
        <v/>
      </c>
      <c r="BA425" s="38" t="str">
        <f>IF(ISNA(MATCH($N425,data!$A:$A,0)),"",INDEX(data!P:P,MATCH($N425,data!$A:$A,0)))</f>
        <v/>
      </c>
      <c r="BB425" s="38" t="str">
        <f>IF(ISNA(MATCH($N425,data!$A:$A,0)),"",INDEX(data!Q:Q,MATCH($N425,data!$A:$A,0)))</f>
        <v/>
      </c>
      <c r="BC425" s="38" t="str">
        <f>IF(ISNA(MATCH($N425,data!$A:$A,0)),"",INDEX(data!R:R,MATCH($N425,data!$A:$A,0)))</f>
        <v/>
      </c>
      <c r="BD425" s="38" t="str">
        <f>IF(ISNA(MATCH($N425,[1]data!$A:$A,0)),"",INDEX([1]data!U:U,MATCH($N425,[1]data!$A:$A,0)))</f>
        <v/>
      </c>
      <c r="BE425" s="61" t="e">
        <f>IF(COUNTIF([1]data!A:A,[1]!Table1[[#This Row],[UPC]])&lt;2,"","DUP")</f>
        <v>#VALUE!</v>
      </c>
      <c r="BF425" s="38" t="str">
        <f>IF(ISNA(MATCH($N425,data!$A:$A,0)),"",INDEX(data!W:W,MATCH($N425,data!$A:$A,0)))</f>
        <v/>
      </c>
    </row>
    <row r="426" spans="1:58" ht="12.75" customHeight="1">
      <c r="A426" s="35"/>
      <c r="B426" s="35"/>
      <c r="C426" s="35"/>
      <c r="D426" s="35"/>
      <c r="E426" s="67"/>
      <c r="F426" s="67"/>
      <c r="G426" s="36"/>
      <c r="H426" s="29"/>
      <c r="I426" s="78" t="str">
        <f t="shared" si="8"/>
        <v/>
      </c>
      <c r="J426" s="29"/>
      <c r="K426" s="29"/>
      <c r="L426" s="33"/>
      <c r="M426" s="33"/>
      <c r="N426" s="60"/>
      <c r="O426" s="71"/>
      <c r="P426" s="71"/>
      <c r="Q426" s="33"/>
      <c r="R426" s="31"/>
      <c r="S426" s="31"/>
      <c r="T426" s="59"/>
      <c r="U426" s="59"/>
      <c r="V426" s="59"/>
      <c r="W426" s="57">
        <f t="shared" si="9"/>
        <v>0</v>
      </c>
      <c r="X426" s="126" t="str">
        <f>IF(Table1[[#This Row],[Shipping Weight Pounds]]&gt;150,"See LTL Form","No")</f>
        <v>No</v>
      </c>
      <c r="Y426" s="28"/>
      <c r="Z426" s="33"/>
      <c r="AA426" s="34"/>
      <c r="AB426" s="30"/>
      <c r="AC426" s="30"/>
      <c r="AD426" s="32"/>
      <c r="AE426" s="32"/>
      <c r="AF426" s="2"/>
      <c r="AG426" s="2"/>
      <c r="AH426" s="2"/>
      <c r="AI426" s="2"/>
      <c r="AK426" s="73" t="str">
        <f>IF(ISNA(MATCH($N426,[1]data!$A:$A,0)),"",INDEX([1]data!S:S,MATCH($N426,[1]data!$A:$A,0)))</f>
        <v/>
      </c>
      <c r="AL426" s="73" t="str">
        <f>IF(ISNA(MATCH($N426,[1]data!$A:$A,0)),"",INDEX([1]data!V:V,MATCH($N426,[1]data!$A:$A,0)))</f>
        <v/>
      </c>
      <c r="AM426" s="38" t="str">
        <f>IF(ISNA(MATCH($N426,data!$A:$A,0)),"",INDEX(data!B:B,MATCH($N426,data!$A:$A,0)))</f>
        <v/>
      </c>
      <c r="AN426" s="38" t="str">
        <f>IF(ISNA(MATCH($N426,data!$A:$A,0)),"",INDEX(data!C:C,MATCH($N426,data!$A:$A,0)))</f>
        <v/>
      </c>
      <c r="AO426" s="38" t="str">
        <f>IF(ISNA(MATCH($N426,data!$A:$A,0)),"",INDEX(data!D:D,MATCH($N426,data!$A:$A,0)))</f>
        <v/>
      </c>
      <c r="AP426" s="38" t="str">
        <f>IF(ISNA(MATCH($N426,data!$A:$A,0)),"",INDEX(data!E:E,MATCH($N426,data!$A:$A,0)))</f>
        <v/>
      </c>
      <c r="AQ426" s="38" t="str">
        <f>IF(ISNA(MATCH($N426,data!$A:$A,0)),"",INDEX(data!F:F,MATCH($N426,data!$A:$A,0)))</f>
        <v/>
      </c>
      <c r="AR426" s="38" t="str">
        <f>IF(ISNA(MATCH($N426,data!$A:$A,0)),"",INDEX(data!G:G,MATCH($N426,data!$A:$A,0)))</f>
        <v/>
      </c>
      <c r="AS426" s="38" t="str">
        <f>IF(ISNA(MATCH($N426,data!$A:$A,0)),"",INDEX(data!H:H,MATCH($N426,data!$A:$A,0)))</f>
        <v/>
      </c>
      <c r="AT426" s="38" t="str">
        <f>IF(ISNA(MATCH($N426,data!$A:$A,0)),"",INDEX(data!I:I,MATCH($N426,data!$A:$A,0)))</f>
        <v/>
      </c>
      <c r="AU426" s="38" t="str">
        <f>IF(ISNA(MATCH($N426,[1]data!$A:$A,0)),"",INDEX([1]data!L:L,MATCH($N426,[1]data!$A:$A,0)))</f>
        <v/>
      </c>
      <c r="AV426" s="38" t="str">
        <f>IF(ISNA(MATCH($N426,[1]data!$A:$A,0)),"",INDEX([1]data!M:M,MATCH($N426,[1]data!$A:$A,0)))</f>
        <v/>
      </c>
      <c r="AW426" s="38" t="str">
        <f>IF(ISNA(MATCH($N426,data!$A:$A,0)),"",INDEX(data!J:J,MATCH($N426,data!$A:$A,0)))</f>
        <v/>
      </c>
      <c r="AX426" s="38" t="str">
        <f>IF(ISNA(MATCH($N426,data!$A:$A,0)),"",INDEX(data!K:K,MATCH($N426,data!$A:$A,0)))</f>
        <v/>
      </c>
      <c r="AY426" s="38" t="str">
        <f>IF(ISNA(MATCH($N426,data!$A:$A,0)),"",INDEX(data!O:O,MATCH($N426,data!$A:$A,0)))</f>
        <v/>
      </c>
      <c r="AZ426" s="38" t="str">
        <f>IF(ISNA(MATCH($N426,data!$A:$A,0)),"",INDEX(data!N:N,MATCH($N426,data!$A:$A,0)))</f>
        <v/>
      </c>
      <c r="BA426" s="38" t="str">
        <f>IF(ISNA(MATCH($N426,data!$A:$A,0)),"",INDEX(data!P:P,MATCH($N426,data!$A:$A,0)))</f>
        <v/>
      </c>
      <c r="BB426" s="38" t="str">
        <f>IF(ISNA(MATCH($N426,data!$A:$A,0)),"",INDEX(data!Q:Q,MATCH($N426,data!$A:$A,0)))</f>
        <v/>
      </c>
      <c r="BC426" s="38" t="str">
        <f>IF(ISNA(MATCH($N426,data!$A:$A,0)),"",INDEX(data!R:R,MATCH($N426,data!$A:$A,0)))</f>
        <v/>
      </c>
      <c r="BD426" s="38" t="str">
        <f>IF(ISNA(MATCH($N426,[1]data!$A:$A,0)),"",INDEX([1]data!U:U,MATCH($N426,[1]data!$A:$A,0)))</f>
        <v/>
      </c>
      <c r="BE426" s="61" t="e">
        <f>IF(COUNTIF([1]data!A:A,[1]!Table1[[#This Row],[UPC]])&lt;2,"","DUP")</f>
        <v>#VALUE!</v>
      </c>
      <c r="BF426" s="38" t="str">
        <f>IF(ISNA(MATCH($N426,data!$A:$A,0)),"",INDEX(data!W:W,MATCH($N426,data!$A:$A,0)))</f>
        <v/>
      </c>
    </row>
    <row r="427" spans="1:58" ht="12.75" customHeight="1">
      <c r="A427" s="35"/>
      <c r="B427" s="35"/>
      <c r="C427" s="35"/>
      <c r="D427" s="35"/>
      <c r="E427" s="67"/>
      <c r="F427" s="67"/>
      <c r="G427" s="36"/>
      <c r="H427" s="29"/>
      <c r="I427" s="78" t="str">
        <f t="shared" si="8"/>
        <v/>
      </c>
      <c r="J427" s="29"/>
      <c r="K427" s="29"/>
      <c r="L427" s="33"/>
      <c r="M427" s="33"/>
      <c r="N427" s="60"/>
      <c r="O427" s="71"/>
      <c r="P427" s="71"/>
      <c r="Q427" s="33"/>
      <c r="R427" s="31"/>
      <c r="S427" s="31"/>
      <c r="T427" s="59"/>
      <c r="U427" s="59"/>
      <c r="V427" s="59"/>
      <c r="W427" s="57">
        <f t="shared" si="9"/>
        <v>0</v>
      </c>
      <c r="X427" s="126" t="str">
        <f>IF(Table1[[#This Row],[Shipping Weight Pounds]]&gt;150,"See LTL Form","No")</f>
        <v>No</v>
      </c>
      <c r="Y427" s="28"/>
      <c r="Z427" s="33"/>
      <c r="AA427" s="34"/>
      <c r="AB427" s="30"/>
      <c r="AC427" s="30"/>
      <c r="AD427" s="32"/>
      <c r="AE427" s="32"/>
      <c r="AF427" s="2"/>
      <c r="AG427" s="2"/>
      <c r="AH427" s="2"/>
      <c r="AI427" s="2"/>
      <c r="AK427" s="73" t="str">
        <f>IF(ISNA(MATCH($N427,[1]data!$A:$A,0)),"",INDEX([1]data!S:S,MATCH($N427,[1]data!$A:$A,0)))</f>
        <v/>
      </c>
      <c r="AL427" s="73" t="str">
        <f>IF(ISNA(MATCH($N427,[1]data!$A:$A,0)),"",INDEX([1]data!V:V,MATCH($N427,[1]data!$A:$A,0)))</f>
        <v/>
      </c>
      <c r="AM427" s="38" t="str">
        <f>IF(ISNA(MATCH($N427,data!$A:$A,0)),"",INDEX(data!B:B,MATCH($N427,data!$A:$A,0)))</f>
        <v/>
      </c>
      <c r="AN427" s="38" t="str">
        <f>IF(ISNA(MATCH($N427,data!$A:$A,0)),"",INDEX(data!C:C,MATCH($N427,data!$A:$A,0)))</f>
        <v/>
      </c>
      <c r="AO427" s="38" t="str">
        <f>IF(ISNA(MATCH($N427,data!$A:$A,0)),"",INDEX(data!D:D,MATCH($N427,data!$A:$A,0)))</f>
        <v/>
      </c>
      <c r="AP427" s="38" t="str">
        <f>IF(ISNA(MATCH($N427,data!$A:$A,0)),"",INDEX(data!E:E,MATCH($N427,data!$A:$A,0)))</f>
        <v/>
      </c>
      <c r="AQ427" s="38" t="str">
        <f>IF(ISNA(MATCH($N427,data!$A:$A,0)),"",INDEX(data!F:F,MATCH($N427,data!$A:$A,0)))</f>
        <v/>
      </c>
      <c r="AR427" s="38" t="str">
        <f>IF(ISNA(MATCH($N427,data!$A:$A,0)),"",INDEX(data!G:G,MATCH($N427,data!$A:$A,0)))</f>
        <v/>
      </c>
      <c r="AS427" s="38" t="str">
        <f>IF(ISNA(MATCH($N427,data!$A:$A,0)),"",INDEX(data!H:H,MATCH($N427,data!$A:$A,0)))</f>
        <v/>
      </c>
      <c r="AT427" s="38" t="str">
        <f>IF(ISNA(MATCH($N427,data!$A:$A,0)),"",INDEX(data!I:I,MATCH($N427,data!$A:$A,0)))</f>
        <v/>
      </c>
      <c r="AU427" s="38" t="str">
        <f>IF(ISNA(MATCH($N427,[1]data!$A:$A,0)),"",INDEX([1]data!L:L,MATCH($N427,[1]data!$A:$A,0)))</f>
        <v/>
      </c>
      <c r="AV427" s="38" t="str">
        <f>IF(ISNA(MATCH($N427,[1]data!$A:$A,0)),"",INDEX([1]data!M:M,MATCH($N427,[1]data!$A:$A,0)))</f>
        <v/>
      </c>
      <c r="AW427" s="38" t="str">
        <f>IF(ISNA(MATCH($N427,data!$A:$A,0)),"",INDEX(data!J:J,MATCH($N427,data!$A:$A,0)))</f>
        <v/>
      </c>
      <c r="AX427" s="38" t="str">
        <f>IF(ISNA(MATCH($N427,data!$A:$A,0)),"",INDEX(data!K:K,MATCH($N427,data!$A:$A,0)))</f>
        <v/>
      </c>
      <c r="AY427" s="38" t="str">
        <f>IF(ISNA(MATCH($N427,data!$A:$A,0)),"",INDEX(data!O:O,MATCH($N427,data!$A:$A,0)))</f>
        <v/>
      </c>
      <c r="AZ427" s="38" t="str">
        <f>IF(ISNA(MATCH($N427,data!$A:$A,0)),"",INDEX(data!N:N,MATCH($N427,data!$A:$A,0)))</f>
        <v/>
      </c>
      <c r="BA427" s="38" t="str">
        <f>IF(ISNA(MATCH($N427,data!$A:$A,0)),"",INDEX(data!P:P,MATCH($N427,data!$A:$A,0)))</f>
        <v/>
      </c>
      <c r="BB427" s="38" t="str">
        <f>IF(ISNA(MATCH($N427,data!$A:$A,0)),"",INDEX(data!Q:Q,MATCH($N427,data!$A:$A,0)))</f>
        <v/>
      </c>
      <c r="BC427" s="38" t="str">
        <f>IF(ISNA(MATCH($N427,data!$A:$A,0)),"",INDEX(data!R:R,MATCH($N427,data!$A:$A,0)))</f>
        <v/>
      </c>
      <c r="BD427" s="38" t="str">
        <f>IF(ISNA(MATCH($N427,[1]data!$A:$A,0)),"",INDEX([1]data!U:U,MATCH($N427,[1]data!$A:$A,0)))</f>
        <v/>
      </c>
      <c r="BE427" s="61" t="e">
        <f>IF(COUNTIF([1]data!A:A,[1]!Table1[[#This Row],[UPC]])&lt;2,"","DUP")</f>
        <v>#VALUE!</v>
      </c>
      <c r="BF427" s="38" t="str">
        <f>IF(ISNA(MATCH($N427,data!$A:$A,0)),"",INDEX(data!W:W,MATCH($N427,data!$A:$A,0)))</f>
        <v/>
      </c>
    </row>
    <row r="428" spans="1:58" ht="12.75" customHeight="1">
      <c r="A428" s="35"/>
      <c r="B428" s="35"/>
      <c r="C428" s="35"/>
      <c r="D428" s="35"/>
      <c r="E428" s="67"/>
      <c r="F428" s="67"/>
      <c r="G428" s="36"/>
      <c r="H428" s="29"/>
      <c r="I428" s="78" t="str">
        <f t="shared" si="8"/>
        <v/>
      </c>
      <c r="J428" s="29"/>
      <c r="K428" s="29"/>
      <c r="L428" s="33"/>
      <c r="M428" s="33"/>
      <c r="N428" s="60"/>
      <c r="O428" s="71"/>
      <c r="P428" s="71"/>
      <c r="Q428" s="33"/>
      <c r="R428" s="31"/>
      <c r="S428" s="31"/>
      <c r="T428" s="59"/>
      <c r="U428" s="59"/>
      <c r="V428" s="59"/>
      <c r="W428" s="57">
        <f t="shared" si="9"/>
        <v>0</v>
      </c>
      <c r="X428" s="126" t="str">
        <f>IF(Table1[[#This Row],[Shipping Weight Pounds]]&gt;150,"See LTL Form","No")</f>
        <v>No</v>
      </c>
      <c r="Y428" s="28"/>
      <c r="Z428" s="33"/>
      <c r="AA428" s="34"/>
      <c r="AB428" s="30"/>
      <c r="AC428" s="30"/>
      <c r="AD428" s="32"/>
      <c r="AE428" s="32"/>
      <c r="AF428" s="2"/>
      <c r="AG428" s="2"/>
      <c r="AH428" s="2"/>
      <c r="AI428" s="2"/>
      <c r="AK428" s="73" t="str">
        <f>IF(ISNA(MATCH($N428,[1]data!$A:$A,0)),"",INDEX([1]data!S:S,MATCH($N428,[1]data!$A:$A,0)))</f>
        <v/>
      </c>
      <c r="AL428" s="73" t="str">
        <f>IF(ISNA(MATCH($N428,[1]data!$A:$A,0)),"",INDEX([1]data!V:V,MATCH($N428,[1]data!$A:$A,0)))</f>
        <v/>
      </c>
      <c r="AM428" s="38" t="str">
        <f>IF(ISNA(MATCH($N428,data!$A:$A,0)),"",INDEX(data!B:B,MATCH($N428,data!$A:$A,0)))</f>
        <v/>
      </c>
      <c r="AN428" s="38" t="str">
        <f>IF(ISNA(MATCH($N428,data!$A:$A,0)),"",INDEX(data!C:C,MATCH($N428,data!$A:$A,0)))</f>
        <v/>
      </c>
      <c r="AO428" s="38" t="str">
        <f>IF(ISNA(MATCH($N428,data!$A:$A,0)),"",INDEX(data!D:D,MATCH($N428,data!$A:$A,0)))</f>
        <v/>
      </c>
      <c r="AP428" s="38" t="str">
        <f>IF(ISNA(MATCH($N428,data!$A:$A,0)),"",INDEX(data!E:E,MATCH($N428,data!$A:$A,0)))</f>
        <v/>
      </c>
      <c r="AQ428" s="38" t="str">
        <f>IF(ISNA(MATCH($N428,data!$A:$A,0)),"",INDEX(data!F:F,MATCH($N428,data!$A:$A,0)))</f>
        <v/>
      </c>
      <c r="AR428" s="38" t="str">
        <f>IF(ISNA(MATCH($N428,data!$A:$A,0)),"",INDEX(data!G:G,MATCH($N428,data!$A:$A,0)))</f>
        <v/>
      </c>
      <c r="AS428" s="38" t="str">
        <f>IF(ISNA(MATCH($N428,data!$A:$A,0)),"",INDEX(data!H:H,MATCH($N428,data!$A:$A,0)))</f>
        <v/>
      </c>
      <c r="AT428" s="38" t="str">
        <f>IF(ISNA(MATCH($N428,data!$A:$A,0)),"",INDEX(data!I:I,MATCH($N428,data!$A:$A,0)))</f>
        <v/>
      </c>
      <c r="AU428" s="38" t="str">
        <f>IF(ISNA(MATCH($N428,[1]data!$A:$A,0)),"",INDEX([1]data!L:L,MATCH($N428,[1]data!$A:$A,0)))</f>
        <v/>
      </c>
      <c r="AV428" s="38" t="str">
        <f>IF(ISNA(MATCH($N428,[1]data!$A:$A,0)),"",INDEX([1]data!M:M,MATCH($N428,[1]data!$A:$A,0)))</f>
        <v/>
      </c>
      <c r="AW428" s="38" t="str">
        <f>IF(ISNA(MATCH($N428,data!$A:$A,0)),"",INDEX(data!J:J,MATCH($N428,data!$A:$A,0)))</f>
        <v/>
      </c>
      <c r="AX428" s="38" t="str">
        <f>IF(ISNA(MATCH($N428,data!$A:$A,0)),"",INDEX(data!K:K,MATCH($N428,data!$A:$A,0)))</f>
        <v/>
      </c>
      <c r="AY428" s="38" t="str">
        <f>IF(ISNA(MATCH($N428,data!$A:$A,0)),"",INDEX(data!O:O,MATCH($N428,data!$A:$A,0)))</f>
        <v/>
      </c>
      <c r="AZ428" s="38" t="str">
        <f>IF(ISNA(MATCH($N428,data!$A:$A,0)),"",INDEX(data!N:N,MATCH($N428,data!$A:$A,0)))</f>
        <v/>
      </c>
      <c r="BA428" s="38" t="str">
        <f>IF(ISNA(MATCH($N428,data!$A:$A,0)),"",INDEX(data!P:P,MATCH($N428,data!$A:$A,0)))</f>
        <v/>
      </c>
      <c r="BB428" s="38" t="str">
        <f>IF(ISNA(MATCH($N428,data!$A:$A,0)),"",INDEX(data!Q:Q,MATCH($N428,data!$A:$A,0)))</f>
        <v/>
      </c>
      <c r="BC428" s="38" t="str">
        <f>IF(ISNA(MATCH($N428,data!$A:$A,0)),"",INDEX(data!R:R,MATCH($N428,data!$A:$A,0)))</f>
        <v/>
      </c>
      <c r="BD428" s="38" t="str">
        <f>IF(ISNA(MATCH($N428,[1]data!$A:$A,0)),"",INDEX([1]data!U:U,MATCH($N428,[1]data!$A:$A,0)))</f>
        <v/>
      </c>
      <c r="BE428" s="61" t="e">
        <f>IF(COUNTIF([1]data!A:A,[1]!Table1[[#This Row],[UPC]])&lt;2,"","DUP")</f>
        <v>#VALUE!</v>
      </c>
      <c r="BF428" s="38" t="str">
        <f>IF(ISNA(MATCH($N428,data!$A:$A,0)),"",INDEX(data!W:W,MATCH($N428,data!$A:$A,0)))</f>
        <v/>
      </c>
    </row>
    <row r="429" spans="1:58" ht="12.75" customHeight="1">
      <c r="A429" s="35"/>
      <c r="B429" s="35"/>
      <c r="C429" s="35"/>
      <c r="D429" s="35"/>
      <c r="E429" s="67"/>
      <c r="F429" s="67"/>
      <c r="G429" s="36"/>
      <c r="H429" s="29"/>
      <c r="I429" s="78" t="str">
        <f t="shared" si="8"/>
        <v/>
      </c>
      <c r="J429" s="29"/>
      <c r="K429" s="29"/>
      <c r="L429" s="33"/>
      <c r="M429" s="33"/>
      <c r="N429" s="60"/>
      <c r="O429" s="71"/>
      <c r="P429" s="71"/>
      <c r="Q429" s="33"/>
      <c r="R429" s="31"/>
      <c r="S429" s="31"/>
      <c r="T429" s="59"/>
      <c r="U429" s="59"/>
      <c r="V429" s="59"/>
      <c r="W429" s="57">
        <f t="shared" si="9"/>
        <v>0</v>
      </c>
      <c r="X429" s="126" t="str">
        <f>IF(Table1[[#This Row],[Shipping Weight Pounds]]&gt;150,"See LTL Form","No")</f>
        <v>No</v>
      </c>
      <c r="Y429" s="28"/>
      <c r="Z429" s="33"/>
      <c r="AA429" s="34"/>
      <c r="AB429" s="30"/>
      <c r="AC429" s="30"/>
      <c r="AD429" s="32"/>
      <c r="AE429" s="32"/>
      <c r="AF429" s="2"/>
      <c r="AG429" s="2"/>
      <c r="AH429" s="2"/>
      <c r="AI429" s="2"/>
      <c r="AK429" s="73" t="str">
        <f>IF(ISNA(MATCH($N429,[1]data!$A:$A,0)),"",INDEX([1]data!S:S,MATCH($N429,[1]data!$A:$A,0)))</f>
        <v/>
      </c>
      <c r="AL429" s="73" t="str">
        <f>IF(ISNA(MATCH($N429,[1]data!$A:$A,0)),"",INDEX([1]data!V:V,MATCH($N429,[1]data!$A:$A,0)))</f>
        <v/>
      </c>
      <c r="AM429" s="38" t="str">
        <f>IF(ISNA(MATCH($N429,data!$A:$A,0)),"",INDEX(data!B:B,MATCH($N429,data!$A:$A,0)))</f>
        <v/>
      </c>
      <c r="AN429" s="38" t="str">
        <f>IF(ISNA(MATCH($N429,data!$A:$A,0)),"",INDEX(data!C:C,MATCH($N429,data!$A:$A,0)))</f>
        <v/>
      </c>
      <c r="AO429" s="38" t="str">
        <f>IF(ISNA(MATCH($N429,data!$A:$A,0)),"",INDEX(data!D:D,MATCH($N429,data!$A:$A,0)))</f>
        <v/>
      </c>
      <c r="AP429" s="38" t="str">
        <f>IF(ISNA(MATCH($N429,data!$A:$A,0)),"",INDEX(data!E:E,MATCH($N429,data!$A:$A,0)))</f>
        <v/>
      </c>
      <c r="AQ429" s="38" t="str">
        <f>IF(ISNA(MATCH($N429,data!$A:$A,0)),"",INDEX(data!F:F,MATCH($N429,data!$A:$A,0)))</f>
        <v/>
      </c>
      <c r="AR429" s="38" t="str">
        <f>IF(ISNA(MATCH($N429,data!$A:$A,0)),"",INDEX(data!G:G,MATCH($N429,data!$A:$A,0)))</f>
        <v/>
      </c>
      <c r="AS429" s="38" t="str">
        <f>IF(ISNA(MATCH($N429,data!$A:$A,0)),"",INDEX(data!H:H,MATCH($N429,data!$A:$A,0)))</f>
        <v/>
      </c>
      <c r="AT429" s="38" t="str">
        <f>IF(ISNA(MATCH($N429,data!$A:$A,0)),"",INDEX(data!I:I,MATCH($N429,data!$A:$A,0)))</f>
        <v/>
      </c>
      <c r="AU429" s="38" t="str">
        <f>IF(ISNA(MATCH($N429,[1]data!$A:$A,0)),"",INDEX([1]data!L:L,MATCH($N429,[1]data!$A:$A,0)))</f>
        <v/>
      </c>
      <c r="AV429" s="38" t="str">
        <f>IF(ISNA(MATCH($N429,[1]data!$A:$A,0)),"",INDEX([1]data!M:M,MATCH($N429,[1]data!$A:$A,0)))</f>
        <v/>
      </c>
      <c r="AW429" s="38" t="str">
        <f>IF(ISNA(MATCH($N429,data!$A:$A,0)),"",INDEX(data!J:J,MATCH($N429,data!$A:$A,0)))</f>
        <v/>
      </c>
      <c r="AX429" s="38" t="str">
        <f>IF(ISNA(MATCH($N429,data!$A:$A,0)),"",INDEX(data!K:K,MATCH($N429,data!$A:$A,0)))</f>
        <v/>
      </c>
      <c r="AY429" s="38" t="str">
        <f>IF(ISNA(MATCH($N429,data!$A:$A,0)),"",INDEX(data!O:O,MATCH($N429,data!$A:$A,0)))</f>
        <v/>
      </c>
      <c r="AZ429" s="38" t="str">
        <f>IF(ISNA(MATCH($N429,data!$A:$A,0)),"",INDEX(data!N:N,MATCH($N429,data!$A:$A,0)))</f>
        <v/>
      </c>
      <c r="BA429" s="38" t="str">
        <f>IF(ISNA(MATCH($N429,data!$A:$A,0)),"",INDEX(data!P:P,MATCH($N429,data!$A:$A,0)))</f>
        <v/>
      </c>
      <c r="BB429" s="38" t="str">
        <f>IF(ISNA(MATCH($N429,data!$A:$A,0)),"",INDEX(data!Q:Q,MATCH($N429,data!$A:$A,0)))</f>
        <v/>
      </c>
      <c r="BC429" s="38" t="str">
        <f>IF(ISNA(MATCH($N429,data!$A:$A,0)),"",INDEX(data!R:R,MATCH($N429,data!$A:$A,0)))</f>
        <v/>
      </c>
      <c r="BD429" s="38" t="str">
        <f>IF(ISNA(MATCH($N429,[1]data!$A:$A,0)),"",INDEX([1]data!U:U,MATCH($N429,[1]data!$A:$A,0)))</f>
        <v/>
      </c>
      <c r="BE429" s="61" t="e">
        <f>IF(COUNTIF([1]data!A:A,[1]!Table1[[#This Row],[UPC]])&lt;2,"","DUP")</f>
        <v>#VALUE!</v>
      </c>
      <c r="BF429" s="38" t="str">
        <f>IF(ISNA(MATCH($N429,data!$A:$A,0)),"",INDEX(data!W:W,MATCH($N429,data!$A:$A,0)))</f>
        <v/>
      </c>
    </row>
    <row r="430" spans="1:58" ht="12.75" customHeight="1">
      <c r="A430" s="35"/>
      <c r="B430" s="35"/>
      <c r="C430" s="35"/>
      <c r="D430" s="35"/>
      <c r="E430" s="67"/>
      <c r="F430" s="67"/>
      <c r="G430" s="36"/>
      <c r="H430" s="29"/>
      <c r="I430" s="78" t="str">
        <f t="shared" si="8"/>
        <v/>
      </c>
      <c r="J430" s="29"/>
      <c r="K430" s="29"/>
      <c r="L430" s="33"/>
      <c r="M430" s="33"/>
      <c r="N430" s="60"/>
      <c r="O430" s="71"/>
      <c r="P430" s="71"/>
      <c r="Q430" s="33"/>
      <c r="R430" s="31"/>
      <c r="S430" s="31"/>
      <c r="T430" s="59"/>
      <c r="U430" s="59"/>
      <c r="V430" s="59"/>
      <c r="W430" s="57">
        <f t="shared" si="9"/>
        <v>0</v>
      </c>
      <c r="X430" s="126" t="str">
        <f>IF(Table1[[#This Row],[Shipping Weight Pounds]]&gt;150,"See LTL Form","No")</f>
        <v>No</v>
      </c>
      <c r="Y430" s="28"/>
      <c r="Z430" s="33"/>
      <c r="AA430" s="34"/>
      <c r="AB430" s="30"/>
      <c r="AC430" s="30"/>
      <c r="AD430" s="32"/>
      <c r="AE430" s="32"/>
      <c r="AF430" s="2"/>
      <c r="AG430" s="2"/>
      <c r="AH430" s="2"/>
      <c r="AI430" s="2"/>
      <c r="AK430" s="73" t="str">
        <f>IF(ISNA(MATCH($N430,[1]data!$A:$A,0)),"",INDEX([1]data!S:S,MATCH($N430,[1]data!$A:$A,0)))</f>
        <v/>
      </c>
      <c r="AL430" s="73" t="str">
        <f>IF(ISNA(MATCH($N430,[1]data!$A:$A,0)),"",INDEX([1]data!V:V,MATCH($N430,[1]data!$A:$A,0)))</f>
        <v/>
      </c>
      <c r="AM430" s="38" t="str">
        <f>IF(ISNA(MATCH($N430,data!$A:$A,0)),"",INDEX(data!B:B,MATCH($N430,data!$A:$A,0)))</f>
        <v/>
      </c>
      <c r="AN430" s="38" t="str">
        <f>IF(ISNA(MATCH($N430,data!$A:$A,0)),"",INDEX(data!C:C,MATCH($N430,data!$A:$A,0)))</f>
        <v/>
      </c>
      <c r="AO430" s="38" t="str">
        <f>IF(ISNA(MATCH($N430,data!$A:$A,0)),"",INDEX(data!D:D,MATCH($N430,data!$A:$A,0)))</f>
        <v/>
      </c>
      <c r="AP430" s="38" t="str">
        <f>IF(ISNA(MATCH($N430,data!$A:$A,0)),"",INDEX(data!E:E,MATCH($N430,data!$A:$A,0)))</f>
        <v/>
      </c>
      <c r="AQ430" s="38" t="str">
        <f>IF(ISNA(MATCH($N430,data!$A:$A,0)),"",INDEX(data!F:F,MATCH($N430,data!$A:$A,0)))</f>
        <v/>
      </c>
      <c r="AR430" s="38" t="str">
        <f>IF(ISNA(MATCH($N430,data!$A:$A,0)),"",INDEX(data!G:G,MATCH($N430,data!$A:$A,0)))</f>
        <v/>
      </c>
      <c r="AS430" s="38" t="str">
        <f>IF(ISNA(MATCH($N430,data!$A:$A,0)),"",INDEX(data!H:H,MATCH($N430,data!$A:$A,0)))</f>
        <v/>
      </c>
      <c r="AT430" s="38" t="str">
        <f>IF(ISNA(MATCH($N430,data!$A:$A,0)),"",INDEX(data!I:I,MATCH($N430,data!$A:$A,0)))</f>
        <v/>
      </c>
      <c r="AU430" s="38" t="str">
        <f>IF(ISNA(MATCH($N430,[1]data!$A:$A,0)),"",INDEX([1]data!L:L,MATCH($N430,[1]data!$A:$A,0)))</f>
        <v/>
      </c>
      <c r="AV430" s="38" t="str">
        <f>IF(ISNA(MATCH($N430,[1]data!$A:$A,0)),"",INDEX([1]data!M:M,MATCH($N430,[1]data!$A:$A,0)))</f>
        <v/>
      </c>
      <c r="AW430" s="38" t="str">
        <f>IF(ISNA(MATCH($N430,data!$A:$A,0)),"",INDEX(data!J:J,MATCH($N430,data!$A:$A,0)))</f>
        <v/>
      </c>
      <c r="AX430" s="38" t="str">
        <f>IF(ISNA(MATCH($N430,data!$A:$A,0)),"",INDEX(data!K:K,MATCH($N430,data!$A:$A,0)))</f>
        <v/>
      </c>
      <c r="AY430" s="38" t="str">
        <f>IF(ISNA(MATCH($N430,data!$A:$A,0)),"",INDEX(data!O:O,MATCH($N430,data!$A:$A,0)))</f>
        <v/>
      </c>
      <c r="AZ430" s="38" t="str">
        <f>IF(ISNA(MATCH($N430,data!$A:$A,0)),"",INDEX(data!N:N,MATCH($N430,data!$A:$A,0)))</f>
        <v/>
      </c>
      <c r="BA430" s="38" t="str">
        <f>IF(ISNA(MATCH($N430,data!$A:$A,0)),"",INDEX(data!P:P,MATCH($N430,data!$A:$A,0)))</f>
        <v/>
      </c>
      <c r="BB430" s="38" t="str">
        <f>IF(ISNA(MATCH($N430,data!$A:$A,0)),"",INDEX(data!Q:Q,MATCH($N430,data!$A:$A,0)))</f>
        <v/>
      </c>
      <c r="BC430" s="38" t="str">
        <f>IF(ISNA(MATCH($N430,data!$A:$A,0)),"",INDEX(data!R:R,MATCH($N430,data!$A:$A,0)))</f>
        <v/>
      </c>
      <c r="BD430" s="38" t="str">
        <f>IF(ISNA(MATCH($N430,[1]data!$A:$A,0)),"",INDEX([1]data!U:U,MATCH($N430,[1]data!$A:$A,0)))</f>
        <v/>
      </c>
      <c r="BE430" s="61" t="e">
        <f>IF(COUNTIF([1]data!A:A,[1]!Table1[[#This Row],[UPC]])&lt;2,"","DUP")</f>
        <v>#VALUE!</v>
      </c>
      <c r="BF430" s="38" t="str">
        <f>IF(ISNA(MATCH($N430,data!$A:$A,0)),"",INDEX(data!W:W,MATCH($N430,data!$A:$A,0)))</f>
        <v/>
      </c>
    </row>
    <row r="431" spans="1:58" ht="12.75" customHeight="1">
      <c r="A431" s="35"/>
      <c r="B431" s="35"/>
      <c r="C431" s="35"/>
      <c r="D431" s="35"/>
      <c r="E431" s="67"/>
      <c r="F431" s="67"/>
      <c r="G431" s="36"/>
      <c r="H431" s="29"/>
      <c r="I431" s="78" t="str">
        <f t="shared" si="8"/>
        <v/>
      </c>
      <c r="J431" s="29"/>
      <c r="K431" s="29"/>
      <c r="L431" s="33"/>
      <c r="M431" s="33"/>
      <c r="N431" s="60"/>
      <c r="O431" s="71"/>
      <c r="P431" s="71"/>
      <c r="Q431" s="33"/>
      <c r="R431" s="31"/>
      <c r="S431" s="31"/>
      <c r="T431" s="59"/>
      <c r="U431" s="59"/>
      <c r="V431" s="59"/>
      <c r="W431" s="57">
        <f t="shared" si="9"/>
        <v>0</v>
      </c>
      <c r="X431" s="126" t="str">
        <f>IF(Table1[[#This Row],[Shipping Weight Pounds]]&gt;150,"See LTL Form","No")</f>
        <v>No</v>
      </c>
      <c r="Y431" s="28"/>
      <c r="Z431" s="33"/>
      <c r="AA431" s="34"/>
      <c r="AB431" s="30"/>
      <c r="AC431" s="30"/>
      <c r="AD431" s="32"/>
      <c r="AE431" s="32"/>
      <c r="AF431" s="2"/>
      <c r="AG431" s="2"/>
      <c r="AH431" s="2"/>
      <c r="AI431" s="2"/>
      <c r="AK431" s="73" t="str">
        <f>IF(ISNA(MATCH($N431,[1]data!$A:$A,0)),"",INDEX([1]data!S:S,MATCH($N431,[1]data!$A:$A,0)))</f>
        <v/>
      </c>
      <c r="AL431" s="73" t="str">
        <f>IF(ISNA(MATCH($N431,[1]data!$A:$A,0)),"",INDEX([1]data!V:V,MATCH($N431,[1]data!$A:$A,0)))</f>
        <v/>
      </c>
      <c r="AM431" s="38" t="str">
        <f>IF(ISNA(MATCH($N431,data!$A:$A,0)),"",INDEX(data!B:B,MATCH($N431,data!$A:$A,0)))</f>
        <v/>
      </c>
      <c r="AN431" s="38" t="str">
        <f>IF(ISNA(MATCH($N431,data!$A:$A,0)),"",INDEX(data!C:C,MATCH($N431,data!$A:$A,0)))</f>
        <v/>
      </c>
      <c r="AO431" s="38" t="str">
        <f>IF(ISNA(MATCH($N431,data!$A:$A,0)),"",INDEX(data!D:D,MATCH($N431,data!$A:$A,0)))</f>
        <v/>
      </c>
      <c r="AP431" s="38" t="str">
        <f>IF(ISNA(MATCH($N431,data!$A:$A,0)),"",INDEX(data!E:E,MATCH($N431,data!$A:$A,0)))</f>
        <v/>
      </c>
      <c r="AQ431" s="38" t="str">
        <f>IF(ISNA(MATCH($N431,data!$A:$A,0)),"",INDEX(data!F:F,MATCH($N431,data!$A:$A,0)))</f>
        <v/>
      </c>
      <c r="AR431" s="38" t="str">
        <f>IF(ISNA(MATCH($N431,data!$A:$A,0)),"",INDEX(data!G:G,MATCH($N431,data!$A:$A,0)))</f>
        <v/>
      </c>
      <c r="AS431" s="38" t="str">
        <f>IF(ISNA(MATCH($N431,data!$A:$A,0)),"",INDEX(data!H:H,MATCH($N431,data!$A:$A,0)))</f>
        <v/>
      </c>
      <c r="AT431" s="38" t="str">
        <f>IF(ISNA(MATCH($N431,data!$A:$A,0)),"",INDEX(data!I:I,MATCH($N431,data!$A:$A,0)))</f>
        <v/>
      </c>
      <c r="AU431" s="38" t="str">
        <f>IF(ISNA(MATCH($N431,[1]data!$A:$A,0)),"",INDEX([1]data!L:L,MATCH($N431,[1]data!$A:$A,0)))</f>
        <v/>
      </c>
      <c r="AV431" s="38" t="str">
        <f>IF(ISNA(MATCH($N431,[1]data!$A:$A,0)),"",INDEX([1]data!M:M,MATCH($N431,[1]data!$A:$A,0)))</f>
        <v/>
      </c>
      <c r="AW431" s="38" t="str">
        <f>IF(ISNA(MATCH($N431,data!$A:$A,0)),"",INDEX(data!J:J,MATCH($N431,data!$A:$A,0)))</f>
        <v/>
      </c>
      <c r="AX431" s="38" t="str">
        <f>IF(ISNA(MATCH($N431,data!$A:$A,0)),"",INDEX(data!K:K,MATCH($N431,data!$A:$A,0)))</f>
        <v/>
      </c>
      <c r="AY431" s="38" t="str">
        <f>IF(ISNA(MATCH($N431,data!$A:$A,0)),"",INDEX(data!O:O,MATCH($N431,data!$A:$A,0)))</f>
        <v/>
      </c>
      <c r="AZ431" s="38" t="str">
        <f>IF(ISNA(MATCH($N431,data!$A:$A,0)),"",INDEX(data!N:N,MATCH($N431,data!$A:$A,0)))</f>
        <v/>
      </c>
      <c r="BA431" s="38" t="str">
        <f>IF(ISNA(MATCH($N431,data!$A:$A,0)),"",INDEX(data!P:P,MATCH($N431,data!$A:$A,0)))</f>
        <v/>
      </c>
      <c r="BB431" s="38" t="str">
        <f>IF(ISNA(MATCH($N431,data!$A:$A,0)),"",INDEX(data!Q:Q,MATCH($N431,data!$A:$A,0)))</f>
        <v/>
      </c>
      <c r="BC431" s="38" t="str">
        <f>IF(ISNA(MATCH($N431,data!$A:$A,0)),"",INDEX(data!R:R,MATCH($N431,data!$A:$A,0)))</f>
        <v/>
      </c>
      <c r="BD431" s="38" t="str">
        <f>IF(ISNA(MATCH($N431,[1]data!$A:$A,0)),"",INDEX([1]data!U:U,MATCH($N431,[1]data!$A:$A,0)))</f>
        <v/>
      </c>
      <c r="BE431" s="61" t="e">
        <f>IF(COUNTIF([1]data!A:A,[1]!Table1[[#This Row],[UPC]])&lt;2,"","DUP")</f>
        <v>#VALUE!</v>
      </c>
      <c r="BF431" s="38" t="str">
        <f>IF(ISNA(MATCH($N431,data!$A:$A,0)),"",INDEX(data!W:W,MATCH($N431,data!$A:$A,0)))</f>
        <v/>
      </c>
    </row>
    <row r="432" spans="1:58" ht="12.75" customHeight="1">
      <c r="A432" s="35"/>
      <c r="B432" s="35"/>
      <c r="C432" s="35"/>
      <c r="D432" s="35"/>
      <c r="E432" s="67"/>
      <c r="F432" s="67"/>
      <c r="G432" s="36"/>
      <c r="H432" s="29"/>
      <c r="I432" s="78" t="str">
        <f t="shared" si="8"/>
        <v/>
      </c>
      <c r="J432" s="29"/>
      <c r="K432" s="29"/>
      <c r="L432" s="33"/>
      <c r="M432" s="33"/>
      <c r="N432" s="60"/>
      <c r="O432" s="71"/>
      <c r="P432" s="71"/>
      <c r="Q432" s="33"/>
      <c r="R432" s="31"/>
      <c r="S432" s="31"/>
      <c r="T432" s="59"/>
      <c r="U432" s="59"/>
      <c r="V432" s="59"/>
      <c r="W432" s="57">
        <f t="shared" si="9"/>
        <v>0</v>
      </c>
      <c r="X432" s="126" t="str">
        <f>IF(Table1[[#This Row],[Shipping Weight Pounds]]&gt;150,"See LTL Form","No")</f>
        <v>No</v>
      </c>
      <c r="Y432" s="28"/>
      <c r="Z432" s="33"/>
      <c r="AA432" s="34"/>
      <c r="AB432" s="30"/>
      <c r="AC432" s="30"/>
      <c r="AD432" s="32"/>
      <c r="AE432" s="32"/>
      <c r="AF432" s="2"/>
      <c r="AG432" s="2"/>
      <c r="AH432" s="2"/>
      <c r="AI432" s="2"/>
      <c r="AK432" s="73" t="str">
        <f>IF(ISNA(MATCH($N432,[1]data!$A:$A,0)),"",INDEX([1]data!S:S,MATCH($N432,[1]data!$A:$A,0)))</f>
        <v/>
      </c>
      <c r="AL432" s="73" t="str">
        <f>IF(ISNA(MATCH($N432,[1]data!$A:$A,0)),"",INDEX([1]data!V:V,MATCH($N432,[1]data!$A:$A,0)))</f>
        <v/>
      </c>
      <c r="AM432" s="38" t="str">
        <f>IF(ISNA(MATCH($N432,data!$A:$A,0)),"",INDEX(data!B:B,MATCH($N432,data!$A:$A,0)))</f>
        <v/>
      </c>
      <c r="AN432" s="38" t="str">
        <f>IF(ISNA(MATCH($N432,data!$A:$A,0)),"",INDEX(data!C:C,MATCH($N432,data!$A:$A,0)))</f>
        <v/>
      </c>
      <c r="AO432" s="38" t="str">
        <f>IF(ISNA(MATCH($N432,data!$A:$A,0)),"",INDEX(data!D:D,MATCH($N432,data!$A:$A,0)))</f>
        <v/>
      </c>
      <c r="AP432" s="38" t="str">
        <f>IF(ISNA(MATCH($N432,data!$A:$A,0)),"",INDEX(data!E:E,MATCH($N432,data!$A:$A,0)))</f>
        <v/>
      </c>
      <c r="AQ432" s="38" t="str">
        <f>IF(ISNA(MATCH($N432,data!$A:$A,0)),"",INDEX(data!F:F,MATCH($N432,data!$A:$A,0)))</f>
        <v/>
      </c>
      <c r="AR432" s="38" t="str">
        <f>IF(ISNA(MATCH($N432,data!$A:$A,0)),"",INDEX(data!G:G,MATCH($N432,data!$A:$A,0)))</f>
        <v/>
      </c>
      <c r="AS432" s="38" t="str">
        <f>IF(ISNA(MATCH($N432,data!$A:$A,0)),"",INDEX(data!H:H,MATCH($N432,data!$A:$A,0)))</f>
        <v/>
      </c>
      <c r="AT432" s="38" t="str">
        <f>IF(ISNA(MATCH($N432,data!$A:$A,0)),"",INDEX(data!I:I,MATCH($N432,data!$A:$A,0)))</f>
        <v/>
      </c>
      <c r="AU432" s="38" t="str">
        <f>IF(ISNA(MATCH($N432,[1]data!$A:$A,0)),"",INDEX([1]data!L:L,MATCH($N432,[1]data!$A:$A,0)))</f>
        <v/>
      </c>
      <c r="AV432" s="38" t="str">
        <f>IF(ISNA(MATCH($N432,[1]data!$A:$A,0)),"",INDEX([1]data!M:M,MATCH($N432,[1]data!$A:$A,0)))</f>
        <v/>
      </c>
      <c r="AW432" s="38" t="str">
        <f>IF(ISNA(MATCH($N432,data!$A:$A,0)),"",INDEX(data!J:J,MATCH($N432,data!$A:$A,0)))</f>
        <v/>
      </c>
      <c r="AX432" s="38" t="str">
        <f>IF(ISNA(MATCH($N432,data!$A:$A,0)),"",INDEX(data!K:K,MATCH($N432,data!$A:$A,0)))</f>
        <v/>
      </c>
      <c r="AY432" s="38" t="str">
        <f>IF(ISNA(MATCH($N432,data!$A:$A,0)),"",INDEX(data!O:O,MATCH($N432,data!$A:$A,0)))</f>
        <v/>
      </c>
      <c r="AZ432" s="38" t="str">
        <f>IF(ISNA(MATCH($N432,data!$A:$A,0)),"",INDEX(data!N:N,MATCH($N432,data!$A:$A,0)))</f>
        <v/>
      </c>
      <c r="BA432" s="38" t="str">
        <f>IF(ISNA(MATCH($N432,data!$A:$A,0)),"",INDEX(data!P:P,MATCH($N432,data!$A:$A,0)))</f>
        <v/>
      </c>
      <c r="BB432" s="38" t="str">
        <f>IF(ISNA(MATCH($N432,data!$A:$A,0)),"",INDEX(data!Q:Q,MATCH($N432,data!$A:$A,0)))</f>
        <v/>
      </c>
      <c r="BC432" s="38" t="str">
        <f>IF(ISNA(MATCH($N432,data!$A:$A,0)),"",INDEX(data!R:R,MATCH($N432,data!$A:$A,0)))</f>
        <v/>
      </c>
      <c r="BD432" s="38" t="str">
        <f>IF(ISNA(MATCH($N432,[1]data!$A:$A,0)),"",INDEX([1]data!U:U,MATCH($N432,[1]data!$A:$A,0)))</f>
        <v/>
      </c>
      <c r="BE432" s="61" t="e">
        <f>IF(COUNTIF([1]data!A:A,[1]!Table1[[#This Row],[UPC]])&lt;2,"","DUP")</f>
        <v>#VALUE!</v>
      </c>
      <c r="BF432" s="38" t="str">
        <f>IF(ISNA(MATCH($N432,data!$A:$A,0)),"",INDEX(data!W:W,MATCH($N432,data!$A:$A,0)))</f>
        <v/>
      </c>
    </row>
    <row r="433" spans="1:58" ht="12.75" customHeight="1">
      <c r="A433" s="35"/>
      <c r="B433" s="35"/>
      <c r="C433" s="35"/>
      <c r="D433" s="35"/>
      <c r="E433" s="67"/>
      <c r="F433" s="67"/>
      <c r="G433" s="36"/>
      <c r="H433" s="29"/>
      <c r="I433" s="78" t="str">
        <f t="shared" si="8"/>
        <v/>
      </c>
      <c r="J433" s="29"/>
      <c r="K433" s="29"/>
      <c r="L433" s="33"/>
      <c r="M433" s="33"/>
      <c r="N433" s="60"/>
      <c r="O433" s="71"/>
      <c r="P433" s="71"/>
      <c r="Q433" s="33"/>
      <c r="R433" s="31"/>
      <c r="S433" s="31"/>
      <c r="T433" s="59"/>
      <c r="U433" s="59"/>
      <c r="V433" s="59"/>
      <c r="W433" s="57">
        <f t="shared" si="9"/>
        <v>0</v>
      </c>
      <c r="X433" s="126" t="str">
        <f>IF(Table1[[#This Row],[Shipping Weight Pounds]]&gt;150,"See LTL Form","No")</f>
        <v>No</v>
      </c>
      <c r="Y433" s="28"/>
      <c r="Z433" s="33"/>
      <c r="AA433" s="34"/>
      <c r="AB433" s="30"/>
      <c r="AC433" s="30"/>
      <c r="AD433" s="32"/>
      <c r="AE433" s="32"/>
      <c r="AF433" s="2"/>
      <c r="AG433" s="2"/>
      <c r="AH433" s="2"/>
      <c r="AI433" s="2"/>
      <c r="AK433" s="73" t="str">
        <f>IF(ISNA(MATCH($N433,[1]data!$A:$A,0)),"",INDEX([1]data!S:S,MATCH($N433,[1]data!$A:$A,0)))</f>
        <v/>
      </c>
      <c r="AL433" s="73" t="str">
        <f>IF(ISNA(MATCH($N433,[1]data!$A:$A,0)),"",INDEX([1]data!V:V,MATCH($N433,[1]data!$A:$A,0)))</f>
        <v/>
      </c>
      <c r="AM433" s="38" t="str">
        <f>IF(ISNA(MATCH($N433,data!$A:$A,0)),"",INDEX(data!B:B,MATCH($N433,data!$A:$A,0)))</f>
        <v/>
      </c>
      <c r="AN433" s="38" t="str">
        <f>IF(ISNA(MATCH($N433,data!$A:$A,0)),"",INDEX(data!C:C,MATCH($N433,data!$A:$A,0)))</f>
        <v/>
      </c>
      <c r="AO433" s="38" t="str">
        <f>IF(ISNA(MATCH($N433,data!$A:$A,0)),"",INDEX(data!D:D,MATCH($N433,data!$A:$A,0)))</f>
        <v/>
      </c>
      <c r="AP433" s="38" t="str">
        <f>IF(ISNA(MATCH($N433,data!$A:$A,0)),"",INDEX(data!E:E,MATCH($N433,data!$A:$A,0)))</f>
        <v/>
      </c>
      <c r="AQ433" s="38" t="str">
        <f>IF(ISNA(MATCH($N433,data!$A:$A,0)),"",INDEX(data!F:F,MATCH($N433,data!$A:$A,0)))</f>
        <v/>
      </c>
      <c r="AR433" s="38" t="str">
        <f>IF(ISNA(MATCH($N433,data!$A:$A,0)),"",INDEX(data!G:G,MATCH($N433,data!$A:$A,0)))</f>
        <v/>
      </c>
      <c r="AS433" s="38" t="str">
        <f>IF(ISNA(MATCH($N433,data!$A:$A,0)),"",INDEX(data!H:H,MATCH($N433,data!$A:$A,0)))</f>
        <v/>
      </c>
      <c r="AT433" s="38" t="str">
        <f>IF(ISNA(MATCH($N433,data!$A:$A,0)),"",INDEX(data!I:I,MATCH($N433,data!$A:$A,0)))</f>
        <v/>
      </c>
      <c r="AU433" s="38" t="str">
        <f>IF(ISNA(MATCH($N433,[1]data!$A:$A,0)),"",INDEX([1]data!L:L,MATCH($N433,[1]data!$A:$A,0)))</f>
        <v/>
      </c>
      <c r="AV433" s="38" t="str">
        <f>IF(ISNA(MATCH($N433,[1]data!$A:$A,0)),"",INDEX([1]data!M:M,MATCH($N433,[1]data!$A:$A,0)))</f>
        <v/>
      </c>
      <c r="AW433" s="38" t="str">
        <f>IF(ISNA(MATCH($N433,data!$A:$A,0)),"",INDEX(data!J:J,MATCH($N433,data!$A:$A,0)))</f>
        <v/>
      </c>
      <c r="AX433" s="38" t="str">
        <f>IF(ISNA(MATCH($N433,data!$A:$A,0)),"",INDEX(data!K:K,MATCH($N433,data!$A:$A,0)))</f>
        <v/>
      </c>
      <c r="AY433" s="38" t="str">
        <f>IF(ISNA(MATCH($N433,data!$A:$A,0)),"",INDEX(data!O:O,MATCH($N433,data!$A:$A,0)))</f>
        <v/>
      </c>
      <c r="AZ433" s="38" t="str">
        <f>IF(ISNA(MATCH($N433,data!$A:$A,0)),"",INDEX(data!N:N,MATCH($N433,data!$A:$A,0)))</f>
        <v/>
      </c>
      <c r="BA433" s="38" t="str">
        <f>IF(ISNA(MATCH($N433,data!$A:$A,0)),"",INDEX(data!P:P,MATCH($N433,data!$A:$A,0)))</f>
        <v/>
      </c>
      <c r="BB433" s="38" t="str">
        <f>IF(ISNA(MATCH($N433,data!$A:$A,0)),"",INDEX(data!Q:Q,MATCH($N433,data!$A:$A,0)))</f>
        <v/>
      </c>
      <c r="BC433" s="38" t="str">
        <f>IF(ISNA(MATCH($N433,data!$A:$A,0)),"",INDEX(data!R:R,MATCH($N433,data!$A:$A,0)))</f>
        <v/>
      </c>
      <c r="BD433" s="38" t="str">
        <f>IF(ISNA(MATCH($N433,[1]data!$A:$A,0)),"",INDEX([1]data!U:U,MATCH($N433,[1]data!$A:$A,0)))</f>
        <v/>
      </c>
      <c r="BE433" s="61" t="e">
        <f>IF(COUNTIF([1]data!A:A,[1]!Table1[[#This Row],[UPC]])&lt;2,"","DUP")</f>
        <v>#VALUE!</v>
      </c>
      <c r="BF433" s="38" t="str">
        <f>IF(ISNA(MATCH($N433,data!$A:$A,0)),"",INDEX(data!W:W,MATCH($N433,data!$A:$A,0)))</f>
        <v/>
      </c>
    </row>
    <row r="434" spans="1:58" ht="12.75" customHeight="1">
      <c r="A434" s="35"/>
      <c r="B434" s="35"/>
      <c r="C434" s="35"/>
      <c r="D434" s="35"/>
      <c r="E434" s="67"/>
      <c r="F434" s="67"/>
      <c r="G434" s="36"/>
      <c r="H434" s="29"/>
      <c r="I434" s="78" t="str">
        <f t="shared" si="8"/>
        <v/>
      </c>
      <c r="J434" s="29"/>
      <c r="K434" s="29"/>
      <c r="L434" s="33"/>
      <c r="M434" s="33"/>
      <c r="N434" s="60"/>
      <c r="O434" s="71"/>
      <c r="P434" s="71"/>
      <c r="Q434" s="33"/>
      <c r="R434" s="31"/>
      <c r="S434" s="31"/>
      <c r="T434" s="59"/>
      <c r="U434" s="59"/>
      <c r="V434" s="59"/>
      <c r="W434" s="57">
        <f t="shared" si="9"/>
        <v>0</v>
      </c>
      <c r="X434" s="126" t="str">
        <f>IF(Table1[[#This Row],[Shipping Weight Pounds]]&gt;150,"See LTL Form","No")</f>
        <v>No</v>
      </c>
      <c r="Y434" s="28"/>
      <c r="Z434" s="33"/>
      <c r="AA434" s="34"/>
      <c r="AB434" s="30"/>
      <c r="AC434" s="30"/>
      <c r="AD434" s="32"/>
      <c r="AE434" s="32"/>
      <c r="AF434" s="2"/>
      <c r="AG434" s="2"/>
      <c r="AH434" s="2"/>
      <c r="AI434" s="2"/>
      <c r="AK434" s="73" t="str">
        <f>IF(ISNA(MATCH($N434,[1]data!$A:$A,0)),"",INDEX([1]data!S:S,MATCH($N434,[1]data!$A:$A,0)))</f>
        <v/>
      </c>
      <c r="AL434" s="73" t="str">
        <f>IF(ISNA(MATCH($N434,[1]data!$A:$A,0)),"",INDEX([1]data!V:V,MATCH($N434,[1]data!$A:$A,0)))</f>
        <v/>
      </c>
      <c r="AM434" s="38" t="str">
        <f>IF(ISNA(MATCH($N434,data!$A:$A,0)),"",INDEX(data!B:B,MATCH($N434,data!$A:$A,0)))</f>
        <v/>
      </c>
      <c r="AN434" s="38" t="str">
        <f>IF(ISNA(MATCH($N434,data!$A:$A,0)),"",INDEX(data!C:C,MATCH($N434,data!$A:$A,0)))</f>
        <v/>
      </c>
      <c r="AO434" s="38" t="str">
        <f>IF(ISNA(MATCH($N434,data!$A:$A,0)),"",INDEX(data!D:D,MATCH($N434,data!$A:$A,0)))</f>
        <v/>
      </c>
      <c r="AP434" s="38" t="str">
        <f>IF(ISNA(MATCH($N434,data!$A:$A,0)),"",INDEX(data!E:E,MATCH($N434,data!$A:$A,0)))</f>
        <v/>
      </c>
      <c r="AQ434" s="38" t="str">
        <f>IF(ISNA(MATCH($N434,data!$A:$A,0)),"",INDEX(data!F:F,MATCH($N434,data!$A:$A,0)))</f>
        <v/>
      </c>
      <c r="AR434" s="38" t="str">
        <f>IF(ISNA(MATCH($N434,data!$A:$A,0)),"",INDEX(data!G:G,MATCH($N434,data!$A:$A,0)))</f>
        <v/>
      </c>
      <c r="AS434" s="38" t="str">
        <f>IF(ISNA(MATCH($N434,data!$A:$A,0)),"",INDEX(data!H:H,MATCH($N434,data!$A:$A,0)))</f>
        <v/>
      </c>
      <c r="AT434" s="38" t="str">
        <f>IF(ISNA(MATCH($N434,data!$A:$A,0)),"",INDEX(data!I:I,MATCH($N434,data!$A:$A,0)))</f>
        <v/>
      </c>
      <c r="AU434" s="38" t="str">
        <f>IF(ISNA(MATCH($N434,[1]data!$A:$A,0)),"",INDEX([1]data!L:L,MATCH($N434,[1]data!$A:$A,0)))</f>
        <v/>
      </c>
      <c r="AV434" s="38" t="str">
        <f>IF(ISNA(MATCH($N434,[1]data!$A:$A,0)),"",INDEX([1]data!M:M,MATCH($N434,[1]data!$A:$A,0)))</f>
        <v/>
      </c>
      <c r="AW434" s="38" t="str">
        <f>IF(ISNA(MATCH($N434,data!$A:$A,0)),"",INDEX(data!J:J,MATCH($N434,data!$A:$A,0)))</f>
        <v/>
      </c>
      <c r="AX434" s="38" t="str">
        <f>IF(ISNA(MATCH($N434,data!$A:$A,0)),"",INDEX(data!K:K,MATCH($N434,data!$A:$A,0)))</f>
        <v/>
      </c>
      <c r="AY434" s="38" t="str">
        <f>IF(ISNA(MATCH($N434,data!$A:$A,0)),"",INDEX(data!O:O,MATCH($N434,data!$A:$A,0)))</f>
        <v/>
      </c>
      <c r="AZ434" s="38" t="str">
        <f>IF(ISNA(MATCH($N434,data!$A:$A,0)),"",INDEX(data!N:N,MATCH($N434,data!$A:$A,0)))</f>
        <v/>
      </c>
      <c r="BA434" s="38" t="str">
        <f>IF(ISNA(MATCH($N434,data!$A:$A,0)),"",INDEX(data!P:P,MATCH($N434,data!$A:$A,0)))</f>
        <v/>
      </c>
      <c r="BB434" s="38" t="str">
        <f>IF(ISNA(MATCH($N434,data!$A:$A,0)),"",INDEX(data!Q:Q,MATCH($N434,data!$A:$A,0)))</f>
        <v/>
      </c>
      <c r="BC434" s="38" t="str">
        <f>IF(ISNA(MATCH($N434,data!$A:$A,0)),"",INDEX(data!R:R,MATCH($N434,data!$A:$A,0)))</f>
        <v/>
      </c>
      <c r="BD434" s="38" t="str">
        <f>IF(ISNA(MATCH($N434,[1]data!$A:$A,0)),"",INDEX([1]data!U:U,MATCH($N434,[1]data!$A:$A,0)))</f>
        <v/>
      </c>
      <c r="BE434" s="61" t="e">
        <f>IF(COUNTIF([1]data!A:A,[1]!Table1[[#This Row],[UPC]])&lt;2,"","DUP")</f>
        <v>#VALUE!</v>
      </c>
      <c r="BF434" s="38" t="str">
        <f>IF(ISNA(MATCH($N434,data!$A:$A,0)),"",INDEX(data!W:W,MATCH($N434,data!$A:$A,0)))</f>
        <v/>
      </c>
    </row>
    <row r="435" spans="1:58" ht="12.75" customHeight="1">
      <c r="A435" s="35"/>
      <c r="B435" s="35"/>
      <c r="C435" s="35"/>
      <c r="D435" s="35"/>
      <c r="E435" s="67"/>
      <c r="F435" s="67"/>
      <c r="G435" s="36"/>
      <c r="H435" s="29"/>
      <c r="I435" s="78" t="str">
        <f t="shared" si="8"/>
        <v/>
      </c>
      <c r="J435" s="29"/>
      <c r="K435" s="29"/>
      <c r="L435" s="33"/>
      <c r="M435" s="33"/>
      <c r="N435" s="60"/>
      <c r="O435" s="71"/>
      <c r="P435" s="71"/>
      <c r="Q435" s="33"/>
      <c r="R435" s="31"/>
      <c r="S435" s="31"/>
      <c r="T435" s="59"/>
      <c r="U435" s="59"/>
      <c r="V435" s="59"/>
      <c r="W435" s="57">
        <f t="shared" si="9"/>
        <v>0</v>
      </c>
      <c r="X435" s="126" t="str">
        <f>IF(Table1[[#This Row],[Shipping Weight Pounds]]&gt;150,"See LTL Form","No")</f>
        <v>No</v>
      </c>
      <c r="Y435" s="28"/>
      <c r="Z435" s="33"/>
      <c r="AA435" s="34"/>
      <c r="AB435" s="30"/>
      <c r="AC435" s="30"/>
      <c r="AD435" s="32"/>
      <c r="AE435" s="32"/>
      <c r="AF435" s="2"/>
      <c r="AG435" s="2"/>
      <c r="AH435" s="2"/>
      <c r="AI435" s="2"/>
      <c r="AK435" s="73" t="str">
        <f>IF(ISNA(MATCH($N435,[1]data!$A:$A,0)),"",INDEX([1]data!S:S,MATCH($N435,[1]data!$A:$A,0)))</f>
        <v/>
      </c>
      <c r="AL435" s="73" t="str">
        <f>IF(ISNA(MATCH($N435,[1]data!$A:$A,0)),"",INDEX([1]data!V:V,MATCH($N435,[1]data!$A:$A,0)))</f>
        <v/>
      </c>
      <c r="AM435" s="38" t="str">
        <f>IF(ISNA(MATCH($N435,data!$A:$A,0)),"",INDEX(data!B:B,MATCH($N435,data!$A:$A,0)))</f>
        <v/>
      </c>
      <c r="AN435" s="38" t="str">
        <f>IF(ISNA(MATCH($N435,data!$A:$A,0)),"",INDEX(data!C:C,MATCH($N435,data!$A:$A,0)))</f>
        <v/>
      </c>
      <c r="AO435" s="38" t="str">
        <f>IF(ISNA(MATCH($N435,data!$A:$A,0)),"",INDEX(data!D:D,MATCH($N435,data!$A:$A,0)))</f>
        <v/>
      </c>
      <c r="AP435" s="38" t="str">
        <f>IF(ISNA(MATCH($N435,data!$A:$A,0)),"",INDEX(data!E:E,MATCH($N435,data!$A:$A,0)))</f>
        <v/>
      </c>
      <c r="AQ435" s="38" t="str">
        <f>IF(ISNA(MATCH($N435,data!$A:$A,0)),"",INDEX(data!F:F,MATCH($N435,data!$A:$A,0)))</f>
        <v/>
      </c>
      <c r="AR435" s="38" t="str">
        <f>IF(ISNA(MATCH($N435,data!$A:$A,0)),"",INDEX(data!G:G,MATCH($N435,data!$A:$A,0)))</f>
        <v/>
      </c>
      <c r="AS435" s="38" t="str">
        <f>IF(ISNA(MATCH($N435,data!$A:$A,0)),"",INDEX(data!H:H,MATCH($N435,data!$A:$A,0)))</f>
        <v/>
      </c>
      <c r="AT435" s="38" t="str">
        <f>IF(ISNA(MATCH($N435,data!$A:$A,0)),"",INDEX(data!I:I,MATCH($N435,data!$A:$A,0)))</f>
        <v/>
      </c>
      <c r="AU435" s="38" t="str">
        <f>IF(ISNA(MATCH($N435,[1]data!$A:$A,0)),"",INDEX([1]data!L:L,MATCH($N435,[1]data!$A:$A,0)))</f>
        <v/>
      </c>
      <c r="AV435" s="38" t="str">
        <f>IF(ISNA(MATCH($N435,[1]data!$A:$A,0)),"",INDEX([1]data!M:M,MATCH($N435,[1]data!$A:$A,0)))</f>
        <v/>
      </c>
      <c r="AW435" s="38" t="str">
        <f>IF(ISNA(MATCH($N435,data!$A:$A,0)),"",INDEX(data!J:J,MATCH($N435,data!$A:$A,0)))</f>
        <v/>
      </c>
      <c r="AX435" s="38" t="str">
        <f>IF(ISNA(MATCH($N435,data!$A:$A,0)),"",INDEX(data!K:K,MATCH($N435,data!$A:$A,0)))</f>
        <v/>
      </c>
      <c r="AY435" s="38" t="str">
        <f>IF(ISNA(MATCH($N435,data!$A:$A,0)),"",INDEX(data!O:O,MATCH($N435,data!$A:$A,0)))</f>
        <v/>
      </c>
      <c r="AZ435" s="38" t="str">
        <f>IF(ISNA(MATCH($N435,data!$A:$A,0)),"",INDEX(data!N:N,MATCH($N435,data!$A:$A,0)))</f>
        <v/>
      </c>
      <c r="BA435" s="38" t="str">
        <f>IF(ISNA(MATCH($N435,data!$A:$A,0)),"",INDEX(data!P:P,MATCH($N435,data!$A:$A,0)))</f>
        <v/>
      </c>
      <c r="BB435" s="38" t="str">
        <f>IF(ISNA(MATCH($N435,data!$A:$A,0)),"",INDEX(data!Q:Q,MATCH($N435,data!$A:$A,0)))</f>
        <v/>
      </c>
      <c r="BC435" s="38" t="str">
        <f>IF(ISNA(MATCH($N435,data!$A:$A,0)),"",INDEX(data!R:R,MATCH($N435,data!$A:$A,0)))</f>
        <v/>
      </c>
      <c r="BD435" s="38" t="str">
        <f>IF(ISNA(MATCH($N435,[1]data!$A:$A,0)),"",INDEX([1]data!U:U,MATCH($N435,[1]data!$A:$A,0)))</f>
        <v/>
      </c>
      <c r="BE435" s="61" t="e">
        <f>IF(COUNTIF([1]data!A:A,[1]!Table1[[#This Row],[UPC]])&lt;2,"","DUP")</f>
        <v>#VALUE!</v>
      </c>
      <c r="BF435" s="38" t="str">
        <f>IF(ISNA(MATCH($N435,data!$A:$A,0)),"",INDEX(data!W:W,MATCH($N435,data!$A:$A,0)))</f>
        <v/>
      </c>
    </row>
    <row r="436" spans="1:58" ht="12.75" customHeight="1">
      <c r="A436" s="35"/>
      <c r="B436" s="35"/>
      <c r="C436" s="35"/>
      <c r="D436" s="35"/>
      <c r="E436" s="67"/>
      <c r="F436" s="67"/>
      <c r="G436" s="36"/>
      <c r="H436" s="29"/>
      <c r="I436" s="78" t="str">
        <f t="shared" si="8"/>
        <v/>
      </c>
      <c r="J436" s="29"/>
      <c r="K436" s="29"/>
      <c r="L436" s="33"/>
      <c r="M436" s="33"/>
      <c r="N436" s="60"/>
      <c r="O436" s="71"/>
      <c r="P436" s="71"/>
      <c r="Q436" s="33"/>
      <c r="R436" s="31"/>
      <c r="S436" s="31"/>
      <c r="T436" s="59"/>
      <c r="U436" s="59"/>
      <c r="V436" s="59"/>
      <c r="W436" s="57">
        <f t="shared" si="9"/>
        <v>0</v>
      </c>
      <c r="X436" s="126" t="str">
        <f>IF(Table1[[#This Row],[Shipping Weight Pounds]]&gt;150,"See LTL Form","No")</f>
        <v>No</v>
      </c>
      <c r="Y436" s="28"/>
      <c r="Z436" s="33"/>
      <c r="AA436" s="34"/>
      <c r="AB436" s="30"/>
      <c r="AC436" s="30"/>
      <c r="AD436" s="32"/>
      <c r="AE436" s="32"/>
      <c r="AF436" s="2"/>
      <c r="AG436" s="2"/>
      <c r="AH436" s="2"/>
      <c r="AI436" s="2"/>
      <c r="AK436" s="73" t="str">
        <f>IF(ISNA(MATCH($N436,[1]data!$A:$A,0)),"",INDEX([1]data!S:S,MATCH($N436,[1]data!$A:$A,0)))</f>
        <v/>
      </c>
      <c r="AL436" s="73" t="str">
        <f>IF(ISNA(MATCH($N436,[1]data!$A:$A,0)),"",INDEX([1]data!V:V,MATCH($N436,[1]data!$A:$A,0)))</f>
        <v/>
      </c>
      <c r="AM436" s="38" t="str">
        <f>IF(ISNA(MATCH($N436,data!$A:$A,0)),"",INDEX(data!B:B,MATCH($N436,data!$A:$A,0)))</f>
        <v/>
      </c>
      <c r="AN436" s="38" t="str">
        <f>IF(ISNA(MATCH($N436,data!$A:$A,0)),"",INDEX(data!C:C,MATCH($N436,data!$A:$A,0)))</f>
        <v/>
      </c>
      <c r="AO436" s="38" t="str">
        <f>IF(ISNA(MATCH($N436,data!$A:$A,0)),"",INDEX(data!D:D,MATCH($N436,data!$A:$A,0)))</f>
        <v/>
      </c>
      <c r="AP436" s="38" t="str">
        <f>IF(ISNA(MATCH($N436,data!$A:$A,0)),"",INDEX(data!E:E,MATCH($N436,data!$A:$A,0)))</f>
        <v/>
      </c>
      <c r="AQ436" s="38" t="str">
        <f>IF(ISNA(MATCH($N436,data!$A:$A,0)),"",INDEX(data!F:F,MATCH($N436,data!$A:$A,0)))</f>
        <v/>
      </c>
      <c r="AR436" s="38" t="str">
        <f>IF(ISNA(MATCH($N436,data!$A:$A,0)),"",INDEX(data!G:G,MATCH($N436,data!$A:$A,0)))</f>
        <v/>
      </c>
      <c r="AS436" s="38" t="str">
        <f>IF(ISNA(MATCH($N436,data!$A:$A,0)),"",INDEX(data!H:H,MATCH($N436,data!$A:$A,0)))</f>
        <v/>
      </c>
      <c r="AT436" s="38" t="str">
        <f>IF(ISNA(MATCH($N436,data!$A:$A,0)),"",INDEX(data!I:I,MATCH($N436,data!$A:$A,0)))</f>
        <v/>
      </c>
      <c r="AU436" s="38" t="str">
        <f>IF(ISNA(MATCH($N436,[1]data!$A:$A,0)),"",INDEX([1]data!L:L,MATCH($N436,[1]data!$A:$A,0)))</f>
        <v/>
      </c>
      <c r="AV436" s="38" t="str">
        <f>IF(ISNA(MATCH($N436,[1]data!$A:$A,0)),"",INDEX([1]data!M:M,MATCH($N436,[1]data!$A:$A,0)))</f>
        <v/>
      </c>
      <c r="AW436" s="38" t="str">
        <f>IF(ISNA(MATCH($N436,data!$A:$A,0)),"",INDEX(data!J:J,MATCH($N436,data!$A:$A,0)))</f>
        <v/>
      </c>
      <c r="AX436" s="38" t="str">
        <f>IF(ISNA(MATCH($N436,data!$A:$A,0)),"",INDEX(data!K:K,MATCH($N436,data!$A:$A,0)))</f>
        <v/>
      </c>
      <c r="AY436" s="38" t="str">
        <f>IF(ISNA(MATCH($N436,data!$A:$A,0)),"",INDEX(data!O:O,MATCH($N436,data!$A:$A,0)))</f>
        <v/>
      </c>
      <c r="AZ436" s="38" t="str">
        <f>IF(ISNA(MATCH($N436,data!$A:$A,0)),"",INDEX(data!N:N,MATCH($N436,data!$A:$A,0)))</f>
        <v/>
      </c>
      <c r="BA436" s="38" t="str">
        <f>IF(ISNA(MATCH($N436,data!$A:$A,0)),"",INDEX(data!P:P,MATCH($N436,data!$A:$A,0)))</f>
        <v/>
      </c>
      <c r="BB436" s="38" t="str">
        <f>IF(ISNA(MATCH($N436,data!$A:$A,0)),"",INDEX(data!Q:Q,MATCH($N436,data!$A:$A,0)))</f>
        <v/>
      </c>
      <c r="BC436" s="38" t="str">
        <f>IF(ISNA(MATCH($N436,data!$A:$A,0)),"",INDEX(data!R:R,MATCH($N436,data!$A:$A,0)))</f>
        <v/>
      </c>
      <c r="BD436" s="38" t="str">
        <f>IF(ISNA(MATCH($N436,[1]data!$A:$A,0)),"",INDEX([1]data!U:U,MATCH($N436,[1]data!$A:$A,0)))</f>
        <v/>
      </c>
      <c r="BE436" s="61" t="e">
        <f>IF(COUNTIF([1]data!A:A,[1]!Table1[[#This Row],[UPC]])&lt;2,"","DUP")</f>
        <v>#VALUE!</v>
      </c>
      <c r="BF436" s="38" t="str">
        <f>IF(ISNA(MATCH($N436,data!$A:$A,0)),"",INDEX(data!W:W,MATCH($N436,data!$A:$A,0)))</f>
        <v/>
      </c>
    </row>
    <row r="437" spans="1:58" ht="12.75" customHeight="1">
      <c r="A437" s="35"/>
      <c r="B437" s="35"/>
      <c r="C437" s="35"/>
      <c r="D437" s="35"/>
      <c r="E437" s="67"/>
      <c r="F437" s="67"/>
      <c r="G437" s="36"/>
      <c r="H437" s="29"/>
      <c r="I437" s="78" t="str">
        <f t="shared" si="8"/>
        <v/>
      </c>
      <c r="J437" s="29"/>
      <c r="K437" s="29"/>
      <c r="L437" s="33"/>
      <c r="M437" s="33"/>
      <c r="N437" s="60"/>
      <c r="O437" s="71"/>
      <c r="P437" s="71"/>
      <c r="Q437" s="33"/>
      <c r="R437" s="31"/>
      <c r="S437" s="31"/>
      <c r="T437" s="59"/>
      <c r="U437" s="59"/>
      <c r="V437" s="59"/>
      <c r="W437" s="57">
        <f t="shared" si="9"/>
        <v>0</v>
      </c>
      <c r="X437" s="126" t="str">
        <f>IF(Table1[[#This Row],[Shipping Weight Pounds]]&gt;150,"See LTL Form","No")</f>
        <v>No</v>
      </c>
      <c r="Y437" s="28"/>
      <c r="Z437" s="33"/>
      <c r="AA437" s="34"/>
      <c r="AB437" s="30"/>
      <c r="AC437" s="30"/>
      <c r="AD437" s="32"/>
      <c r="AE437" s="32"/>
      <c r="AF437" s="2"/>
      <c r="AG437" s="2"/>
      <c r="AH437" s="2"/>
      <c r="AI437" s="2"/>
      <c r="AK437" s="73" t="str">
        <f>IF(ISNA(MATCH($N437,[1]data!$A:$A,0)),"",INDEX([1]data!S:S,MATCH($N437,[1]data!$A:$A,0)))</f>
        <v/>
      </c>
      <c r="AL437" s="73" t="str">
        <f>IF(ISNA(MATCH($N437,[1]data!$A:$A,0)),"",INDEX([1]data!V:V,MATCH($N437,[1]data!$A:$A,0)))</f>
        <v/>
      </c>
      <c r="AM437" s="38" t="str">
        <f>IF(ISNA(MATCH($N437,data!$A:$A,0)),"",INDEX(data!B:B,MATCH($N437,data!$A:$A,0)))</f>
        <v/>
      </c>
      <c r="AN437" s="38" t="str">
        <f>IF(ISNA(MATCH($N437,data!$A:$A,0)),"",INDEX(data!C:C,MATCH($N437,data!$A:$A,0)))</f>
        <v/>
      </c>
      <c r="AO437" s="38" t="str">
        <f>IF(ISNA(MATCH($N437,data!$A:$A,0)),"",INDEX(data!D:D,MATCH($N437,data!$A:$A,0)))</f>
        <v/>
      </c>
      <c r="AP437" s="38" t="str">
        <f>IF(ISNA(MATCH($N437,data!$A:$A,0)),"",INDEX(data!E:E,MATCH($N437,data!$A:$A,0)))</f>
        <v/>
      </c>
      <c r="AQ437" s="38" t="str">
        <f>IF(ISNA(MATCH($N437,data!$A:$A,0)),"",INDEX(data!F:F,MATCH($N437,data!$A:$A,0)))</f>
        <v/>
      </c>
      <c r="AR437" s="38" t="str">
        <f>IF(ISNA(MATCH($N437,data!$A:$A,0)),"",INDEX(data!G:G,MATCH($N437,data!$A:$A,0)))</f>
        <v/>
      </c>
      <c r="AS437" s="38" t="str">
        <f>IF(ISNA(MATCH($N437,data!$A:$A,0)),"",INDEX(data!H:H,MATCH($N437,data!$A:$A,0)))</f>
        <v/>
      </c>
      <c r="AT437" s="38" t="str">
        <f>IF(ISNA(MATCH($N437,data!$A:$A,0)),"",INDEX(data!I:I,MATCH($N437,data!$A:$A,0)))</f>
        <v/>
      </c>
      <c r="AU437" s="38" t="str">
        <f>IF(ISNA(MATCH($N437,[1]data!$A:$A,0)),"",INDEX([1]data!L:L,MATCH($N437,[1]data!$A:$A,0)))</f>
        <v/>
      </c>
      <c r="AV437" s="38" t="str">
        <f>IF(ISNA(MATCH($N437,[1]data!$A:$A,0)),"",INDEX([1]data!M:M,MATCH($N437,[1]data!$A:$A,0)))</f>
        <v/>
      </c>
      <c r="AW437" s="38" t="str">
        <f>IF(ISNA(MATCH($N437,data!$A:$A,0)),"",INDEX(data!J:J,MATCH($N437,data!$A:$A,0)))</f>
        <v/>
      </c>
      <c r="AX437" s="38" t="str">
        <f>IF(ISNA(MATCH($N437,data!$A:$A,0)),"",INDEX(data!K:K,MATCH($N437,data!$A:$A,0)))</f>
        <v/>
      </c>
      <c r="AY437" s="38" t="str">
        <f>IF(ISNA(MATCH($N437,data!$A:$A,0)),"",INDEX(data!O:O,MATCH($N437,data!$A:$A,0)))</f>
        <v/>
      </c>
      <c r="AZ437" s="38" t="str">
        <f>IF(ISNA(MATCH($N437,data!$A:$A,0)),"",INDEX(data!N:N,MATCH($N437,data!$A:$A,0)))</f>
        <v/>
      </c>
      <c r="BA437" s="38" t="str">
        <f>IF(ISNA(MATCH($N437,data!$A:$A,0)),"",INDEX(data!P:P,MATCH($N437,data!$A:$A,0)))</f>
        <v/>
      </c>
      <c r="BB437" s="38" t="str">
        <f>IF(ISNA(MATCH($N437,data!$A:$A,0)),"",INDEX(data!Q:Q,MATCH($N437,data!$A:$A,0)))</f>
        <v/>
      </c>
      <c r="BC437" s="38" t="str">
        <f>IF(ISNA(MATCH($N437,data!$A:$A,0)),"",INDEX(data!R:R,MATCH($N437,data!$A:$A,0)))</f>
        <v/>
      </c>
      <c r="BD437" s="38" t="str">
        <f>IF(ISNA(MATCH($N437,[1]data!$A:$A,0)),"",INDEX([1]data!U:U,MATCH($N437,[1]data!$A:$A,0)))</f>
        <v/>
      </c>
      <c r="BE437" s="61" t="e">
        <f>IF(COUNTIF([1]data!A:A,[1]!Table1[[#This Row],[UPC]])&lt;2,"","DUP")</f>
        <v>#VALUE!</v>
      </c>
      <c r="BF437" s="38" t="str">
        <f>IF(ISNA(MATCH($N437,data!$A:$A,0)),"",INDEX(data!W:W,MATCH($N437,data!$A:$A,0)))</f>
        <v/>
      </c>
    </row>
    <row r="438" spans="1:58" ht="12.75" customHeight="1">
      <c r="A438" s="35"/>
      <c r="B438" s="35"/>
      <c r="C438" s="35"/>
      <c r="D438" s="35"/>
      <c r="E438" s="67"/>
      <c r="F438" s="67"/>
      <c r="G438" s="36"/>
      <c r="H438" s="29"/>
      <c r="I438" s="78" t="str">
        <f t="shared" si="8"/>
        <v/>
      </c>
      <c r="J438" s="29"/>
      <c r="K438" s="29"/>
      <c r="L438" s="33"/>
      <c r="M438" s="33"/>
      <c r="N438" s="60"/>
      <c r="O438" s="71"/>
      <c r="P438" s="71"/>
      <c r="Q438" s="33"/>
      <c r="R438" s="31"/>
      <c r="S438" s="31"/>
      <c r="T438" s="59"/>
      <c r="U438" s="59"/>
      <c r="V438" s="59"/>
      <c r="W438" s="57">
        <f t="shared" si="9"/>
        <v>0</v>
      </c>
      <c r="X438" s="126" t="str">
        <f>IF(Table1[[#This Row],[Shipping Weight Pounds]]&gt;150,"See LTL Form","No")</f>
        <v>No</v>
      </c>
      <c r="Y438" s="28"/>
      <c r="Z438" s="33"/>
      <c r="AA438" s="34"/>
      <c r="AB438" s="30"/>
      <c r="AC438" s="30"/>
      <c r="AD438" s="32"/>
      <c r="AE438" s="32"/>
      <c r="AF438" s="2"/>
      <c r="AG438" s="2"/>
      <c r="AH438" s="2"/>
      <c r="AI438" s="2"/>
      <c r="AK438" s="73" t="str">
        <f>IF(ISNA(MATCH($N438,[1]data!$A:$A,0)),"",INDEX([1]data!S:S,MATCH($N438,[1]data!$A:$A,0)))</f>
        <v/>
      </c>
      <c r="AL438" s="73" t="str">
        <f>IF(ISNA(MATCH($N438,[1]data!$A:$A,0)),"",INDEX([1]data!V:V,MATCH($N438,[1]data!$A:$A,0)))</f>
        <v/>
      </c>
      <c r="AM438" s="38" t="str">
        <f>IF(ISNA(MATCH($N438,data!$A:$A,0)),"",INDEX(data!B:B,MATCH($N438,data!$A:$A,0)))</f>
        <v/>
      </c>
      <c r="AN438" s="38" t="str">
        <f>IF(ISNA(MATCH($N438,data!$A:$A,0)),"",INDEX(data!C:C,MATCH($N438,data!$A:$A,0)))</f>
        <v/>
      </c>
      <c r="AO438" s="38" t="str">
        <f>IF(ISNA(MATCH($N438,data!$A:$A,0)),"",INDEX(data!D:D,MATCH($N438,data!$A:$A,0)))</f>
        <v/>
      </c>
      <c r="AP438" s="38" t="str">
        <f>IF(ISNA(MATCH($N438,data!$A:$A,0)),"",INDEX(data!E:E,MATCH($N438,data!$A:$A,0)))</f>
        <v/>
      </c>
      <c r="AQ438" s="38" t="str">
        <f>IF(ISNA(MATCH($N438,data!$A:$A,0)),"",INDEX(data!F:F,MATCH($N438,data!$A:$A,0)))</f>
        <v/>
      </c>
      <c r="AR438" s="38" t="str">
        <f>IF(ISNA(MATCH($N438,data!$A:$A,0)),"",INDEX(data!G:G,MATCH($N438,data!$A:$A,0)))</f>
        <v/>
      </c>
      <c r="AS438" s="38" t="str">
        <f>IF(ISNA(MATCH($N438,data!$A:$A,0)),"",INDEX(data!H:H,MATCH($N438,data!$A:$A,0)))</f>
        <v/>
      </c>
      <c r="AT438" s="38" t="str">
        <f>IF(ISNA(MATCH($N438,data!$A:$A,0)),"",INDEX(data!I:I,MATCH($N438,data!$A:$A,0)))</f>
        <v/>
      </c>
      <c r="AU438" s="38" t="str">
        <f>IF(ISNA(MATCH($N438,[1]data!$A:$A,0)),"",INDEX([1]data!L:L,MATCH($N438,[1]data!$A:$A,0)))</f>
        <v/>
      </c>
      <c r="AV438" s="38" t="str">
        <f>IF(ISNA(MATCH($N438,[1]data!$A:$A,0)),"",INDEX([1]data!M:M,MATCH($N438,[1]data!$A:$A,0)))</f>
        <v/>
      </c>
      <c r="AW438" s="38" t="str">
        <f>IF(ISNA(MATCH($N438,data!$A:$A,0)),"",INDEX(data!J:J,MATCH($N438,data!$A:$A,0)))</f>
        <v/>
      </c>
      <c r="AX438" s="38" t="str">
        <f>IF(ISNA(MATCH($N438,data!$A:$A,0)),"",INDEX(data!K:K,MATCH($N438,data!$A:$A,0)))</f>
        <v/>
      </c>
      <c r="AY438" s="38" t="str">
        <f>IF(ISNA(MATCH($N438,data!$A:$A,0)),"",INDEX(data!O:O,MATCH($N438,data!$A:$A,0)))</f>
        <v/>
      </c>
      <c r="AZ438" s="38" t="str">
        <f>IF(ISNA(MATCH($N438,data!$A:$A,0)),"",INDEX(data!N:N,MATCH($N438,data!$A:$A,0)))</f>
        <v/>
      </c>
      <c r="BA438" s="38" t="str">
        <f>IF(ISNA(MATCH($N438,data!$A:$A,0)),"",INDEX(data!P:P,MATCH($N438,data!$A:$A,0)))</f>
        <v/>
      </c>
      <c r="BB438" s="38" t="str">
        <f>IF(ISNA(MATCH($N438,data!$A:$A,0)),"",INDEX(data!Q:Q,MATCH($N438,data!$A:$A,0)))</f>
        <v/>
      </c>
      <c r="BC438" s="38" t="str">
        <f>IF(ISNA(MATCH($N438,data!$A:$A,0)),"",INDEX(data!R:R,MATCH($N438,data!$A:$A,0)))</f>
        <v/>
      </c>
      <c r="BD438" s="38" t="str">
        <f>IF(ISNA(MATCH($N438,[1]data!$A:$A,0)),"",INDEX([1]data!U:U,MATCH($N438,[1]data!$A:$A,0)))</f>
        <v/>
      </c>
      <c r="BE438" s="61" t="e">
        <f>IF(COUNTIF([1]data!A:A,[1]!Table1[[#This Row],[UPC]])&lt;2,"","DUP")</f>
        <v>#VALUE!</v>
      </c>
      <c r="BF438" s="38" t="str">
        <f>IF(ISNA(MATCH($N438,data!$A:$A,0)),"",INDEX(data!W:W,MATCH($N438,data!$A:$A,0)))</f>
        <v/>
      </c>
    </row>
    <row r="439" spans="1:58" ht="12.75" customHeight="1">
      <c r="A439" s="35"/>
      <c r="B439" s="35"/>
      <c r="C439" s="35"/>
      <c r="D439" s="35"/>
      <c r="E439" s="67"/>
      <c r="F439" s="67"/>
      <c r="G439" s="36"/>
      <c r="H439" s="29"/>
      <c r="I439" s="78" t="str">
        <f t="shared" si="8"/>
        <v/>
      </c>
      <c r="J439" s="29"/>
      <c r="K439" s="29"/>
      <c r="L439" s="33"/>
      <c r="M439" s="33"/>
      <c r="N439" s="60"/>
      <c r="O439" s="71"/>
      <c r="P439" s="71"/>
      <c r="Q439" s="33"/>
      <c r="R439" s="31"/>
      <c r="S439" s="31"/>
      <c r="T439" s="59"/>
      <c r="U439" s="59"/>
      <c r="V439" s="59"/>
      <c r="W439" s="57">
        <f t="shared" si="9"/>
        <v>0</v>
      </c>
      <c r="X439" s="126" t="str">
        <f>IF(Table1[[#This Row],[Shipping Weight Pounds]]&gt;150,"See LTL Form","No")</f>
        <v>No</v>
      </c>
      <c r="Y439" s="28"/>
      <c r="Z439" s="33"/>
      <c r="AA439" s="34"/>
      <c r="AB439" s="30"/>
      <c r="AC439" s="30"/>
      <c r="AD439" s="32"/>
      <c r="AE439" s="32"/>
      <c r="AF439" s="2"/>
      <c r="AG439" s="2"/>
      <c r="AH439" s="2"/>
      <c r="AI439" s="2"/>
      <c r="AK439" s="73" t="str">
        <f>IF(ISNA(MATCH($N439,[1]data!$A:$A,0)),"",INDEX([1]data!S:S,MATCH($N439,[1]data!$A:$A,0)))</f>
        <v/>
      </c>
      <c r="AL439" s="73" t="str">
        <f>IF(ISNA(MATCH($N439,[1]data!$A:$A,0)),"",INDEX([1]data!V:V,MATCH($N439,[1]data!$A:$A,0)))</f>
        <v/>
      </c>
      <c r="AM439" s="38" t="str">
        <f>IF(ISNA(MATCH($N439,data!$A:$A,0)),"",INDEX(data!B:B,MATCH($N439,data!$A:$A,0)))</f>
        <v/>
      </c>
      <c r="AN439" s="38" t="str">
        <f>IF(ISNA(MATCH($N439,data!$A:$A,0)),"",INDEX(data!C:C,MATCH($N439,data!$A:$A,0)))</f>
        <v/>
      </c>
      <c r="AO439" s="38" t="str">
        <f>IF(ISNA(MATCH($N439,data!$A:$A,0)),"",INDEX(data!D:D,MATCH($N439,data!$A:$A,0)))</f>
        <v/>
      </c>
      <c r="AP439" s="38" t="str">
        <f>IF(ISNA(MATCH($N439,data!$A:$A,0)),"",INDEX(data!E:E,MATCH($N439,data!$A:$A,0)))</f>
        <v/>
      </c>
      <c r="AQ439" s="38" t="str">
        <f>IF(ISNA(MATCH($N439,data!$A:$A,0)),"",INDEX(data!F:F,MATCH($N439,data!$A:$A,0)))</f>
        <v/>
      </c>
      <c r="AR439" s="38" t="str">
        <f>IF(ISNA(MATCH($N439,data!$A:$A,0)),"",INDEX(data!G:G,MATCH($N439,data!$A:$A,0)))</f>
        <v/>
      </c>
      <c r="AS439" s="38" t="str">
        <f>IF(ISNA(MATCH($N439,data!$A:$A,0)),"",INDEX(data!H:H,MATCH($N439,data!$A:$A,0)))</f>
        <v/>
      </c>
      <c r="AT439" s="38" t="str">
        <f>IF(ISNA(MATCH($N439,data!$A:$A,0)),"",INDEX(data!I:I,MATCH($N439,data!$A:$A,0)))</f>
        <v/>
      </c>
      <c r="AU439" s="38" t="str">
        <f>IF(ISNA(MATCH($N439,[1]data!$A:$A,0)),"",INDEX([1]data!L:L,MATCH($N439,[1]data!$A:$A,0)))</f>
        <v/>
      </c>
      <c r="AV439" s="38" t="str">
        <f>IF(ISNA(MATCH($N439,[1]data!$A:$A,0)),"",INDEX([1]data!M:M,MATCH($N439,[1]data!$A:$A,0)))</f>
        <v/>
      </c>
      <c r="AW439" s="38" t="str">
        <f>IF(ISNA(MATCH($N439,data!$A:$A,0)),"",INDEX(data!J:J,MATCH($N439,data!$A:$A,0)))</f>
        <v/>
      </c>
      <c r="AX439" s="38" t="str">
        <f>IF(ISNA(MATCH($N439,data!$A:$A,0)),"",INDEX(data!K:K,MATCH($N439,data!$A:$A,0)))</f>
        <v/>
      </c>
      <c r="AY439" s="38" t="str">
        <f>IF(ISNA(MATCH($N439,data!$A:$A,0)),"",INDEX(data!O:O,MATCH($N439,data!$A:$A,0)))</f>
        <v/>
      </c>
      <c r="AZ439" s="38" t="str">
        <f>IF(ISNA(MATCH($N439,data!$A:$A,0)),"",INDEX(data!N:N,MATCH($N439,data!$A:$A,0)))</f>
        <v/>
      </c>
      <c r="BA439" s="38" t="str">
        <f>IF(ISNA(MATCH($N439,data!$A:$A,0)),"",INDEX(data!P:P,MATCH($N439,data!$A:$A,0)))</f>
        <v/>
      </c>
      <c r="BB439" s="38" t="str">
        <f>IF(ISNA(MATCH($N439,data!$A:$A,0)),"",INDEX(data!Q:Q,MATCH($N439,data!$A:$A,0)))</f>
        <v/>
      </c>
      <c r="BC439" s="38" t="str">
        <f>IF(ISNA(MATCH($N439,data!$A:$A,0)),"",INDEX(data!R:R,MATCH($N439,data!$A:$A,0)))</f>
        <v/>
      </c>
      <c r="BD439" s="38" t="str">
        <f>IF(ISNA(MATCH($N439,[1]data!$A:$A,0)),"",INDEX([1]data!U:U,MATCH($N439,[1]data!$A:$A,0)))</f>
        <v/>
      </c>
      <c r="BE439" s="61" t="e">
        <f>IF(COUNTIF([1]data!A:A,[1]!Table1[[#This Row],[UPC]])&lt;2,"","DUP")</f>
        <v>#VALUE!</v>
      </c>
      <c r="BF439" s="38" t="str">
        <f>IF(ISNA(MATCH($N439,data!$A:$A,0)),"",INDEX(data!W:W,MATCH($N439,data!$A:$A,0)))</f>
        <v/>
      </c>
    </row>
    <row r="440" spans="1:58" ht="12.75" customHeight="1">
      <c r="A440" s="35"/>
      <c r="B440" s="35"/>
      <c r="C440" s="35"/>
      <c r="D440" s="35"/>
      <c r="E440" s="67"/>
      <c r="F440" s="67"/>
      <c r="G440" s="36"/>
      <c r="H440" s="29"/>
      <c r="I440" s="78" t="str">
        <f t="shared" si="8"/>
        <v/>
      </c>
      <c r="J440" s="29"/>
      <c r="K440" s="29"/>
      <c r="L440" s="33"/>
      <c r="M440" s="33"/>
      <c r="N440" s="60"/>
      <c r="O440" s="71"/>
      <c r="P440" s="71"/>
      <c r="Q440" s="33"/>
      <c r="R440" s="31"/>
      <c r="S440" s="31"/>
      <c r="T440" s="59"/>
      <c r="U440" s="59"/>
      <c r="V440" s="59"/>
      <c r="W440" s="57">
        <f t="shared" si="9"/>
        <v>0</v>
      </c>
      <c r="X440" s="126" t="str">
        <f>IF(Table1[[#This Row],[Shipping Weight Pounds]]&gt;150,"See LTL Form","No")</f>
        <v>No</v>
      </c>
      <c r="Y440" s="28"/>
      <c r="Z440" s="33"/>
      <c r="AA440" s="34"/>
      <c r="AB440" s="30"/>
      <c r="AC440" s="30"/>
      <c r="AD440" s="32"/>
      <c r="AE440" s="32"/>
      <c r="AF440" s="2"/>
      <c r="AG440" s="2"/>
      <c r="AH440" s="2"/>
      <c r="AI440" s="2"/>
      <c r="AK440" s="73" t="str">
        <f>IF(ISNA(MATCH($N440,[1]data!$A:$A,0)),"",INDEX([1]data!S:S,MATCH($N440,[1]data!$A:$A,0)))</f>
        <v/>
      </c>
      <c r="AL440" s="73" t="str">
        <f>IF(ISNA(MATCH($N440,[1]data!$A:$A,0)),"",INDEX([1]data!V:V,MATCH($N440,[1]data!$A:$A,0)))</f>
        <v/>
      </c>
      <c r="AM440" s="38" t="str">
        <f>IF(ISNA(MATCH($N440,data!$A:$A,0)),"",INDEX(data!B:B,MATCH($N440,data!$A:$A,0)))</f>
        <v/>
      </c>
      <c r="AN440" s="38" t="str">
        <f>IF(ISNA(MATCH($N440,data!$A:$A,0)),"",INDEX(data!C:C,MATCH($N440,data!$A:$A,0)))</f>
        <v/>
      </c>
      <c r="AO440" s="38" t="str">
        <f>IF(ISNA(MATCH($N440,data!$A:$A,0)),"",INDEX(data!D:D,MATCH($N440,data!$A:$A,0)))</f>
        <v/>
      </c>
      <c r="AP440" s="38" t="str">
        <f>IF(ISNA(MATCH($N440,data!$A:$A,0)),"",INDEX(data!E:E,MATCH($N440,data!$A:$A,0)))</f>
        <v/>
      </c>
      <c r="AQ440" s="38" t="str">
        <f>IF(ISNA(MATCH($N440,data!$A:$A,0)),"",INDEX(data!F:F,MATCH($N440,data!$A:$A,0)))</f>
        <v/>
      </c>
      <c r="AR440" s="38" t="str">
        <f>IF(ISNA(MATCH($N440,data!$A:$A,0)),"",INDEX(data!G:G,MATCH($N440,data!$A:$A,0)))</f>
        <v/>
      </c>
      <c r="AS440" s="38" t="str">
        <f>IF(ISNA(MATCH($N440,data!$A:$A,0)),"",INDEX(data!H:H,MATCH($N440,data!$A:$A,0)))</f>
        <v/>
      </c>
      <c r="AT440" s="38" t="str">
        <f>IF(ISNA(MATCH($N440,data!$A:$A,0)),"",INDEX(data!I:I,MATCH($N440,data!$A:$A,0)))</f>
        <v/>
      </c>
      <c r="AU440" s="38" t="str">
        <f>IF(ISNA(MATCH($N440,[1]data!$A:$A,0)),"",INDEX([1]data!L:L,MATCH($N440,[1]data!$A:$A,0)))</f>
        <v/>
      </c>
      <c r="AV440" s="38" t="str">
        <f>IF(ISNA(MATCH($N440,[1]data!$A:$A,0)),"",INDEX([1]data!M:M,MATCH($N440,[1]data!$A:$A,0)))</f>
        <v/>
      </c>
      <c r="AW440" s="38" t="str">
        <f>IF(ISNA(MATCH($N440,data!$A:$A,0)),"",INDEX(data!J:J,MATCH($N440,data!$A:$A,0)))</f>
        <v/>
      </c>
      <c r="AX440" s="38" t="str">
        <f>IF(ISNA(MATCH($N440,data!$A:$A,0)),"",INDEX(data!K:K,MATCH($N440,data!$A:$A,0)))</f>
        <v/>
      </c>
      <c r="AY440" s="38" t="str">
        <f>IF(ISNA(MATCH($N440,data!$A:$A,0)),"",INDEX(data!O:O,MATCH($N440,data!$A:$A,0)))</f>
        <v/>
      </c>
      <c r="AZ440" s="38" t="str">
        <f>IF(ISNA(MATCH($N440,data!$A:$A,0)),"",INDEX(data!N:N,MATCH($N440,data!$A:$A,0)))</f>
        <v/>
      </c>
      <c r="BA440" s="38" t="str">
        <f>IF(ISNA(MATCH($N440,data!$A:$A,0)),"",INDEX(data!P:P,MATCH($N440,data!$A:$A,0)))</f>
        <v/>
      </c>
      <c r="BB440" s="38" t="str">
        <f>IF(ISNA(MATCH($N440,data!$A:$A,0)),"",INDEX(data!Q:Q,MATCH($N440,data!$A:$A,0)))</f>
        <v/>
      </c>
      <c r="BC440" s="38" t="str">
        <f>IF(ISNA(MATCH($N440,data!$A:$A,0)),"",INDEX(data!R:R,MATCH($N440,data!$A:$A,0)))</f>
        <v/>
      </c>
      <c r="BD440" s="38" t="str">
        <f>IF(ISNA(MATCH($N440,[1]data!$A:$A,0)),"",INDEX([1]data!U:U,MATCH($N440,[1]data!$A:$A,0)))</f>
        <v/>
      </c>
      <c r="BE440" s="61" t="e">
        <f>IF(COUNTIF([1]data!A:A,[1]!Table1[[#This Row],[UPC]])&lt;2,"","DUP")</f>
        <v>#VALUE!</v>
      </c>
      <c r="BF440" s="38" t="str">
        <f>IF(ISNA(MATCH($N440,data!$A:$A,0)),"",INDEX(data!W:W,MATCH($N440,data!$A:$A,0)))</f>
        <v/>
      </c>
    </row>
    <row r="441" spans="1:58" ht="12.75" customHeight="1">
      <c r="A441" s="35"/>
      <c r="B441" s="35"/>
      <c r="C441" s="35"/>
      <c r="D441" s="35"/>
      <c r="E441" s="67"/>
      <c r="F441" s="67"/>
      <c r="G441" s="36"/>
      <c r="H441" s="29"/>
      <c r="I441" s="78" t="str">
        <f t="shared" si="8"/>
        <v/>
      </c>
      <c r="J441" s="29"/>
      <c r="K441" s="29"/>
      <c r="L441" s="33"/>
      <c r="M441" s="33"/>
      <c r="N441" s="60"/>
      <c r="O441" s="71"/>
      <c r="P441" s="71"/>
      <c r="Q441" s="33"/>
      <c r="R441" s="31"/>
      <c r="S441" s="31"/>
      <c r="T441" s="59"/>
      <c r="U441" s="59"/>
      <c r="V441" s="59"/>
      <c r="W441" s="57">
        <f t="shared" si="9"/>
        <v>0</v>
      </c>
      <c r="X441" s="126" t="str">
        <f>IF(Table1[[#This Row],[Shipping Weight Pounds]]&gt;150,"See LTL Form","No")</f>
        <v>No</v>
      </c>
      <c r="Y441" s="28"/>
      <c r="Z441" s="33"/>
      <c r="AA441" s="34"/>
      <c r="AB441" s="30"/>
      <c r="AC441" s="30"/>
      <c r="AD441" s="32"/>
      <c r="AE441" s="32"/>
      <c r="AF441" s="2"/>
      <c r="AG441" s="2"/>
      <c r="AH441" s="2"/>
      <c r="AI441" s="2"/>
      <c r="AK441" s="73" t="str">
        <f>IF(ISNA(MATCH($N441,[1]data!$A:$A,0)),"",INDEX([1]data!S:S,MATCH($N441,[1]data!$A:$A,0)))</f>
        <v/>
      </c>
      <c r="AL441" s="73" t="str">
        <f>IF(ISNA(MATCH($N441,[1]data!$A:$A,0)),"",INDEX([1]data!V:V,MATCH($N441,[1]data!$A:$A,0)))</f>
        <v/>
      </c>
      <c r="AM441" s="38" t="str">
        <f>IF(ISNA(MATCH($N441,data!$A:$A,0)),"",INDEX(data!B:B,MATCH($N441,data!$A:$A,0)))</f>
        <v/>
      </c>
      <c r="AN441" s="38" t="str">
        <f>IF(ISNA(MATCH($N441,data!$A:$A,0)),"",INDEX(data!C:C,MATCH($N441,data!$A:$A,0)))</f>
        <v/>
      </c>
      <c r="AO441" s="38" t="str">
        <f>IF(ISNA(MATCH($N441,data!$A:$A,0)),"",INDEX(data!D:D,MATCH($N441,data!$A:$A,0)))</f>
        <v/>
      </c>
      <c r="AP441" s="38" t="str">
        <f>IF(ISNA(MATCH($N441,data!$A:$A,0)),"",INDEX(data!E:E,MATCH($N441,data!$A:$A,0)))</f>
        <v/>
      </c>
      <c r="AQ441" s="38" t="str">
        <f>IF(ISNA(MATCH($N441,data!$A:$A,0)),"",INDEX(data!F:F,MATCH($N441,data!$A:$A,0)))</f>
        <v/>
      </c>
      <c r="AR441" s="38" t="str">
        <f>IF(ISNA(MATCH($N441,data!$A:$A,0)),"",INDEX(data!G:G,MATCH($N441,data!$A:$A,0)))</f>
        <v/>
      </c>
      <c r="AS441" s="38" t="str">
        <f>IF(ISNA(MATCH($N441,data!$A:$A,0)),"",INDEX(data!H:H,MATCH($N441,data!$A:$A,0)))</f>
        <v/>
      </c>
      <c r="AT441" s="38" t="str">
        <f>IF(ISNA(MATCH($N441,data!$A:$A,0)),"",INDEX(data!I:I,MATCH($N441,data!$A:$A,0)))</f>
        <v/>
      </c>
      <c r="AU441" s="38" t="str">
        <f>IF(ISNA(MATCH($N441,[1]data!$A:$A,0)),"",INDEX([1]data!L:L,MATCH($N441,[1]data!$A:$A,0)))</f>
        <v/>
      </c>
      <c r="AV441" s="38" t="str">
        <f>IF(ISNA(MATCH($N441,[1]data!$A:$A,0)),"",INDEX([1]data!M:M,MATCH($N441,[1]data!$A:$A,0)))</f>
        <v/>
      </c>
      <c r="AW441" s="38" t="str">
        <f>IF(ISNA(MATCH($N441,data!$A:$A,0)),"",INDEX(data!J:J,MATCH($N441,data!$A:$A,0)))</f>
        <v/>
      </c>
      <c r="AX441" s="38" t="str">
        <f>IF(ISNA(MATCH($N441,data!$A:$A,0)),"",INDEX(data!K:K,MATCH($N441,data!$A:$A,0)))</f>
        <v/>
      </c>
      <c r="AY441" s="38" t="str">
        <f>IF(ISNA(MATCH($N441,data!$A:$A,0)),"",INDEX(data!O:O,MATCH($N441,data!$A:$A,0)))</f>
        <v/>
      </c>
      <c r="AZ441" s="38" t="str">
        <f>IF(ISNA(MATCH($N441,data!$A:$A,0)),"",INDEX(data!N:N,MATCH($N441,data!$A:$A,0)))</f>
        <v/>
      </c>
      <c r="BA441" s="38" t="str">
        <f>IF(ISNA(MATCH($N441,data!$A:$A,0)),"",INDEX(data!P:P,MATCH($N441,data!$A:$A,0)))</f>
        <v/>
      </c>
      <c r="BB441" s="38" t="str">
        <f>IF(ISNA(MATCH($N441,data!$A:$A,0)),"",INDEX(data!Q:Q,MATCH($N441,data!$A:$A,0)))</f>
        <v/>
      </c>
      <c r="BC441" s="38" t="str">
        <f>IF(ISNA(MATCH($N441,data!$A:$A,0)),"",INDEX(data!R:R,MATCH($N441,data!$A:$A,0)))</f>
        <v/>
      </c>
      <c r="BD441" s="38" t="str">
        <f>IF(ISNA(MATCH($N441,[1]data!$A:$A,0)),"",INDEX([1]data!U:U,MATCH($N441,[1]data!$A:$A,0)))</f>
        <v/>
      </c>
      <c r="BE441" s="61" t="e">
        <f>IF(COUNTIF([1]data!A:A,[1]!Table1[[#This Row],[UPC]])&lt;2,"","DUP")</f>
        <v>#VALUE!</v>
      </c>
      <c r="BF441" s="38" t="str">
        <f>IF(ISNA(MATCH($N441,data!$A:$A,0)),"",INDEX(data!W:W,MATCH($N441,data!$A:$A,0)))</f>
        <v/>
      </c>
    </row>
    <row r="442" spans="1:58" ht="12.75" customHeight="1">
      <c r="A442" s="35"/>
      <c r="B442" s="35"/>
      <c r="C442" s="35"/>
      <c r="D442" s="35"/>
      <c r="E442" s="67"/>
      <c r="F442" s="67"/>
      <c r="G442" s="36"/>
      <c r="H442" s="29"/>
      <c r="I442" s="78" t="str">
        <f t="shared" si="8"/>
        <v/>
      </c>
      <c r="J442" s="29"/>
      <c r="K442" s="29"/>
      <c r="L442" s="33"/>
      <c r="M442" s="33"/>
      <c r="N442" s="60"/>
      <c r="O442" s="71"/>
      <c r="P442" s="71"/>
      <c r="Q442" s="33"/>
      <c r="R442" s="31"/>
      <c r="S442" s="31"/>
      <c r="T442" s="59"/>
      <c r="U442" s="59"/>
      <c r="V442" s="59"/>
      <c r="W442" s="57">
        <f t="shared" si="9"/>
        <v>0</v>
      </c>
      <c r="X442" s="126" t="str">
        <f>IF(Table1[[#This Row],[Shipping Weight Pounds]]&gt;150,"See LTL Form","No")</f>
        <v>No</v>
      </c>
      <c r="Y442" s="28"/>
      <c r="Z442" s="33"/>
      <c r="AA442" s="34"/>
      <c r="AB442" s="30"/>
      <c r="AC442" s="30"/>
      <c r="AD442" s="32"/>
      <c r="AE442" s="32"/>
      <c r="AF442" s="2"/>
      <c r="AG442" s="2"/>
      <c r="AH442" s="2"/>
      <c r="AI442" s="2"/>
      <c r="AK442" s="73" t="str">
        <f>IF(ISNA(MATCH($N442,[1]data!$A:$A,0)),"",INDEX([1]data!S:S,MATCH($N442,[1]data!$A:$A,0)))</f>
        <v/>
      </c>
      <c r="AL442" s="73" t="str">
        <f>IF(ISNA(MATCH($N442,[1]data!$A:$A,0)),"",INDEX([1]data!V:V,MATCH($N442,[1]data!$A:$A,0)))</f>
        <v/>
      </c>
      <c r="AM442" s="38" t="str">
        <f>IF(ISNA(MATCH($N442,data!$A:$A,0)),"",INDEX(data!B:B,MATCH($N442,data!$A:$A,0)))</f>
        <v/>
      </c>
      <c r="AN442" s="38" t="str">
        <f>IF(ISNA(MATCH($N442,data!$A:$A,0)),"",INDEX(data!C:C,MATCH($N442,data!$A:$A,0)))</f>
        <v/>
      </c>
      <c r="AO442" s="38" t="str">
        <f>IF(ISNA(MATCH($N442,data!$A:$A,0)),"",INDEX(data!D:D,MATCH($N442,data!$A:$A,0)))</f>
        <v/>
      </c>
      <c r="AP442" s="38" t="str">
        <f>IF(ISNA(MATCH($N442,data!$A:$A,0)),"",INDEX(data!E:E,MATCH($N442,data!$A:$A,0)))</f>
        <v/>
      </c>
      <c r="AQ442" s="38" t="str">
        <f>IF(ISNA(MATCH($N442,data!$A:$A,0)),"",INDEX(data!F:F,MATCH($N442,data!$A:$A,0)))</f>
        <v/>
      </c>
      <c r="AR442" s="38" t="str">
        <f>IF(ISNA(MATCH($N442,data!$A:$A,0)),"",INDEX(data!G:G,MATCH($N442,data!$A:$A,0)))</f>
        <v/>
      </c>
      <c r="AS442" s="38" t="str">
        <f>IF(ISNA(MATCH($N442,data!$A:$A,0)),"",INDEX(data!H:H,MATCH($N442,data!$A:$A,0)))</f>
        <v/>
      </c>
      <c r="AT442" s="38" t="str">
        <f>IF(ISNA(MATCH($N442,data!$A:$A,0)),"",INDEX(data!I:I,MATCH($N442,data!$A:$A,0)))</f>
        <v/>
      </c>
      <c r="AU442" s="38" t="str">
        <f>IF(ISNA(MATCH($N442,[1]data!$A:$A,0)),"",INDEX([1]data!L:L,MATCH($N442,[1]data!$A:$A,0)))</f>
        <v/>
      </c>
      <c r="AV442" s="38" t="str">
        <f>IF(ISNA(MATCH($N442,[1]data!$A:$A,0)),"",INDEX([1]data!M:M,MATCH($N442,[1]data!$A:$A,0)))</f>
        <v/>
      </c>
      <c r="AW442" s="38" t="str">
        <f>IF(ISNA(MATCH($N442,data!$A:$A,0)),"",INDEX(data!J:J,MATCH($N442,data!$A:$A,0)))</f>
        <v/>
      </c>
      <c r="AX442" s="38" t="str">
        <f>IF(ISNA(MATCH($N442,data!$A:$A,0)),"",INDEX(data!K:K,MATCH($N442,data!$A:$A,0)))</f>
        <v/>
      </c>
      <c r="AY442" s="38" t="str">
        <f>IF(ISNA(MATCH($N442,data!$A:$A,0)),"",INDEX(data!O:O,MATCH($N442,data!$A:$A,0)))</f>
        <v/>
      </c>
      <c r="AZ442" s="38" t="str">
        <f>IF(ISNA(MATCH($N442,data!$A:$A,0)),"",INDEX(data!N:N,MATCH($N442,data!$A:$A,0)))</f>
        <v/>
      </c>
      <c r="BA442" s="38" t="str">
        <f>IF(ISNA(MATCH($N442,data!$A:$A,0)),"",INDEX(data!P:P,MATCH($N442,data!$A:$A,0)))</f>
        <v/>
      </c>
      <c r="BB442" s="38" t="str">
        <f>IF(ISNA(MATCH($N442,data!$A:$A,0)),"",INDEX(data!Q:Q,MATCH($N442,data!$A:$A,0)))</f>
        <v/>
      </c>
      <c r="BC442" s="38" t="str">
        <f>IF(ISNA(MATCH($N442,data!$A:$A,0)),"",INDEX(data!R:R,MATCH($N442,data!$A:$A,0)))</f>
        <v/>
      </c>
      <c r="BD442" s="38" t="str">
        <f>IF(ISNA(MATCH($N442,[1]data!$A:$A,0)),"",INDEX([1]data!U:U,MATCH($N442,[1]data!$A:$A,0)))</f>
        <v/>
      </c>
      <c r="BE442" s="61" t="e">
        <f>IF(COUNTIF([1]data!A:A,[1]!Table1[[#This Row],[UPC]])&lt;2,"","DUP")</f>
        <v>#VALUE!</v>
      </c>
      <c r="BF442" s="38" t="str">
        <f>IF(ISNA(MATCH($N442,data!$A:$A,0)),"",INDEX(data!W:W,MATCH($N442,data!$A:$A,0)))</f>
        <v/>
      </c>
    </row>
    <row r="443" spans="1:58" ht="12.75" customHeight="1">
      <c r="A443" s="35"/>
      <c r="B443" s="35"/>
      <c r="C443" s="35"/>
      <c r="D443" s="35"/>
      <c r="E443" s="67"/>
      <c r="F443" s="67"/>
      <c r="G443" s="36"/>
      <c r="H443" s="29"/>
      <c r="I443" s="78" t="str">
        <f t="shared" si="8"/>
        <v/>
      </c>
      <c r="J443" s="29"/>
      <c r="K443" s="29"/>
      <c r="L443" s="33"/>
      <c r="M443" s="33"/>
      <c r="N443" s="60"/>
      <c r="O443" s="71"/>
      <c r="P443" s="71"/>
      <c r="Q443" s="33"/>
      <c r="R443" s="31"/>
      <c r="S443" s="31"/>
      <c r="T443" s="59"/>
      <c r="U443" s="59"/>
      <c r="V443" s="59"/>
      <c r="W443" s="57">
        <f t="shared" si="9"/>
        <v>0</v>
      </c>
      <c r="X443" s="126" t="str">
        <f>IF(Table1[[#This Row],[Shipping Weight Pounds]]&gt;150,"See LTL Form","No")</f>
        <v>No</v>
      </c>
      <c r="Y443" s="28"/>
      <c r="Z443" s="33"/>
      <c r="AA443" s="34"/>
      <c r="AB443" s="30"/>
      <c r="AC443" s="30"/>
      <c r="AD443" s="32"/>
      <c r="AE443" s="32"/>
      <c r="AF443" s="2"/>
      <c r="AG443" s="2"/>
      <c r="AH443" s="2"/>
      <c r="AI443" s="2"/>
      <c r="AK443" s="73" t="str">
        <f>IF(ISNA(MATCH($N443,[1]data!$A:$A,0)),"",INDEX([1]data!S:S,MATCH($N443,[1]data!$A:$A,0)))</f>
        <v/>
      </c>
      <c r="AL443" s="73" t="str">
        <f>IF(ISNA(MATCH($N443,[1]data!$A:$A,0)),"",INDEX([1]data!V:V,MATCH($N443,[1]data!$A:$A,0)))</f>
        <v/>
      </c>
      <c r="AM443" s="38" t="str">
        <f>IF(ISNA(MATCH($N443,data!$A:$A,0)),"",INDEX(data!B:B,MATCH($N443,data!$A:$A,0)))</f>
        <v/>
      </c>
      <c r="AN443" s="38" t="str">
        <f>IF(ISNA(MATCH($N443,data!$A:$A,0)),"",INDEX(data!C:C,MATCH($N443,data!$A:$A,0)))</f>
        <v/>
      </c>
      <c r="AO443" s="38" t="str">
        <f>IF(ISNA(MATCH($N443,data!$A:$A,0)),"",INDEX(data!D:D,MATCH($N443,data!$A:$A,0)))</f>
        <v/>
      </c>
      <c r="AP443" s="38" t="str">
        <f>IF(ISNA(MATCH($N443,data!$A:$A,0)),"",INDEX(data!E:E,MATCH($N443,data!$A:$A,0)))</f>
        <v/>
      </c>
      <c r="AQ443" s="38" t="str">
        <f>IF(ISNA(MATCH($N443,data!$A:$A,0)),"",INDEX(data!F:F,MATCH($N443,data!$A:$A,0)))</f>
        <v/>
      </c>
      <c r="AR443" s="38" t="str">
        <f>IF(ISNA(MATCH($N443,data!$A:$A,0)),"",INDEX(data!G:G,MATCH($N443,data!$A:$A,0)))</f>
        <v/>
      </c>
      <c r="AS443" s="38" t="str">
        <f>IF(ISNA(MATCH($N443,data!$A:$A,0)),"",INDEX(data!H:H,MATCH($N443,data!$A:$A,0)))</f>
        <v/>
      </c>
      <c r="AT443" s="38" t="str">
        <f>IF(ISNA(MATCH($N443,data!$A:$A,0)),"",INDEX(data!I:I,MATCH($N443,data!$A:$A,0)))</f>
        <v/>
      </c>
      <c r="AU443" s="38" t="str">
        <f>IF(ISNA(MATCH($N443,[1]data!$A:$A,0)),"",INDEX([1]data!L:L,MATCH($N443,[1]data!$A:$A,0)))</f>
        <v/>
      </c>
      <c r="AV443" s="38" t="str">
        <f>IF(ISNA(MATCH($N443,[1]data!$A:$A,0)),"",INDEX([1]data!M:M,MATCH($N443,[1]data!$A:$A,0)))</f>
        <v/>
      </c>
      <c r="AW443" s="38" t="str">
        <f>IF(ISNA(MATCH($N443,data!$A:$A,0)),"",INDEX(data!J:J,MATCH($N443,data!$A:$A,0)))</f>
        <v/>
      </c>
      <c r="AX443" s="38" t="str">
        <f>IF(ISNA(MATCH($N443,data!$A:$A,0)),"",INDEX(data!K:K,MATCH($N443,data!$A:$A,0)))</f>
        <v/>
      </c>
      <c r="AY443" s="38" t="str">
        <f>IF(ISNA(MATCH($N443,data!$A:$A,0)),"",INDEX(data!O:O,MATCH($N443,data!$A:$A,0)))</f>
        <v/>
      </c>
      <c r="AZ443" s="38" t="str">
        <f>IF(ISNA(MATCH($N443,data!$A:$A,0)),"",INDEX(data!N:N,MATCH($N443,data!$A:$A,0)))</f>
        <v/>
      </c>
      <c r="BA443" s="38" t="str">
        <f>IF(ISNA(MATCH($N443,data!$A:$A,0)),"",INDEX(data!P:P,MATCH($N443,data!$A:$A,0)))</f>
        <v/>
      </c>
      <c r="BB443" s="38" t="str">
        <f>IF(ISNA(MATCH($N443,data!$A:$A,0)),"",INDEX(data!Q:Q,MATCH($N443,data!$A:$A,0)))</f>
        <v/>
      </c>
      <c r="BC443" s="38" t="str">
        <f>IF(ISNA(MATCH($N443,data!$A:$A,0)),"",INDEX(data!R:R,MATCH($N443,data!$A:$A,0)))</f>
        <v/>
      </c>
      <c r="BD443" s="38" t="str">
        <f>IF(ISNA(MATCH($N443,[1]data!$A:$A,0)),"",INDEX([1]data!U:U,MATCH($N443,[1]data!$A:$A,0)))</f>
        <v/>
      </c>
      <c r="BE443" s="61" t="e">
        <f>IF(COUNTIF([1]data!A:A,[1]!Table1[[#This Row],[UPC]])&lt;2,"","DUP")</f>
        <v>#VALUE!</v>
      </c>
      <c r="BF443" s="38" t="str">
        <f>IF(ISNA(MATCH($N443,data!$A:$A,0)),"",INDEX(data!W:W,MATCH($N443,data!$A:$A,0)))</f>
        <v/>
      </c>
    </row>
    <row r="444" spans="1:58" ht="12.75" customHeight="1">
      <c r="A444" s="35"/>
      <c r="B444" s="35"/>
      <c r="C444" s="35"/>
      <c r="D444" s="35"/>
      <c r="E444" s="67"/>
      <c r="F444" s="67"/>
      <c r="G444" s="36"/>
      <c r="H444" s="29"/>
      <c r="I444" s="78" t="str">
        <f t="shared" si="8"/>
        <v/>
      </c>
      <c r="J444" s="29"/>
      <c r="K444" s="29"/>
      <c r="L444" s="33"/>
      <c r="M444" s="33"/>
      <c r="N444" s="60"/>
      <c r="O444" s="71"/>
      <c r="P444" s="71"/>
      <c r="Q444" s="33"/>
      <c r="R444" s="31"/>
      <c r="S444" s="31"/>
      <c r="T444" s="59"/>
      <c r="U444" s="59"/>
      <c r="V444" s="59"/>
      <c r="W444" s="57">
        <f t="shared" si="9"/>
        <v>0</v>
      </c>
      <c r="X444" s="126" t="str">
        <f>IF(Table1[[#This Row],[Shipping Weight Pounds]]&gt;150,"See LTL Form","No")</f>
        <v>No</v>
      </c>
      <c r="Y444" s="28"/>
      <c r="Z444" s="33"/>
      <c r="AA444" s="34"/>
      <c r="AB444" s="30"/>
      <c r="AC444" s="30"/>
      <c r="AD444" s="32"/>
      <c r="AE444" s="32"/>
      <c r="AF444" s="2"/>
      <c r="AG444" s="2"/>
      <c r="AH444" s="2"/>
      <c r="AI444" s="2"/>
      <c r="AK444" s="73" t="str">
        <f>IF(ISNA(MATCH($N444,[1]data!$A:$A,0)),"",INDEX([1]data!S:S,MATCH($N444,[1]data!$A:$A,0)))</f>
        <v/>
      </c>
      <c r="AL444" s="73" t="str">
        <f>IF(ISNA(MATCH($N444,[1]data!$A:$A,0)),"",INDEX([1]data!V:V,MATCH($N444,[1]data!$A:$A,0)))</f>
        <v/>
      </c>
      <c r="AM444" s="38" t="str">
        <f>IF(ISNA(MATCH($N444,data!$A:$A,0)),"",INDEX(data!B:B,MATCH($N444,data!$A:$A,0)))</f>
        <v/>
      </c>
      <c r="AN444" s="38" t="str">
        <f>IF(ISNA(MATCH($N444,data!$A:$A,0)),"",INDEX(data!C:C,MATCH($N444,data!$A:$A,0)))</f>
        <v/>
      </c>
      <c r="AO444" s="38" t="str">
        <f>IF(ISNA(MATCH($N444,data!$A:$A,0)),"",INDEX(data!D:D,MATCH($N444,data!$A:$A,0)))</f>
        <v/>
      </c>
      <c r="AP444" s="38" t="str">
        <f>IF(ISNA(MATCH($N444,data!$A:$A,0)),"",INDEX(data!E:E,MATCH($N444,data!$A:$A,0)))</f>
        <v/>
      </c>
      <c r="AQ444" s="38" t="str">
        <f>IF(ISNA(MATCH($N444,data!$A:$A,0)),"",INDEX(data!F:F,MATCH($N444,data!$A:$A,0)))</f>
        <v/>
      </c>
      <c r="AR444" s="38" t="str">
        <f>IF(ISNA(MATCH($N444,data!$A:$A,0)),"",INDEX(data!G:G,MATCH($N444,data!$A:$A,0)))</f>
        <v/>
      </c>
      <c r="AS444" s="38" t="str">
        <f>IF(ISNA(MATCH($N444,data!$A:$A,0)),"",INDEX(data!H:H,MATCH($N444,data!$A:$A,0)))</f>
        <v/>
      </c>
      <c r="AT444" s="38" t="str">
        <f>IF(ISNA(MATCH($N444,data!$A:$A,0)),"",INDEX(data!I:I,MATCH($N444,data!$A:$A,0)))</f>
        <v/>
      </c>
      <c r="AU444" s="38" t="str">
        <f>IF(ISNA(MATCH($N444,[1]data!$A:$A,0)),"",INDEX([1]data!L:L,MATCH($N444,[1]data!$A:$A,0)))</f>
        <v/>
      </c>
      <c r="AV444" s="38" t="str">
        <f>IF(ISNA(MATCH($N444,[1]data!$A:$A,0)),"",INDEX([1]data!M:M,MATCH($N444,[1]data!$A:$A,0)))</f>
        <v/>
      </c>
      <c r="AW444" s="38" t="str">
        <f>IF(ISNA(MATCH($N444,data!$A:$A,0)),"",INDEX(data!J:J,MATCH($N444,data!$A:$A,0)))</f>
        <v/>
      </c>
      <c r="AX444" s="38" t="str">
        <f>IF(ISNA(MATCH($N444,data!$A:$A,0)),"",INDEX(data!K:K,MATCH($N444,data!$A:$A,0)))</f>
        <v/>
      </c>
      <c r="AY444" s="38" t="str">
        <f>IF(ISNA(MATCH($N444,data!$A:$A,0)),"",INDEX(data!O:O,MATCH($N444,data!$A:$A,0)))</f>
        <v/>
      </c>
      <c r="AZ444" s="38" t="str">
        <f>IF(ISNA(MATCH($N444,data!$A:$A,0)),"",INDEX(data!N:N,MATCH($N444,data!$A:$A,0)))</f>
        <v/>
      </c>
      <c r="BA444" s="38" t="str">
        <f>IF(ISNA(MATCH($N444,data!$A:$A,0)),"",INDEX(data!P:P,MATCH($N444,data!$A:$A,0)))</f>
        <v/>
      </c>
      <c r="BB444" s="38" t="str">
        <f>IF(ISNA(MATCH($N444,data!$A:$A,0)),"",INDEX(data!Q:Q,MATCH($N444,data!$A:$A,0)))</f>
        <v/>
      </c>
      <c r="BC444" s="38" t="str">
        <f>IF(ISNA(MATCH($N444,data!$A:$A,0)),"",INDEX(data!R:R,MATCH($N444,data!$A:$A,0)))</f>
        <v/>
      </c>
      <c r="BD444" s="38" t="str">
        <f>IF(ISNA(MATCH($N444,[1]data!$A:$A,0)),"",INDEX([1]data!U:U,MATCH($N444,[1]data!$A:$A,0)))</f>
        <v/>
      </c>
      <c r="BE444" s="61" t="e">
        <f>IF(COUNTIF([1]data!A:A,[1]!Table1[[#This Row],[UPC]])&lt;2,"","DUP")</f>
        <v>#VALUE!</v>
      </c>
      <c r="BF444" s="38" t="str">
        <f>IF(ISNA(MATCH($N444,data!$A:$A,0)),"",INDEX(data!W:W,MATCH($N444,data!$A:$A,0)))</f>
        <v/>
      </c>
    </row>
    <row r="445" spans="1:58" ht="12.75" customHeight="1">
      <c r="A445" s="35"/>
      <c r="B445" s="35"/>
      <c r="C445" s="35"/>
      <c r="D445" s="35"/>
      <c r="E445" s="67"/>
      <c r="F445" s="67"/>
      <c r="G445" s="36"/>
      <c r="H445" s="29"/>
      <c r="I445" s="78" t="str">
        <f t="shared" si="8"/>
        <v/>
      </c>
      <c r="J445" s="29"/>
      <c r="K445" s="29"/>
      <c r="L445" s="33"/>
      <c r="M445" s="33"/>
      <c r="N445" s="60"/>
      <c r="O445" s="71"/>
      <c r="P445" s="71"/>
      <c r="Q445" s="33"/>
      <c r="R445" s="31"/>
      <c r="S445" s="31"/>
      <c r="T445" s="59"/>
      <c r="U445" s="59"/>
      <c r="V445" s="59"/>
      <c r="W445" s="57">
        <f t="shared" si="9"/>
        <v>0</v>
      </c>
      <c r="X445" s="126" t="str">
        <f>IF(Table1[[#This Row],[Shipping Weight Pounds]]&gt;150,"See LTL Form","No")</f>
        <v>No</v>
      </c>
      <c r="Y445" s="28"/>
      <c r="Z445" s="33"/>
      <c r="AA445" s="34"/>
      <c r="AB445" s="30"/>
      <c r="AC445" s="30"/>
      <c r="AD445" s="32"/>
      <c r="AE445" s="32"/>
      <c r="AF445" s="2"/>
      <c r="AG445" s="2"/>
      <c r="AH445" s="2"/>
      <c r="AI445" s="2"/>
      <c r="AK445" s="73" t="str">
        <f>IF(ISNA(MATCH($N445,[1]data!$A:$A,0)),"",INDEX([1]data!S:S,MATCH($N445,[1]data!$A:$A,0)))</f>
        <v/>
      </c>
      <c r="AL445" s="73" t="str">
        <f>IF(ISNA(MATCH($N445,[1]data!$A:$A,0)),"",INDEX([1]data!V:V,MATCH($N445,[1]data!$A:$A,0)))</f>
        <v/>
      </c>
      <c r="AM445" s="38" t="str">
        <f>IF(ISNA(MATCH($N445,data!$A:$A,0)),"",INDEX(data!B:B,MATCH($N445,data!$A:$A,0)))</f>
        <v/>
      </c>
      <c r="AN445" s="38" t="str">
        <f>IF(ISNA(MATCH($N445,data!$A:$A,0)),"",INDEX(data!C:C,MATCH($N445,data!$A:$A,0)))</f>
        <v/>
      </c>
      <c r="AO445" s="38" t="str">
        <f>IF(ISNA(MATCH($N445,data!$A:$A,0)),"",INDEX(data!D:D,MATCH($N445,data!$A:$A,0)))</f>
        <v/>
      </c>
      <c r="AP445" s="38" t="str">
        <f>IF(ISNA(MATCH($N445,data!$A:$A,0)),"",INDEX(data!E:E,MATCH($N445,data!$A:$A,0)))</f>
        <v/>
      </c>
      <c r="AQ445" s="38" t="str">
        <f>IF(ISNA(MATCH($N445,data!$A:$A,0)),"",INDEX(data!F:F,MATCH($N445,data!$A:$A,0)))</f>
        <v/>
      </c>
      <c r="AR445" s="38" t="str">
        <f>IF(ISNA(MATCH($N445,data!$A:$A,0)),"",INDEX(data!G:G,MATCH($N445,data!$A:$A,0)))</f>
        <v/>
      </c>
      <c r="AS445" s="38" t="str">
        <f>IF(ISNA(MATCH($N445,data!$A:$A,0)),"",INDEX(data!H:H,MATCH($N445,data!$A:$A,0)))</f>
        <v/>
      </c>
      <c r="AT445" s="38" t="str">
        <f>IF(ISNA(MATCH($N445,data!$A:$A,0)),"",INDEX(data!I:I,MATCH($N445,data!$A:$A,0)))</f>
        <v/>
      </c>
      <c r="AU445" s="38" t="str">
        <f>IF(ISNA(MATCH($N445,[1]data!$A:$A,0)),"",INDEX([1]data!L:L,MATCH($N445,[1]data!$A:$A,0)))</f>
        <v/>
      </c>
      <c r="AV445" s="38" t="str">
        <f>IF(ISNA(MATCH($N445,[1]data!$A:$A,0)),"",INDEX([1]data!M:M,MATCH($N445,[1]data!$A:$A,0)))</f>
        <v/>
      </c>
      <c r="AW445" s="38" t="str">
        <f>IF(ISNA(MATCH($N445,data!$A:$A,0)),"",INDEX(data!J:J,MATCH($N445,data!$A:$A,0)))</f>
        <v/>
      </c>
      <c r="AX445" s="38" t="str">
        <f>IF(ISNA(MATCH($N445,data!$A:$A,0)),"",INDEX(data!K:K,MATCH($N445,data!$A:$A,0)))</f>
        <v/>
      </c>
      <c r="AY445" s="38" t="str">
        <f>IF(ISNA(MATCH($N445,data!$A:$A,0)),"",INDEX(data!O:O,MATCH($N445,data!$A:$A,0)))</f>
        <v/>
      </c>
      <c r="AZ445" s="38" t="str">
        <f>IF(ISNA(MATCH($N445,data!$A:$A,0)),"",INDEX(data!N:N,MATCH($N445,data!$A:$A,0)))</f>
        <v/>
      </c>
      <c r="BA445" s="38" t="str">
        <f>IF(ISNA(MATCH($N445,data!$A:$A,0)),"",INDEX(data!P:P,MATCH($N445,data!$A:$A,0)))</f>
        <v/>
      </c>
      <c r="BB445" s="38" t="str">
        <f>IF(ISNA(MATCH($N445,data!$A:$A,0)),"",INDEX(data!Q:Q,MATCH($N445,data!$A:$A,0)))</f>
        <v/>
      </c>
      <c r="BC445" s="38" t="str">
        <f>IF(ISNA(MATCH($N445,data!$A:$A,0)),"",INDEX(data!R:R,MATCH($N445,data!$A:$A,0)))</f>
        <v/>
      </c>
      <c r="BD445" s="38" t="str">
        <f>IF(ISNA(MATCH($N445,[1]data!$A:$A,0)),"",INDEX([1]data!U:U,MATCH($N445,[1]data!$A:$A,0)))</f>
        <v/>
      </c>
      <c r="BE445" s="61" t="e">
        <f>IF(COUNTIF([1]data!A:A,[1]!Table1[[#This Row],[UPC]])&lt;2,"","DUP")</f>
        <v>#VALUE!</v>
      </c>
      <c r="BF445" s="38" t="str">
        <f>IF(ISNA(MATCH($N445,data!$A:$A,0)),"",INDEX(data!W:W,MATCH($N445,data!$A:$A,0)))</f>
        <v/>
      </c>
    </row>
    <row r="446" spans="1:58" ht="12.75" customHeight="1">
      <c r="A446" s="35"/>
      <c r="B446" s="35"/>
      <c r="C446" s="35"/>
      <c r="D446" s="35"/>
      <c r="E446" s="67"/>
      <c r="F446" s="67"/>
      <c r="G446" s="36"/>
      <c r="H446" s="29"/>
      <c r="I446" s="78" t="str">
        <f t="shared" si="8"/>
        <v/>
      </c>
      <c r="J446" s="29"/>
      <c r="K446" s="29"/>
      <c r="L446" s="33"/>
      <c r="M446" s="33"/>
      <c r="N446" s="60"/>
      <c r="O446" s="71"/>
      <c r="P446" s="71"/>
      <c r="Q446" s="33"/>
      <c r="R446" s="31"/>
      <c r="S446" s="31"/>
      <c r="T446" s="59"/>
      <c r="U446" s="59"/>
      <c r="V446" s="59"/>
      <c r="W446" s="57">
        <f t="shared" si="9"/>
        <v>0</v>
      </c>
      <c r="X446" s="126" t="str">
        <f>IF(Table1[[#This Row],[Shipping Weight Pounds]]&gt;150,"See LTL Form","No")</f>
        <v>No</v>
      </c>
      <c r="Y446" s="28"/>
      <c r="Z446" s="33"/>
      <c r="AA446" s="34"/>
      <c r="AB446" s="30"/>
      <c r="AC446" s="30"/>
      <c r="AD446" s="32"/>
      <c r="AE446" s="32"/>
      <c r="AF446" s="2"/>
      <c r="AG446" s="2"/>
      <c r="AH446" s="2"/>
      <c r="AI446" s="2"/>
      <c r="AK446" s="73" t="str">
        <f>IF(ISNA(MATCH($N446,[1]data!$A:$A,0)),"",INDEX([1]data!S:S,MATCH($N446,[1]data!$A:$A,0)))</f>
        <v/>
      </c>
      <c r="AL446" s="73" t="str">
        <f>IF(ISNA(MATCH($N446,[1]data!$A:$A,0)),"",INDEX([1]data!V:V,MATCH($N446,[1]data!$A:$A,0)))</f>
        <v/>
      </c>
      <c r="AM446" s="38" t="str">
        <f>IF(ISNA(MATCH($N446,data!$A:$A,0)),"",INDEX(data!B:B,MATCH($N446,data!$A:$A,0)))</f>
        <v/>
      </c>
      <c r="AN446" s="38" t="str">
        <f>IF(ISNA(MATCH($N446,data!$A:$A,0)),"",INDEX(data!C:C,MATCH($N446,data!$A:$A,0)))</f>
        <v/>
      </c>
      <c r="AO446" s="38" t="str">
        <f>IF(ISNA(MATCH($N446,data!$A:$A,0)),"",INDEX(data!D:D,MATCH($N446,data!$A:$A,0)))</f>
        <v/>
      </c>
      <c r="AP446" s="38" t="str">
        <f>IF(ISNA(MATCH($N446,data!$A:$A,0)),"",INDEX(data!E:E,MATCH($N446,data!$A:$A,0)))</f>
        <v/>
      </c>
      <c r="AQ446" s="38" t="str">
        <f>IF(ISNA(MATCH($N446,data!$A:$A,0)),"",INDEX(data!F:F,MATCH($N446,data!$A:$A,0)))</f>
        <v/>
      </c>
      <c r="AR446" s="38" t="str">
        <f>IF(ISNA(MATCH($N446,data!$A:$A,0)),"",INDEX(data!G:G,MATCH($N446,data!$A:$A,0)))</f>
        <v/>
      </c>
      <c r="AS446" s="38" t="str">
        <f>IF(ISNA(MATCH($N446,data!$A:$A,0)),"",INDEX(data!H:H,MATCH($N446,data!$A:$A,0)))</f>
        <v/>
      </c>
      <c r="AT446" s="38" t="str">
        <f>IF(ISNA(MATCH($N446,data!$A:$A,0)),"",INDEX(data!I:I,MATCH($N446,data!$A:$A,0)))</f>
        <v/>
      </c>
      <c r="AU446" s="38" t="str">
        <f>IF(ISNA(MATCH($N446,[1]data!$A:$A,0)),"",INDEX([1]data!L:L,MATCH($N446,[1]data!$A:$A,0)))</f>
        <v/>
      </c>
      <c r="AV446" s="38" t="str">
        <f>IF(ISNA(MATCH($N446,[1]data!$A:$A,0)),"",INDEX([1]data!M:M,MATCH($N446,[1]data!$A:$A,0)))</f>
        <v/>
      </c>
      <c r="AW446" s="38" t="str">
        <f>IF(ISNA(MATCH($N446,data!$A:$A,0)),"",INDEX(data!J:J,MATCH($N446,data!$A:$A,0)))</f>
        <v/>
      </c>
      <c r="AX446" s="38" t="str">
        <f>IF(ISNA(MATCH($N446,data!$A:$A,0)),"",INDEX(data!K:K,MATCH($N446,data!$A:$A,0)))</f>
        <v/>
      </c>
      <c r="AY446" s="38" t="str">
        <f>IF(ISNA(MATCH($N446,data!$A:$A,0)),"",INDEX(data!O:O,MATCH($N446,data!$A:$A,0)))</f>
        <v/>
      </c>
      <c r="AZ446" s="38" t="str">
        <f>IF(ISNA(MATCH($N446,data!$A:$A,0)),"",INDEX(data!N:N,MATCH($N446,data!$A:$A,0)))</f>
        <v/>
      </c>
      <c r="BA446" s="38" t="str">
        <f>IF(ISNA(MATCH($N446,data!$A:$A,0)),"",INDEX(data!P:P,MATCH($N446,data!$A:$A,0)))</f>
        <v/>
      </c>
      <c r="BB446" s="38" t="str">
        <f>IF(ISNA(MATCH($N446,data!$A:$A,0)),"",INDEX(data!Q:Q,MATCH($N446,data!$A:$A,0)))</f>
        <v/>
      </c>
      <c r="BC446" s="38" t="str">
        <f>IF(ISNA(MATCH($N446,data!$A:$A,0)),"",INDEX(data!R:R,MATCH($N446,data!$A:$A,0)))</f>
        <v/>
      </c>
      <c r="BD446" s="38" t="str">
        <f>IF(ISNA(MATCH($N446,[1]data!$A:$A,0)),"",INDEX([1]data!U:U,MATCH($N446,[1]data!$A:$A,0)))</f>
        <v/>
      </c>
      <c r="BE446" s="61" t="e">
        <f>IF(COUNTIF([1]data!A:A,[1]!Table1[[#This Row],[UPC]])&lt;2,"","DUP")</f>
        <v>#VALUE!</v>
      </c>
      <c r="BF446" s="38" t="str">
        <f>IF(ISNA(MATCH($N446,data!$A:$A,0)),"",INDEX(data!W:W,MATCH($N446,data!$A:$A,0)))</f>
        <v/>
      </c>
    </row>
    <row r="447" spans="1:58" ht="12.75" customHeight="1">
      <c r="A447" s="35"/>
      <c r="B447" s="35"/>
      <c r="C447" s="35"/>
      <c r="D447" s="35"/>
      <c r="E447" s="67"/>
      <c r="F447" s="67"/>
      <c r="G447" s="36"/>
      <c r="H447" s="29"/>
      <c r="I447" s="78" t="str">
        <f t="shared" si="8"/>
        <v/>
      </c>
      <c r="J447" s="29"/>
      <c r="K447" s="29"/>
      <c r="L447" s="33"/>
      <c r="M447" s="33"/>
      <c r="N447" s="60"/>
      <c r="O447" s="71"/>
      <c r="P447" s="71"/>
      <c r="Q447" s="33"/>
      <c r="R447" s="31"/>
      <c r="S447" s="31"/>
      <c r="T447" s="59"/>
      <c r="U447" s="59"/>
      <c r="V447" s="59"/>
      <c r="W447" s="57">
        <f t="shared" si="9"/>
        <v>0</v>
      </c>
      <c r="X447" s="126" t="str">
        <f>IF(Table1[[#This Row],[Shipping Weight Pounds]]&gt;150,"See LTL Form","No")</f>
        <v>No</v>
      </c>
      <c r="Y447" s="28"/>
      <c r="Z447" s="33"/>
      <c r="AA447" s="34"/>
      <c r="AB447" s="30"/>
      <c r="AC447" s="30"/>
      <c r="AD447" s="32"/>
      <c r="AE447" s="32"/>
      <c r="AF447" s="2"/>
      <c r="AG447" s="2"/>
      <c r="AH447" s="2"/>
      <c r="AI447" s="2"/>
      <c r="AK447" s="73" t="str">
        <f>IF(ISNA(MATCH($N447,[1]data!$A:$A,0)),"",INDEX([1]data!S:S,MATCH($N447,[1]data!$A:$A,0)))</f>
        <v/>
      </c>
      <c r="AL447" s="73" t="str">
        <f>IF(ISNA(MATCH($N447,[1]data!$A:$A,0)),"",INDEX([1]data!V:V,MATCH($N447,[1]data!$A:$A,0)))</f>
        <v/>
      </c>
      <c r="AM447" s="38" t="str">
        <f>IF(ISNA(MATCH($N447,data!$A:$A,0)),"",INDEX(data!B:B,MATCH($N447,data!$A:$A,0)))</f>
        <v/>
      </c>
      <c r="AN447" s="38" t="str">
        <f>IF(ISNA(MATCH($N447,data!$A:$A,0)),"",INDEX(data!C:C,MATCH($N447,data!$A:$A,0)))</f>
        <v/>
      </c>
      <c r="AO447" s="38" t="str">
        <f>IF(ISNA(MATCH($N447,data!$A:$A,0)),"",INDEX(data!D:D,MATCH($N447,data!$A:$A,0)))</f>
        <v/>
      </c>
      <c r="AP447" s="38" t="str">
        <f>IF(ISNA(MATCH($N447,data!$A:$A,0)),"",INDEX(data!E:E,MATCH($N447,data!$A:$A,0)))</f>
        <v/>
      </c>
      <c r="AQ447" s="38" t="str">
        <f>IF(ISNA(MATCH($N447,data!$A:$A,0)),"",INDEX(data!F:F,MATCH($N447,data!$A:$A,0)))</f>
        <v/>
      </c>
      <c r="AR447" s="38" t="str">
        <f>IF(ISNA(MATCH($N447,data!$A:$A,0)),"",INDEX(data!G:G,MATCH($N447,data!$A:$A,0)))</f>
        <v/>
      </c>
      <c r="AS447" s="38" t="str">
        <f>IF(ISNA(MATCH($N447,data!$A:$A,0)),"",INDEX(data!H:H,MATCH($N447,data!$A:$A,0)))</f>
        <v/>
      </c>
      <c r="AT447" s="38" t="str">
        <f>IF(ISNA(MATCH($N447,data!$A:$A,0)),"",INDEX(data!I:I,MATCH($N447,data!$A:$A,0)))</f>
        <v/>
      </c>
      <c r="AU447" s="38" t="str">
        <f>IF(ISNA(MATCH($N447,[1]data!$A:$A,0)),"",INDEX([1]data!L:L,MATCH($N447,[1]data!$A:$A,0)))</f>
        <v/>
      </c>
      <c r="AV447" s="38" t="str">
        <f>IF(ISNA(MATCH($N447,[1]data!$A:$A,0)),"",INDEX([1]data!M:M,MATCH($N447,[1]data!$A:$A,0)))</f>
        <v/>
      </c>
      <c r="AW447" s="38" t="str">
        <f>IF(ISNA(MATCH($N447,data!$A:$A,0)),"",INDEX(data!J:J,MATCH($N447,data!$A:$A,0)))</f>
        <v/>
      </c>
      <c r="AX447" s="38" t="str">
        <f>IF(ISNA(MATCH($N447,data!$A:$A,0)),"",INDEX(data!K:K,MATCH($N447,data!$A:$A,0)))</f>
        <v/>
      </c>
      <c r="AY447" s="38" t="str">
        <f>IF(ISNA(MATCH($N447,data!$A:$A,0)),"",INDEX(data!O:O,MATCH($N447,data!$A:$A,0)))</f>
        <v/>
      </c>
      <c r="AZ447" s="38" t="str">
        <f>IF(ISNA(MATCH($N447,data!$A:$A,0)),"",INDEX(data!N:N,MATCH($N447,data!$A:$A,0)))</f>
        <v/>
      </c>
      <c r="BA447" s="38" t="str">
        <f>IF(ISNA(MATCH($N447,data!$A:$A,0)),"",INDEX(data!P:P,MATCH($N447,data!$A:$A,0)))</f>
        <v/>
      </c>
      <c r="BB447" s="38" t="str">
        <f>IF(ISNA(MATCH($N447,data!$A:$A,0)),"",INDEX(data!Q:Q,MATCH($N447,data!$A:$A,0)))</f>
        <v/>
      </c>
      <c r="BC447" s="38" t="str">
        <f>IF(ISNA(MATCH($N447,data!$A:$A,0)),"",INDEX(data!R:R,MATCH($N447,data!$A:$A,0)))</f>
        <v/>
      </c>
      <c r="BD447" s="38" t="str">
        <f>IF(ISNA(MATCH($N447,[1]data!$A:$A,0)),"",INDEX([1]data!U:U,MATCH($N447,[1]data!$A:$A,0)))</f>
        <v/>
      </c>
      <c r="BE447" s="61" t="e">
        <f>IF(COUNTIF([1]data!A:A,[1]!Table1[[#This Row],[UPC]])&lt;2,"","DUP")</f>
        <v>#VALUE!</v>
      </c>
      <c r="BF447" s="38" t="str">
        <f>IF(ISNA(MATCH($N447,data!$A:$A,0)),"",INDEX(data!W:W,MATCH($N447,data!$A:$A,0)))</f>
        <v/>
      </c>
    </row>
    <row r="448" spans="1:58" ht="12.75" customHeight="1">
      <c r="A448" s="35"/>
      <c r="B448" s="35"/>
      <c r="C448" s="35"/>
      <c r="D448" s="35"/>
      <c r="E448" s="67"/>
      <c r="F448" s="67"/>
      <c r="G448" s="36"/>
      <c r="H448" s="29"/>
      <c r="I448" s="78" t="str">
        <f t="shared" si="8"/>
        <v/>
      </c>
      <c r="J448" s="29"/>
      <c r="K448" s="29"/>
      <c r="L448" s="33"/>
      <c r="M448" s="33"/>
      <c r="N448" s="60"/>
      <c r="O448" s="71"/>
      <c r="P448" s="71"/>
      <c r="Q448" s="33"/>
      <c r="R448" s="31"/>
      <c r="S448" s="31"/>
      <c r="T448" s="59"/>
      <c r="U448" s="59"/>
      <c r="V448" s="59"/>
      <c r="W448" s="57">
        <f t="shared" si="9"/>
        <v>0</v>
      </c>
      <c r="X448" s="126" t="str">
        <f>IF(Table1[[#This Row],[Shipping Weight Pounds]]&gt;150,"See LTL Form","No")</f>
        <v>No</v>
      </c>
      <c r="Y448" s="28"/>
      <c r="Z448" s="33"/>
      <c r="AA448" s="34"/>
      <c r="AB448" s="30"/>
      <c r="AC448" s="30"/>
      <c r="AD448" s="32"/>
      <c r="AE448" s="32"/>
      <c r="AF448" s="2"/>
      <c r="AG448" s="2"/>
      <c r="AH448" s="2"/>
      <c r="AI448" s="2"/>
      <c r="AK448" s="73" t="str">
        <f>IF(ISNA(MATCH($N448,[1]data!$A:$A,0)),"",INDEX([1]data!S:S,MATCH($N448,[1]data!$A:$A,0)))</f>
        <v/>
      </c>
      <c r="AL448" s="73" t="str">
        <f>IF(ISNA(MATCH($N448,[1]data!$A:$A,0)),"",INDEX([1]data!V:V,MATCH($N448,[1]data!$A:$A,0)))</f>
        <v/>
      </c>
      <c r="AM448" s="38" t="str">
        <f>IF(ISNA(MATCH($N448,data!$A:$A,0)),"",INDEX(data!B:B,MATCH($N448,data!$A:$A,0)))</f>
        <v/>
      </c>
      <c r="AN448" s="38" t="str">
        <f>IF(ISNA(MATCH($N448,data!$A:$A,0)),"",INDEX(data!C:C,MATCH($N448,data!$A:$A,0)))</f>
        <v/>
      </c>
      <c r="AO448" s="38" t="str">
        <f>IF(ISNA(MATCH($N448,data!$A:$A,0)),"",INDEX(data!D:D,MATCH($N448,data!$A:$A,0)))</f>
        <v/>
      </c>
      <c r="AP448" s="38" t="str">
        <f>IF(ISNA(MATCH($N448,data!$A:$A,0)),"",INDEX(data!E:E,MATCH($N448,data!$A:$A,0)))</f>
        <v/>
      </c>
      <c r="AQ448" s="38" t="str">
        <f>IF(ISNA(MATCH($N448,data!$A:$A,0)),"",INDEX(data!F:F,MATCH($N448,data!$A:$A,0)))</f>
        <v/>
      </c>
      <c r="AR448" s="38" t="str">
        <f>IF(ISNA(MATCH($N448,data!$A:$A,0)),"",INDEX(data!G:G,MATCH($N448,data!$A:$A,0)))</f>
        <v/>
      </c>
      <c r="AS448" s="38" t="str">
        <f>IF(ISNA(MATCH($N448,data!$A:$A,0)),"",INDEX(data!H:H,MATCH($N448,data!$A:$A,0)))</f>
        <v/>
      </c>
      <c r="AT448" s="38" t="str">
        <f>IF(ISNA(MATCH($N448,data!$A:$A,0)),"",INDEX(data!I:I,MATCH($N448,data!$A:$A,0)))</f>
        <v/>
      </c>
      <c r="AU448" s="38" t="str">
        <f>IF(ISNA(MATCH($N448,[1]data!$A:$A,0)),"",INDEX([1]data!L:L,MATCH($N448,[1]data!$A:$A,0)))</f>
        <v/>
      </c>
      <c r="AV448" s="38" t="str">
        <f>IF(ISNA(MATCH($N448,[1]data!$A:$A,0)),"",INDEX([1]data!M:M,MATCH($N448,[1]data!$A:$A,0)))</f>
        <v/>
      </c>
      <c r="AW448" s="38" t="str">
        <f>IF(ISNA(MATCH($N448,data!$A:$A,0)),"",INDEX(data!J:J,MATCH($N448,data!$A:$A,0)))</f>
        <v/>
      </c>
      <c r="AX448" s="38" t="str">
        <f>IF(ISNA(MATCH($N448,data!$A:$A,0)),"",INDEX(data!K:K,MATCH($N448,data!$A:$A,0)))</f>
        <v/>
      </c>
      <c r="AY448" s="38" t="str">
        <f>IF(ISNA(MATCH($N448,data!$A:$A,0)),"",INDEX(data!O:O,MATCH($N448,data!$A:$A,0)))</f>
        <v/>
      </c>
      <c r="AZ448" s="38" t="str">
        <f>IF(ISNA(MATCH($N448,data!$A:$A,0)),"",INDEX(data!N:N,MATCH($N448,data!$A:$A,0)))</f>
        <v/>
      </c>
      <c r="BA448" s="38" t="str">
        <f>IF(ISNA(MATCH($N448,data!$A:$A,0)),"",INDEX(data!P:P,MATCH($N448,data!$A:$A,0)))</f>
        <v/>
      </c>
      <c r="BB448" s="38" t="str">
        <f>IF(ISNA(MATCH($N448,data!$A:$A,0)),"",INDEX(data!Q:Q,MATCH($N448,data!$A:$A,0)))</f>
        <v/>
      </c>
      <c r="BC448" s="38" t="str">
        <f>IF(ISNA(MATCH($N448,data!$A:$A,0)),"",INDEX(data!R:R,MATCH($N448,data!$A:$A,0)))</f>
        <v/>
      </c>
      <c r="BD448" s="38" t="str">
        <f>IF(ISNA(MATCH($N448,[1]data!$A:$A,0)),"",INDEX([1]data!U:U,MATCH($N448,[1]data!$A:$A,0)))</f>
        <v/>
      </c>
      <c r="BE448" s="61" t="e">
        <f>IF(COUNTIF([1]data!A:A,[1]!Table1[[#This Row],[UPC]])&lt;2,"","DUP")</f>
        <v>#VALUE!</v>
      </c>
      <c r="BF448" s="38" t="str">
        <f>IF(ISNA(MATCH($N448,data!$A:$A,0)),"",INDEX(data!W:W,MATCH($N448,data!$A:$A,0)))</f>
        <v/>
      </c>
    </row>
    <row r="449" spans="1:58" ht="12.75" customHeight="1">
      <c r="A449" s="35"/>
      <c r="B449" s="35"/>
      <c r="C449" s="35"/>
      <c r="D449" s="35"/>
      <c r="E449" s="67"/>
      <c r="F449" s="67"/>
      <c r="G449" s="36"/>
      <c r="H449" s="29"/>
      <c r="I449" s="78" t="str">
        <f t="shared" si="8"/>
        <v/>
      </c>
      <c r="J449" s="29"/>
      <c r="K449" s="29"/>
      <c r="L449" s="33"/>
      <c r="M449" s="33"/>
      <c r="N449" s="60"/>
      <c r="O449" s="71"/>
      <c r="P449" s="71"/>
      <c r="Q449" s="33"/>
      <c r="R449" s="31"/>
      <c r="S449" s="31"/>
      <c r="T449" s="59"/>
      <c r="U449" s="59"/>
      <c r="V449" s="59"/>
      <c r="W449" s="57">
        <f t="shared" si="9"/>
        <v>0</v>
      </c>
      <c r="X449" s="126" t="str">
        <f>IF(Table1[[#This Row],[Shipping Weight Pounds]]&gt;150,"See LTL Form","No")</f>
        <v>No</v>
      </c>
      <c r="Y449" s="28"/>
      <c r="Z449" s="33"/>
      <c r="AA449" s="34"/>
      <c r="AB449" s="30"/>
      <c r="AC449" s="30"/>
      <c r="AD449" s="32"/>
      <c r="AE449" s="32"/>
      <c r="AF449" s="2"/>
      <c r="AG449" s="2"/>
      <c r="AH449" s="2"/>
      <c r="AI449" s="2"/>
      <c r="AK449" s="73" t="str">
        <f>IF(ISNA(MATCH($N449,[1]data!$A:$A,0)),"",INDEX([1]data!S:S,MATCH($N449,[1]data!$A:$A,0)))</f>
        <v/>
      </c>
      <c r="AL449" s="73" t="str">
        <f>IF(ISNA(MATCH($N449,[1]data!$A:$A,0)),"",INDEX([1]data!V:V,MATCH($N449,[1]data!$A:$A,0)))</f>
        <v/>
      </c>
      <c r="AM449" s="38" t="str">
        <f>IF(ISNA(MATCH($N449,data!$A:$A,0)),"",INDEX(data!B:B,MATCH($N449,data!$A:$A,0)))</f>
        <v/>
      </c>
      <c r="AN449" s="38" t="str">
        <f>IF(ISNA(MATCH($N449,data!$A:$A,0)),"",INDEX(data!C:C,MATCH($N449,data!$A:$A,0)))</f>
        <v/>
      </c>
      <c r="AO449" s="38" t="str">
        <f>IF(ISNA(MATCH($N449,data!$A:$A,0)),"",INDEX(data!D:D,MATCH($N449,data!$A:$A,0)))</f>
        <v/>
      </c>
      <c r="AP449" s="38" t="str">
        <f>IF(ISNA(MATCH($N449,data!$A:$A,0)),"",INDEX(data!E:E,MATCH($N449,data!$A:$A,0)))</f>
        <v/>
      </c>
      <c r="AQ449" s="38" t="str">
        <f>IF(ISNA(MATCH($N449,data!$A:$A,0)),"",INDEX(data!F:F,MATCH($N449,data!$A:$A,0)))</f>
        <v/>
      </c>
      <c r="AR449" s="38" t="str">
        <f>IF(ISNA(MATCH($N449,data!$A:$A,0)),"",INDEX(data!G:G,MATCH($N449,data!$A:$A,0)))</f>
        <v/>
      </c>
      <c r="AS449" s="38" t="str">
        <f>IF(ISNA(MATCH($N449,data!$A:$A,0)),"",INDEX(data!H:H,MATCH($N449,data!$A:$A,0)))</f>
        <v/>
      </c>
      <c r="AT449" s="38" t="str">
        <f>IF(ISNA(MATCH($N449,data!$A:$A,0)),"",INDEX(data!I:I,MATCH($N449,data!$A:$A,0)))</f>
        <v/>
      </c>
      <c r="AU449" s="38" t="str">
        <f>IF(ISNA(MATCH($N449,[1]data!$A:$A,0)),"",INDEX([1]data!L:L,MATCH($N449,[1]data!$A:$A,0)))</f>
        <v/>
      </c>
      <c r="AV449" s="38" t="str">
        <f>IF(ISNA(MATCH($N449,[1]data!$A:$A,0)),"",INDEX([1]data!M:M,MATCH($N449,[1]data!$A:$A,0)))</f>
        <v/>
      </c>
      <c r="AW449" s="38" t="str">
        <f>IF(ISNA(MATCH($N449,data!$A:$A,0)),"",INDEX(data!J:J,MATCH($N449,data!$A:$A,0)))</f>
        <v/>
      </c>
      <c r="AX449" s="38" t="str">
        <f>IF(ISNA(MATCH($N449,data!$A:$A,0)),"",INDEX(data!K:K,MATCH($N449,data!$A:$A,0)))</f>
        <v/>
      </c>
      <c r="AY449" s="38" t="str">
        <f>IF(ISNA(MATCH($N449,data!$A:$A,0)),"",INDEX(data!O:O,MATCH($N449,data!$A:$A,0)))</f>
        <v/>
      </c>
      <c r="AZ449" s="38" t="str">
        <f>IF(ISNA(MATCH($N449,data!$A:$A,0)),"",INDEX(data!N:N,MATCH($N449,data!$A:$A,0)))</f>
        <v/>
      </c>
      <c r="BA449" s="38" t="str">
        <f>IF(ISNA(MATCH($N449,data!$A:$A,0)),"",INDEX(data!P:P,MATCH($N449,data!$A:$A,0)))</f>
        <v/>
      </c>
      <c r="BB449" s="38" t="str">
        <f>IF(ISNA(MATCH($N449,data!$A:$A,0)),"",INDEX(data!Q:Q,MATCH($N449,data!$A:$A,0)))</f>
        <v/>
      </c>
      <c r="BC449" s="38" t="str">
        <f>IF(ISNA(MATCH($N449,data!$A:$A,0)),"",INDEX(data!R:R,MATCH($N449,data!$A:$A,0)))</f>
        <v/>
      </c>
      <c r="BD449" s="38" t="str">
        <f>IF(ISNA(MATCH($N449,[1]data!$A:$A,0)),"",INDEX([1]data!U:U,MATCH($N449,[1]data!$A:$A,0)))</f>
        <v/>
      </c>
      <c r="BE449" s="61" t="e">
        <f>IF(COUNTIF([1]data!A:A,[1]!Table1[[#This Row],[UPC]])&lt;2,"","DUP")</f>
        <v>#VALUE!</v>
      </c>
      <c r="BF449" s="38" t="str">
        <f>IF(ISNA(MATCH($N449,data!$A:$A,0)),"",INDEX(data!W:W,MATCH($N449,data!$A:$A,0)))</f>
        <v/>
      </c>
    </row>
    <row r="450" spans="1:58" ht="12.75" customHeight="1">
      <c r="A450" s="35"/>
      <c r="B450" s="35"/>
      <c r="C450" s="35"/>
      <c r="D450" s="35"/>
      <c r="E450" s="67"/>
      <c r="F450" s="67"/>
      <c r="G450" s="36"/>
      <c r="H450" s="29"/>
      <c r="I450" s="78" t="str">
        <f t="shared" si="8"/>
        <v/>
      </c>
      <c r="J450" s="29"/>
      <c r="K450" s="29"/>
      <c r="L450" s="33"/>
      <c r="M450" s="33"/>
      <c r="N450" s="60"/>
      <c r="O450" s="71"/>
      <c r="P450" s="71"/>
      <c r="Q450" s="33"/>
      <c r="R450" s="31"/>
      <c r="S450" s="31"/>
      <c r="T450" s="59"/>
      <c r="U450" s="59"/>
      <c r="V450" s="59"/>
      <c r="W450" s="57">
        <f t="shared" si="9"/>
        <v>0</v>
      </c>
      <c r="X450" s="126" t="str">
        <f>IF(Table1[[#This Row],[Shipping Weight Pounds]]&gt;150,"See LTL Form","No")</f>
        <v>No</v>
      </c>
      <c r="Y450" s="28"/>
      <c r="Z450" s="33"/>
      <c r="AA450" s="34"/>
      <c r="AB450" s="30"/>
      <c r="AC450" s="30"/>
      <c r="AD450" s="32"/>
      <c r="AE450" s="32"/>
      <c r="AF450" s="2"/>
      <c r="AG450" s="2"/>
      <c r="AH450" s="2"/>
      <c r="AI450" s="2"/>
      <c r="AK450" s="73" t="str">
        <f>IF(ISNA(MATCH($N450,[1]data!$A:$A,0)),"",INDEX([1]data!S:S,MATCH($N450,[1]data!$A:$A,0)))</f>
        <v/>
      </c>
      <c r="AL450" s="73" t="str">
        <f>IF(ISNA(MATCH($N450,[1]data!$A:$A,0)),"",INDEX([1]data!V:V,MATCH($N450,[1]data!$A:$A,0)))</f>
        <v/>
      </c>
      <c r="AM450" s="38" t="str">
        <f>IF(ISNA(MATCH($N450,data!$A:$A,0)),"",INDEX(data!B:B,MATCH($N450,data!$A:$A,0)))</f>
        <v/>
      </c>
      <c r="AN450" s="38" t="str">
        <f>IF(ISNA(MATCH($N450,data!$A:$A,0)),"",INDEX(data!C:C,MATCH($N450,data!$A:$A,0)))</f>
        <v/>
      </c>
      <c r="AO450" s="38" t="str">
        <f>IF(ISNA(MATCH($N450,data!$A:$A,0)),"",INDEX(data!D:D,MATCH($N450,data!$A:$A,0)))</f>
        <v/>
      </c>
      <c r="AP450" s="38" t="str">
        <f>IF(ISNA(MATCH($N450,data!$A:$A,0)),"",INDEX(data!E:E,MATCH($N450,data!$A:$A,0)))</f>
        <v/>
      </c>
      <c r="AQ450" s="38" t="str">
        <f>IF(ISNA(MATCH($N450,data!$A:$A,0)),"",INDEX(data!F:F,MATCH($N450,data!$A:$A,0)))</f>
        <v/>
      </c>
      <c r="AR450" s="38" t="str">
        <f>IF(ISNA(MATCH($N450,data!$A:$A,0)),"",INDEX(data!G:G,MATCH($N450,data!$A:$A,0)))</f>
        <v/>
      </c>
      <c r="AS450" s="38" t="str">
        <f>IF(ISNA(MATCH($N450,data!$A:$A,0)),"",INDEX(data!H:H,MATCH($N450,data!$A:$A,0)))</f>
        <v/>
      </c>
      <c r="AT450" s="38" t="str">
        <f>IF(ISNA(MATCH($N450,data!$A:$A,0)),"",INDEX(data!I:I,MATCH($N450,data!$A:$A,0)))</f>
        <v/>
      </c>
      <c r="AU450" s="38" t="str">
        <f>IF(ISNA(MATCH($N450,[1]data!$A:$A,0)),"",INDEX([1]data!L:L,MATCH($N450,[1]data!$A:$A,0)))</f>
        <v/>
      </c>
      <c r="AV450" s="38" t="str">
        <f>IF(ISNA(MATCH($N450,[1]data!$A:$A,0)),"",INDEX([1]data!M:M,MATCH($N450,[1]data!$A:$A,0)))</f>
        <v/>
      </c>
      <c r="AW450" s="38" t="str">
        <f>IF(ISNA(MATCH($N450,data!$A:$A,0)),"",INDEX(data!J:J,MATCH($N450,data!$A:$A,0)))</f>
        <v/>
      </c>
      <c r="AX450" s="38" t="str">
        <f>IF(ISNA(MATCH($N450,data!$A:$A,0)),"",INDEX(data!K:K,MATCH($N450,data!$A:$A,0)))</f>
        <v/>
      </c>
      <c r="AY450" s="38" t="str">
        <f>IF(ISNA(MATCH($N450,data!$A:$A,0)),"",INDEX(data!O:O,MATCH($N450,data!$A:$A,0)))</f>
        <v/>
      </c>
      <c r="AZ450" s="38" t="str">
        <f>IF(ISNA(MATCH($N450,data!$A:$A,0)),"",INDEX(data!N:N,MATCH($N450,data!$A:$A,0)))</f>
        <v/>
      </c>
      <c r="BA450" s="38" t="str">
        <f>IF(ISNA(MATCH($N450,data!$A:$A,0)),"",INDEX(data!P:P,MATCH($N450,data!$A:$A,0)))</f>
        <v/>
      </c>
      <c r="BB450" s="38" t="str">
        <f>IF(ISNA(MATCH($N450,data!$A:$A,0)),"",INDEX(data!Q:Q,MATCH($N450,data!$A:$A,0)))</f>
        <v/>
      </c>
      <c r="BC450" s="38" t="str">
        <f>IF(ISNA(MATCH($N450,data!$A:$A,0)),"",INDEX(data!R:R,MATCH($N450,data!$A:$A,0)))</f>
        <v/>
      </c>
      <c r="BD450" s="38" t="str">
        <f>IF(ISNA(MATCH($N450,[1]data!$A:$A,0)),"",INDEX([1]data!U:U,MATCH($N450,[1]data!$A:$A,0)))</f>
        <v/>
      </c>
      <c r="BE450" s="61" t="e">
        <f>IF(COUNTIF([1]data!A:A,[1]!Table1[[#This Row],[UPC]])&lt;2,"","DUP")</f>
        <v>#VALUE!</v>
      </c>
      <c r="BF450" s="38" t="str">
        <f>IF(ISNA(MATCH($N450,data!$A:$A,0)),"",INDEX(data!W:W,MATCH($N450,data!$A:$A,0)))</f>
        <v/>
      </c>
    </row>
    <row r="451" spans="1:58" ht="12.75" customHeight="1">
      <c r="A451" s="35"/>
      <c r="B451" s="35"/>
      <c r="C451" s="35"/>
      <c r="D451" s="35"/>
      <c r="E451" s="67"/>
      <c r="F451" s="67"/>
      <c r="G451" s="36"/>
      <c r="H451" s="29"/>
      <c r="I451" s="78" t="str">
        <f t="shared" si="8"/>
        <v/>
      </c>
      <c r="J451" s="29"/>
      <c r="K451" s="29"/>
      <c r="L451" s="33"/>
      <c r="M451" s="33"/>
      <c r="N451" s="60"/>
      <c r="O451" s="71"/>
      <c r="P451" s="71"/>
      <c r="Q451" s="33"/>
      <c r="R451" s="31"/>
      <c r="S451" s="31"/>
      <c r="T451" s="59"/>
      <c r="U451" s="59"/>
      <c r="V451" s="59"/>
      <c r="W451" s="57">
        <f t="shared" si="9"/>
        <v>0</v>
      </c>
      <c r="X451" s="126" t="str">
        <f>IF(Table1[[#This Row],[Shipping Weight Pounds]]&gt;150,"See LTL Form","No")</f>
        <v>No</v>
      </c>
      <c r="Y451" s="28"/>
      <c r="Z451" s="33"/>
      <c r="AA451" s="34"/>
      <c r="AB451" s="30"/>
      <c r="AC451" s="30"/>
      <c r="AD451" s="32"/>
      <c r="AE451" s="32"/>
      <c r="AF451" s="2"/>
      <c r="AG451" s="2"/>
      <c r="AH451" s="2"/>
      <c r="AI451" s="2"/>
      <c r="AK451" s="73" t="str">
        <f>IF(ISNA(MATCH($N451,[1]data!$A:$A,0)),"",INDEX([1]data!S:S,MATCH($N451,[1]data!$A:$A,0)))</f>
        <v/>
      </c>
      <c r="AL451" s="73" t="str">
        <f>IF(ISNA(MATCH($N451,[1]data!$A:$A,0)),"",INDEX([1]data!V:V,MATCH($N451,[1]data!$A:$A,0)))</f>
        <v/>
      </c>
      <c r="AM451" s="38" t="str">
        <f>IF(ISNA(MATCH($N451,data!$A:$A,0)),"",INDEX(data!B:B,MATCH($N451,data!$A:$A,0)))</f>
        <v/>
      </c>
      <c r="AN451" s="38" t="str">
        <f>IF(ISNA(MATCH($N451,data!$A:$A,0)),"",INDEX(data!C:C,MATCH($N451,data!$A:$A,0)))</f>
        <v/>
      </c>
      <c r="AO451" s="38" t="str">
        <f>IF(ISNA(MATCH($N451,data!$A:$A,0)),"",INDEX(data!D:D,MATCH($N451,data!$A:$A,0)))</f>
        <v/>
      </c>
      <c r="AP451" s="38" t="str">
        <f>IF(ISNA(MATCH($N451,data!$A:$A,0)),"",INDEX(data!E:E,MATCH($N451,data!$A:$A,0)))</f>
        <v/>
      </c>
      <c r="AQ451" s="38" t="str">
        <f>IF(ISNA(MATCH($N451,data!$A:$A,0)),"",INDEX(data!F:F,MATCH($N451,data!$A:$A,0)))</f>
        <v/>
      </c>
      <c r="AR451" s="38" t="str">
        <f>IF(ISNA(MATCH($N451,data!$A:$A,0)),"",INDEX(data!G:G,MATCH($N451,data!$A:$A,0)))</f>
        <v/>
      </c>
      <c r="AS451" s="38" t="str">
        <f>IF(ISNA(MATCH($N451,data!$A:$A,0)),"",INDEX(data!H:H,MATCH($N451,data!$A:$A,0)))</f>
        <v/>
      </c>
      <c r="AT451" s="38" t="str">
        <f>IF(ISNA(MATCH($N451,data!$A:$A,0)),"",INDEX(data!I:I,MATCH($N451,data!$A:$A,0)))</f>
        <v/>
      </c>
      <c r="AU451" s="38" t="str">
        <f>IF(ISNA(MATCH($N451,[1]data!$A:$A,0)),"",INDEX([1]data!L:L,MATCH($N451,[1]data!$A:$A,0)))</f>
        <v/>
      </c>
      <c r="AV451" s="38" t="str">
        <f>IF(ISNA(MATCH($N451,[1]data!$A:$A,0)),"",INDEX([1]data!M:M,MATCH($N451,[1]data!$A:$A,0)))</f>
        <v/>
      </c>
      <c r="AW451" s="38" t="str">
        <f>IF(ISNA(MATCH($N451,data!$A:$A,0)),"",INDEX(data!J:J,MATCH($N451,data!$A:$A,0)))</f>
        <v/>
      </c>
      <c r="AX451" s="38" t="str">
        <f>IF(ISNA(MATCH($N451,data!$A:$A,0)),"",INDEX(data!K:K,MATCH($N451,data!$A:$A,0)))</f>
        <v/>
      </c>
      <c r="AY451" s="38" t="str">
        <f>IF(ISNA(MATCH($N451,data!$A:$A,0)),"",INDEX(data!O:O,MATCH($N451,data!$A:$A,0)))</f>
        <v/>
      </c>
      <c r="AZ451" s="38" t="str">
        <f>IF(ISNA(MATCH($N451,data!$A:$A,0)),"",INDEX(data!N:N,MATCH($N451,data!$A:$A,0)))</f>
        <v/>
      </c>
      <c r="BA451" s="38" t="str">
        <f>IF(ISNA(MATCH($N451,data!$A:$A,0)),"",INDEX(data!P:P,MATCH($N451,data!$A:$A,0)))</f>
        <v/>
      </c>
      <c r="BB451" s="38" t="str">
        <f>IF(ISNA(MATCH($N451,data!$A:$A,0)),"",INDEX(data!Q:Q,MATCH($N451,data!$A:$A,0)))</f>
        <v/>
      </c>
      <c r="BC451" s="38" t="str">
        <f>IF(ISNA(MATCH($N451,data!$A:$A,0)),"",INDEX(data!R:R,MATCH($N451,data!$A:$A,0)))</f>
        <v/>
      </c>
      <c r="BD451" s="38" t="str">
        <f>IF(ISNA(MATCH($N451,[1]data!$A:$A,0)),"",INDEX([1]data!U:U,MATCH($N451,[1]data!$A:$A,0)))</f>
        <v/>
      </c>
      <c r="BE451" s="61" t="e">
        <f>IF(COUNTIF([1]data!A:A,[1]!Table1[[#This Row],[UPC]])&lt;2,"","DUP")</f>
        <v>#VALUE!</v>
      </c>
      <c r="BF451" s="38" t="str">
        <f>IF(ISNA(MATCH($N451,data!$A:$A,0)),"",INDEX(data!W:W,MATCH($N451,data!$A:$A,0)))</f>
        <v/>
      </c>
    </row>
    <row r="452" spans="1:58" ht="12.75" customHeight="1">
      <c r="A452" s="35"/>
      <c r="B452" s="35"/>
      <c r="C452" s="35"/>
      <c r="D452" s="35"/>
      <c r="E452" s="67"/>
      <c r="F452" s="67"/>
      <c r="G452" s="36"/>
      <c r="H452" s="29"/>
      <c r="I452" s="78" t="str">
        <f t="shared" si="8"/>
        <v/>
      </c>
      <c r="J452" s="29"/>
      <c r="K452" s="29"/>
      <c r="L452" s="33"/>
      <c r="M452" s="33"/>
      <c r="N452" s="60"/>
      <c r="O452" s="71"/>
      <c r="P452" s="71"/>
      <c r="Q452" s="33"/>
      <c r="R452" s="31"/>
      <c r="S452" s="31"/>
      <c r="T452" s="59"/>
      <c r="U452" s="59"/>
      <c r="V452" s="59"/>
      <c r="W452" s="57">
        <f t="shared" si="9"/>
        <v>0</v>
      </c>
      <c r="X452" s="126" t="str">
        <f>IF(Table1[[#This Row],[Shipping Weight Pounds]]&gt;150,"See LTL Form","No")</f>
        <v>No</v>
      </c>
      <c r="Y452" s="28"/>
      <c r="Z452" s="33"/>
      <c r="AA452" s="34"/>
      <c r="AB452" s="30"/>
      <c r="AC452" s="30"/>
      <c r="AD452" s="32"/>
      <c r="AE452" s="32"/>
      <c r="AF452" s="2"/>
      <c r="AG452" s="2"/>
      <c r="AH452" s="2"/>
      <c r="AI452" s="2"/>
      <c r="AK452" s="73" t="str">
        <f>IF(ISNA(MATCH($N452,[1]data!$A:$A,0)),"",INDEX([1]data!S:S,MATCH($N452,[1]data!$A:$A,0)))</f>
        <v/>
      </c>
      <c r="AL452" s="73" t="str">
        <f>IF(ISNA(MATCH($N452,[1]data!$A:$A,0)),"",INDEX([1]data!V:V,MATCH($N452,[1]data!$A:$A,0)))</f>
        <v/>
      </c>
      <c r="AM452" s="38" t="str">
        <f>IF(ISNA(MATCH($N452,data!$A:$A,0)),"",INDEX(data!B:B,MATCH($N452,data!$A:$A,0)))</f>
        <v/>
      </c>
      <c r="AN452" s="38" t="str">
        <f>IF(ISNA(MATCH($N452,data!$A:$A,0)),"",INDEX(data!C:C,MATCH($N452,data!$A:$A,0)))</f>
        <v/>
      </c>
      <c r="AO452" s="38" t="str">
        <f>IF(ISNA(MATCH($N452,data!$A:$A,0)),"",INDEX(data!D:D,MATCH($N452,data!$A:$A,0)))</f>
        <v/>
      </c>
      <c r="AP452" s="38" t="str">
        <f>IF(ISNA(MATCH($N452,data!$A:$A,0)),"",INDEX(data!E:E,MATCH($N452,data!$A:$A,0)))</f>
        <v/>
      </c>
      <c r="AQ452" s="38" t="str">
        <f>IF(ISNA(MATCH($N452,data!$A:$A,0)),"",INDEX(data!F:F,MATCH($N452,data!$A:$A,0)))</f>
        <v/>
      </c>
      <c r="AR452" s="38" t="str">
        <f>IF(ISNA(MATCH($N452,data!$A:$A,0)),"",INDEX(data!G:G,MATCH($N452,data!$A:$A,0)))</f>
        <v/>
      </c>
      <c r="AS452" s="38" t="str">
        <f>IF(ISNA(MATCH($N452,data!$A:$A,0)),"",INDEX(data!H:H,MATCH($N452,data!$A:$A,0)))</f>
        <v/>
      </c>
      <c r="AT452" s="38" t="str">
        <f>IF(ISNA(MATCH($N452,data!$A:$A,0)),"",INDEX(data!I:I,MATCH($N452,data!$A:$A,0)))</f>
        <v/>
      </c>
      <c r="AU452" s="38" t="str">
        <f>IF(ISNA(MATCH($N452,[1]data!$A:$A,0)),"",INDEX([1]data!L:L,MATCH($N452,[1]data!$A:$A,0)))</f>
        <v/>
      </c>
      <c r="AV452" s="38" t="str">
        <f>IF(ISNA(MATCH($N452,[1]data!$A:$A,0)),"",INDEX([1]data!M:M,MATCH($N452,[1]data!$A:$A,0)))</f>
        <v/>
      </c>
      <c r="AW452" s="38" t="str">
        <f>IF(ISNA(MATCH($N452,data!$A:$A,0)),"",INDEX(data!J:J,MATCH($N452,data!$A:$A,0)))</f>
        <v/>
      </c>
      <c r="AX452" s="38" t="str">
        <f>IF(ISNA(MATCH($N452,data!$A:$A,0)),"",INDEX(data!K:K,MATCH($N452,data!$A:$A,0)))</f>
        <v/>
      </c>
      <c r="AY452" s="38" t="str">
        <f>IF(ISNA(MATCH($N452,data!$A:$A,0)),"",INDEX(data!O:O,MATCH($N452,data!$A:$A,0)))</f>
        <v/>
      </c>
      <c r="AZ452" s="38" t="str">
        <f>IF(ISNA(MATCH($N452,data!$A:$A,0)),"",INDEX(data!N:N,MATCH($N452,data!$A:$A,0)))</f>
        <v/>
      </c>
      <c r="BA452" s="38" t="str">
        <f>IF(ISNA(MATCH($N452,data!$A:$A,0)),"",INDEX(data!P:P,MATCH($N452,data!$A:$A,0)))</f>
        <v/>
      </c>
      <c r="BB452" s="38" t="str">
        <f>IF(ISNA(MATCH($N452,data!$A:$A,0)),"",INDEX(data!Q:Q,MATCH($N452,data!$A:$A,0)))</f>
        <v/>
      </c>
      <c r="BC452" s="38" t="str">
        <f>IF(ISNA(MATCH($N452,data!$A:$A,0)),"",INDEX(data!R:R,MATCH($N452,data!$A:$A,0)))</f>
        <v/>
      </c>
      <c r="BD452" s="38" t="str">
        <f>IF(ISNA(MATCH($N452,[1]data!$A:$A,0)),"",INDEX([1]data!U:U,MATCH($N452,[1]data!$A:$A,0)))</f>
        <v/>
      </c>
      <c r="BE452" s="61" t="e">
        <f>IF(COUNTIF([1]data!A:A,[1]!Table1[[#This Row],[UPC]])&lt;2,"","DUP")</f>
        <v>#VALUE!</v>
      </c>
      <c r="BF452" s="38" t="str">
        <f>IF(ISNA(MATCH($N452,data!$A:$A,0)),"",INDEX(data!W:W,MATCH($N452,data!$A:$A,0)))</f>
        <v/>
      </c>
    </row>
    <row r="453" spans="1:58" ht="12.75" customHeight="1">
      <c r="A453" s="35"/>
      <c r="B453" s="35"/>
      <c r="C453" s="35"/>
      <c r="D453" s="35"/>
      <c r="E453" s="67"/>
      <c r="F453" s="67"/>
      <c r="G453" s="36"/>
      <c r="H453" s="29"/>
      <c r="I453" s="78" t="str">
        <f t="shared" si="8"/>
        <v/>
      </c>
      <c r="J453" s="29"/>
      <c r="K453" s="29"/>
      <c r="L453" s="33"/>
      <c r="M453" s="33"/>
      <c r="N453" s="60"/>
      <c r="O453" s="71"/>
      <c r="P453" s="71"/>
      <c r="Q453" s="33"/>
      <c r="R453" s="31"/>
      <c r="S453" s="31"/>
      <c r="T453" s="59"/>
      <c r="U453" s="59"/>
      <c r="V453" s="59"/>
      <c r="W453" s="57">
        <f t="shared" si="9"/>
        <v>0</v>
      </c>
      <c r="X453" s="126" t="str">
        <f>IF(Table1[[#This Row],[Shipping Weight Pounds]]&gt;150,"See LTL Form","No")</f>
        <v>No</v>
      </c>
      <c r="Y453" s="28"/>
      <c r="Z453" s="33"/>
      <c r="AA453" s="34"/>
      <c r="AB453" s="30"/>
      <c r="AC453" s="30"/>
      <c r="AD453" s="32"/>
      <c r="AE453" s="32"/>
      <c r="AF453" s="2"/>
      <c r="AG453" s="2"/>
      <c r="AH453" s="2"/>
      <c r="AI453" s="2"/>
      <c r="AK453" s="73" t="str">
        <f>IF(ISNA(MATCH($N453,[1]data!$A:$A,0)),"",INDEX([1]data!S:S,MATCH($N453,[1]data!$A:$A,0)))</f>
        <v/>
      </c>
      <c r="AL453" s="73" t="str">
        <f>IF(ISNA(MATCH($N453,[1]data!$A:$A,0)),"",INDEX([1]data!V:V,MATCH($N453,[1]data!$A:$A,0)))</f>
        <v/>
      </c>
      <c r="AM453" s="38" t="str">
        <f>IF(ISNA(MATCH($N453,data!$A:$A,0)),"",INDEX(data!B:B,MATCH($N453,data!$A:$A,0)))</f>
        <v/>
      </c>
      <c r="AN453" s="38" t="str">
        <f>IF(ISNA(MATCH($N453,data!$A:$A,0)),"",INDEX(data!C:C,MATCH($N453,data!$A:$A,0)))</f>
        <v/>
      </c>
      <c r="AO453" s="38" t="str">
        <f>IF(ISNA(MATCH($N453,data!$A:$A,0)),"",INDEX(data!D:D,MATCH($N453,data!$A:$A,0)))</f>
        <v/>
      </c>
      <c r="AP453" s="38" t="str">
        <f>IF(ISNA(MATCH($N453,data!$A:$A,0)),"",INDEX(data!E:E,MATCH($N453,data!$A:$A,0)))</f>
        <v/>
      </c>
      <c r="AQ453" s="38" t="str">
        <f>IF(ISNA(MATCH($N453,data!$A:$A,0)),"",INDEX(data!F:F,MATCH($N453,data!$A:$A,0)))</f>
        <v/>
      </c>
      <c r="AR453" s="38" t="str">
        <f>IF(ISNA(MATCH($N453,data!$A:$A,0)),"",INDEX(data!G:G,MATCH($N453,data!$A:$A,0)))</f>
        <v/>
      </c>
      <c r="AS453" s="38" t="str">
        <f>IF(ISNA(MATCH($N453,data!$A:$A,0)),"",INDEX(data!H:H,MATCH($N453,data!$A:$A,0)))</f>
        <v/>
      </c>
      <c r="AT453" s="38" t="str">
        <f>IF(ISNA(MATCH($N453,data!$A:$A,0)),"",INDEX(data!I:I,MATCH($N453,data!$A:$A,0)))</f>
        <v/>
      </c>
      <c r="AU453" s="38" t="str">
        <f>IF(ISNA(MATCH($N453,[1]data!$A:$A,0)),"",INDEX([1]data!L:L,MATCH($N453,[1]data!$A:$A,0)))</f>
        <v/>
      </c>
      <c r="AV453" s="38" t="str">
        <f>IF(ISNA(MATCH($N453,[1]data!$A:$A,0)),"",INDEX([1]data!M:M,MATCH($N453,[1]data!$A:$A,0)))</f>
        <v/>
      </c>
      <c r="AW453" s="38" t="str">
        <f>IF(ISNA(MATCH($N453,data!$A:$A,0)),"",INDEX(data!J:J,MATCH($N453,data!$A:$A,0)))</f>
        <v/>
      </c>
      <c r="AX453" s="38" t="str">
        <f>IF(ISNA(MATCH($N453,data!$A:$A,0)),"",INDEX(data!K:K,MATCH($N453,data!$A:$A,0)))</f>
        <v/>
      </c>
      <c r="AY453" s="38" t="str">
        <f>IF(ISNA(MATCH($N453,data!$A:$A,0)),"",INDEX(data!O:O,MATCH($N453,data!$A:$A,0)))</f>
        <v/>
      </c>
      <c r="AZ453" s="38" t="str">
        <f>IF(ISNA(MATCH($N453,data!$A:$A,0)),"",INDEX(data!N:N,MATCH($N453,data!$A:$A,0)))</f>
        <v/>
      </c>
      <c r="BA453" s="38" t="str">
        <f>IF(ISNA(MATCH($N453,data!$A:$A,0)),"",INDEX(data!P:P,MATCH($N453,data!$A:$A,0)))</f>
        <v/>
      </c>
      <c r="BB453" s="38" t="str">
        <f>IF(ISNA(MATCH($N453,data!$A:$A,0)),"",INDEX(data!Q:Q,MATCH($N453,data!$A:$A,0)))</f>
        <v/>
      </c>
      <c r="BC453" s="38" t="str">
        <f>IF(ISNA(MATCH($N453,data!$A:$A,0)),"",INDEX(data!R:R,MATCH($N453,data!$A:$A,0)))</f>
        <v/>
      </c>
      <c r="BD453" s="38" t="str">
        <f>IF(ISNA(MATCH($N453,[1]data!$A:$A,0)),"",INDEX([1]data!U:U,MATCH($N453,[1]data!$A:$A,0)))</f>
        <v/>
      </c>
      <c r="BE453" s="61" t="e">
        <f>IF(COUNTIF([1]data!A:A,[1]!Table1[[#This Row],[UPC]])&lt;2,"","DUP")</f>
        <v>#VALUE!</v>
      </c>
      <c r="BF453" s="38" t="str">
        <f>IF(ISNA(MATCH($N453,data!$A:$A,0)),"",INDEX(data!W:W,MATCH($N453,data!$A:$A,0)))</f>
        <v/>
      </c>
    </row>
    <row r="454" spans="1:58" ht="12.75" customHeight="1">
      <c r="A454" s="35"/>
      <c r="B454" s="35"/>
      <c r="C454" s="35"/>
      <c r="D454" s="35"/>
      <c r="E454" s="67"/>
      <c r="F454" s="67"/>
      <c r="G454" s="36"/>
      <c r="H454" s="29"/>
      <c r="I454" s="78" t="str">
        <f t="shared" si="8"/>
        <v/>
      </c>
      <c r="J454" s="29"/>
      <c r="K454" s="29"/>
      <c r="L454" s="33"/>
      <c r="M454" s="33"/>
      <c r="N454" s="60"/>
      <c r="O454" s="71"/>
      <c r="P454" s="71"/>
      <c r="Q454" s="33"/>
      <c r="R454" s="31"/>
      <c r="S454" s="31"/>
      <c r="T454" s="59"/>
      <c r="U454" s="59"/>
      <c r="V454" s="59"/>
      <c r="W454" s="57">
        <f t="shared" si="9"/>
        <v>0</v>
      </c>
      <c r="X454" s="126" t="str">
        <f>IF(Table1[[#This Row],[Shipping Weight Pounds]]&gt;150,"See LTL Form","No")</f>
        <v>No</v>
      </c>
      <c r="Y454" s="28"/>
      <c r="Z454" s="33"/>
      <c r="AA454" s="34"/>
      <c r="AB454" s="30"/>
      <c r="AC454" s="30"/>
      <c r="AD454" s="32"/>
      <c r="AE454" s="32"/>
      <c r="AF454" s="2"/>
      <c r="AG454" s="2"/>
      <c r="AH454" s="2"/>
      <c r="AI454" s="2"/>
      <c r="AK454" s="73" t="str">
        <f>IF(ISNA(MATCH($N454,[1]data!$A:$A,0)),"",INDEX([1]data!S:S,MATCH($N454,[1]data!$A:$A,0)))</f>
        <v/>
      </c>
      <c r="AL454" s="73" t="str">
        <f>IF(ISNA(MATCH($N454,[1]data!$A:$A,0)),"",INDEX([1]data!V:V,MATCH($N454,[1]data!$A:$A,0)))</f>
        <v/>
      </c>
      <c r="AM454" s="38" t="str">
        <f>IF(ISNA(MATCH($N454,data!$A:$A,0)),"",INDEX(data!B:B,MATCH($N454,data!$A:$A,0)))</f>
        <v/>
      </c>
      <c r="AN454" s="38" t="str">
        <f>IF(ISNA(MATCH($N454,data!$A:$A,0)),"",INDEX(data!C:C,MATCH($N454,data!$A:$A,0)))</f>
        <v/>
      </c>
      <c r="AO454" s="38" t="str">
        <f>IF(ISNA(MATCH($N454,data!$A:$A,0)),"",INDEX(data!D:D,MATCH($N454,data!$A:$A,0)))</f>
        <v/>
      </c>
      <c r="AP454" s="38" t="str">
        <f>IF(ISNA(MATCH($N454,data!$A:$A,0)),"",INDEX(data!E:E,MATCH($N454,data!$A:$A,0)))</f>
        <v/>
      </c>
      <c r="AQ454" s="38" t="str">
        <f>IF(ISNA(MATCH($N454,data!$A:$A,0)),"",INDEX(data!F:F,MATCH($N454,data!$A:$A,0)))</f>
        <v/>
      </c>
      <c r="AR454" s="38" t="str">
        <f>IF(ISNA(MATCH($N454,data!$A:$A,0)),"",INDEX(data!G:G,MATCH($N454,data!$A:$A,0)))</f>
        <v/>
      </c>
      <c r="AS454" s="38" t="str">
        <f>IF(ISNA(MATCH($N454,data!$A:$A,0)),"",INDEX(data!H:H,MATCH($N454,data!$A:$A,0)))</f>
        <v/>
      </c>
      <c r="AT454" s="38" t="str">
        <f>IF(ISNA(MATCH($N454,data!$A:$A,0)),"",INDEX(data!I:I,MATCH($N454,data!$A:$A,0)))</f>
        <v/>
      </c>
      <c r="AU454" s="38" t="str">
        <f>IF(ISNA(MATCH($N454,[1]data!$A:$A,0)),"",INDEX([1]data!L:L,MATCH($N454,[1]data!$A:$A,0)))</f>
        <v/>
      </c>
      <c r="AV454" s="38" t="str">
        <f>IF(ISNA(MATCH($N454,[1]data!$A:$A,0)),"",INDEX([1]data!M:M,MATCH($N454,[1]data!$A:$A,0)))</f>
        <v/>
      </c>
      <c r="AW454" s="38" t="str">
        <f>IF(ISNA(MATCH($N454,data!$A:$A,0)),"",INDEX(data!J:J,MATCH($N454,data!$A:$A,0)))</f>
        <v/>
      </c>
      <c r="AX454" s="38" t="str">
        <f>IF(ISNA(MATCH($N454,data!$A:$A,0)),"",INDEX(data!K:K,MATCH($N454,data!$A:$A,0)))</f>
        <v/>
      </c>
      <c r="AY454" s="38" t="str">
        <f>IF(ISNA(MATCH($N454,data!$A:$A,0)),"",INDEX(data!O:O,MATCH($N454,data!$A:$A,0)))</f>
        <v/>
      </c>
      <c r="AZ454" s="38" t="str">
        <f>IF(ISNA(MATCH($N454,data!$A:$A,0)),"",INDEX(data!N:N,MATCH($N454,data!$A:$A,0)))</f>
        <v/>
      </c>
      <c r="BA454" s="38" t="str">
        <f>IF(ISNA(MATCH($N454,data!$A:$A,0)),"",INDEX(data!P:P,MATCH($N454,data!$A:$A,0)))</f>
        <v/>
      </c>
      <c r="BB454" s="38" t="str">
        <f>IF(ISNA(MATCH($N454,data!$A:$A,0)),"",INDEX(data!Q:Q,MATCH($N454,data!$A:$A,0)))</f>
        <v/>
      </c>
      <c r="BC454" s="38" t="str">
        <f>IF(ISNA(MATCH($N454,data!$A:$A,0)),"",INDEX(data!R:R,MATCH($N454,data!$A:$A,0)))</f>
        <v/>
      </c>
      <c r="BD454" s="38" t="str">
        <f>IF(ISNA(MATCH($N454,[1]data!$A:$A,0)),"",INDEX([1]data!U:U,MATCH($N454,[1]data!$A:$A,0)))</f>
        <v/>
      </c>
      <c r="BE454" s="61" t="e">
        <f>IF(COUNTIF([1]data!A:A,[1]!Table1[[#This Row],[UPC]])&lt;2,"","DUP")</f>
        <v>#VALUE!</v>
      </c>
      <c r="BF454" s="38" t="str">
        <f>IF(ISNA(MATCH($N454,data!$A:$A,0)),"",INDEX(data!W:W,MATCH($N454,data!$A:$A,0)))</f>
        <v/>
      </c>
    </row>
    <row r="455" spans="1:58" ht="12.75" customHeight="1">
      <c r="A455" s="35"/>
      <c r="B455" s="35"/>
      <c r="C455" s="35"/>
      <c r="D455" s="35"/>
      <c r="E455" s="67"/>
      <c r="F455" s="67"/>
      <c r="G455" s="36"/>
      <c r="H455" s="29"/>
      <c r="I455" s="78" t="str">
        <f t="shared" si="8"/>
        <v/>
      </c>
      <c r="J455" s="29"/>
      <c r="K455" s="29"/>
      <c r="L455" s="33"/>
      <c r="M455" s="33"/>
      <c r="N455" s="60"/>
      <c r="O455" s="71"/>
      <c r="P455" s="71"/>
      <c r="Q455" s="33"/>
      <c r="R455" s="31"/>
      <c r="S455" s="31"/>
      <c r="T455" s="59"/>
      <c r="U455" s="59"/>
      <c r="V455" s="59"/>
      <c r="W455" s="57">
        <f t="shared" si="9"/>
        <v>0</v>
      </c>
      <c r="X455" s="126" t="str">
        <f>IF(Table1[[#This Row],[Shipping Weight Pounds]]&gt;150,"See LTL Form","No")</f>
        <v>No</v>
      </c>
      <c r="Y455" s="28"/>
      <c r="Z455" s="33"/>
      <c r="AA455" s="34"/>
      <c r="AB455" s="30"/>
      <c r="AC455" s="30"/>
      <c r="AD455" s="32"/>
      <c r="AE455" s="32"/>
      <c r="AF455" s="2"/>
      <c r="AG455" s="2"/>
      <c r="AH455" s="2"/>
      <c r="AI455" s="2"/>
      <c r="AK455" s="73" t="str">
        <f>IF(ISNA(MATCH($N455,[1]data!$A:$A,0)),"",INDEX([1]data!S:S,MATCH($N455,[1]data!$A:$A,0)))</f>
        <v/>
      </c>
      <c r="AL455" s="73" t="str">
        <f>IF(ISNA(MATCH($N455,[1]data!$A:$A,0)),"",INDEX([1]data!V:V,MATCH($N455,[1]data!$A:$A,0)))</f>
        <v/>
      </c>
      <c r="AM455" s="38" t="str">
        <f>IF(ISNA(MATCH($N455,data!$A:$A,0)),"",INDEX(data!B:B,MATCH($N455,data!$A:$A,0)))</f>
        <v/>
      </c>
      <c r="AN455" s="38" t="str">
        <f>IF(ISNA(MATCH($N455,data!$A:$A,0)),"",INDEX(data!C:C,MATCH($N455,data!$A:$A,0)))</f>
        <v/>
      </c>
      <c r="AO455" s="38" t="str">
        <f>IF(ISNA(MATCH($N455,data!$A:$A,0)),"",INDEX(data!D:D,MATCH($N455,data!$A:$A,0)))</f>
        <v/>
      </c>
      <c r="AP455" s="38" t="str">
        <f>IF(ISNA(MATCH($N455,data!$A:$A,0)),"",INDEX(data!E:E,MATCH($N455,data!$A:$A,0)))</f>
        <v/>
      </c>
      <c r="AQ455" s="38" t="str">
        <f>IF(ISNA(MATCH($N455,data!$A:$A,0)),"",INDEX(data!F:F,MATCH($N455,data!$A:$A,0)))</f>
        <v/>
      </c>
      <c r="AR455" s="38" t="str">
        <f>IF(ISNA(MATCH($N455,data!$A:$A,0)),"",INDEX(data!G:G,MATCH($N455,data!$A:$A,0)))</f>
        <v/>
      </c>
      <c r="AS455" s="38" t="str">
        <f>IF(ISNA(MATCH($N455,data!$A:$A,0)),"",INDEX(data!H:H,MATCH($N455,data!$A:$A,0)))</f>
        <v/>
      </c>
      <c r="AT455" s="38" t="str">
        <f>IF(ISNA(MATCH($N455,data!$A:$A,0)),"",INDEX(data!I:I,MATCH($N455,data!$A:$A,0)))</f>
        <v/>
      </c>
      <c r="AU455" s="38" t="str">
        <f>IF(ISNA(MATCH($N455,[1]data!$A:$A,0)),"",INDEX([1]data!L:L,MATCH($N455,[1]data!$A:$A,0)))</f>
        <v/>
      </c>
      <c r="AV455" s="38" t="str">
        <f>IF(ISNA(MATCH($N455,[1]data!$A:$A,0)),"",INDEX([1]data!M:M,MATCH($N455,[1]data!$A:$A,0)))</f>
        <v/>
      </c>
      <c r="AW455" s="38" t="str">
        <f>IF(ISNA(MATCH($N455,data!$A:$A,0)),"",INDEX(data!J:J,MATCH($N455,data!$A:$A,0)))</f>
        <v/>
      </c>
      <c r="AX455" s="38" t="str">
        <f>IF(ISNA(MATCH($N455,data!$A:$A,0)),"",INDEX(data!K:K,MATCH($N455,data!$A:$A,0)))</f>
        <v/>
      </c>
      <c r="AY455" s="38" t="str">
        <f>IF(ISNA(MATCH($N455,data!$A:$A,0)),"",INDEX(data!O:O,MATCH($N455,data!$A:$A,0)))</f>
        <v/>
      </c>
      <c r="AZ455" s="38" t="str">
        <f>IF(ISNA(MATCH($N455,data!$A:$A,0)),"",INDEX(data!N:N,MATCH($N455,data!$A:$A,0)))</f>
        <v/>
      </c>
      <c r="BA455" s="38" t="str">
        <f>IF(ISNA(MATCH($N455,data!$A:$A,0)),"",INDEX(data!P:P,MATCH($N455,data!$A:$A,0)))</f>
        <v/>
      </c>
      <c r="BB455" s="38" t="str">
        <f>IF(ISNA(MATCH($N455,data!$A:$A,0)),"",INDEX(data!Q:Q,MATCH($N455,data!$A:$A,0)))</f>
        <v/>
      </c>
      <c r="BC455" s="38" t="str">
        <f>IF(ISNA(MATCH($N455,data!$A:$A,0)),"",INDEX(data!R:R,MATCH($N455,data!$A:$A,0)))</f>
        <v/>
      </c>
      <c r="BD455" s="38" t="str">
        <f>IF(ISNA(MATCH($N455,[1]data!$A:$A,0)),"",INDEX([1]data!U:U,MATCH($N455,[1]data!$A:$A,0)))</f>
        <v/>
      </c>
      <c r="BE455" s="61" t="e">
        <f>IF(COUNTIF([1]data!A:A,[1]!Table1[[#This Row],[UPC]])&lt;2,"","DUP")</f>
        <v>#VALUE!</v>
      </c>
      <c r="BF455" s="38" t="str">
        <f>IF(ISNA(MATCH($N455,data!$A:$A,0)),"",INDEX(data!W:W,MATCH($N455,data!$A:$A,0)))</f>
        <v/>
      </c>
    </row>
    <row r="456" spans="1:58" ht="12.75" customHeight="1">
      <c r="A456" s="35"/>
      <c r="B456" s="35"/>
      <c r="C456" s="35"/>
      <c r="D456" s="35"/>
      <c r="E456" s="67"/>
      <c r="F456" s="67"/>
      <c r="G456" s="36"/>
      <c r="H456" s="29"/>
      <c r="I456" s="78" t="str">
        <f t="shared" ref="I456:I519" si="10">IF(H456&lt;&gt;0,(H456-G456)/H456,"")</f>
        <v/>
      </c>
      <c r="J456" s="29"/>
      <c r="K456" s="29"/>
      <c r="L456" s="33"/>
      <c r="M456" s="33"/>
      <c r="N456" s="60"/>
      <c r="O456" s="71"/>
      <c r="P456" s="71"/>
      <c r="Q456" s="33"/>
      <c r="R456" s="31"/>
      <c r="S456" s="31"/>
      <c r="T456" s="59"/>
      <c r="U456" s="59"/>
      <c r="V456" s="59"/>
      <c r="W456" s="57">
        <f t="shared" ref="W456:W519" si="11">IF(ISERR(Q456*R456*S456),"",(Q456*R456*S456))</f>
        <v>0</v>
      </c>
      <c r="X456" s="126" t="str">
        <f>IF(Table1[[#This Row],[Shipping Weight Pounds]]&gt;150,"See LTL Form","No")</f>
        <v>No</v>
      </c>
      <c r="Y456" s="28"/>
      <c r="Z456" s="33"/>
      <c r="AA456" s="34"/>
      <c r="AB456" s="30"/>
      <c r="AC456" s="30"/>
      <c r="AD456" s="32"/>
      <c r="AE456" s="32"/>
      <c r="AF456" s="2"/>
      <c r="AG456" s="2"/>
      <c r="AH456" s="2"/>
      <c r="AI456" s="2"/>
      <c r="AK456" s="73" t="str">
        <f>IF(ISNA(MATCH($N456,[1]data!$A:$A,0)),"",INDEX([1]data!S:S,MATCH($N456,[1]data!$A:$A,0)))</f>
        <v/>
      </c>
      <c r="AL456" s="73" t="str">
        <f>IF(ISNA(MATCH($N456,[1]data!$A:$A,0)),"",INDEX([1]data!V:V,MATCH($N456,[1]data!$A:$A,0)))</f>
        <v/>
      </c>
      <c r="AM456" s="38" t="str">
        <f>IF(ISNA(MATCH($N456,data!$A:$A,0)),"",INDEX(data!B:B,MATCH($N456,data!$A:$A,0)))</f>
        <v/>
      </c>
      <c r="AN456" s="38" t="str">
        <f>IF(ISNA(MATCH($N456,data!$A:$A,0)),"",INDEX(data!C:C,MATCH($N456,data!$A:$A,0)))</f>
        <v/>
      </c>
      <c r="AO456" s="38" t="str">
        <f>IF(ISNA(MATCH($N456,data!$A:$A,0)),"",INDEX(data!D:D,MATCH($N456,data!$A:$A,0)))</f>
        <v/>
      </c>
      <c r="AP456" s="38" t="str">
        <f>IF(ISNA(MATCH($N456,data!$A:$A,0)),"",INDEX(data!E:E,MATCH($N456,data!$A:$A,0)))</f>
        <v/>
      </c>
      <c r="AQ456" s="38" t="str">
        <f>IF(ISNA(MATCH($N456,data!$A:$A,0)),"",INDEX(data!F:F,MATCH($N456,data!$A:$A,0)))</f>
        <v/>
      </c>
      <c r="AR456" s="38" t="str">
        <f>IF(ISNA(MATCH($N456,data!$A:$A,0)),"",INDEX(data!G:G,MATCH($N456,data!$A:$A,0)))</f>
        <v/>
      </c>
      <c r="AS456" s="38" t="str">
        <f>IF(ISNA(MATCH($N456,data!$A:$A,0)),"",INDEX(data!H:H,MATCH($N456,data!$A:$A,0)))</f>
        <v/>
      </c>
      <c r="AT456" s="38" t="str">
        <f>IF(ISNA(MATCH($N456,data!$A:$A,0)),"",INDEX(data!I:I,MATCH($N456,data!$A:$A,0)))</f>
        <v/>
      </c>
      <c r="AU456" s="38" t="str">
        <f>IF(ISNA(MATCH($N456,[1]data!$A:$A,0)),"",INDEX([1]data!L:L,MATCH($N456,[1]data!$A:$A,0)))</f>
        <v/>
      </c>
      <c r="AV456" s="38" t="str">
        <f>IF(ISNA(MATCH($N456,[1]data!$A:$A,0)),"",INDEX([1]data!M:M,MATCH($N456,[1]data!$A:$A,0)))</f>
        <v/>
      </c>
      <c r="AW456" s="38" t="str">
        <f>IF(ISNA(MATCH($N456,data!$A:$A,0)),"",INDEX(data!J:J,MATCH($N456,data!$A:$A,0)))</f>
        <v/>
      </c>
      <c r="AX456" s="38" t="str">
        <f>IF(ISNA(MATCH($N456,data!$A:$A,0)),"",INDEX(data!K:K,MATCH($N456,data!$A:$A,0)))</f>
        <v/>
      </c>
      <c r="AY456" s="38" t="str">
        <f>IF(ISNA(MATCH($N456,data!$A:$A,0)),"",INDEX(data!O:O,MATCH($N456,data!$A:$A,0)))</f>
        <v/>
      </c>
      <c r="AZ456" s="38" t="str">
        <f>IF(ISNA(MATCH($N456,data!$A:$A,0)),"",INDEX(data!N:N,MATCH($N456,data!$A:$A,0)))</f>
        <v/>
      </c>
      <c r="BA456" s="38" t="str">
        <f>IF(ISNA(MATCH($N456,data!$A:$A,0)),"",INDEX(data!P:P,MATCH($N456,data!$A:$A,0)))</f>
        <v/>
      </c>
      <c r="BB456" s="38" t="str">
        <f>IF(ISNA(MATCH($N456,data!$A:$A,0)),"",INDEX(data!Q:Q,MATCH($N456,data!$A:$A,0)))</f>
        <v/>
      </c>
      <c r="BC456" s="38" t="str">
        <f>IF(ISNA(MATCH($N456,data!$A:$A,0)),"",INDEX(data!R:R,MATCH($N456,data!$A:$A,0)))</f>
        <v/>
      </c>
      <c r="BD456" s="38" t="str">
        <f>IF(ISNA(MATCH($N456,[1]data!$A:$A,0)),"",INDEX([1]data!U:U,MATCH($N456,[1]data!$A:$A,0)))</f>
        <v/>
      </c>
      <c r="BE456" s="61" t="e">
        <f>IF(COUNTIF([1]data!A:A,[1]!Table1[[#This Row],[UPC]])&lt;2,"","DUP")</f>
        <v>#VALUE!</v>
      </c>
      <c r="BF456" s="38" t="str">
        <f>IF(ISNA(MATCH($N456,data!$A:$A,0)),"",INDEX(data!W:W,MATCH($N456,data!$A:$A,0)))</f>
        <v/>
      </c>
    </row>
    <row r="457" spans="1:58" ht="12.75" customHeight="1">
      <c r="A457" s="35"/>
      <c r="B457" s="35"/>
      <c r="C457" s="35"/>
      <c r="D457" s="35"/>
      <c r="E457" s="67"/>
      <c r="F457" s="67"/>
      <c r="G457" s="36"/>
      <c r="H457" s="29"/>
      <c r="I457" s="78" t="str">
        <f t="shared" si="10"/>
        <v/>
      </c>
      <c r="J457" s="29"/>
      <c r="K457" s="29"/>
      <c r="L457" s="33"/>
      <c r="M457" s="33"/>
      <c r="N457" s="60"/>
      <c r="O457" s="71"/>
      <c r="P457" s="71"/>
      <c r="Q457" s="33"/>
      <c r="R457" s="31"/>
      <c r="S457" s="31"/>
      <c r="T457" s="59"/>
      <c r="U457" s="59"/>
      <c r="V457" s="59"/>
      <c r="W457" s="57">
        <f t="shared" si="11"/>
        <v>0</v>
      </c>
      <c r="X457" s="126" t="str">
        <f>IF(Table1[[#This Row],[Shipping Weight Pounds]]&gt;150,"See LTL Form","No")</f>
        <v>No</v>
      </c>
      <c r="Y457" s="28"/>
      <c r="Z457" s="33"/>
      <c r="AA457" s="34"/>
      <c r="AB457" s="30"/>
      <c r="AC457" s="30"/>
      <c r="AD457" s="32"/>
      <c r="AE457" s="32"/>
      <c r="AF457" s="2"/>
      <c r="AG457" s="2"/>
      <c r="AH457" s="2"/>
      <c r="AI457" s="2"/>
      <c r="AK457" s="73" t="str">
        <f>IF(ISNA(MATCH($N457,[1]data!$A:$A,0)),"",INDEX([1]data!S:S,MATCH($N457,[1]data!$A:$A,0)))</f>
        <v/>
      </c>
      <c r="AL457" s="73" t="str">
        <f>IF(ISNA(MATCH($N457,[1]data!$A:$A,0)),"",INDEX([1]data!V:V,MATCH($N457,[1]data!$A:$A,0)))</f>
        <v/>
      </c>
      <c r="AM457" s="38" t="str">
        <f>IF(ISNA(MATCH($N457,data!$A:$A,0)),"",INDEX(data!B:B,MATCH($N457,data!$A:$A,0)))</f>
        <v/>
      </c>
      <c r="AN457" s="38" t="str">
        <f>IF(ISNA(MATCH($N457,data!$A:$A,0)),"",INDEX(data!C:C,MATCH($N457,data!$A:$A,0)))</f>
        <v/>
      </c>
      <c r="AO457" s="38" t="str">
        <f>IF(ISNA(MATCH($N457,data!$A:$A,0)),"",INDEX(data!D:D,MATCH($N457,data!$A:$A,0)))</f>
        <v/>
      </c>
      <c r="AP457" s="38" t="str">
        <f>IF(ISNA(MATCH($N457,data!$A:$A,0)),"",INDEX(data!E:E,MATCH($N457,data!$A:$A,0)))</f>
        <v/>
      </c>
      <c r="AQ457" s="38" t="str">
        <f>IF(ISNA(MATCH($N457,data!$A:$A,0)),"",INDEX(data!F:F,MATCH($N457,data!$A:$A,0)))</f>
        <v/>
      </c>
      <c r="AR457" s="38" t="str">
        <f>IF(ISNA(MATCH($N457,data!$A:$A,0)),"",INDEX(data!G:G,MATCH($N457,data!$A:$A,0)))</f>
        <v/>
      </c>
      <c r="AS457" s="38" t="str">
        <f>IF(ISNA(MATCH($N457,data!$A:$A,0)),"",INDEX(data!H:H,MATCH($N457,data!$A:$A,0)))</f>
        <v/>
      </c>
      <c r="AT457" s="38" t="str">
        <f>IF(ISNA(MATCH($N457,data!$A:$A,0)),"",INDEX(data!I:I,MATCH($N457,data!$A:$A,0)))</f>
        <v/>
      </c>
      <c r="AU457" s="38" t="str">
        <f>IF(ISNA(MATCH($N457,[1]data!$A:$A,0)),"",INDEX([1]data!L:L,MATCH($N457,[1]data!$A:$A,0)))</f>
        <v/>
      </c>
      <c r="AV457" s="38" t="str">
        <f>IF(ISNA(MATCH($N457,[1]data!$A:$A,0)),"",INDEX([1]data!M:M,MATCH($N457,[1]data!$A:$A,0)))</f>
        <v/>
      </c>
      <c r="AW457" s="38" t="str">
        <f>IF(ISNA(MATCH($N457,data!$A:$A,0)),"",INDEX(data!J:J,MATCH($N457,data!$A:$A,0)))</f>
        <v/>
      </c>
      <c r="AX457" s="38" t="str">
        <f>IF(ISNA(MATCH($N457,data!$A:$A,0)),"",INDEX(data!K:K,MATCH($N457,data!$A:$A,0)))</f>
        <v/>
      </c>
      <c r="AY457" s="38" t="str">
        <f>IF(ISNA(MATCH($N457,data!$A:$A,0)),"",INDEX(data!O:O,MATCH($N457,data!$A:$A,0)))</f>
        <v/>
      </c>
      <c r="AZ457" s="38" t="str">
        <f>IF(ISNA(MATCH($N457,data!$A:$A,0)),"",INDEX(data!N:N,MATCH($N457,data!$A:$A,0)))</f>
        <v/>
      </c>
      <c r="BA457" s="38" t="str">
        <f>IF(ISNA(MATCH($N457,data!$A:$A,0)),"",INDEX(data!P:P,MATCH($N457,data!$A:$A,0)))</f>
        <v/>
      </c>
      <c r="BB457" s="38" t="str">
        <f>IF(ISNA(MATCH($N457,data!$A:$A,0)),"",INDEX(data!Q:Q,MATCH($N457,data!$A:$A,0)))</f>
        <v/>
      </c>
      <c r="BC457" s="38" t="str">
        <f>IF(ISNA(MATCH($N457,data!$A:$A,0)),"",INDEX(data!R:R,MATCH($N457,data!$A:$A,0)))</f>
        <v/>
      </c>
      <c r="BD457" s="38" t="str">
        <f>IF(ISNA(MATCH($N457,[1]data!$A:$A,0)),"",INDEX([1]data!U:U,MATCH($N457,[1]data!$A:$A,0)))</f>
        <v/>
      </c>
      <c r="BE457" s="61" t="e">
        <f>IF(COUNTIF([1]data!A:A,[1]!Table1[[#This Row],[UPC]])&lt;2,"","DUP")</f>
        <v>#VALUE!</v>
      </c>
      <c r="BF457" s="38" t="str">
        <f>IF(ISNA(MATCH($N457,data!$A:$A,0)),"",INDEX(data!W:W,MATCH($N457,data!$A:$A,0)))</f>
        <v/>
      </c>
    </row>
    <row r="458" spans="1:58" ht="12.75" customHeight="1">
      <c r="A458" s="35"/>
      <c r="B458" s="35"/>
      <c r="C458" s="35"/>
      <c r="D458" s="35"/>
      <c r="E458" s="67"/>
      <c r="F458" s="67"/>
      <c r="G458" s="36"/>
      <c r="H458" s="29"/>
      <c r="I458" s="78" t="str">
        <f t="shared" si="10"/>
        <v/>
      </c>
      <c r="J458" s="29"/>
      <c r="K458" s="29"/>
      <c r="L458" s="33"/>
      <c r="M458" s="33"/>
      <c r="N458" s="60"/>
      <c r="O458" s="71"/>
      <c r="P458" s="71"/>
      <c r="Q458" s="33"/>
      <c r="R458" s="31"/>
      <c r="S458" s="31"/>
      <c r="T458" s="59"/>
      <c r="U458" s="59"/>
      <c r="V458" s="59"/>
      <c r="W458" s="57">
        <f t="shared" si="11"/>
        <v>0</v>
      </c>
      <c r="X458" s="126" t="str">
        <f>IF(Table1[[#This Row],[Shipping Weight Pounds]]&gt;150,"See LTL Form","No")</f>
        <v>No</v>
      </c>
      <c r="Y458" s="28"/>
      <c r="Z458" s="33"/>
      <c r="AA458" s="34"/>
      <c r="AB458" s="30"/>
      <c r="AC458" s="30"/>
      <c r="AD458" s="32"/>
      <c r="AE458" s="32"/>
      <c r="AF458" s="2"/>
      <c r="AG458" s="2"/>
      <c r="AH458" s="2"/>
      <c r="AI458" s="2"/>
      <c r="AK458" s="73" t="str">
        <f>IF(ISNA(MATCH($N458,[1]data!$A:$A,0)),"",INDEX([1]data!S:S,MATCH($N458,[1]data!$A:$A,0)))</f>
        <v/>
      </c>
      <c r="AL458" s="73" t="str">
        <f>IF(ISNA(MATCH($N458,[1]data!$A:$A,0)),"",INDEX([1]data!V:V,MATCH($N458,[1]data!$A:$A,0)))</f>
        <v/>
      </c>
      <c r="AM458" s="38" t="str">
        <f>IF(ISNA(MATCH($N458,data!$A:$A,0)),"",INDEX(data!B:B,MATCH($N458,data!$A:$A,0)))</f>
        <v/>
      </c>
      <c r="AN458" s="38" t="str">
        <f>IF(ISNA(MATCH($N458,data!$A:$A,0)),"",INDEX(data!C:C,MATCH($N458,data!$A:$A,0)))</f>
        <v/>
      </c>
      <c r="AO458" s="38" t="str">
        <f>IF(ISNA(MATCH($N458,data!$A:$A,0)),"",INDEX(data!D:D,MATCH($N458,data!$A:$A,0)))</f>
        <v/>
      </c>
      <c r="AP458" s="38" t="str">
        <f>IF(ISNA(MATCH($N458,data!$A:$A,0)),"",INDEX(data!E:E,MATCH($N458,data!$A:$A,0)))</f>
        <v/>
      </c>
      <c r="AQ458" s="38" t="str">
        <f>IF(ISNA(MATCH($N458,data!$A:$A,0)),"",INDEX(data!F:F,MATCH($N458,data!$A:$A,0)))</f>
        <v/>
      </c>
      <c r="AR458" s="38" t="str">
        <f>IF(ISNA(MATCH($N458,data!$A:$A,0)),"",INDEX(data!G:G,MATCH($N458,data!$A:$A,0)))</f>
        <v/>
      </c>
      <c r="AS458" s="38" t="str">
        <f>IF(ISNA(MATCH($N458,data!$A:$A,0)),"",INDEX(data!H:H,MATCH($N458,data!$A:$A,0)))</f>
        <v/>
      </c>
      <c r="AT458" s="38" t="str">
        <f>IF(ISNA(MATCH($N458,data!$A:$A,0)),"",INDEX(data!I:I,MATCH($N458,data!$A:$A,0)))</f>
        <v/>
      </c>
      <c r="AU458" s="38" t="str">
        <f>IF(ISNA(MATCH($N458,[1]data!$A:$A,0)),"",INDEX([1]data!L:L,MATCH($N458,[1]data!$A:$A,0)))</f>
        <v/>
      </c>
      <c r="AV458" s="38" t="str">
        <f>IF(ISNA(MATCH($N458,[1]data!$A:$A,0)),"",INDEX([1]data!M:M,MATCH($N458,[1]data!$A:$A,0)))</f>
        <v/>
      </c>
      <c r="AW458" s="38" t="str">
        <f>IF(ISNA(MATCH($N458,data!$A:$A,0)),"",INDEX(data!J:J,MATCH($N458,data!$A:$A,0)))</f>
        <v/>
      </c>
      <c r="AX458" s="38" t="str">
        <f>IF(ISNA(MATCH($N458,data!$A:$A,0)),"",INDEX(data!K:K,MATCH($N458,data!$A:$A,0)))</f>
        <v/>
      </c>
      <c r="AY458" s="38" t="str">
        <f>IF(ISNA(MATCH($N458,data!$A:$A,0)),"",INDEX(data!O:O,MATCH($N458,data!$A:$A,0)))</f>
        <v/>
      </c>
      <c r="AZ458" s="38" t="str">
        <f>IF(ISNA(MATCH($N458,data!$A:$A,0)),"",INDEX(data!N:N,MATCH($N458,data!$A:$A,0)))</f>
        <v/>
      </c>
      <c r="BA458" s="38" t="str">
        <f>IF(ISNA(MATCH($N458,data!$A:$A,0)),"",INDEX(data!P:P,MATCH($N458,data!$A:$A,0)))</f>
        <v/>
      </c>
      <c r="BB458" s="38" t="str">
        <f>IF(ISNA(MATCH($N458,data!$A:$A,0)),"",INDEX(data!Q:Q,MATCH($N458,data!$A:$A,0)))</f>
        <v/>
      </c>
      <c r="BC458" s="38" t="str">
        <f>IF(ISNA(MATCH($N458,data!$A:$A,0)),"",INDEX(data!R:R,MATCH($N458,data!$A:$A,0)))</f>
        <v/>
      </c>
      <c r="BD458" s="38" t="str">
        <f>IF(ISNA(MATCH($N458,[1]data!$A:$A,0)),"",INDEX([1]data!U:U,MATCH($N458,[1]data!$A:$A,0)))</f>
        <v/>
      </c>
      <c r="BE458" s="61" t="e">
        <f>IF(COUNTIF([1]data!A:A,[1]!Table1[[#This Row],[UPC]])&lt;2,"","DUP")</f>
        <v>#VALUE!</v>
      </c>
      <c r="BF458" s="38" t="str">
        <f>IF(ISNA(MATCH($N458,data!$A:$A,0)),"",INDEX(data!W:W,MATCH($N458,data!$A:$A,0)))</f>
        <v/>
      </c>
    </row>
    <row r="459" spans="1:58" ht="12.75" customHeight="1">
      <c r="A459" s="35"/>
      <c r="B459" s="35"/>
      <c r="C459" s="35"/>
      <c r="D459" s="35"/>
      <c r="E459" s="67"/>
      <c r="F459" s="67"/>
      <c r="G459" s="36"/>
      <c r="H459" s="29"/>
      <c r="I459" s="78" t="str">
        <f t="shared" si="10"/>
        <v/>
      </c>
      <c r="J459" s="29"/>
      <c r="K459" s="29"/>
      <c r="L459" s="33"/>
      <c r="M459" s="33"/>
      <c r="N459" s="60"/>
      <c r="O459" s="71"/>
      <c r="P459" s="71"/>
      <c r="Q459" s="33"/>
      <c r="R459" s="31"/>
      <c r="S459" s="31"/>
      <c r="T459" s="59"/>
      <c r="U459" s="59"/>
      <c r="V459" s="59"/>
      <c r="W459" s="57">
        <f t="shared" si="11"/>
        <v>0</v>
      </c>
      <c r="X459" s="126" t="str">
        <f>IF(Table1[[#This Row],[Shipping Weight Pounds]]&gt;150,"See LTL Form","No")</f>
        <v>No</v>
      </c>
      <c r="Y459" s="28"/>
      <c r="Z459" s="33"/>
      <c r="AA459" s="34"/>
      <c r="AB459" s="30"/>
      <c r="AC459" s="30"/>
      <c r="AD459" s="32"/>
      <c r="AE459" s="32"/>
      <c r="AF459" s="2"/>
      <c r="AG459" s="2"/>
      <c r="AH459" s="2"/>
      <c r="AI459" s="2"/>
      <c r="AK459" s="73" t="str">
        <f>IF(ISNA(MATCH($N459,[1]data!$A:$A,0)),"",INDEX([1]data!S:S,MATCH($N459,[1]data!$A:$A,0)))</f>
        <v/>
      </c>
      <c r="AL459" s="73" t="str">
        <f>IF(ISNA(MATCH($N459,[1]data!$A:$A,0)),"",INDEX([1]data!V:V,MATCH($N459,[1]data!$A:$A,0)))</f>
        <v/>
      </c>
      <c r="AM459" s="38" t="str">
        <f>IF(ISNA(MATCH($N459,data!$A:$A,0)),"",INDEX(data!B:B,MATCH($N459,data!$A:$A,0)))</f>
        <v/>
      </c>
      <c r="AN459" s="38" t="str">
        <f>IF(ISNA(MATCH($N459,data!$A:$A,0)),"",INDEX(data!C:C,MATCH($N459,data!$A:$A,0)))</f>
        <v/>
      </c>
      <c r="AO459" s="38" t="str">
        <f>IF(ISNA(MATCH($N459,data!$A:$A,0)),"",INDEX(data!D:D,MATCH($N459,data!$A:$A,0)))</f>
        <v/>
      </c>
      <c r="AP459" s="38" t="str">
        <f>IF(ISNA(MATCH($N459,data!$A:$A,0)),"",INDEX(data!E:E,MATCH($N459,data!$A:$A,0)))</f>
        <v/>
      </c>
      <c r="AQ459" s="38" t="str">
        <f>IF(ISNA(MATCH($N459,data!$A:$A,0)),"",INDEX(data!F:F,MATCH($N459,data!$A:$A,0)))</f>
        <v/>
      </c>
      <c r="AR459" s="38" t="str">
        <f>IF(ISNA(MATCH($N459,data!$A:$A,0)),"",INDEX(data!G:G,MATCH($N459,data!$A:$A,0)))</f>
        <v/>
      </c>
      <c r="AS459" s="38" t="str">
        <f>IF(ISNA(MATCH($N459,data!$A:$A,0)),"",INDEX(data!H:H,MATCH($N459,data!$A:$A,0)))</f>
        <v/>
      </c>
      <c r="AT459" s="38" t="str">
        <f>IF(ISNA(MATCH($N459,data!$A:$A,0)),"",INDEX(data!I:I,MATCH($N459,data!$A:$A,0)))</f>
        <v/>
      </c>
      <c r="AU459" s="38" t="str">
        <f>IF(ISNA(MATCH($N459,[1]data!$A:$A,0)),"",INDEX([1]data!L:L,MATCH($N459,[1]data!$A:$A,0)))</f>
        <v/>
      </c>
      <c r="AV459" s="38" t="str">
        <f>IF(ISNA(MATCH($N459,[1]data!$A:$A,0)),"",INDEX([1]data!M:M,MATCH($N459,[1]data!$A:$A,0)))</f>
        <v/>
      </c>
      <c r="AW459" s="38" t="str">
        <f>IF(ISNA(MATCH($N459,data!$A:$A,0)),"",INDEX(data!J:J,MATCH($N459,data!$A:$A,0)))</f>
        <v/>
      </c>
      <c r="AX459" s="38" t="str">
        <f>IF(ISNA(MATCH($N459,data!$A:$A,0)),"",INDEX(data!K:K,MATCH($N459,data!$A:$A,0)))</f>
        <v/>
      </c>
      <c r="AY459" s="38" t="str">
        <f>IF(ISNA(MATCH($N459,data!$A:$A,0)),"",INDEX(data!O:O,MATCH($N459,data!$A:$A,0)))</f>
        <v/>
      </c>
      <c r="AZ459" s="38" t="str">
        <f>IF(ISNA(MATCH($N459,data!$A:$A,0)),"",INDEX(data!N:N,MATCH($N459,data!$A:$A,0)))</f>
        <v/>
      </c>
      <c r="BA459" s="38" t="str">
        <f>IF(ISNA(MATCH($N459,data!$A:$A,0)),"",INDEX(data!P:P,MATCH($N459,data!$A:$A,0)))</f>
        <v/>
      </c>
      <c r="BB459" s="38" t="str">
        <f>IF(ISNA(MATCH($N459,data!$A:$A,0)),"",INDEX(data!Q:Q,MATCH($N459,data!$A:$A,0)))</f>
        <v/>
      </c>
      <c r="BC459" s="38" t="str">
        <f>IF(ISNA(MATCH($N459,data!$A:$A,0)),"",INDEX(data!R:R,MATCH($N459,data!$A:$A,0)))</f>
        <v/>
      </c>
      <c r="BD459" s="38" t="str">
        <f>IF(ISNA(MATCH($N459,[1]data!$A:$A,0)),"",INDEX([1]data!U:U,MATCH($N459,[1]data!$A:$A,0)))</f>
        <v/>
      </c>
      <c r="BE459" s="61" t="e">
        <f>IF(COUNTIF([1]data!A:A,[1]!Table1[[#This Row],[UPC]])&lt;2,"","DUP")</f>
        <v>#VALUE!</v>
      </c>
      <c r="BF459" s="38" t="str">
        <f>IF(ISNA(MATCH($N459,data!$A:$A,0)),"",INDEX(data!W:W,MATCH($N459,data!$A:$A,0)))</f>
        <v/>
      </c>
    </row>
    <row r="460" spans="1:58" ht="12.75" customHeight="1">
      <c r="A460" s="35"/>
      <c r="B460" s="35"/>
      <c r="C460" s="35"/>
      <c r="D460" s="35"/>
      <c r="E460" s="67"/>
      <c r="F460" s="67"/>
      <c r="G460" s="36"/>
      <c r="H460" s="29"/>
      <c r="I460" s="78" t="str">
        <f t="shared" si="10"/>
        <v/>
      </c>
      <c r="J460" s="29"/>
      <c r="K460" s="29"/>
      <c r="L460" s="33"/>
      <c r="M460" s="33"/>
      <c r="N460" s="60"/>
      <c r="O460" s="71"/>
      <c r="P460" s="71"/>
      <c r="Q460" s="33"/>
      <c r="R460" s="31"/>
      <c r="S460" s="31"/>
      <c r="T460" s="59"/>
      <c r="U460" s="59"/>
      <c r="V460" s="59"/>
      <c r="W460" s="57">
        <f t="shared" si="11"/>
        <v>0</v>
      </c>
      <c r="X460" s="126" t="str">
        <f>IF(Table1[[#This Row],[Shipping Weight Pounds]]&gt;150,"See LTL Form","No")</f>
        <v>No</v>
      </c>
      <c r="Y460" s="28"/>
      <c r="Z460" s="33"/>
      <c r="AA460" s="34"/>
      <c r="AB460" s="30"/>
      <c r="AC460" s="30"/>
      <c r="AD460" s="32"/>
      <c r="AE460" s="32"/>
      <c r="AF460" s="2"/>
      <c r="AG460" s="2"/>
      <c r="AH460" s="2"/>
      <c r="AI460" s="2"/>
      <c r="AK460" s="73" t="str">
        <f>IF(ISNA(MATCH($N460,[1]data!$A:$A,0)),"",INDEX([1]data!S:S,MATCH($N460,[1]data!$A:$A,0)))</f>
        <v/>
      </c>
      <c r="AL460" s="73" t="str">
        <f>IF(ISNA(MATCH($N460,[1]data!$A:$A,0)),"",INDEX([1]data!V:V,MATCH($N460,[1]data!$A:$A,0)))</f>
        <v/>
      </c>
      <c r="AM460" s="38" t="str">
        <f>IF(ISNA(MATCH($N460,data!$A:$A,0)),"",INDEX(data!B:B,MATCH($N460,data!$A:$A,0)))</f>
        <v/>
      </c>
      <c r="AN460" s="38" t="str">
        <f>IF(ISNA(MATCH($N460,data!$A:$A,0)),"",INDEX(data!C:C,MATCH($N460,data!$A:$A,0)))</f>
        <v/>
      </c>
      <c r="AO460" s="38" t="str">
        <f>IF(ISNA(MATCH($N460,data!$A:$A,0)),"",INDEX(data!D:D,MATCH($N460,data!$A:$A,0)))</f>
        <v/>
      </c>
      <c r="AP460" s="38" t="str">
        <f>IF(ISNA(MATCH($N460,data!$A:$A,0)),"",INDEX(data!E:E,MATCH($N460,data!$A:$A,0)))</f>
        <v/>
      </c>
      <c r="AQ460" s="38" t="str">
        <f>IF(ISNA(MATCH($N460,data!$A:$A,0)),"",INDEX(data!F:F,MATCH($N460,data!$A:$A,0)))</f>
        <v/>
      </c>
      <c r="AR460" s="38" t="str">
        <f>IF(ISNA(MATCH($N460,data!$A:$A,0)),"",INDEX(data!G:G,MATCH($N460,data!$A:$A,0)))</f>
        <v/>
      </c>
      <c r="AS460" s="38" t="str">
        <f>IF(ISNA(MATCH($N460,data!$A:$A,0)),"",INDEX(data!H:H,MATCH($N460,data!$A:$A,0)))</f>
        <v/>
      </c>
      <c r="AT460" s="38" t="str">
        <f>IF(ISNA(MATCH($N460,data!$A:$A,0)),"",INDEX(data!I:I,MATCH($N460,data!$A:$A,0)))</f>
        <v/>
      </c>
      <c r="AU460" s="38" t="str">
        <f>IF(ISNA(MATCH($N460,[1]data!$A:$A,0)),"",INDEX([1]data!L:L,MATCH($N460,[1]data!$A:$A,0)))</f>
        <v/>
      </c>
      <c r="AV460" s="38" t="str">
        <f>IF(ISNA(MATCH($N460,[1]data!$A:$A,0)),"",INDEX([1]data!M:M,MATCH($N460,[1]data!$A:$A,0)))</f>
        <v/>
      </c>
      <c r="AW460" s="38" t="str">
        <f>IF(ISNA(MATCH($N460,data!$A:$A,0)),"",INDEX(data!J:J,MATCH($N460,data!$A:$A,0)))</f>
        <v/>
      </c>
      <c r="AX460" s="38" t="str">
        <f>IF(ISNA(MATCH($N460,data!$A:$A,0)),"",INDEX(data!K:K,MATCH($N460,data!$A:$A,0)))</f>
        <v/>
      </c>
      <c r="AY460" s="38" t="str">
        <f>IF(ISNA(MATCH($N460,data!$A:$A,0)),"",INDEX(data!O:O,MATCH($N460,data!$A:$A,0)))</f>
        <v/>
      </c>
      <c r="AZ460" s="38" t="str">
        <f>IF(ISNA(MATCH($N460,data!$A:$A,0)),"",INDEX(data!N:N,MATCH($N460,data!$A:$A,0)))</f>
        <v/>
      </c>
      <c r="BA460" s="38" t="str">
        <f>IF(ISNA(MATCH($N460,data!$A:$A,0)),"",INDEX(data!P:P,MATCH($N460,data!$A:$A,0)))</f>
        <v/>
      </c>
      <c r="BB460" s="38" t="str">
        <f>IF(ISNA(MATCH($N460,data!$A:$A,0)),"",INDEX(data!Q:Q,MATCH($N460,data!$A:$A,0)))</f>
        <v/>
      </c>
      <c r="BC460" s="38" t="str">
        <f>IF(ISNA(MATCH($N460,data!$A:$A,0)),"",INDEX(data!R:R,MATCH($N460,data!$A:$A,0)))</f>
        <v/>
      </c>
      <c r="BD460" s="38" t="str">
        <f>IF(ISNA(MATCH($N460,[1]data!$A:$A,0)),"",INDEX([1]data!U:U,MATCH($N460,[1]data!$A:$A,0)))</f>
        <v/>
      </c>
      <c r="BE460" s="61" t="e">
        <f>IF(COUNTIF([1]data!A:A,[1]!Table1[[#This Row],[UPC]])&lt;2,"","DUP")</f>
        <v>#VALUE!</v>
      </c>
      <c r="BF460" s="38" t="str">
        <f>IF(ISNA(MATCH($N460,data!$A:$A,0)),"",INDEX(data!W:W,MATCH($N460,data!$A:$A,0)))</f>
        <v/>
      </c>
    </row>
    <row r="461" spans="1:58" ht="12.75" customHeight="1">
      <c r="A461" s="35"/>
      <c r="B461" s="35"/>
      <c r="C461" s="35"/>
      <c r="D461" s="35"/>
      <c r="E461" s="67"/>
      <c r="F461" s="67"/>
      <c r="G461" s="36"/>
      <c r="H461" s="29"/>
      <c r="I461" s="78" t="str">
        <f t="shared" si="10"/>
        <v/>
      </c>
      <c r="J461" s="29"/>
      <c r="K461" s="29"/>
      <c r="L461" s="33"/>
      <c r="M461" s="33"/>
      <c r="N461" s="60"/>
      <c r="O461" s="71"/>
      <c r="P461" s="71"/>
      <c r="Q461" s="33"/>
      <c r="R461" s="31"/>
      <c r="S461" s="31"/>
      <c r="T461" s="59"/>
      <c r="U461" s="59"/>
      <c r="V461" s="59"/>
      <c r="W461" s="57">
        <f t="shared" si="11"/>
        <v>0</v>
      </c>
      <c r="X461" s="126" t="str">
        <f>IF(Table1[[#This Row],[Shipping Weight Pounds]]&gt;150,"See LTL Form","No")</f>
        <v>No</v>
      </c>
      <c r="Y461" s="28"/>
      <c r="Z461" s="33"/>
      <c r="AA461" s="34"/>
      <c r="AB461" s="30"/>
      <c r="AC461" s="30"/>
      <c r="AD461" s="32"/>
      <c r="AE461" s="32"/>
      <c r="AF461" s="2"/>
      <c r="AG461" s="2"/>
      <c r="AH461" s="2"/>
      <c r="AI461" s="2"/>
      <c r="AK461" s="73" t="str">
        <f>IF(ISNA(MATCH($N461,[1]data!$A:$A,0)),"",INDEX([1]data!S:S,MATCH($N461,[1]data!$A:$A,0)))</f>
        <v/>
      </c>
      <c r="AL461" s="73" t="str">
        <f>IF(ISNA(MATCH($N461,[1]data!$A:$A,0)),"",INDEX([1]data!V:V,MATCH($N461,[1]data!$A:$A,0)))</f>
        <v/>
      </c>
      <c r="AM461" s="38" t="str">
        <f>IF(ISNA(MATCH($N461,data!$A:$A,0)),"",INDEX(data!B:B,MATCH($N461,data!$A:$A,0)))</f>
        <v/>
      </c>
      <c r="AN461" s="38" t="str">
        <f>IF(ISNA(MATCH($N461,data!$A:$A,0)),"",INDEX(data!C:C,MATCH($N461,data!$A:$A,0)))</f>
        <v/>
      </c>
      <c r="AO461" s="38" t="str">
        <f>IF(ISNA(MATCH($N461,data!$A:$A,0)),"",INDEX(data!D:D,MATCH($N461,data!$A:$A,0)))</f>
        <v/>
      </c>
      <c r="AP461" s="38" t="str">
        <f>IF(ISNA(MATCH($N461,data!$A:$A,0)),"",INDEX(data!E:E,MATCH($N461,data!$A:$A,0)))</f>
        <v/>
      </c>
      <c r="AQ461" s="38" t="str">
        <f>IF(ISNA(MATCH($N461,data!$A:$A,0)),"",INDEX(data!F:F,MATCH($N461,data!$A:$A,0)))</f>
        <v/>
      </c>
      <c r="AR461" s="38" t="str">
        <f>IF(ISNA(MATCH($N461,data!$A:$A,0)),"",INDEX(data!G:G,MATCH($N461,data!$A:$A,0)))</f>
        <v/>
      </c>
      <c r="AS461" s="38" t="str">
        <f>IF(ISNA(MATCH($N461,data!$A:$A,0)),"",INDEX(data!H:H,MATCH($N461,data!$A:$A,0)))</f>
        <v/>
      </c>
      <c r="AT461" s="38" t="str">
        <f>IF(ISNA(MATCH($N461,data!$A:$A,0)),"",INDEX(data!I:I,MATCH($N461,data!$A:$A,0)))</f>
        <v/>
      </c>
      <c r="AU461" s="38" t="str">
        <f>IF(ISNA(MATCH($N461,[1]data!$A:$A,0)),"",INDEX([1]data!L:L,MATCH($N461,[1]data!$A:$A,0)))</f>
        <v/>
      </c>
      <c r="AV461" s="38" t="str">
        <f>IF(ISNA(MATCH($N461,[1]data!$A:$A,0)),"",INDEX([1]data!M:M,MATCH($N461,[1]data!$A:$A,0)))</f>
        <v/>
      </c>
      <c r="AW461" s="38" t="str">
        <f>IF(ISNA(MATCH($N461,data!$A:$A,0)),"",INDEX(data!J:J,MATCH($N461,data!$A:$A,0)))</f>
        <v/>
      </c>
      <c r="AX461" s="38" t="str">
        <f>IF(ISNA(MATCH($N461,data!$A:$A,0)),"",INDEX(data!K:K,MATCH($N461,data!$A:$A,0)))</f>
        <v/>
      </c>
      <c r="AY461" s="38" t="str">
        <f>IF(ISNA(MATCH($N461,data!$A:$A,0)),"",INDEX(data!O:O,MATCH($N461,data!$A:$A,0)))</f>
        <v/>
      </c>
      <c r="AZ461" s="38" t="str">
        <f>IF(ISNA(MATCH($N461,data!$A:$A,0)),"",INDEX(data!N:N,MATCH($N461,data!$A:$A,0)))</f>
        <v/>
      </c>
      <c r="BA461" s="38" t="str">
        <f>IF(ISNA(MATCH($N461,data!$A:$A,0)),"",INDEX(data!P:P,MATCH($N461,data!$A:$A,0)))</f>
        <v/>
      </c>
      <c r="BB461" s="38" t="str">
        <f>IF(ISNA(MATCH($N461,data!$A:$A,0)),"",INDEX(data!Q:Q,MATCH($N461,data!$A:$A,0)))</f>
        <v/>
      </c>
      <c r="BC461" s="38" t="str">
        <f>IF(ISNA(MATCH($N461,data!$A:$A,0)),"",INDEX(data!R:R,MATCH($N461,data!$A:$A,0)))</f>
        <v/>
      </c>
      <c r="BD461" s="38" t="str">
        <f>IF(ISNA(MATCH($N461,[1]data!$A:$A,0)),"",INDEX([1]data!U:U,MATCH($N461,[1]data!$A:$A,0)))</f>
        <v/>
      </c>
      <c r="BE461" s="61" t="e">
        <f>IF(COUNTIF([1]data!A:A,[1]!Table1[[#This Row],[UPC]])&lt;2,"","DUP")</f>
        <v>#VALUE!</v>
      </c>
      <c r="BF461" s="38" t="str">
        <f>IF(ISNA(MATCH($N461,data!$A:$A,0)),"",INDEX(data!W:W,MATCH($N461,data!$A:$A,0)))</f>
        <v/>
      </c>
    </row>
    <row r="462" spans="1:58" ht="12.75" customHeight="1">
      <c r="A462" s="35"/>
      <c r="B462" s="35"/>
      <c r="C462" s="35"/>
      <c r="D462" s="35"/>
      <c r="E462" s="67"/>
      <c r="F462" s="67"/>
      <c r="G462" s="36"/>
      <c r="H462" s="29"/>
      <c r="I462" s="78" t="str">
        <f t="shared" si="10"/>
        <v/>
      </c>
      <c r="J462" s="29"/>
      <c r="K462" s="29"/>
      <c r="L462" s="33"/>
      <c r="M462" s="33"/>
      <c r="N462" s="60"/>
      <c r="O462" s="71"/>
      <c r="P462" s="71"/>
      <c r="Q462" s="33"/>
      <c r="R462" s="31"/>
      <c r="S462" s="31"/>
      <c r="T462" s="59"/>
      <c r="U462" s="59"/>
      <c r="V462" s="59"/>
      <c r="W462" s="57">
        <f t="shared" si="11"/>
        <v>0</v>
      </c>
      <c r="X462" s="126" t="str">
        <f>IF(Table1[[#This Row],[Shipping Weight Pounds]]&gt;150,"See LTL Form","No")</f>
        <v>No</v>
      </c>
      <c r="Y462" s="28"/>
      <c r="Z462" s="33"/>
      <c r="AA462" s="34"/>
      <c r="AB462" s="30"/>
      <c r="AC462" s="30"/>
      <c r="AD462" s="32"/>
      <c r="AE462" s="32"/>
      <c r="AF462" s="2"/>
      <c r="AG462" s="2"/>
      <c r="AH462" s="2"/>
      <c r="AI462" s="2"/>
      <c r="AK462" s="73" t="str">
        <f>IF(ISNA(MATCH($N462,[1]data!$A:$A,0)),"",INDEX([1]data!S:S,MATCH($N462,[1]data!$A:$A,0)))</f>
        <v/>
      </c>
      <c r="AL462" s="73" t="str">
        <f>IF(ISNA(MATCH($N462,[1]data!$A:$A,0)),"",INDEX([1]data!V:V,MATCH($N462,[1]data!$A:$A,0)))</f>
        <v/>
      </c>
      <c r="AM462" s="38" t="str">
        <f>IF(ISNA(MATCH($N462,data!$A:$A,0)),"",INDEX(data!B:B,MATCH($N462,data!$A:$A,0)))</f>
        <v/>
      </c>
      <c r="AN462" s="38" t="str">
        <f>IF(ISNA(MATCH($N462,data!$A:$A,0)),"",INDEX(data!C:C,MATCH($N462,data!$A:$A,0)))</f>
        <v/>
      </c>
      <c r="AO462" s="38" t="str">
        <f>IF(ISNA(MATCH($N462,data!$A:$A,0)),"",INDEX(data!D:D,MATCH($N462,data!$A:$A,0)))</f>
        <v/>
      </c>
      <c r="AP462" s="38" t="str">
        <f>IF(ISNA(MATCH($N462,data!$A:$A,0)),"",INDEX(data!E:E,MATCH($N462,data!$A:$A,0)))</f>
        <v/>
      </c>
      <c r="AQ462" s="38" t="str">
        <f>IF(ISNA(MATCH($N462,data!$A:$A,0)),"",INDEX(data!F:F,MATCH($N462,data!$A:$A,0)))</f>
        <v/>
      </c>
      <c r="AR462" s="38" t="str">
        <f>IF(ISNA(MATCH($N462,data!$A:$A,0)),"",INDEX(data!G:G,MATCH($N462,data!$A:$A,0)))</f>
        <v/>
      </c>
      <c r="AS462" s="38" t="str">
        <f>IF(ISNA(MATCH($N462,data!$A:$A,0)),"",INDEX(data!H:H,MATCH($N462,data!$A:$A,0)))</f>
        <v/>
      </c>
      <c r="AT462" s="38" t="str">
        <f>IF(ISNA(MATCH($N462,data!$A:$A,0)),"",INDEX(data!I:I,MATCH($N462,data!$A:$A,0)))</f>
        <v/>
      </c>
      <c r="AU462" s="38" t="str">
        <f>IF(ISNA(MATCH($N462,[1]data!$A:$A,0)),"",INDEX([1]data!L:L,MATCH($N462,[1]data!$A:$A,0)))</f>
        <v/>
      </c>
      <c r="AV462" s="38" t="str">
        <f>IF(ISNA(MATCH($N462,[1]data!$A:$A,0)),"",INDEX([1]data!M:M,MATCH($N462,[1]data!$A:$A,0)))</f>
        <v/>
      </c>
      <c r="AW462" s="38" t="str">
        <f>IF(ISNA(MATCH($N462,data!$A:$A,0)),"",INDEX(data!J:J,MATCH($N462,data!$A:$A,0)))</f>
        <v/>
      </c>
      <c r="AX462" s="38" t="str">
        <f>IF(ISNA(MATCH($N462,data!$A:$A,0)),"",INDEX(data!K:K,MATCH($N462,data!$A:$A,0)))</f>
        <v/>
      </c>
      <c r="AY462" s="38" t="str">
        <f>IF(ISNA(MATCH($N462,data!$A:$A,0)),"",INDEX(data!O:O,MATCH($N462,data!$A:$A,0)))</f>
        <v/>
      </c>
      <c r="AZ462" s="38" t="str">
        <f>IF(ISNA(MATCH($N462,data!$A:$A,0)),"",INDEX(data!N:N,MATCH($N462,data!$A:$A,0)))</f>
        <v/>
      </c>
      <c r="BA462" s="38" t="str">
        <f>IF(ISNA(MATCH($N462,data!$A:$A,0)),"",INDEX(data!P:P,MATCH($N462,data!$A:$A,0)))</f>
        <v/>
      </c>
      <c r="BB462" s="38" t="str">
        <f>IF(ISNA(MATCH($N462,data!$A:$A,0)),"",INDEX(data!Q:Q,MATCH($N462,data!$A:$A,0)))</f>
        <v/>
      </c>
      <c r="BC462" s="38" t="str">
        <f>IF(ISNA(MATCH($N462,data!$A:$A,0)),"",INDEX(data!R:R,MATCH($N462,data!$A:$A,0)))</f>
        <v/>
      </c>
      <c r="BD462" s="38" t="str">
        <f>IF(ISNA(MATCH($N462,[1]data!$A:$A,0)),"",INDEX([1]data!U:U,MATCH($N462,[1]data!$A:$A,0)))</f>
        <v/>
      </c>
      <c r="BE462" s="61" t="e">
        <f>IF(COUNTIF([1]data!A:A,[1]!Table1[[#This Row],[UPC]])&lt;2,"","DUP")</f>
        <v>#VALUE!</v>
      </c>
      <c r="BF462" s="38" t="str">
        <f>IF(ISNA(MATCH($N462,data!$A:$A,0)),"",INDEX(data!W:W,MATCH($N462,data!$A:$A,0)))</f>
        <v/>
      </c>
    </row>
    <row r="463" spans="1:58" ht="12.75" customHeight="1">
      <c r="A463" s="35"/>
      <c r="B463" s="35"/>
      <c r="C463" s="35"/>
      <c r="D463" s="35"/>
      <c r="E463" s="67"/>
      <c r="F463" s="67"/>
      <c r="G463" s="36"/>
      <c r="H463" s="29"/>
      <c r="I463" s="78" t="str">
        <f t="shared" si="10"/>
        <v/>
      </c>
      <c r="J463" s="29"/>
      <c r="K463" s="29"/>
      <c r="L463" s="33"/>
      <c r="M463" s="33"/>
      <c r="N463" s="60"/>
      <c r="O463" s="71"/>
      <c r="P463" s="71"/>
      <c r="Q463" s="33"/>
      <c r="R463" s="31"/>
      <c r="S463" s="31"/>
      <c r="T463" s="59"/>
      <c r="U463" s="59"/>
      <c r="V463" s="59"/>
      <c r="W463" s="57">
        <f t="shared" si="11"/>
        <v>0</v>
      </c>
      <c r="X463" s="126" t="str">
        <f>IF(Table1[[#This Row],[Shipping Weight Pounds]]&gt;150,"See LTL Form","No")</f>
        <v>No</v>
      </c>
      <c r="Y463" s="28"/>
      <c r="Z463" s="33"/>
      <c r="AA463" s="34"/>
      <c r="AB463" s="30"/>
      <c r="AC463" s="30"/>
      <c r="AD463" s="32"/>
      <c r="AE463" s="32"/>
      <c r="AF463" s="2"/>
      <c r="AG463" s="2"/>
      <c r="AH463" s="2"/>
      <c r="AI463" s="2"/>
      <c r="AK463" s="73" t="str">
        <f>IF(ISNA(MATCH($N463,[1]data!$A:$A,0)),"",INDEX([1]data!S:S,MATCH($N463,[1]data!$A:$A,0)))</f>
        <v/>
      </c>
      <c r="AL463" s="73" t="str">
        <f>IF(ISNA(MATCH($N463,[1]data!$A:$A,0)),"",INDEX([1]data!V:V,MATCH($N463,[1]data!$A:$A,0)))</f>
        <v/>
      </c>
      <c r="AM463" s="38" t="str">
        <f>IF(ISNA(MATCH($N463,data!$A:$A,0)),"",INDEX(data!B:B,MATCH($N463,data!$A:$A,0)))</f>
        <v/>
      </c>
      <c r="AN463" s="38" t="str">
        <f>IF(ISNA(MATCH($N463,data!$A:$A,0)),"",INDEX(data!C:C,MATCH($N463,data!$A:$A,0)))</f>
        <v/>
      </c>
      <c r="AO463" s="38" t="str">
        <f>IF(ISNA(MATCH($N463,data!$A:$A,0)),"",INDEX(data!D:D,MATCH($N463,data!$A:$A,0)))</f>
        <v/>
      </c>
      <c r="AP463" s="38" t="str">
        <f>IF(ISNA(MATCH($N463,data!$A:$A,0)),"",INDEX(data!E:E,MATCH($N463,data!$A:$A,0)))</f>
        <v/>
      </c>
      <c r="AQ463" s="38" t="str">
        <f>IF(ISNA(MATCH($N463,data!$A:$A,0)),"",INDEX(data!F:F,MATCH($N463,data!$A:$A,0)))</f>
        <v/>
      </c>
      <c r="AR463" s="38" t="str">
        <f>IF(ISNA(MATCH($N463,data!$A:$A,0)),"",INDEX(data!G:G,MATCH($N463,data!$A:$A,0)))</f>
        <v/>
      </c>
      <c r="AS463" s="38" t="str">
        <f>IF(ISNA(MATCH($N463,data!$A:$A,0)),"",INDEX(data!H:H,MATCH($N463,data!$A:$A,0)))</f>
        <v/>
      </c>
      <c r="AT463" s="38" t="str">
        <f>IF(ISNA(MATCH($N463,data!$A:$A,0)),"",INDEX(data!I:I,MATCH($N463,data!$A:$A,0)))</f>
        <v/>
      </c>
      <c r="AU463" s="38" t="str">
        <f>IF(ISNA(MATCH($N463,[1]data!$A:$A,0)),"",INDEX([1]data!L:L,MATCH($N463,[1]data!$A:$A,0)))</f>
        <v/>
      </c>
      <c r="AV463" s="38" t="str">
        <f>IF(ISNA(MATCH($N463,[1]data!$A:$A,0)),"",INDEX([1]data!M:M,MATCH($N463,[1]data!$A:$A,0)))</f>
        <v/>
      </c>
      <c r="AW463" s="38" t="str">
        <f>IF(ISNA(MATCH($N463,data!$A:$A,0)),"",INDEX(data!J:J,MATCH($N463,data!$A:$A,0)))</f>
        <v/>
      </c>
      <c r="AX463" s="38" t="str">
        <f>IF(ISNA(MATCH($N463,data!$A:$A,0)),"",INDEX(data!K:K,MATCH($N463,data!$A:$A,0)))</f>
        <v/>
      </c>
      <c r="AY463" s="38" t="str">
        <f>IF(ISNA(MATCH($N463,data!$A:$A,0)),"",INDEX(data!O:O,MATCH($N463,data!$A:$A,0)))</f>
        <v/>
      </c>
      <c r="AZ463" s="38" t="str">
        <f>IF(ISNA(MATCH($N463,data!$A:$A,0)),"",INDEX(data!N:N,MATCH($N463,data!$A:$A,0)))</f>
        <v/>
      </c>
      <c r="BA463" s="38" t="str">
        <f>IF(ISNA(MATCH($N463,data!$A:$A,0)),"",INDEX(data!P:P,MATCH($N463,data!$A:$A,0)))</f>
        <v/>
      </c>
      <c r="BB463" s="38" t="str">
        <f>IF(ISNA(MATCH($N463,data!$A:$A,0)),"",INDEX(data!Q:Q,MATCH($N463,data!$A:$A,0)))</f>
        <v/>
      </c>
      <c r="BC463" s="38" t="str">
        <f>IF(ISNA(MATCH($N463,data!$A:$A,0)),"",INDEX(data!R:R,MATCH($N463,data!$A:$A,0)))</f>
        <v/>
      </c>
      <c r="BD463" s="38" t="str">
        <f>IF(ISNA(MATCH($N463,[1]data!$A:$A,0)),"",INDEX([1]data!U:U,MATCH($N463,[1]data!$A:$A,0)))</f>
        <v/>
      </c>
      <c r="BE463" s="61" t="e">
        <f>IF(COUNTIF([1]data!A:A,[1]!Table1[[#This Row],[UPC]])&lt;2,"","DUP")</f>
        <v>#VALUE!</v>
      </c>
      <c r="BF463" s="38" t="str">
        <f>IF(ISNA(MATCH($N463,data!$A:$A,0)),"",INDEX(data!W:W,MATCH($N463,data!$A:$A,0)))</f>
        <v/>
      </c>
    </row>
    <row r="464" spans="1:58" ht="12.75" customHeight="1">
      <c r="A464" s="35"/>
      <c r="B464" s="35"/>
      <c r="C464" s="35"/>
      <c r="D464" s="35"/>
      <c r="E464" s="67"/>
      <c r="F464" s="67"/>
      <c r="G464" s="36"/>
      <c r="H464" s="29"/>
      <c r="I464" s="78" t="str">
        <f t="shared" si="10"/>
        <v/>
      </c>
      <c r="J464" s="29"/>
      <c r="K464" s="29"/>
      <c r="L464" s="33"/>
      <c r="M464" s="33"/>
      <c r="N464" s="60"/>
      <c r="O464" s="71"/>
      <c r="P464" s="71"/>
      <c r="Q464" s="33"/>
      <c r="R464" s="31"/>
      <c r="S464" s="31"/>
      <c r="T464" s="59"/>
      <c r="U464" s="59"/>
      <c r="V464" s="59"/>
      <c r="W464" s="57">
        <f t="shared" si="11"/>
        <v>0</v>
      </c>
      <c r="X464" s="126" t="str">
        <f>IF(Table1[[#This Row],[Shipping Weight Pounds]]&gt;150,"See LTL Form","No")</f>
        <v>No</v>
      </c>
      <c r="Y464" s="28"/>
      <c r="Z464" s="33"/>
      <c r="AA464" s="34"/>
      <c r="AB464" s="30"/>
      <c r="AC464" s="30"/>
      <c r="AD464" s="32"/>
      <c r="AE464" s="32"/>
      <c r="AF464" s="2"/>
      <c r="AG464" s="2"/>
      <c r="AH464" s="2"/>
      <c r="AI464" s="2"/>
      <c r="AK464" s="73" t="str">
        <f>IF(ISNA(MATCH($N464,[1]data!$A:$A,0)),"",INDEX([1]data!S:S,MATCH($N464,[1]data!$A:$A,0)))</f>
        <v/>
      </c>
      <c r="AL464" s="73" t="str">
        <f>IF(ISNA(MATCH($N464,[1]data!$A:$A,0)),"",INDEX([1]data!V:V,MATCH($N464,[1]data!$A:$A,0)))</f>
        <v/>
      </c>
      <c r="AM464" s="38" t="str">
        <f>IF(ISNA(MATCH($N464,data!$A:$A,0)),"",INDEX(data!B:B,MATCH($N464,data!$A:$A,0)))</f>
        <v/>
      </c>
      <c r="AN464" s="38" t="str">
        <f>IF(ISNA(MATCH($N464,data!$A:$A,0)),"",INDEX(data!C:C,MATCH($N464,data!$A:$A,0)))</f>
        <v/>
      </c>
      <c r="AO464" s="38" t="str">
        <f>IF(ISNA(MATCH($N464,data!$A:$A,0)),"",INDEX(data!D:D,MATCH($N464,data!$A:$A,0)))</f>
        <v/>
      </c>
      <c r="AP464" s="38" t="str">
        <f>IF(ISNA(MATCH($N464,data!$A:$A,0)),"",INDEX(data!E:E,MATCH($N464,data!$A:$A,0)))</f>
        <v/>
      </c>
      <c r="AQ464" s="38" t="str">
        <f>IF(ISNA(MATCH($N464,data!$A:$A,0)),"",INDEX(data!F:F,MATCH($N464,data!$A:$A,0)))</f>
        <v/>
      </c>
      <c r="AR464" s="38" t="str">
        <f>IF(ISNA(MATCH($N464,data!$A:$A,0)),"",INDEX(data!G:G,MATCH($N464,data!$A:$A,0)))</f>
        <v/>
      </c>
      <c r="AS464" s="38" t="str">
        <f>IF(ISNA(MATCH($N464,data!$A:$A,0)),"",INDEX(data!H:H,MATCH($N464,data!$A:$A,0)))</f>
        <v/>
      </c>
      <c r="AT464" s="38" t="str">
        <f>IF(ISNA(MATCH($N464,data!$A:$A,0)),"",INDEX(data!I:I,MATCH($N464,data!$A:$A,0)))</f>
        <v/>
      </c>
      <c r="AU464" s="38" t="str">
        <f>IF(ISNA(MATCH($N464,[1]data!$A:$A,0)),"",INDEX([1]data!L:L,MATCH($N464,[1]data!$A:$A,0)))</f>
        <v/>
      </c>
      <c r="AV464" s="38" t="str">
        <f>IF(ISNA(MATCH($N464,[1]data!$A:$A,0)),"",INDEX([1]data!M:M,MATCH($N464,[1]data!$A:$A,0)))</f>
        <v/>
      </c>
      <c r="AW464" s="38" t="str">
        <f>IF(ISNA(MATCH($N464,data!$A:$A,0)),"",INDEX(data!J:J,MATCH($N464,data!$A:$A,0)))</f>
        <v/>
      </c>
      <c r="AX464" s="38" t="str">
        <f>IF(ISNA(MATCH($N464,data!$A:$A,0)),"",INDEX(data!K:K,MATCH($N464,data!$A:$A,0)))</f>
        <v/>
      </c>
      <c r="AY464" s="38" t="str">
        <f>IF(ISNA(MATCH($N464,data!$A:$A,0)),"",INDEX(data!O:O,MATCH($N464,data!$A:$A,0)))</f>
        <v/>
      </c>
      <c r="AZ464" s="38" t="str">
        <f>IF(ISNA(MATCH($N464,data!$A:$A,0)),"",INDEX(data!N:N,MATCH($N464,data!$A:$A,0)))</f>
        <v/>
      </c>
      <c r="BA464" s="38" t="str">
        <f>IF(ISNA(MATCH($N464,data!$A:$A,0)),"",INDEX(data!P:P,MATCH($N464,data!$A:$A,0)))</f>
        <v/>
      </c>
      <c r="BB464" s="38" t="str">
        <f>IF(ISNA(MATCH($N464,data!$A:$A,0)),"",INDEX(data!Q:Q,MATCH($N464,data!$A:$A,0)))</f>
        <v/>
      </c>
      <c r="BC464" s="38" t="str">
        <f>IF(ISNA(MATCH($N464,data!$A:$A,0)),"",INDEX(data!R:R,MATCH($N464,data!$A:$A,0)))</f>
        <v/>
      </c>
      <c r="BD464" s="38" t="str">
        <f>IF(ISNA(MATCH($N464,[1]data!$A:$A,0)),"",INDEX([1]data!U:U,MATCH($N464,[1]data!$A:$A,0)))</f>
        <v/>
      </c>
      <c r="BE464" s="61" t="e">
        <f>IF(COUNTIF([1]data!A:A,[1]!Table1[[#This Row],[UPC]])&lt;2,"","DUP")</f>
        <v>#VALUE!</v>
      </c>
      <c r="BF464" s="38" t="str">
        <f>IF(ISNA(MATCH($N464,data!$A:$A,0)),"",INDEX(data!W:W,MATCH($N464,data!$A:$A,0)))</f>
        <v/>
      </c>
    </row>
    <row r="465" spans="1:58" ht="12.75" customHeight="1">
      <c r="A465" s="35"/>
      <c r="B465" s="35"/>
      <c r="C465" s="35"/>
      <c r="D465" s="35"/>
      <c r="E465" s="67"/>
      <c r="F465" s="67"/>
      <c r="G465" s="36"/>
      <c r="H465" s="29"/>
      <c r="I465" s="78" t="str">
        <f t="shared" si="10"/>
        <v/>
      </c>
      <c r="J465" s="29"/>
      <c r="K465" s="29"/>
      <c r="L465" s="33"/>
      <c r="M465" s="33"/>
      <c r="N465" s="60"/>
      <c r="O465" s="71"/>
      <c r="P465" s="71"/>
      <c r="Q465" s="33"/>
      <c r="R465" s="31"/>
      <c r="S465" s="31"/>
      <c r="T465" s="59"/>
      <c r="U465" s="59"/>
      <c r="V465" s="59"/>
      <c r="W465" s="57">
        <f t="shared" si="11"/>
        <v>0</v>
      </c>
      <c r="X465" s="126" t="str">
        <f>IF(Table1[[#This Row],[Shipping Weight Pounds]]&gt;150,"See LTL Form","No")</f>
        <v>No</v>
      </c>
      <c r="Y465" s="28"/>
      <c r="Z465" s="33"/>
      <c r="AA465" s="34"/>
      <c r="AB465" s="30"/>
      <c r="AC465" s="30"/>
      <c r="AD465" s="32"/>
      <c r="AE465" s="32"/>
      <c r="AF465" s="2"/>
      <c r="AG465" s="2"/>
      <c r="AH465" s="2"/>
      <c r="AI465" s="2"/>
      <c r="AK465" s="73" t="str">
        <f>IF(ISNA(MATCH($N465,[1]data!$A:$A,0)),"",INDEX([1]data!S:S,MATCH($N465,[1]data!$A:$A,0)))</f>
        <v/>
      </c>
      <c r="AL465" s="73" t="str">
        <f>IF(ISNA(MATCH($N465,[1]data!$A:$A,0)),"",INDEX([1]data!V:V,MATCH($N465,[1]data!$A:$A,0)))</f>
        <v/>
      </c>
      <c r="AM465" s="38" t="str">
        <f>IF(ISNA(MATCH($N465,data!$A:$A,0)),"",INDEX(data!B:B,MATCH($N465,data!$A:$A,0)))</f>
        <v/>
      </c>
      <c r="AN465" s="38" t="str">
        <f>IF(ISNA(MATCH($N465,data!$A:$A,0)),"",INDEX(data!C:C,MATCH($N465,data!$A:$A,0)))</f>
        <v/>
      </c>
      <c r="AO465" s="38" t="str">
        <f>IF(ISNA(MATCH($N465,data!$A:$A,0)),"",INDEX(data!D:D,MATCH($N465,data!$A:$A,0)))</f>
        <v/>
      </c>
      <c r="AP465" s="38" t="str">
        <f>IF(ISNA(MATCH($N465,data!$A:$A,0)),"",INDEX(data!E:E,MATCH($N465,data!$A:$A,0)))</f>
        <v/>
      </c>
      <c r="AQ465" s="38" t="str">
        <f>IF(ISNA(MATCH($N465,data!$A:$A,0)),"",INDEX(data!F:F,MATCH($N465,data!$A:$A,0)))</f>
        <v/>
      </c>
      <c r="AR465" s="38" t="str">
        <f>IF(ISNA(MATCH($N465,data!$A:$A,0)),"",INDEX(data!G:G,MATCH($N465,data!$A:$A,0)))</f>
        <v/>
      </c>
      <c r="AS465" s="38" t="str">
        <f>IF(ISNA(MATCH($N465,data!$A:$A,0)),"",INDEX(data!H:H,MATCH($N465,data!$A:$A,0)))</f>
        <v/>
      </c>
      <c r="AT465" s="38" t="str">
        <f>IF(ISNA(MATCH($N465,data!$A:$A,0)),"",INDEX(data!I:I,MATCH($N465,data!$A:$A,0)))</f>
        <v/>
      </c>
      <c r="AU465" s="38" t="str">
        <f>IF(ISNA(MATCH($N465,[1]data!$A:$A,0)),"",INDEX([1]data!L:L,MATCH($N465,[1]data!$A:$A,0)))</f>
        <v/>
      </c>
      <c r="AV465" s="38" t="str">
        <f>IF(ISNA(MATCH($N465,[1]data!$A:$A,0)),"",INDEX([1]data!M:M,MATCH($N465,[1]data!$A:$A,0)))</f>
        <v/>
      </c>
      <c r="AW465" s="38" t="str">
        <f>IF(ISNA(MATCH($N465,data!$A:$A,0)),"",INDEX(data!J:J,MATCH($N465,data!$A:$A,0)))</f>
        <v/>
      </c>
      <c r="AX465" s="38" t="str">
        <f>IF(ISNA(MATCH($N465,data!$A:$A,0)),"",INDEX(data!K:K,MATCH($N465,data!$A:$A,0)))</f>
        <v/>
      </c>
      <c r="AY465" s="38" t="str">
        <f>IF(ISNA(MATCH($N465,data!$A:$A,0)),"",INDEX(data!O:O,MATCH($N465,data!$A:$A,0)))</f>
        <v/>
      </c>
      <c r="AZ465" s="38" t="str">
        <f>IF(ISNA(MATCH($N465,data!$A:$A,0)),"",INDEX(data!N:N,MATCH($N465,data!$A:$A,0)))</f>
        <v/>
      </c>
      <c r="BA465" s="38" t="str">
        <f>IF(ISNA(MATCH($N465,data!$A:$A,0)),"",INDEX(data!P:P,MATCH($N465,data!$A:$A,0)))</f>
        <v/>
      </c>
      <c r="BB465" s="38" t="str">
        <f>IF(ISNA(MATCH($N465,data!$A:$A,0)),"",INDEX(data!Q:Q,MATCH($N465,data!$A:$A,0)))</f>
        <v/>
      </c>
      <c r="BC465" s="38" t="str">
        <f>IF(ISNA(MATCH($N465,data!$A:$A,0)),"",INDEX(data!R:R,MATCH($N465,data!$A:$A,0)))</f>
        <v/>
      </c>
      <c r="BD465" s="38" t="str">
        <f>IF(ISNA(MATCH($N465,[1]data!$A:$A,0)),"",INDEX([1]data!U:U,MATCH($N465,[1]data!$A:$A,0)))</f>
        <v/>
      </c>
      <c r="BE465" s="61" t="e">
        <f>IF(COUNTIF([1]data!A:A,[1]!Table1[[#This Row],[UPC]])&lt;2,"","DUP")</f>
        <v>#VALUE!</v>
      </c>
      <c r="BF465" s="38" t="str">
        <f>IF(ISNA(MATCH($N465,data!$A:$A,0)),"",INDEX(data!W:W,MATCH($N465,data!$A:$A,0)))</f>
        <v/>
      </c>
    </row>
    <row r="466" spans="1:58" ht="12.75" customHeight="1">
      <c r="A466" s="35"/>
      <c r="B466" s="35"/>
      <c r="C466" s="35"/>
      <c r="D466" s="35"/>
      <c r="E466" s="67"/>
      <c r="F466" s="67"/>
      <c r="G466" s="36"/>
      <c r="H466" s="29"/>
      <c r="I466" s="78" t="str">
        <f t="shared" si="10"/>
        <v/>
      </c>
      <c r="J466" s="29"/>
      <c r="K466" s="29"/>
      <c r="L466" s="33"/>
      <c r="M466" s="33"/>
      <c r="N466" s="60"/>
      <c r="O466" s="71"/>
      <c r="P466" s="71"/>
      <c r="Q466" s="33"/>
      <c r="R466" s="31"/>
      <c r="S466" s="31"/>
      <c r="T466" s="59"/>
      <c r="U466" s="59"/>
      <c r="V466" s="59"/>
      <c r="W466" s="57">
        <f t="shared" si="11"/>
        <v>0</v>
      </c>
      <c r="X466" s="126" t="str">
        <f>IF(Table1[[#This Row],[Shipping Weight Pounds]]&gt;150,"See LTL Form","No")</f>
        <v>No</v>
      </c>
      <c r="Y466" s="28"/>
      <c r="Z466" s="33"/>
      <c r="AA466" s="34"/>
      <c r="AB466" s="30"/>
      <c r="AC466" s="30"/>
      <c r="AD466" s="32"/>
      <c r="AE466" s="32"/>
      <c r="AF466" s="2"/>
      <c r="AG466" s="2"/>
      <c r="AH466" s="2"/>
      <c r="AI466" s="2"/>
      <c r="AK466" s="73" t="str">
        <f>IF(ISNA(MATCH($N466,[1]data!$A:$A,0)),"",INDEX([1]data!S:S,MATCH($N466,[1]data!$A:$A,0)))</f>
        <v/>
      </c>
      <c r="AL466" s="73" t="str">
        <f>IF(ISNA(MATCH($N466,[1]data!$A:$A,0)),"",INDEX([1]data!V:V,MATCH($N466,[1]data!$A:$A,0)))</f>
        <v/>
      </c>
      <c r="AM466" s="38" t="str">
        <f>IF(ISNA(MATCH($N466,data!$A:$A,0)),"",INDEX(data!B:B,MATCH($N466,data!$A:$A,0)))</f>
        <v/>
      </c>
      <c r="AN466" s="38" t="str">
        <f>IF(ISNA(MATCH($N466,data!$A:$A,0)),"",INDEX(data!C:C,MATCH($N466,data!$A:$A,0)))</f>
        <v/>
      </c>
      <c r="AO466" s="38" t="str">
        <f>IF(ISNA(MATCH($N466,data!$A:$A,0)),"",INDEX(data!D:D,MATCH($N466,data!$A:$A,0)))</f>
        <v/>
      </c>
      <c r="AP466" s="38" t="str">
        <f>IF(ISNA(MATCH($N466,data!$A:$A,0)),"",INDEX(data!E:E,MATCH($N466,data!$A:$A,0)))</f>
        <v/>
      </c>
      <c r="AQ466" s="38" t="str">
        <f>IF(ISNA(MATCH($N466,data!$A:$A,0)),"",INDEX(data!F:F,MATCH($N466,data!$A:$A,0)))</f>
        <v/>
      </c>
      <c r="AR466" s="38" t="str">
        <f>IF(ISNA(MATCH($N466,data!$A:$A,0)),"",INDEX(data!G:G,MATCH($N466,data!$A:$A,0)))</f>
        <v/>
      </c>
      <c r="AS466" s="38" t="str">
        <f>IF(ISNA(MATCH($N466,data!$A:$A,0)),"",INDEX(data!H:H,MATCH($N466,data!$A:$A,0)))</f>
        <v/>
      </c>
      <c r="AT466" s="38" t="str">
        <f>IF(ISNA(MATCH($N466,data!$A:$A,0)),"",INDEX(data!I:I,MATCH($N466,data!$A:$A,0)))</f>
        <v/>
      </c>
      <c r="AU466" s="38" t="str">
        <f>IF(ISNA(MATCH($N466,[1]data!$A:$A,0)),"",INDEX([1]data!L:L,MATCH($N466,[1]data!$A:$A,0)))</f>
        <v/>
      </c>
      <c r="AV466" s="38" t="str">
        <f>IF(ISNA(MATCH($N466,[1]data!$A:$A,0)),"",INDEX([1]data!M:M,MATCH($N466,[1]data!$A:$A,0)))</f>
        <v/>
      </c>
      <c r="AW466" s="38" t="str">
        <f>IF(ISNA(MATCH($N466,data!$A:$A,0)),"",INDEX(data!J:J,MATCH($N466,data!$A:$A,0)))</f>
        <v/>
      </c>
      <c r="AX466" s="38" t="str">
        <f>IF(ISNA(MATCH($N466,data!$A:$A,0)),"",INDEX(data!K:K,MATCH($N466,data!$A:$A,0)))</f>
        <v/>
      </c>
      <c r="AY466" s="38" t="str">
        <f>IF(ISNA(MATCH($N466,data!$A:$A,0)),"",INDEX(data!O:O,MATCH($N466,data!$A:$A,0)))</f>
        <v/>
      </c>
      <c r="AZ466" s="38" t="str">
        <f>IF(ISNA(MATCH($N466,data!$A:$A,0)),"",INDEX(data!N:N,MATCH($N466,data!$A:$A,0)))</f>
        <v/>
      </c>
      <c r="BA466" s="38" t="str">
        <f>IF(ISNA(MATCH($N466,data!$A:$A,0)),"",INDEX(data!P:P,MATCH($N466,data!$A:$A,0)))</f>
        <v/>
      </c>
      <c r="BB466" s="38" t="str">
        <f>IF(ISNA(MATCH($N466,data!$A:$A,0)),"",INDEX(data!Q:Q,MATCH($N466,data!$A:$A,0)))</f>
        <v/>
      </c>
      <c r="BC466" s="38" t="str">
        <f>IF(ISNA(MATCH($N466,data!$A:$A,0)),"",INDEX(data!R:R,MATCH($N466,data!$A:$A,0)))</f>
        <v/>
      </c>
      <c r="BD466" s="38" t="str">
        <f>IF(ISNA(MATCH($N466,[1]data!$A:$A,0)),"",INDEX([1]data!U:U,MATCH($N466,[1]data!$A:$A,0)))</f>
        <v/>
      </c>
      <c r="BE466" s="61" t="e">
        <f>IF(COUNTIF([1]data!A:A,[1]!Table1[[#This Row],[UPC]])&lt;2,"","DUP")</f>
        <v>#VALUE!</v>
      </c>
      <c r="BF466" s="38" t="str">
        <f>IF(ISNA(MATCH($N466,data!$A:$A,0)),"",INDEX(data!W:W,MATCH($N466,data!$A:$A,0)))</f>
        <v/>
      </c>
    </row>
    <row r="467" spans="1:58" ht="12.75" customHeight="1">
      <c r="A467" s="35"/>
      <c r="B467" s="35"/>
      <c r="C467" s="35"/>
      <c r="D467" s="35"/>
      <c r="E467" s="67"/>
      <c r="F467" s="67"/>
      <c r="G467" s="36"/>
      <c r="H467" s="29"/>
      <c r="I467" s="78" t="str">
        <f t="shared" si="10"/>
        <v/>
      </c>
      <c r="J467" s="29"/>
      <c r="K467" s="29"/>
      <c r="L467" s="33"/>
      <c r="M467" s="33"/>
      <c r="N467" s="60"/>
      <c r="O467" s="71"/>
      <c r="P467" s="71"/>
      <c r="Q467" s="33"/>
      <c r="R467" s="31"/>
      <c r="S467" s="31"/>
      <c r="T467" s="59"/>
      <c r="U467" s="59"/>
      <c r="V467" s="59"/>
      <c r="W467" s="57">
        <f t="shared" si="11"/>
        <v>0</v>
      </c>
      <c r="X467" s="126" t="str">
        <f>IF(Table1[[#This Row],[Shipping Weight Pounds]]&gt;150,"See LTL Form","No")</f>
        <v>No</v>
      </c>
      <c r="Y467" s="28"/>
      <c r="Z467" s="33"/>
      <c r="AA467" s="34"/>
      <c r="AB467" s="30"/>
      <c r="AC467" s="30"/>
      <c r="AD467" s="32"/>
      <c r="AE467" s="32"/>
      <c r="AF467" s="2"/>
      <c r="AG467" s="2"/>
      <c r="AH467" s="2"/>
      <c r="AI467" s="2"/>
      <c r="AK467" s="73" t="str">
        <f>IF(ISNA(MATCH($N467,[1]data!$A:$A,0)),"",INDEX([1]data!S:S,MATCH($N467,[1]data!$A:$A,0)))</f>
        <v/>
      </c>
      <c r="AL467" s="73" t="str">
        <f>IF(ISNA(MATCH($N467,[1]data!$A:$A,0)),"",INDEX([1]data!V:V,MATCH($N467,[1]data!$A:$A,0)))</f>
        <v/>
      </c>
      <c r="AM467" s="38" t="str">
        <f>IF(ISNA(MATCH($N467,data!$A:$A,0)),"",INDEX(data!B:B,MATCH($N467,data!$A:$A,0)))</f>
        <v/>
      </c>
      <c r="AN467" s="38" t="str">
        <f>IF(ISNA(MATCH($N467,data!$A:$A,0)),"",INDEX(data!C:C,MATCH($N467,data!$A:$A,0)))</f>
        <v/>
      </c>
      <c r="AO467" s="38" t="str">
        <f>IF(ISNA(MATCH($N467,data!$A:$A,0)),"",INDEX(data!D:D,MATCH($N467,data!$A:$A,0)))</f>
        <v/>
      </c>
      <c r="AP467" s="38" t="str">
        <f>IF(ISNA(MATCH($N467,data!$A:$A,0)),"",INDEX(data!E:E,MATCH($N467,data!$A:$A,0)))</f>
        <v/>
      </c>
      <c r="AQ467" s="38" t="str">
        <f>IF(ISNA(MATCH($N467,data!$A:$A,0)),"",INDEX(data!F:F,MATCH($N467,data!$A:$A,0)))</f>
        <v/>
      </c>
      <c r="AR467" s="38" t="str">
        <f>IF(ISNA(MATCH($N467,data!$A:$A,0)),"",INDEX(data!G:G,MATCH($N467,data!$A:$A,0)))</f>
        <v/>
      </c>
      <c r="AS467" s="38" t="str">
        <f>IF(ISNA(MATCH($N467,data!$A:$A,0)),"",INDEX(data!H:H,MATCH($N467,data!$A:$A,0)))</f>
        <v/>
      </c>
      <c r="AT467" s="38" t="str">
        <f>IF(ISNA(MATCH($N467,data!$A:$A,0)),"",INDEX(data!I:I,MATCH($N467,data!$A:$A,0)))</f>
        <v/>
      </c>
      <c r="AU467" s="38" t="str">
        <f>IF(ISNA(MATCH($N467,[1]data!$A:$A,0)),"",INDEX([1]data!L:L,MATCH($N467,[1]data!$A:$A,0)))</f>
        <v/>
      </c>
      <c r="AV467" s="38" t="str">
        <f>IF(ISNA(MATCH($N467,[1]data!$A:$A,0)),"",INDEX([1]data!M:M,MATCH($N467,[1]data!$A:$A,0)))</f>
        <v/>
      </c>
      <c r="AW467" s="38" t="str">
        <f>IF(ISNA(MATCH($N467,data!$A:$A,0)),"",INDEX(data!J:J,MATCH($N467,data!$A:$A,0)))</f>
        <v/>
      </c>
      <c r="AX467" s="38" t="str">
        <f>IF(ISNA(MATCH($N467,data!$A:$A,0)),"",INDEX(data!K:K,MATCH($N467,data!$A:$A,0)))</f>
        <v/>
      </c>
      <c r="AY467" s="38" t="str">
        <f>IF(ISNA(MATCH($N467,data!$A:$A,0)),"",INDEX(data!O:O,MATCH($N467,data!$A:$A,0)))</f>
        <v/>
      </c>
      <c r="AZ467" s="38" t="str">
        <f>IF(ISNA(MATCH($N467,data!$A:$A,0)),"",INDEX(data!N:N,MATCH($N467,data!$A:$A,0)))</f>
        <v/>
      </c>
      <c r="BA467" s="38" t="str">
        <f>IF(ISNA(MATCH($N467,data!$A:$A,0)),"",INDEX(data!P:P,MATCH($N467,data!$A:$A,0)))</f>
        <v/>
      </c>
      <c r="BB467" s="38" t="str">
        <f>IF(ISNA(MATCH($N467,data!$A:$A,0)),"",INDEX(data!Q:Q,MATCH($N467,data!$A:$A,0)))</f>
        <v/>
      </c>
      <c r="BC467" s="38" t="str">
        <f>IF(ISNA(MATCH($N467,data!$A:$A,0)),"",INDEX(data!R:R,MATCH($N467,data!$A:$A,0)))</f>
        <v/>
      </c>
      <c r="BD467" s="38" t="str">
        <f>IF(ISNA(MATCH($N467,[1]data!$A:$A,0)),"",INDEX([1]data!U:U,MATCH($N467,[1]data!$A:$A,0)))</f>
        <v/>
      </c>
      <c r="BE467" s="61" t="e">
        <f>IF(COUNTIF([1]data!A:A,[1]!Table1[[#This Row],[UPC]])&lt;2,"","DUP")</f>
        <v>#VALUE!</v>
      </c>
      <c r="BF467" s="38" t="str">
        <f>IF(ISNA(MATCH($N467,data!$A:$A,0)),"",INDEX(data!W:W,MATCH($N467,data!$A:$A,0)))</f>
        <v/>
      </c>
    </row>
    <row r="468" spans="1:58" ht="12.75" customHeight="1">
      <c r="A468" s="35"/>
      <c r="B468" s="35"/>
      <c r="C468" s="35"/>
      <c r="D468" s="35"/>
      <c r="E468" s="67"/>
      <c r="F468" s="67"/>
      <c r="G468" s="36"/>
      <c r="H468" s="29"/>
      <c r="I468" s="78" t="str">
        <f t="shared" si="10"/>
        <v/>
      </c>
      <c r="J468" s="29"/>
      <c r="K468" s="29"/>
      <c r="L468" s="33"/>
      <c r="M468" s="33"/>
      <c r="N468" s="60"/>
      <c r="O468" s="71"/>
      <c r="P468" s="71"/>
      <c r="Q468" s="33"/>
      <c r="R468" s="31"/>
      <c r="S468" s="31"/>
      <c r="T468" s="59"/>
      <c r="U468" s="59"/>
      <c r="V468" s="59"/>
      <c r="W468" s="57">
        <f t="shared" si="11"/>
        <v>0</v>
      </c>
      <c r="X468" s="126" t="str">
        <f>IF(Table1[[#This Row],[Shipping Weight Pounds]]&gt;150,"See LTL Form","No")</f>
        <v>No</v>
      </c>
      <c r="Y468" s="28"/>
      <c r="Z468" s="33"/>
      <c r="AA468" s="34"/>
      <c r="AB468" s="30"/>
      <c r="AC468" s="30"/>
      <c r="AD468" s="32"/>
      <c r="AE468" s="32"/>
      <c r="AF468" s="2"/>
      <c r="AG468" s="2"/>
      <c r="AH468" s="2"/>
      <c r="AI468" s="2"/>
      <c r="AK468" s="73" t="str">
        <f>IF(ISNA(MATCH($N468,[1]data!$A:$A,0)),"",INDEX([1]data!S:S,MATCH($N468,[1]data!$A:$A,0)))</f>
        <v/>
      </c>
      <c r="AL468" s="73" t="str">
        <f>IF(ISNA(MATCH($N468,[1]data!$A:$A,0)),"",INDEX([1]data!V:V,MATCH($N468,[1]data!$A:$A,0)))</f>
        <v/>
      </c>
      <c r="AM468" s="38" t="str">
        <f>IF(ISNA(MATCH($N468,data!$A:$A,0)),"",INDEX(data!B:B,MATCH($N468,data!$A:$A,0)))</f>
        <v/>
      </c>
      <c r="AN468" s="38" t="str">
        <f>IF(ISNA(MATCH($N468,data!$A:$A,0)),"",INDEX(data!C:C,MATCH($N468,data!$A:$A,0)))</f>
        <v/>
      </c>
      <c r="AO468" s="38" t="str">
        <f>IF(ISNA(MATCH($N468,data!$A:$A,0)),"",INDEX(data!D:D,MATCH($N468,data!$A:$A,0)))</f>
        <v/>
      </c>
      <c r="AP468" s="38" t="str">
        <f>IF(ISNA(MATCH($N468,data!$A:$A,0)),"",INDEX(data!E:E,MATCH($N468,data!$A:$A,0)))</f>
        <v/>
      </c>
      <c r="AQ468" s="38" t="str">
        <f>IF(ISNA(MATCH($N468,data!$A:$A,0)),"",INDEX(data!F:F,MATCH($N468,data!$A:$A,0)))</f>
        <v/>
      </c>
      <c r="AR468" s="38" t="str">
        <f>IF(ISNA(MATCH($N468,data!$A:$A,0)),"",INDEX(data!G:G,MATCH($N468,data!$A:$A,0)))</f>
        <v/>
      </c>
      <c r="AS468" s="38" t="str">
        <f>IF(ISNA(MATCH($N468,data!$A:$A,0)),"",INDEX(data!H:H,MATCH($N468,data!$A:$A,0)))</f>
        <v/>
      </c>
      <c r="AT468" s="38" t="str">
        <f>IF(ISNA(MATCH($N468,data!$A:$A,0)),"",INDEX(data!I:I,MATCH($N468,data!$A:$A,0)))</f>
        <v/>
      </c>
      <c r="AU468" s="38" t="str">
        <f>IF(ISNA(MATCH($N468,[1]data!$A:$A,0)),"",INDEX([1]data!L:L,MATCH($N468,[1]data!$A:$A,0)))</f>
        <v/>
      </c>
      <c r="AV468" s="38" t="str">
        <f>IF(ISNA(MATCH($N468,[1]data!$A:$A,0)),"",INDEX([1]data!M:M,MATCH($N468,[1]data!$A:$A,0)))</f>
        <v/>
      </c>
      <c r="AW468" s="38" t="str">
        <f>IF(ISNA(MATCH($N468,data!$A:$A,0)),"",INDEX(data!J:J,MATCH($N468,data!$A:$A,0)))</f>
        <v/>
      </c>
      <c r="AX468" s="38" t="str">
        <f>IF(ISNA(MATCH($N468,data!$A:$A,0)),"",INDEX(data!K:K,MATCH($N468,data!$A:$A,0)))</f>
        <v/>
      </c>
      <c r="AY468" s="38" t="str">
        <f>IF(ISNA(MATCH($N468,data!$A:$A,0)),"",INDEX(data!O:O,MATCH($N468,data!$A:$A,0)))</f>
        <v/>
      </c>
      <c r="AZ468" s="38" t="str">
        <f>IF(ISNA(MATCH($N468,data!$A:$A,0)),"",INDEX(data!N:N,MATCH($N468,data!$A:$A,0)))</f>
        <v/>
      </c>
      <c r="BA468" s="38" t="str">
        <f>IF(ISNA(MATCH($N468,data!$A:$A,0)),"",INDEX(data!P:P,MATCH($N468,data!$A:$A,0)))</f>
        <v/>
      </c>
      <c r="BB468" s="38" t="str">
        <f>IF(ISNA(MATCH($N468,data!$A:$A,0)),"",INDEX(data!Q:Q,MATCH($N468,data!$A:$A,0)))</f>
        <v/>
      </c>
      <c r="BC468" s="38" t="str">
        <f>IF(ISNA(MATCH($N468,data!$A:$A,0)),"",INDEX(data!R:R,MATCH($N468,data!$A:$A,0)))</f>
        <v/>
      </c>
      <c r="BD468" s="38" t="str">
        <f>IF(ISNA(MATCH($N468,[1]data!$A:$A,0)),"",INDEX([1]data!U:U,MATCH($N468,[1]data!$A:$A,0)))</f>
        <v/>
      </c>
      <c r="BE468" s="61" t="e">
        <f>IF(COUNTIF([1]data!A:A,[1]!Table1[[#This Row],[UPC]])&lt;2,"","DUP")</f>
        <v>#VALUE!</v>
      </c>
      <c r="BF468" s="38" t="str">
        <f>IF(ISNA(MATCH($N468,data!$A:$A,0)),"",INDEX(data!W:W,MATCH($N468,data!$A:$A,0)))</f>
        <v/>
      </c>
    </row>
    <row r="469" spans="1:58" ht="12.75" customHeight="1">
      <c r="A469" s="35"/>
      <c r="B469" s="35"/>
      <c r="C469" s="35"/>
      <c r="D469" s="35"/>
      <c r="E469" s="67"/>
      <c r="F469" s="67"/>
      <c r="G469" s="36"/>
      <c r="H469" s="29"/>
      <c r="I469" s="78" t="str">
        <f t="shared" si="10"/>
        <v/>
      </c>
      <c r="J469" s="29"/>
      <c r="K469" s="29"/>
      <c r="L469" s="33"/>
      <c r="M469" s="33"/>
      <c r="N469" s="60"/>
      <c r="O469" s="71"/>
      <c r="P469" s="71"/>
      <c r="Q469" s="33"/>
      <c r="R469" s="31"/>
      <c r="S469" s="31"/>
      <c r="T469" s="59"/>
      <c r="U469" s="59"/>
      <c r="V469" s="59"/>
      <c r="W469" s="57">
        <f t="shared" si="11"/>
        <v>0</v>
      </c>
      <c r="X469" s="126" t="str">
        <f>IF(Table1[[#This Row],[Shipping Weight Pounds]]&gt;150,"See LTL Form","No")</f>
        <v>No</v>
      </c>
      <c r="Y469" s="28"/>
      <c r="Z469" s="33"/>
      <c r="AA469" s="34"/>
      <c r="AB469" s="30"/>
      <c r="AC469" s="30"/>
      <c r="AD469" s="32"/>
      <c r="AE469" s="32"/>
      <c r="AF469" s="2"/>
      <c r="AG469" s="2"/>
      <c r="AH469" s="2"/>
      <c r="AI469" s="2"/>
      <c r="AK469" s="73" t="str">
        <f>IF(ISNA(MATCH($N469,[1]data!$A:$A,0)),"",INDEX([1]data!S:S,MATCH($N469,[1]data!$A:$A,0)))</f>
        <v/>
      </c>
      <c r="AL469" s="73" t="str">
        <f>IF(ISNA(MATCH($N469,[1]data!$A:$A,0)),"",INDEX([1]data!V:V,MATCH($N469,[1]data!$A:$A,0)))</f>
        <v/>
      </c>
      <c r="AM469" s="38" t="str">
        <f>IF(ISNA(MATCH($N469,data!$A:$A,0)),"",INDEX(data!B:B,MATCH($N469,data!$A:$A,0)))</f>
        <v/>
      </c>
      <c r="AN469" s="38" t="str">
        <f>IF(ISNA(MATCH($N469,data!$A:$A,0)),"",INDEX(data!C:C,MATCH($N469,data!$A:$A,0)))</f>
        <v/>
      </c>
      <c r="AO469" s="38" t="str">
        <f>IF(ISNA(MATCH($N469,data!$A:$A,0)),"",INDEX(data!D:D,MATCH($N469,data!$A:$A,0)))</f>
        <v/>
      </c>
      <c r="AP469" s="38" t="str">
        <f>IF(ISNA(MATCH($N469,data!$A:$A,0)),"",INDEX(data!E:E,MATCH($N469,data!$A:$A,0)))</f>
        <v/>
      </c>
      <c r="AQ469" s="38" t="str">
        <f>IF(ISNA(MATCH($N469,data!$A:$A,0)),"",INDEX(data!F:F,MATCH($N469,data!$A:$A,0)))</f>
        <v/>
      </c>
      <c r="AR469" s="38" t="str">
        <f>IF(ISNA(MATCH($N469,data!$A:$A,0)),"",INDEX(data!G:G,MATCH($N469,data!$A:$A,0)))</f>
        <v/>
      </c>
      <c r="AS469" s="38" t="str">
        <f>IF(ISNA(MATCH($N469,data!$A:$A,0)),"",INDEX(data!H:H,MATCH($N469,data!$A:$A,0)))</f>
        <v/>
      </c>
      <c r="AT469" s="38" t="str">
        <f>IF(ISNA(MATCH($N469,data!$A:$A,0)),"",INDEX(data!I:I,MATCH($N469,data!$A:$A,0)))</f>
        <v/>
      </c>
      <c r="AU469" s="38" t="str">
        <f>IF(ISNA(MATCH($N469,[1]data!$A:$A,0)),"",INDEX([1]data!L:L,MATCH($N469,[1]data!$A:$A,0)))</f>
        <v/>
      </c>
      <c r="AV469" s="38" t="str">
        <f>IF(ISNA(MATCH($N469,[1]data!$A:$A,0)),"",INDEX([1]data!M:M,MATCH($N469,[1]data!$A:$A,0)))</f>
        <v/>
      </c>
      <c r="AW469" s="38" t="str">
        <f>IF(ISNA(MATCH($N469,data!$A:$A,0)),"",INDEX(data!J:J,MATCH($N469,data!$A:$A,0)))</f>
        <v/>
      </c>
      <c r="AX469" s="38" t="str">
        <f>IF(ISNA(MATCH($N469,data!$A:$A,0)),"",INDEX(data!K:K,MATCH($N469,data!$A:$A,0)))</f>
        <v/>
      </c>
      <c r="AY469" s="38" t="str">
        <f>IF(ISNA(MATCH($N469,data!$A:$A,0)),"",INDEX(data!O:O,MATCH($N469,data!$A:$A,0)))</f>
        <v/>
      </c>
      <c r="AZ469" s="38" t="str">
        <f>IF(ISNA(MATCH($N469,data!$A:$A,0)),"",INDEX(data!N:N,MATCH($N469,data!$A:$A,0)))</f>
        <v/>
      </c>
      <c r="BA469" s="38" t="str">
        <f>IF(ISNA(MATCH($N469,data!$A:$A,0)),"",INDEX(data!P:P,MATCH($N469,data!$A:$A,0)))</f>
        <v/>
      </c>
      <c r="BB469" s="38" t="str">
        <f>IF(ISNA(MATCH($N469,data!$A:$A,0)),"",INDEX(data!Q:Q,MATCH($N469,data!$A:$A,0)))</f>
        <v/>
      </c>
      <c r="BC469" s="38" t="str">
        <f>IF(ISNA(MATCH($N469,data!$A:$A,0)),"",INDEX(data!R:R,MATCH($N469,data!$A:$A,0)))</f>
        <v/>
      </c>
      <c r="BD469" s="38" t="str">
        <f>IF(ISNA(MATCH($N469,[1]data!$A:$A,0)),"",INDEX([1]data!U:U,MATCH($N469,[1]data!$A:$A,0)))</f>
        <v/>
      </c>
      <c r="BE469" s="61" t="e">
        <f>IF(COUNTIF([1]data!A:A,[1]!Table1[[#This Row],[UPC]])&lt;2,"","DUP")</f>
        <v>#VALUE!</v>
      </c>
      <c r="BF469" s="38" t="str">
        <f>IF(ISNA(MATCH($N469,data!$A:$A,0)),"",INDEX(data!W:W,MATCH($N469,data!$A:$A,0)))</f>
        <v/>
      </c>
    </row>
    <row r="470" spans="1:58" ht="12.75" customHeight="1">
      <c r="A470" s="35"/>
      <c r="B470" s="35"/>
      <c r="C470" s="35"/>
      <c r="D470" s="35"/>
      <c r="E470" s="67"/>
      <c r="F470" s="67"/>
      <c r="G470" s="36"/>
      <c r="H470" s="29"/>
      <c r="I470" s="78" t="str">
        <f t="shared" si="10"/>
        <v/>
      </c>
      <c r="J470" s="29"/>
      <c r="K470" s="29"/>
      <c r="L470" s="33"/>
      <c r="M470" s="33"/>
      <c r="N470" s="60"/>
      <c r="O470" s="71"/>
      <c r="P470" s="71"/>
      <c r="Q470" s="33"/>
      <c r="R470" s="31"/>
      <c r="S470" s="31"/>
      <c r="T470" s="59"/>
      <c r="U470" s="59"/>
      <c r="V470" s="59"/>
      <c r="W470" s="57">
        <f t="shared" si="11"/>
        <v>0</v>
      </c>
      <c r="X470" s="126" t="str">
        <f>IF(Table1[[#This Row],[Shipping Weight Pounds]]&gt;150,"See LTL Form","No")</f>
        <v>No</v>
      </c>
      <c r="Y470" s="28"/>
      <c r="Z470" s="33"/>
      <c r="AA470" s="34"/>
      <c r="AB470" s="30"/>
      <c r="AC470" s="30"/>
      <c r="AD470" s="32"/>
      <c r="AE470" s="32"/>
      <c r="AF470" s="2"/>
      <c r="AG470" s="2"/>
      <c r="AH470" s="2"/>
      <c r="AI470" s="2"/>
      <c r="AK470" s="73" t="str">
        <f>IF(ISNA(MATCH($N470,[1]data!$A:$A,0)),"",INDEX([1]data!S:S,MATCH($N470,[1]data!$A:$A,0)))</f>
        <v/>
      </c>
      <c r="AL470" s="73" t="str">
        <f>IF(ISNA(MATCH($N470,[1]data!$A:$A,0)),"",INDEX([1]data!V:V,MATCH($N470,[1]data!$A:$A,0)))</f>
        <v/>
      </c>
      <c r="AM470" s="38" t="str">
        <f>IF(ISNA(MATCH($N470,data!$A:$A,0)),"",INDEX(data!B:B,MATCH($N470,data!$A:$A,0)))</f>
        <v/>
      </c>
      <c r="AN470" s="38" t="str">
        <f>IF(ISNA(MATCH($N470,data!$A:$A,0)),"",INDEX(data!C:C,MATCH($N470,data!$A:$A,0)))</f>
        <v/>
      </c>
      <c r="AO470" s="38" t="str">
        <f>IF(ISNA(MATCH($N470,data!$A:$A,0)),"",INDEX(data!D:D,MATCH($N470,data!$A:$A,0)))</f>
        <v/>
      </c>
      <c r="AP470" s="38" t="str">
        <f>IF(ISNA(MATCH($N470,data!$A:$A,0)),"",INDEX(data!E:E,MATCH($N470,data!$A:$A,0)))</f>
        <v/>
      </c>
      <c r="AQ470" s="38" t="str">
        <f>IF(ISNA(MATCH($N470,data!$A:$A,0)),"",INDEX(data!F:F,MATCH($N470,data!$A:$A,0)))</f>
        <v/>
      </c>
      <c r="AR470" s="38" t="str">
        <f>IF(ISNA(MATCH($N470,data!$A:$A,0)),"",INDEX(data!G:G,MATCH($N470,data!$A:$A,0)))</f>
        <v/>
      </c>
      <c r="AS470" s="38" t="str">
        <f>IF(ISNA(MATCH($N470,data!$A:$A,0)),"",INDEX(data!H:H,MATCH($N470,data!$A:$A,0)))</f>
        <v/>
      </c>
      <c r="AT470" s="38" t="str">
        <f>IF(ISNA(MATCH($N470,data!$A:$A,0)),"",INDEX(data!I:I,MATCH($N470,data!$A:$A,0)))</f>
        <v/>
      </c>
      <c r="AU470" s="38" t="str">
        <f>IF(ISNA(MATCH($N470,[1]data!$A:$A,0)),"",INDEX([1]data!L:L,MATCH($N470,[1]data!$A:$A,0)))</f>
        <v/>
      </c>
      <c r="AV470" s="38" t="str">
        <f>IF(ISNA(MATCH($N470,[1]data!$A:$A,0)),"",INDEX([1]data!M:M,MATCH($N470,[1]data!$A:$A,0)))</f>
        <v/>
      </c>
      <c r="AW470" s="38" t="str">
        <f>IF(ISNA(MATCH($N470,data!$A:$A,0)),"",INDEX(data!J:J,MATCH($N470,data!$A:$A,0)))</f>
        <v/>
      </c>
      <c r="AX470" s="38" t="str">
        <f>IF(ISNA(MATCH($N470,data!$A:$A,0)),"",INDEX(data!K:K,MATCH($N470,data!$A:$A,0)))</f>
        <v/>
      </c>
      <c r="AY470" s="38" t="str">
        <f>IF(ISNA(MATCH($N470,data!$A:$A,0)),"",INDEX(data!O:O,MATCH($N470,data!$A:$A,0)))</f>
        <v/>
      </c>
      <c r="AZ470" s="38" t="str">
        <f>IF(ISNA(MATCH($N470,data!$A:$A,0)),"",INDEX(data!N:N,MATCH($N470,data!$A:$A,0)))</f>
        <v/>
      </c>
      <c r="BA470" s="38" t="str">
        <f>IF(ISNA(MATCH($N470,data!$A:$A,0)),"",INDEX(data!P:P,MATCH($N470,data!$A:$A,0)))</f>
        <v/>
      </c>
      <c r="BB470" s="38" t="str">
        <f>IF(ISNA(MATCH($N470,data!$A:$A,0)),"",INDEX(data!Q:Q,MATCH($N470,data!$A:$A,0)))</f>
        <v/>
      </c>
      <c r="BC470" s="38" t="str">
        <f>IF(ISNA(MATCH($N470,data!$A:$A,0)),"",INDEX(data!R:R,MATCH($N470,data!$A:$A,0)))</f>
        <v/>
      </c>
      <c r="BD470" s="38" t="str">
        <f>IF(ISNA(MATCH($N470,[1]data!$A:$A,0)),"",INDEX([1]data!U:U,MATCH($N470,[1]data!$A:$A,0)))</f>
        <v/>
      </c>
      <c r="BE470" s="61" t="e">
        <f>IF(COUNTIF([1]data!A:A,[1]!Table1[[#This Row],[UPC]])&lt;2,"","DUP")</f>
        <v>#VALUE!</v>
      </c>
      <c r="BF470" s="38" t="str">
        <f>IF(ISNA(MATCH($N470,data!$A:$A,0)),"",INDEX(data!W:W,MATCH($N470,data!$A:$A,0)))</f>
        <v/>
      </c>
    </row>
    <row r="471" spans="1:58" ht="12.75" customHeight="1">
      <c r="A471" s="35"/>
      <c r="B471" s="35"/>
      <c r="C471" s="35"/>
      <c r="D471" s="35"/>
      <c r="E471" s="67"/>
      <c r="F471" s="67"/>
      <c r="G471" s="36"/>
      <c r="H471" s="29"/>
      <c r="I471" s="78" t="str">
        <f t="shared" si="10"/>
        <v/>
      </c>
      <c r="J471" s="29"/>
      <c r="K471" s="29"/>
      <c r="L471" s="33"/>
      <c r="M471" s="33"/>
      <c r="N471" s="60"/>
      <c r="O471" s="71"/>
      <c r="P471" s="71"/>
      <c r="Q471" s="33"/>
      <c r="R471" s="31"/>
      <c r="S471" s="31"/>
      <c r="T471" s="59"/>
      <c r="U471" s="59"/>
      <c r="V471" s="59"/>
      <c r="W471" s="57">
        <f t="shared" si="11"/>
        <v>0</v>
      </c>
      <c r="X471" s="126" t="str">
        <f>IF(Table1[[#This Row],[Shipping Weight Pounds]]&gt;150,"See LTL Form","No")</f>
        <v>No</v>
      </c>
      <c r="Y471" s="28"/>
      <c r="Z471" s="33"/>
      <c r="AA471" s="34"/>
      <c r="AB471" s="30"/>
      <c r="AC471" s="30"/>
      <c r="AD471" s="32"/>
      <c r="AE471" s="32"/>
      <c r="AF471" s="2"/>
      <c r="AG471" s="2"/>
      <c r="AH471" s="2"/>
      <c r="AI471" s="2"/>
      <c r="AK471" s="73" t="str">
        <f>IF(ISNA(MATCH($N471,[1]data!$A:$A,0)),"",INDEX([1]data!S:S,MATCH($N471,[1]data!$A:$A,0)))</f>
        <v/>
      </c>
      <c r="AL471" s="73" t="str">
        <f>IF(ISNA(MATCH($N471,[1]data!$A:$A,0)),"",INDEX([1]data!V:V,MATCH($N471,[1]data!$A:$A,0)))</f>
        <v/>
      </c>
      <c r="AM471" s="38" t="str">
        <f>IF(ISNA(MATCH($N471,data!$A:$A,0)),"",INDEX(data!B:B,MATCH($N471,data!$A:$A,0)))</f>
        <v/>
      </c>
      <c r="AN471" s="38" t="str">
        <f>IF(ISNA(MATCH($N471,data!$A:$A,0)),"",INDEX(data!C:C,MATCH($N471,data!$A:$A,0)))</f>
        <v/>
      </c>
      <c r="AO471" s="38" t="str">
        <f>IF(ISNA(MATCH($N471,data!$A:$A,0)),"",INDEX(data!D:D,MATCH($N471,data!$A:$A,0)))</f>
        <v/>
      </c>
      <c r="AP471" s="38" t="str">
        <f>IF(ISNA(MATCH($N471,data!$A:$A,0)),"",INDEX(data!E:E,MATCH($N471,data!$A:$A,0)))</f>
        <v/>
      </c>
      <c r="AQ471" s="38" t="str">
        <f>IF(ISNA(MATCH($N471,data!$A:$A,0)),"",INDEX(data!F:F,MATCH($N471,data!$A:$A,0)))</f>
        <v/>
      </c>
      <c r="AR471" s="38" t="str">
        <f>IF(ISNA(MATCH($N471,data!$A:$A,0)),"",INDEX(data!G:G,MATCH($N471,data!$A:$A,0)))</f>
        <v/>
      </c>
      <c r="AS471" s="38" t="str">
        <f>IF(ISNA(MATCH($N471,data!$A:$A,0)),"",INDEX(data!H:H,MATCH($N471,data!$A:$A,0)))</f>
        <v/>
      </c>
      <c r="AT471" s="38" t="str">
        <f>IF(ISNA(MATCH($N471,data!$A:$A,0)),"",INDEX(data!I:I,MATCH($N471,data!$A:$A,0)))</f>
        <v/>
      </c>
      <c r="AU471" s="38" t="str">
        <f>IF(ISNA(MATCH($N471,[1]data!$A:$A,0)),"",INDEX([1]data!L:L,MATCH($N471,[1]data!$A:$A,0)))</f>
        <v/>
      </c>
      <c r="AV471" s="38" t="str">
        <f>IF(ISNA(MATCH($N471,[1]data!$A:$A,0)),"",INDEX([1]data!M:M,MATCH($N471,[1]data!$A:$A,0)))</f>
        <v/>
      </c>
      <c r="AW471" s="38" t="str">
        <f>IF(ISNA(MATCH($N471,data!$A:$A,0)),"",INDEX(data!J:J,MATCH($N471,data!$A:$A,0)))</f>
        <v/>
      </c>
      <c r="AX471" s="38" t="str">
        <f>IF(ISNA(MATCH($N471,data!$A:$A,0)),"",INDEX(data!K:K,MATCH($N471,data!$A:$A,0)))</f>
        <v/>
      </c>
      <c r="AY471" s="38" t="str">
        <f>IF(ISNA(MATCH($N471,data!$A:$A,0)),"",INDEX(data!O:O,MATCH($N471,data!$A:$A,0)))</f>
        <v/>
      </c>
      <c r="AZ471" s="38" t="str">
        <f>IF(ISNA(MATCH($N471,data!$A:$A,0)),"",INDEX(data!N:N,MATCH($N471,data!$A:$A,0)))</f>
        <v/>
      </c>
      <c r="BA471" s="38" t="str">
        <f>IF(ISNA(MATCH($N471,data!$A:$A,0)),"",INDEX(data!P:P,MATCH($N471,data!$A:$A,0)))</f>
        <v/>
      </c>
      <c r="BB471" s="38" t="str">
        <f>IF(ISNA(MATCH($N471,data!$A:$A,0)),"",INDEX(data!Q:Q,MATCH($N471,data!$A:$A,0)))</f>
        <v/>
      </c>
      <c r="BC471" s="38" t="str">
        <f>IF(ISNA(MATCH($N471,data!$A:$A,0)),"",INDEX(data!R:R,MATCH($N471,data!$A:$A,0)))</f>
        <v/>
      </c>
      <c r="BD471" s="38" t="str">
        <f>IF(ISNA(MATCH($N471,[1]data!$A:$A,0)),"",INDEX([1]data!U:U,MATCH($N471,[1]data!$A:$A,0)))</f>
        <v/>
      </c>
      <c r="BE471" s="61" t="e">
        <f>IF(COUNTIF([1]data!A:A,[1]!Table1[[#This Row],[UPC]])&lt;2,"","DUP")</f>
        <v>#VALUE!</v>
      </c>
      <c r="BF471" s="38" t="str">
        <f>IF(ISNA(MATCH($N471,data!$A:$A,0)),"",INDEX(data!W:W,MATCH($N471,data!$A:$A,0)))</f>
        <v/>
      </c>
    </row>
    <row r="472" spans="1:58" ht="12.75" customHeight="1">
      <c r="A472" s="35"/>
      <c r="B472" s="35"/>
      <c r="C472" s="35"/>
      <c r="D472" s="35"/>
      <c r="E472" s="67"/>
      <c r="F472" s="67"/>
      <c r="G472" s="36"/>
      <c r="H472" s="29"/>
      <c r="I472" s="78" t="str">
        <f t="shared" si="10"/>
        <v/>
      </c>
      <c r="J472" s="29"/>
      <c r="K472" s="29"/>
      <c r="L472" s="33"/>
      <c r="M472" s="33"/>
      <c r="N472" s="60"/>
      <c r="O472" s="71"/>
      <c r="P472" s="71"/>
      <c r="Q472" s="33"/>
      <c r="R472" s="31"/>
      <c r="S472" s="31"/>
      <c r="T472" s="59"/>
      <c r="U472" s="59"/>
      <c r="V472" s="59"/>
      <c r="W472" s="57">
        <f t="shared" si="11"/>
        <v>0</v>
      </c>
      <c r="X472" s="126" t="str">
        <f>IF(Table1[[#This Row],[Shipping Weight Pounds]]&gt;150,"See LTL Form","No")</f>
        <v>No</v>
      </c>
      <c r="Y472" s="28"/>
      <c r="Z472" s="33"/>
      <c r="AA472" s="34"/>
      <c r="AB472" s="30"/>
      <c r="AC472" s="30"/>
      <c r="AD472" s="32"/>
      <c r="AE472" s="32"/>
      <c r="AF472" s="2"/>
      <c r="AG472" s="2"/>
      <c r="AH472" s="2"/>
      <c r="AI472" s="2"/>
      <c r="AK472" s="73" t="str">
        <f>IF(ISNA(MATCH($N472,[1]data!$A:$A,0)),"",INDEX([1]data!S:S,MATCH($N472,[1]data!$A:$A,0)))</f>
        <v/>
      </c>
      <c r="AL472" s="73" t="str">
        <f>IF(ISNA(MATCH($N472,[1]data!$A:$A,0)),"",INDEX([1]data!V:V,MATCH($N472,[1]data!$A:$A,0)))</f>
        <v/>
      </c>
      <c r="AM472" s="38" t="str">
        <f>IF(ISNA(MATCH($N472,data!$A:$A,0)),"",INDEX(data!B:B,MATCH($N472,data!$A:$A,0)))</f>
        <v/>
      </c>
      <c r="AN472" s="38" t="str">
        <f>IF(ISNA(MATCH($N472,data!$A:$A,0)),"",INDEX(data!C:C,MATCH($N472,data!$A:$A,0)))</f>
        <v/>
      </c>
      <c r="AO472" s="38" t="str">
        <f>IF(ISNA(MATCH($N472,data!$A:$A,0)),"",INDEX(data!D:D,MATCH($N472,data!$A:$A,0)))</f>
        <v/>
      </c>
      <c r="AP472" s="38" t="str">
        <f>IF(ISNA(MATCH($N472,data!$A:$A,0)),"",INDEX(data!E:E,MATCH($N472,data!$A:$A,0)))</f>
        <v/>
      </c>
      <c r="AQ472" s="38" t="str">
        <f>IF(ISNA(MATCH($N472,data!$A:$A,0)),"",INDEX(data!F:F,MATCH($N472,data!$A:$A,0)))</f>
        <v/>
      </c>
      <c r="AR472" s="38" t="str">
        <f>IF(ISNA(MATCH($N472,data!$A:$A,0)),"",INDEX(data!G:G,MATCH($N472,data!$A:$A,0)))</f>
        <v/>
      </c>
      <c r="AS472" s="38" t="str">
        <f>IF(ISNA(MATCH($N472,data!$A:$A,0)),"",INDEX(data!H:H,MATCH($N472,data!$A:$A,0)))</f>
        <v/>
      </c>
      <c r="AT472" s="38" t="str">
        <f>IF(ISNA(MATCH($N472,data!$A:$A,0)),"",INDEX(data!I:I,MATCH($N472,data!$A:$A,0)))</f>
        <v/>
      </c>
      <c r="AU472" s="38" t="str">
        <f>IF(ISNA(MATCH($N472,[1]data!$A:$A,0)),"",INDEX([1]data!L:L,MATCH($N472,[1]data!$A:$A,0)))</f>
        <v/>
      </c>
      <c r="AV472" s="38" t="str">
        <f>IF(ISNA(MATCH($N472,[1]data!$A:$A,0)),"",INDEX([1]data!M:M,MATCH($N472,[1]data!$A:$A,0)))</f>
        <v/>
      </c>
      <c r="AW472" s="38" t="str">
        <f>IF(ISNA(MATCH($N472,data!$A:$A,0)),"",INDEX(data!J:J,MATCH($N472,data!$A:$A,0)))</f>
        <v/>
      </c>
      <c r="AX472" s="38" t="str">
        <f>IF(ISNA(MATCH($N472,data!$A:$A,0)),"",INDEX(data!K:K,MATCH($N472,data!$A:$A,0)))</f>
        <v/>
      </c>
      <c r="AY472" s="38" t="str">
        <f>IF(ISNA(MATCH($N472,data!$A:$A,0)),"",INDEX(data!O:O,MATCH($N472,data!$A:$A,0)))</f>
        <v/>
      </c>
      <c r="AZ472" s="38" t="str">
        <f>IF(ISNA(MATCH($N472,data!$A:$A,0)),"",INDEX(data!N:N,MATCH($N472,data!$A:$A,0)))</f>
        <v/>
      </c>
      <c r="BA472" s="38" t="str">
        <f>IF(ISNA(MATCH($N472,data!$A:$A,0)),"",INDEX(data!P:P,MATCH($N472,data!$A:$A,0)))</f>
        <v/>
      </c>
      <c r="BB472" s="38" t="str">
        <f>IF(ISNA(MATCH($N472,data!$A:$A,0)),"",INDEX(data!Q:Q,MATCH($N472,data!$A:$A,0)))</f>
        <v/>
      </c>
      <c r="BC472" s="38" t="str">
        <f>IF(ISNA(MATCH($N472,data!$A:$A,0)),"",INDEX(data!R:R,MATCH($N472,data!$A:$A,0)))</f>
        <v/>
      </c>
      <c r="BD472" s="38" t="str">
        <f>IF(ISNA(MATCH($N472,[1]data!$A:$A,0)),"",INDEX([1]data!U:U,MATCH($N472,[1]data!$A:$A,0)))</f>
        <v/>
      </c>
      <c r="BE472" s="61" t="e">
        <f>IF(COUNTIF([1]data!A:A,[1]!Table1[[#This Row],[UPC]])&lt;2,"","DUP")</f>
        <v>#VALUE!</v>
      </c>
      <c r="BF472" s="38" t="str">
        <f>IF(ISNA(MATCH($N472,data!$A:$A,0)),"",INDEX(data!W:W,MATCH($N472,data!$A:$A,0)))</f>
        <v/>
      </c>
    </row>
    <row r="473" spans="1:58" ht="12.75" customHeight="1">
      <c r="A473" s="35"/>
      <c r="B473" s="35"/>
      <c r="C473" s="35"/>
      <c r="D473" s="35"/>
      <c r="E473" s="67"/>
      <c r="F473" s="67"/>
      <c r="G473" s="36"/>
      <c r="H473" s="29"/>
      <c r="I473" s="78" t="str">
        <f t="shared" si="10"/>
        <v/>
      </c>
      <c r="J473" s="29"/>
      <c r="K473" s="29"/>
      <c r="L473" s="33"/>
      <c r="M473" s="33"/>
      <c r="N473" s="60"/>
      <c r="O473" s="71"/>
      <c r="P473" s="71"/>
      <c r="Q473" s="33"/>
      <c r="R473" s="31"/>
      <c r="S473" s="31"/>
      <c r="T473" s="59"/>
      <c r="U473" s="59"/>
      <c r="V473" s="59"/>
      <c r="W473" s="57">
        <f t="shared" si="11"/>
        <v>0</v>
      </c>
      <c r="X473" s="126" t="str">
        <f>IF(Table1[[#This Row],[Shipping Weight Pounds]]&gt;150,"See LTL Form","No")</f>
        <v>No</v>
      </c>
      <c r="Y473" s="28"/>
      <c r="Z473" s="33"/>
      <c r="AA473" s="34"/>
      <c r="AB473" s="30"/>
      <c r="AC473" s="30"/>
      <c r="AD473" s="32"/>
      <c r="AE473" s="32"/>
      <c r="AF473" s="2"/>
      <c r="AG473" s="2"/>
      <c r="AH473" s="2"/>
      <c r="AI473" s="2"/>
      <c r="AK473" s="73" t="str">
        <f>IF(ISNA(MATCH($N473,[1]data!$A:$A,0)),"",INDEX([1]data!S:S,MATCH($N473,[1]data!$A:$A,0)))</f>
        <v/>
      </c>
      <c r="AL473" s="73" t="str">
        <f>IF(ISNA(MATCH($N473,[1]data!$A:$A,0)),"",INDEX([1]data!V:V,MATCH($N473,[1]data!$A:$A,0)))</f>
        <v/>
      </c>
      <c r="AM473" s="38" t="str">
        <f>IF(ISNA(MATCH($N473,data!$A:$A,0)),"",INDEX(data!B:B,MATCH($N473,data!$A:$A,0)))</f>
        <v/>
      </c>
      <c r="AN473" s="38" t="str">
        <f>IF(ISNA(MATCH($N473,data!$A:$A,0)),"",INDEX(data!C:C,MATCH($N473,data!$A:$A,0)))</f>
        <v/>
      </c>
      <c r="AO473" s="38" t="str">
        <f>IF(ISNA(MATCH($N473,data!$A:$A,0)),"",INDEX(data!D:D,MATCH($N473,data!$A:$A,0)))</f>
        <v/>
      </c>
      <c r="AP473" s="38" t="str">
        <f>IF(ISNA(MATCH($N473,data!$A:$A,0)),"",INDEX(data!E:E,MATCH($N473,data!$A:$A,0)))</f>
        <v/>
      </c>
      <c r="AQ473" s="38" t="str">
        <f>IF(ISNA(MATCH($N473,data!$A:$A,0)),"",INDEX(data!F:F,MATCH($N473,data!$A:$A,0)))</f>
        <v/>
      </c>
      <c r="AR473" s="38" t="str">
        <f>IF(ISNA(MATCH($N473,data!$A:$A,0)),"",INDEX(data!G:G,MATCH($N473,data!$A:$A,0)))</f>
        <v/>
      </c>
      <c r="AS473" s="38" t="str">
        <f>IF(ISNA(MATCH($N473,data!$A:$A,0)),"",INDEX(data!H:H,MATCH($N473,data!$A:$A,0)))</f>
        <v/>
      </c>
      <c r="AT473" s="38" t="str">
        <f>IF(ISNA(MATCH($N473,data!$A:$A,0)),"",INDEX(data!I:I,MATCH($N473,data!$A:$A,0)))</f>
        <v/>
      </c>
      <c r="AU473" s="38" t="str">
        <f>IF(ISNA(MATCH($N473,[1]data!$A:$A,0)),"",INDEX([1]data!L:L,MATCH($N473,[1]data!$A:$A,0)))</f>
        <v/>
      </c>
      <c r="AV473" s="38" t="str">
        <f>IF(ISNA(MATCH($N473,[1]data!$A:$A,0)),"",INDEX([1]data!M:M,MATCH($N473,[1]data!$A:$A,0)))</f>
        <v/>
      </c>
      <c r="AW473" s="38" t="str">
        <f>IF(ISNA(MATCH($N473,data!$A:$A,0)),"",INDEX(data!J:J,MATCH($N473,data!$A:$A,0)))</f>
        <v/>
      </c>
      <c r="AX473" s="38" t="str">
        <f>IF(ISNA(MATCH($N473,data!$A:$A,0)),"",INDEX(data!K:K,MATCH($N473,data!$A:$A,0)))</f>
        <v/>
      </c>
      <c r="AY473" s="38" t="str">
        <f>IF(ISNA(MATCH($N473,data!$A:$A,0)),"",INDEX(data!O:O,MATCH($N473,data!$A:$A,0)))</f>
        <v/>
      </c>
      <c r="AZ473" s="38" t="str">
        <f>IF(ISNA(MATCH($N473,data!$A:$A,0)),"",INDEX(data!N:N,MATCH($N473,data!$A:$A,0)))</f>
        <v/>
      </c>
      <c r="BA473" s="38" t="str">
        <f>IF(ISNA(MATCH($N473,data!$A:$A,0)),"",INDEX(data!P:P,MATCH($N473,data!$A:$A,0)))</f>
        <v/>
      </c>
      <c r="BB473" s="38" t="str">
        <f>IF(ISNA(MATCH($N473,data!$A:$A,0)),"",INDEX(data!Q:Q,MATCH($N473,data!$A:$A,0)))</f>
        <v/>
      </c>
      <c r="BC473" s="38" t="str">
        <f>IF(ISNA(MATCH($N473,data!$A:$A,0)),"",INDEX(data!R:R,MATCH($N473,data!$A:$A,0)))</f>
        <v/>
      </c>
      <c r="BD473" s="38" t="str">
        <f>IF(ISNA(MATCH($N473,[1]data!$A:$A,0)),"",INDEX([1]data!U:U,MATCH($N473,[1]data!$A:$A,0)))</f>
        <v/>
      </c>
      <c r="BE473" s="61" t="e">
        <f>IF(COUNTIF([1]data!A:A,[1]!Table1[[#This Row],[UPC]])&lt;2,"","DUP")</f>
        <v>#VALUE!</v>
      </c>
      <c r="BF473" s="38" t="str">
        <f>IF(ISNA(MATCH($N473,data!$A:$A,0)),"",INDEX(data!W:W,MATCH($N473,data!$A:$A,0)))</f>
        <v/>
      </c>
    </row>
    <row r="474" spans="1:58" ht="12.75" customHeight="1">
      <c r="A474" s="35"/>
      <c r="B474" s="35"/>
      <c r="C474" s="35"/>
      <c r="D474" s="35"/>
      <c r="E474" s="67"/>
      <c r="F474" s="67"/>
      <c r="G474" s="36"/>
      <c r="H474" s="29"/>
      <c r="I474" s="78" t="str">
        <f t="shared" si="10"/>
        <v/>
      </c>
      <c r="J474" s="29"/>
      <c r="K474" s="29"/>
      <c r="L474" s="33"/>
      <c r="M474" s="33"/>
      <c r="N474" s="60"/>
      <c r="O474" s="71"/>
      <c r="P474" s="71"/>
      <c r="Q474" s="33"/>
      <c r="R474" s="31"/>
      <c r="S474" s="31"/>
      <c r="T474" s="59"/>
      <c r="U474" s="59"/>
      <c r="V474" s="59"/>
      <c r="W474" s="57">
        <f t="shared" si="11"/>
        <v>0</v>
      </c>
      <c r="X474" s="126" t="str">
        <f>IF(Table1[[#This Row],[Shipping Weight Pounds]]&gt;150,"See LTL Form","No")</f>
        <v>No</v>
      </c>
      <c r="Y474" s="28"/>
      <c r="Z474" s="33"/>
      <c r="AA474" s="34"/>
      <c r="AB474" s="30"/>
      <c r="AC474" s="30"/>
      <c r="AD474" s="32"/>
      <c r="AE474" s="32"/>
      <c r="AF474" s="2"/>
      <c r="AG474" s="2"/>
      <c r="AH474" s="2"/>
      <c r="AI474" s="2"/>
      <c r="AK474" s="73" t="str">
        <f>IF(ISNA(MATCH($N474,[1]data!$A:$A,0)),"",INDEX([1]data!S:S,MATCH($N474,[1]data!$A:$A,0)))</f>
        <v/>
      </c>
      <c r="AL474" s="73" t="str">
        <f>IF(ISNA(MATCH($N474,[1]data!$A:$A,0)),"",INDEX([1]data!V:V,MATCH($N474,[1]data!$A:$A,0)))</f>
        <v/>
      </c>
      <c r="AM474" s="38" t="str">
        <f>IF(ISNA(MATCH($N474,data!$A:$A,0)),"",INDEX(data!B:B,MATCH($N474,data!$A:$A,0)))</f>
        <v/>
      </c>
      <c r="AN474" s="38" t="str">
        <f>IF(ISNA(MATCH($N474,data!$A:$A,0)),"",INDEX(data!C:C,MATCH($N474,data!$A:$A,0)))</f>
        <v/>
      </c>
      <c r="AO474" s="38" t="str">
        <f>IF(ISNA(MATCH($N474,data!$A:$A,0)),"",INDEX(data!D:D,MATCH($N474,data!$A:$A,0)))</f>
        <v/>
      </c>
      <c r="AP474" s="38" t="str">
        <f>IF(ISNA(MATCH($N474,data!$A:$A,0)),"",INDEX(data!E:E,MATCH($N474,data!$A:$A,0)))</f>
        <v/>
      </c>
      <c r="AQ474" s="38" t="str">
        <f>IF(ISNA(MATCH($N474,data!$A:$A,0)),"",INDEX(data!F:F,MATCH($N474,data!$A:$A,0)))</f>
        <v/>
      </c>
      <c r="AR474" s="38" t="str">
        <f>IF(ISNA(MATCH($N474,data!$A:$A,0)),"",INDEX(data!G:G,MATCH($N474,data!$A:$A,0)))</f>
        <v/>
      </c>
      <c r="AS474" s="38" t="str">
        <f>IF(ISNA(MATCH($N474,data!$A:$A,0)),"",INDEX(data!H:H,MATCH($N474,data!$A:$A,0)))</f>
        <v/>
      </c>
      <c r="AT474" s="38" t="str">
        <f>IF(ISNA(MATCH($N474,data!$A:$A,0)),"",INDEX(data!I:I,MATCH($N474,data!$A:$A,0)))</f>
        <v/>
      </c>
      <c r="AU474" s="38" t="str">
        <f>IF(ISNA(MATCH($N474,[1]data!$A:$A,0)),"",INDEX([1]data!L:L,MATCH($N474,[1]data!$A:$A,0)))</f>
        <v/>
      </c>
      <c r="AV474" s="38" t="str">
        <f>IF(ISNA(MATCH($N474,[1]data!$A:$A,0)),"",INDEX([1]data!M:M,MATCH($N474,[1]data!$A:$A,0)))</f>
        <v/>
      </c>
      <c r="AW474" s="38" t="str">
        <f>IF(ISNA(MATCH($N474,data!$A:$A,0)),"",INDEX(data!J:J,MATCH($N474,data!$A:$A,0)))</f>
        <v/>
      </c>
      <c r="AX474" s="38" t="str">
        <f>IF(ISNA(MATCH($N474,data!$A:$A,0)),"",INDEX(data!K:K,MATCH($N474,data!$A:$A,0)))</f>
        <v/>
      </c>
      <c r="AY474" s="38" t="str">
        <f>IF(ISNA(MATCH($N474,data!$A:$A,0)),"",INDEX(data!O:O,MATCH($N474,data!$A:$A,0)))</f>
        <v/>
      </c>
      <c r="AZ474" s="38" t="str">
        <f>IF(ISNA(MATCH($N474,data!$A:$A,0)),"",INDEX(data!N:N,MATCH($N474,data!$A:$A,0)))</f>
        <v/>
      </c>
      <c r="BA474" s="38" t="str">
        <f>IF(ISNA(MATCH($N474,data!$A:$A,0)),"",INDEX(data!P:P,MATCH($N474,data!$A:$A,0)))</f>
        <v/>
      </c>
      <c r="BB474" s="38" t="str">
        <f>IF(ISNA(MATCH($N474,data!$A:$A,0)),"",INDEX(data!Q:Q,MATCH($N474,data!$A:$A,0)))</f>
        <v/>
      </c>
      <c r="BC474" s="38" t="str">
        <f>IF(ISNA(MATCH($N474,data!$A:$A,0)),"",INDEX(data!R:R,MATCH($N474,data!$A:$A,0)))</f>
        <v/>
      </c>
      <c r="BD474" s="38" t="str">
        <f>IF(ISNA(MATCH($N474,[1]data!$A:$A,0)),"",INDEX([1]data!U:U,MATCH($N474,[1]data!$A:$A,0)))</f>
        <v/>
      </c>
      <c r="BE474" s="61" t="e">
        <f>IF(COUNTIF([1]data!A:A,[1]!Table1[[#This Row],[UPC]])&lt;2,"","DUP")</f>
        <v>#VALUE!</v>
      </c>
      <c r="BF474" s="38" t="str">
        <f>IF(ISNA(MATCH($N474,data!$A:$A,0)),"",INDEX(data!W:W,MATCH($N474,data!$A:$A,0)))</f>
        <v/>
      </c>
    </row>
    <row r="475" spans="1:58" ht="12.75" customHeight="1">
      <c r="A475" s="35"/>
      <c r="B475" s="35"/>
      <c r="C475" s="35"/>
      <c r="D475" s="35"/>
      <c r="E475" s="67"/>
      <c r="F475" s="67"/>
      <c r="G475" s="36"/>
      <c r="H475" s="29"/>
      <c r="I475" s="78" t="str">
        <f t="shared" si="10"/>
        <v/>
      </c>
      <c r="J475" s="29"/>
      <c r="K475" s="29"/>
      <c r="L475" s="33"/>
      <c r="M475" s="33"/>
      <c r="N475" s="60"/>
      <c r="O475" s="71"/>
      <c r="P475" s="71"/>
      <c r="Q475" s="33"/>
      <c r="R475" s="31"/>
      <c r="S475" s="31"/>
      <c r="T475" s="59"/>
      <c r="U475" s="59"/>
      <c r="V475" s="59"/>
      <c r="W475" s="57">
        <f t="shared" si="11"/>
        <v>0</v>
      </c>
      <c r="X475" s="126" t="str">
        <f>IF(Table1[[#This Row],[Shipping Weight Pounds]]&gt;150,"See LTL Form","No")</f>
        <v>No</v>
      </c>
      <c r="Y475" s="28"/>
      <c r="Z475" s="33"/>
      <c r="AA475" s="34"/>
      <c r="AB475" s="30"/>
      <c r="AC475" s="30"/>
      <c r="AD475" s="32"/>
      <c r="AE475" s="32"/>
      <c r="AF475" s="2"/>
      <c r="AG475" s="2"/>
      <c r="AH475" s="2"/>
      <c r="AI475" s="2"/>
      <c r="AK475" s="73" t="str">
        <f>IF(ISNA(MATCH($N475,[1]data!$A:$A,0)),"",INDEX([1]data!S:S,MATCH($N475,[1]data!$A:$A,0)))</f>
        <v/>
      </c>
      <c r="AL475" s="73" t="str">
        <f>IF(ISNA(MATCH($N475,[1]data!$A:$A,0)),"",INDEX([1]data!V:V,MATCH($N475,[1]data!$A:$A,0)))</f>
        <v/>
      </c>
      <c r="AM475" s="38" t="str">
        <f>IF(ISNA(MATCH($N475,data!$A:$A,0)),"",INDEX(data!B:B,MATCH($N475,data!$A:$A,0)))</f>
        <v/>
      </c>
      <c r="AN475" s="38" t="str">
        <f>IF(ISNA(MATCH($N475,data!$A:$A,0)),"",INDEX(data!C:C,MATCH($N475,data!$A:$A,0)))</f>
        <v/>
      </c>
      <c r="AO475" s="38" t="str">
        <f>IF(ISNA(MATCH($N475,data!$A:$A,0)),"",INDEX(data!D:D,MATCH($N475,data!$A:$A,0)))</f>
        <v/>
      </c>
      <c r="AP475" s="38" t="str">
        <f>IF(ISNA(MATCH($N475,data!$A:$A,0)),"",INDEX(data!E:E,MATCH($N475,data!$A:$A,0)))</f>
        <v/>
      </c>
      <c r="AQ475" s="38" t="str">
        <f>IF(ISNA(MATCH($N475,data!$A:$A,0)),"",INDEX(data!F:F,MATCH($N475,data!$A:$A,0)))</f>
        <v/>
      </c>
      <c r="AR475" s="38" t="str">
        <f>IF(ISNA(MATCH($N475,data!$A:$A,0)),"",INDEX(data!G:G,MATCH($N475,data!$A:$A,0)))</f>
        <v/>
      </c>
      <c r="AS475" s="38" t="str">
        <f>IF(ISNA(MATCH($N475,data!$A:$A,0)),"",INDEX(data!H:H,MATCH($N475,data!$A:$A,0)))</f>
        <v/>
      </c>
      <c r="AT475" s="38" t="str">
        <f>IF(ISNA(MATCH($N475,data!$A:$A,0)),"",INDEX(data!I:I,MATCH($N475,data!$A:$A,0)))</f>
        <v/>
      </c>
      <c r="AU475" s="38" t="str">
        <f>IF(ISNA(MATCH($N475,[1]data!$A:$A,0)),"",INDEX([1]data!L:L,MATCH($N475,[1]data!$A:$A,0)))</f>
        <v/>
      </c>
      <c r="AV475" s="38" t="str">
        <f>IF(ISNA(MATCH($N475,[1]data!$A:$A,0)),"",INDEX([1]data!M:M,MATCH($N475,[1]data!$A:$A,0)))</f>
        <v/>
      </c>
      <c r="AW475" s="38" t="str">
        <f>IF(ISNA(MATCH($N475,data!$A:$A,0)),"",INDEX(data!J:J,MATCH($N475,data!$A:$A,0)))</f>
        <v/>
      </c>
      <c r="AX475" s="38" t="str">
        <f>IF(ISNA(MATCH($N475,data!$A:$A,0)),"",INDEX(data!K:K,MATCH($N475,data!$A:$A,0)))</f>
        <v/>
      </c>
      <c r="AY475" s="38" t="str">
        <f>IF(ISNA(MATCH($N475,data!$A:$A,0)),"",INDEX(data!O:O,MATCH($N475,data!$A:$A,0)))</f>
        <v/>
      </c>
      <c r="AZ475" s="38" t="str">
        <f>IF(ISNA(MATCH($N475,data!$A:$A,0)),"",INDEX(data!N:N,MATCH($N475,data!$A:$A,0)))</f>
        <v/>
      </c>
      <c r="BA475" s="38" t="str">
        <f>IF(ISNA(MATCH($N475,data!$A:$A,0)),"",INDEX(data!P:P,MATCH($N475,data!$A:$A,0)))</f>
        <v/>
      </c>
      <c r="BB475" s="38" t="str">
        <f>IF(ISNA(MATCH($N475,data!$A:$A,0)),"",INDEX(data!Q:Q,MATCH($N475,data!$A:$A,0)))</f>
        <v/>
      </c>
      <c r="BC475" s="38" t="str">
        <f>IF(ISNA(MATCH($N475,data!$A:$A,0)),"",INDEX(data!R:R,MATCH($N475,data!$A:$A,0)))</f>
        <v/>
      </c>
      <c r="BD475" s="38" t="str">
        <f>IF(ISNA(MATCH($N475,[1]data!$A:$A,0)),"",INDEX([1]data!U:U,MATCH($N475,[1]data!$A:$A,0)))</f>
        <v/>
      </c>
      <c r="BE475" s="61" t="e">
        <f>IF(COUNTIF([1]data!A:A,[1]!Table1[[#This Row],[UPC]])&lt;2,"","DUP")</f>
        <v>#VALUE!</v>
      </c>
      <c r="BF475" s="38" t="str">
        <f>IF(ISNA(MATCH($N475,data!$A:$A,0)),"",INDEX(data!W:W,MATCH($N475,data!$A:$A,0)))</f>
        <v/>
      </c>
    </row>
    <row r="476" spans="1:58" ht="12.75" customHeight="1">
      <c r="A476" s="35"/>
      <c r="B476" s="35"/>
      <c r="C476" s="35"/>
      <c r="D476" s="35"/>
      <c r="E476" s="67"/>
      <c r="F476" s="67"/>
      <c r="G476" s="36"/>
      <c r="H476" s="29"/>
      <c r="I476" s="78" t="str">
        <f t="shared" si="10"/>
        <v/>
      </c>
      <c r="J476" s="29"/>
      <c r="K476" s="29"/>
      <c r="L476" s="33"/>
      <c r="M476" s="33"/>
      <c r="N476" s="60"/>
      <c r="O476" s="71"/>
      <c r="P476" s="71"/>
      <c r="Q476" s="33"/>
      <c r="R476" s="31"/>
      <c r="S476" s="31"/>
      <c r="T476" s="59"/>
      <c r="U476" s="59"/>
      <c r="V476" s="59"/>
      <c r="W476" s="57">
        <f t="shared" si="11"/>
        <v>0</v>
      </c>
      <c r="X476" s="126" t="str">
        <f>IF(Table1[[#This Row],[Shipping Weight Pounds]]&gt;150,"See LTL Form","No")</f>
        <v>No</v>
      </c>
      <c r="Y476" s="28"/>
      <c r="Z476" s="33"/>
      <c r="AA476" s="34"/>
      <c r="AB476" s="30"/>
      <c r="AC476" s="30"/>
      <c r="AD476" s="32"/>
      <c r="AE476" s="32"/>
      <c r="AF476" s="2"/>
      <c r="AG476" s="2"/>
      <c r="AH476" s="2"/>
      <c r="AI476" s="2"/>
      <c r="AK476" s="73" t="str">
        <f>IF(ISNA(MATCH($N476,[1]data!$A:$A,0)),"",INDEX([1]data!S:S,MATCH($N476,[1]data!$A:$A,0)))</f>
        <v/>
      </c>
      <c r="AL476" s="73" t="str">
        <f>IF(ISNA(MATCH($N476,[1]data!$A:$A,0)),"",INDEX([1]data!V:V,MATCH($N476,[1]data!$A:$A,0)))</f>
        <v/>
      </c>
      <c r="AM476" s="38" t="str">
        <f>IF(ISNA(MATCH($N476,data!$A:$A,0)),"",INDEX(data!B:B,MATCH($N476,data!$A:$A,0)))</f>
        <v/>
      </c>
      <c r="AN476" s="38" t="str">
        <f>IF(ISNA(MATCH($N476,data!$A:$A,0)),"",INDEX(data!C:C,MATCH($N476,data!$A:$A,0)))</f>
        <v/>
      </c>
      <c r="AO476" s="38" t="str">
        <f>IF(ISNA(MATCH($N476,data!$A:$A,0)),"",INDEX(data!D:D,MATCH($N476,data!$A:$A,0)))</f>
        <v/>
      </c>
      <c r="AP476" s="38" t="str">
        <f>IF(ISNA(MATCH($N476,data!$A:$A,0)),"",INDEX(data!E:E,MATCH($N476,data!$A:$A,0)))</f>
        <v/>
      </c>
      <c r="AQ476" s="38" t="str">
        <f>IF(ISNA(MATCH($N476,data!$A:$A,0)),"",INDEX(data!F:F,MATCH($N476,data!$A:$A,0)))</f>
        <v/>
      </c>
      <c r="AR476" s="38" t="str">
        <f>IF(ISNA(MATCH($N476,data!$A:$A,0)),"",INDEX(data!G:G,MATCH($N476,data!$A:$A,0)))</f>
        <v/>
      </c>
      <c r="AS476" s="38" t="str">
        <f>IF(ISNA(MATCH($N476,data!$A:$A,0)),"",INDEX(data!H:H,MATCH($N476,data!$A:$A,0)))</f>
        <v/>
      </c>
      <c r="AT476" s="38" t="str">
        <f>IF(ISNA(MATCH($N476,data!$A:$A,0)),"",INDEX(data!I:I,MATCH($N476,data!$A:$A,0)))</f>
        <v/>
      </c>
      <c r="AU476" s="38" t="str">
        <f>IF(ISNA(MATCH($N476,[1]data!$A:$A,0)),"",INDEX([1]data!L:L,MATCH($N476,[1]data!$A:$A,0)))</f>
        <v/>
      </c>
      <c r="AV476" s="38" t="str">
        <f>IF(ISNA(MATCH($N476,[1]data!$A:$A,0)),"",INDEX([1]data!M:M,MATCH($N476,[1]data!$A:$A,0)))</f>
        <v/>
      </c>
      <c r="AW476" s="38" t="str">
        <f>IF(ISNA(MATCH($N476,data!$A:$A,0)),"",INDEX(data!J:J,MATCH($N476,data!$A:$A,0)))</f>
        <v/>
      </c>
      <c r="AX476" s="38" t="str">
        <f>IF(ISNA(MATCH($N476,data!$A:$A,0)),"",INDEX(data!K:K,MATCH($N476,data!$A:$A,0)))</f>
        <v/>
      </c>
      <c r="AY476" s="38" t="str">
        <f>IF(ISNA(MATCH($N476,data!$A:$A,0)),"",INDEX(data!O:O,MATCH($N476,data!$A:$A,0)))</f>
        <v/>
      </c>
      <c r="AZ476" s="38" t="str">
        <f>IF(ISNA(MATCH($N476,data!$A:$A,0)),"",INDEX(data!N:N,MATCH($N476,data!$A:$A,0)))</f>
        <v/>
      </c>
      <c r="BA476" s="38" t="str">
        <f>IF(ISNA(MATCH($N476,data!$A:$A,0)),"",INDEX(data!P:P,MATCH($N476,data!$A:$A,0)))</f>
        <v/>
      </c>
      <c r="BB476" s="38" t="str">
        <f>IF(ISNA(MATCH($N476,data!$A:$A,0)),"",INDEX(data!Q:Q,MATCH($N476,data!$A:$A,0)))</f>
        <v/>
      </c>
      <c r="BC476" s="38" t="str">
        <f>IF(ISNA(MATCH($N476,data!$A:$A,0)),"",INDEX(data!R:R,MATCH($N476,data!$A:$A,0)))</f>
        <v/>
      </c>
      <c r="BD476" s="38" t="str">
        <f>IF(ISNA(MATCH($N476,[1]data!$A:$A,0)),"",INDEX([1]data!U:U,MATCH($N476,[1]data!$A:$A,0)))</f>
        <v/>
      </c>
      <c r="BE476" s="61" t="e">
        <f>IF(COUNTIF([1]data!A:A,[1]!Table1[[#This Row],[UPC]])&lt;2,"","DUP")</f>
        <v>#VALUE!</v>
      </c>
      <c r="BF476" s="38" t="str">
        <f>IF(ISNA(MATCH($N476,data!$A:$A,0)),"",INDEX(data!W:W,MATCH($N476,data!$A:$A,0)))</f>
        <v/>
      </c>
    </row>
    <row r="477" spans="1:58" ht="12.75" customHeight="1">
      <c r="A477" s="35"/>
      <c r="B477" s="35"/>
      <c r="C477" s="35"/>
      <c r="D477" s="35"/>
      <c r="E477" s="67"/>
      <c r="F477" s="67"/>
      <c r="G477" s="36"/>
      <c r="H477" s="29"/>
      <c r="I477" s="78" t="str">
        <f t="shared" si="10"/>
        <v/>
      </c>
      <c r="J477" s="29"/>
      <c r="K477" s="29"/>
      <c r="L477" s="33"/>
      <c r="M477" s="33"/>
      <c r="N477" s="60"/>
      <c r="O477" s="71"/>
      <c r="P477" s="71"/>
      <c r="Q477" s="33"/>
      <c r="R477" s="31"/>
      <c r="S477" s="31"/>
      <c r="T477" s="59"/>
      <c r="U477" s="59"/>
      <c r="V477" s="59"/>
      <c r="W477" s="57">
        <f t="shared" si="11"/>
        <v>0</v>
      </c>
      <c r="X477" s="126" t="str">
        <f>IF(Table1[[#This Row],[Shipping Weight Pounds]]&gt;150,"See LTL Form","No")</f>
        <v>No</v>
      </c>
      <c r="Y477" s="28"/>
      <c r="Z477" s="33"/>
      <c r="AA477" s="34"/>
      <c r="AB477" s="30"/>
      <c r="AC477" s="30"/>
      <c r="AD477" s="32"/>
      <c r="AE477" s="32"/>
      <c r="AF477" s="2"/>
      <c r="AG477" s="2"/>
      <c r="AH477" s="2"/>
      <c r="AI477" s="2"/>
      <c r="AK477" s="73" t="str">
        <f>IF(ISNA(MATCH($N477,[1]data!$A:$A,0)),"",INDEX([1]data!S:S,MATCH($N477,[1]data!$A:$A,0)))</f>
        <v/>
      </c>
      <c r="AL477" s="73" t="str">
        <f>IF(ISNA(MATCH($N477,[1]data!$A:$A,0)),"",INDEX([1]data!V:V,MATCH($N477,[1]data!$A:$A,0)))</f>
        <v/>
      </c>
      <c r="AM477" s="38" t="str">
        <f>IF(ISNA(MATCH($N477,data!$A:$A,0)),"",INDEX(data!B:B,MATCH($N477,data!$A:$A,0)))</f>
        <v/>
      </c>
      <c r="AN477" s="38" t="str">
        <f>IF(ISNA(MATCH($N477,data!$A:$A,0)),"",INDEX(data!C:C,MATCH($N477,data!$A:$A,0)))</f>
        <v/>
      </c>
      <c r="AO477" s="38" t="str">
        <f>IF(ISNA(MATCH($N477,data!$A:$A,0)),"",INDEX(data!D:D,MATCH($N477,data!$A:$A,0)))</f>
        <v/>
      </c>
      <c r="AP477" s="38" t="str">
        <f>IF(ISNA(MATCH($N477,data!$A:$A,0)),"",INDEX(data!E:E,MATCH($N477,data!$A:$A,0)))</f>
        <v/>
      </c>
      <c r="AQ477" s="38" t="str">
        <f>IF(ISNA(MATCH($N477,data!$A:$A,0)),"",INDEX(data!F:F,MATCH($N477,data!$A:$A,0)))</f>
        <v/>
      </c>
      <c r="AR477" s="38" t="str">
        <f>IF(ISNA(MATCH($N477,data!$A:$A,0)),"",INDEX(data!G:G,MATCH($N477,data!$A:$A,0)))</f>
        <v/>
      </c>
      <c r="AS477" s="38" t="str">
        <f>IF(ISNA(MATCH($N477,data!$A:$A,0)),"",INDEX(data!H:H,MATCH($N477,data!$A:$A,0)))</f>
        <v/>
      </c>
      <c r="AT477" s="38" t="str">
        <f>IF(ISNA(MATCH($N477,data!$A:$A,0)),"",INDEX(data!I:I,MATCH($N477,data!$A:$A,0)))</f>
        <v/>
      </c>
      <c r="AU477" s="38" t="str">
        <f>IF(ISNA(MATCH($N477,[1]data!$A:$A,0)),"",INDEX([1]data!L:L,MATCH($N477,[1]data!$A:$A,0)))</f>
        <v/>
      </c>
      <c r="AV477" s="38" t="str">
        <f>IF(ISNA(MATCH($N477,[1]data!$A:$A,0)),"",INDEX([1]data!M:M,MATCH($N477,[1]data!$A:$A,0)))</f>
        <v/>
      </c>
      <c r="AW477" s="38" t="str">
        <f>IF(ISNA(MATCH($N477,data!$A:$A,0)),"",INDEX(data!J:J,MATCH($N477,data!$A:$A,0)))</f>
        <v/>
      </c>
      <c r="AX477" s="38" t="str">
        <f>IF(ISNA(MATCH($N477,data!$A:$A,0)),"",INDEX(data!K:K,MATCH($N477,data!$A:$A,0)))</f>
        <v/>
      </c>
      <c r="AY477" s="38" t="str">
        <f>IF(ISNA(MATCH($N477,data!$A:$A,0)),"",INDEX(data!O:O,MATCH($N477,data!$A:$A,0)))</f>
        <v/>
      </c>
      <c r="AZ477" s="38" t="str">
        <f>IF(ISNA(MATCH($N477,data!$A:$A,0)),"",INDEX(data!N:N,MATCH($N477,data!$A:$A,0)))</f>
        <v/>
      </c>
      <c r="BA477" s="38" t="str">
        <f>IF(ISNA(MATCH($N477,data!$A:$A,0)),"",INDEX(data!P:P,MATCH($N477,data!$A:$A,0)))</f>
        <v/>
      </c>
      <c r="BB477" s="38" t="str">
        <f>IF(ISNA(MATCH($N477,data!$A:$A,0)),"",INDEX(data!Q:Q,MATCH($N477,data!$A:$A,0)))</f>
        <v/>
      </c>
      <c r="BC477" s="38" t="str">
        <f>IF(ISNA(MATCH($N477,data!$A:$A,0)),"",INDEX(data!R:R,MATCH($N477,data!$A:$A,0)))</f>
        <v/>
      </c>
      <c r="BD477" s="38" t="str">
        <f>IF(ISNA(MATCH($N477,[1]data!$A:$A,0)),"",INDEX([1]data!U:U,MATCH($N477,[1]data!$A:$A,0)))</f>
        <v/>
      </c>
      <c r="BE477" s="61" t="e">
        <f>IF(COUNTIF([1]data!A:A,[1]!Table1[[#This Row],[UPC]])&lt;2,"","DUP")</f>
        <v>#VALUE!</v>
      </c>
      <c r="BF477" s="38" t="str">
        <f>IF(ISNA(MATCH($N477,data!$A:$A,0)),"",INDEX(data!W:W,MATCH($N477,data!$A:$A,0)))</f>
        <v/>
      </c>
    </row>
    <row r="478" spans="1:58" ht="12.75" customHeight="1">
      <c r="A478" s="35"/>
      <c r="B478" s="35"/>
      <c r="C478" s="35"/>
      <c r="D478" s="35"/>
      <c r="E478" s="67"/>
      <c r="F478" s="67"/>
      <c r="G478" s="36"/>
      <c r="H478" s="29"/>
      <c r="I478" s="78" t="str">
        <f t="shared" si="10"/>
        <v/>
      </c>
      <c r="J478" s="29"/>
      <c r="K478" s="29"/>
      <c r="L478" s="33"/>
      <c r="M478" s="33"/>
      <c r="N478" s="60"/>
      <c r="O478" s="71"/>
      <c r="P478" s="71"/>
      <c r="Q478" s="33"/>
      <c r="R478" s="31"/>
      <c r="S478" s="31"/>
      <c r="T478" s="59"/>
      <c r="U478" s="59"/>
      <c r="V478" s="59"/>
      <c r="W478" s="57">
        <f t="shared" si="11"/>
        <v>0</v>
      </c>
      <c r="X478" s="126" t="str">
        <f>IF(Table1[[#This Row],[Shipping Weight Pounds]]&gt;150,"See LTL Form","No")</f>
        <v>No</v>
      </c>
      <c r="Y478" s="28"/>
      <c r="Z478" s="33"/>
      <c r="AA478" s="34"/>
      <c r="AB478" s="30"/>
      <c r="AC478" s="30"/>
      <c r="AD478" s="32"/>
      <c r="AE478" s="32"/>
      <c r="AF478" s="2"/>
      <c r="AG478" s="2"/>
      <c r="AH478" s="2"/>
      <c r="AI478" s="2"/>
      <c r="AK478" s="73" t="str">
        <f>IF(ISNA(MATCH($N478,[1]data!$A:$A,0)),"",INDEX([1]data!S:S,MATCH($N478,[1]data!$A:$A,0)))</f>
        <v/>
      </c>
      <c r="AL478" s="73" t="str">
        <f>IF(ISNA(MATCH($N478,[1]data!$A:$A,0)),"",INDEX([1]data!V:V,MATCH($N478,[1]data!$A:$A,0)))</f>
        <v/>
      </c>
      <c r="AM478" s="38" t="str">
        <f>IF(ISNA(MATCH($N478,data!$A:$A,0)),"",INDEX(data!B:B,MATCH($N478,data!$A:$A,0)))</f>
        <v/>
      </c>
      <c r="AN478" s="38" t="str">
        <f>IF(ISNA(MATCH($N478,data!$A:$A,0)),"",INDEX(data!C:C,MATCH($N478,data!$A:$A,0)))</f>
        <v/>
      </c>
      <c r="AO478" s="38" t="str">
        <f>IF(ISNA(MATCH($N478,data!$A:$A,0)),"",INDEX(data!D:D,MATCH($N478,data!$A:$A,0)))</f>
        <v/>
      </c>
      <c r="AP478" s="38" t="str">
        <f>IF(ISNA(MATCH($N478,data!$A:$A,0)),"",INDEX(data!E:E,MATCH($N478,data!$A:$A,0)))</f>
        <v/>
      </c>
      <c r="AQ478" s="38" t="str">
        <f>IF(ISNA(MATCH($N478,data!$A:$A,0)),"",INDEX(data!F:F,MATCH($N478,data!$A:$A,0)))</f>
        <v/>
      </c>
      <c r="AR478" s="38" t="str">
        <f>IF(ISNA(MATCH($N478,data!$A:$A,0)),"",INDEX(data!G:G,MATCH($N478,data!$A:$A,0)))</f>
        <v/>
      </c>
      <c r="AS478" s="38" t="str">
        <f>IF(ISNA(MATCH($N478,data!$A:$A,0)),"",INDEX(data!H:H,MATCH($N478,data!$A:$A,0)))</f>
        <v/>
      </c>
      <c r="AT478" s="38" t="str">
        <f>IF(ISNA(MATCH($N478,data!$A:$A,0)),"",INDEX(data!I:I,MATCH($N478,data!$A:$A,0)))</f>
        <v/>
      </c>
      <c r="AU478" s="38" t="str">
        <f>IF(ISNA(MATCH($N478,[1]data!$A:$A,0)),"",INDEX([1]data!L:L,MATCH($N478,[1]data!$A:$A,0)))</f>
        <v/>
      </c>
      <c r="AV478" s="38" t="str">
        <f>IF(ISNA(MATCH($N478,[1]data!$A:$A,0)),"",INDEX([1]data!M:M,MATCH($N478,[1]data!$A:$A,0)))</f>
        <v/>
      </c>
      <c r="AW478" s="38" t="str">
        <f>IF(ISNA(MATCH($N478,data!$A:$A,0)),"",INDEX(data!J:J,MATCH($N478,data!$A:$A,0)))</f>
        <v/>
      </c>
      <c r="AX478" s="38" t="str">
        <f>IF(ISNA(MATCH($N478,data!$A:$A,0)),"",INDEX(data!K:K,MATCH($N478,data!$A:$A,0)))</f>
        <v/>
      </c>
      <c r="AY478" s="38" t="str">
        <f>IF(ISNA(MATCH($N478,data!$A:$A,0)),"",INDEX(data!O:O,MATCH($N478,data!$A:$A,0)))</f>
        <v/>
      </c>
      <c r="AZ478" s="38" t="str">
        <f>IF(ISNA(MATCH($N478,data!$A:$A,0)),"",INDEX(data!N:N,MATCH($N478,data!$A:$A,0)))</f>
        <v/>
      </c>
      <c r="BA478" s="38" t="str">
        <f>IF(ISNA(MATCH($N478,data!$A:$A,0)),"",INDEX(data!P:P,MATCH($N478,data!$A:$A,0)))</f>
        <v/>
      </c>
      <c r="BB478" s="38" t="str">
        <f>IF(ISNA(MATCH($N478,data!$A:$A,0)),"",INDEX(data!Q:Q,MATCH($N478,data!$A:$A,0)))</f>
        <v/>
      </c>
      <c r="BC478" s="38" t="str">
        <f>IF(ISNA(MATCH($N478,data!$A:$A,0)),"",INDEX(data!R:R,MATCH($N478,data!$A:$A,0)))</f>
        <v/>
      </c>
      <c r="BD478" s="38" t="str">
        <f>IF(ISNA(MATCH($N478,[1]data!$A:$A,0)),"",INDEX([1]data!U:U,MATCH($N478,[1]data!$A:$A,0)))</f>
        <v/>
      </c>
      <c r="BE478" s="61" t="e">
        <f>IF(COUNTIF([1]data!A:A,[1]!Table1[[#This Row],[UPC]])&lt;2,"","DUP")</f>
        <v>#VALUE!</v>
      </c>
      <c r="BF478" s="38" t="str">
        <f>IF(ISNA(MATCH($N478,data!$A:$A,0)),"",INDEX(data!W:W,MATCH($N478,data!$A:$A,0)))</f>
        <v/>
      </c>
    </row>
    <row r="479" spans="1:58" ht="12.75" customHeight="1">
      <c r="A479" s="35"/>
      <c r="B479" s="35"/>
      <c r="C479" s="35"/>
      <c r="D479" s="35"/>
      <c r="E479" s="67"/>
      <c r="F479" s="67"/>
      <c r="G479" s="36"/>
      <c r="H479" s="29"/>
      <c r="I479" s="78" t="str">
        <f t="shared" si="10"/>
        <v/>
      </c>
      <c r="J479" s="29"/>
      <c r="K479" s="29"/>
      <c r="L479" s="33"/>
      <c r="M479" s="33"/>
      <c r="N479" s="60"/>
      <c r="O479" s="71"/>
      <c r="P479" s="71"/>
      <c r="Q479" s="33"/>
      <c r="R479" s="31"/>
      <c r="S479" s="31"/>
      <c r="T479" s="59"/>
      <c r="U479" s="59"/>
      <c r="V479" s="59"/>
      <c r="W479" s="57">
        <f t="shared" si="11"/>
        <v>0</v>
      </c>
      <c r="X479" s="126" t="str">
        <f>IF(Table1[[#This Row],[Shipping Weight Pounds]]&gt;150,"See LTL Form","No")</f>
        <v>No</v>
      </c>
      <c r="Y479" s="28"/>
      <c r="Z479" s="33"/>
      <c r="AA479" s="34"/>
      <c r="AB479" s="30"/>
      <c r="AC479" s="30"/>
      <c r="AD479" s="32"/>
      <c r="AE479" s="32"/>
      <c r="AF479" s="2"/>
      <c r="AG479" s="2"/>
      <c r="AH479" s="2"/>
      <c r="AI479" s="2"/>
      <c r="AK479" s="73" t="str">
        <f>IF(ISNA(MATCH($N479,[1]data!$A:$A,0)),"",INDEX([1]data!S:S,MATCH($N479,[1]data!$A:$A,0)))</f>
        <v/>
      </c>
      <c r="AL479" s="73" t="str">
        <f>IF(ISNA(MATCH($N479,[1]data!$A:$A,0)),"",INDEX([1]data!V:V,MATCH($N479,[1]data!$A:$A,0)))</f>
        <v/>
      </c>
      <c r="AM479" s="38" t="str">
        <f>IF(ISNA(MATCH($N479,data!$A:$A,0)),"",INDEX(data!B:B,MATCH($N479,data!$A:$A,0)))</f>
        <v/>
      </c>
      <c r="AN479" s="38" t="str">
        <f>IF(ISNA(MATCH($N479,data!$A:$A,0)),"",INDEX(data!C:C,MATCH($N479,data!$A:$A,0)))</f>
        <v/>
      </c>
      <c r="AO479" s="38" t="str">
        <f>IF(ISNA(MATCH($N479,data!$A:$A,0)),"",INDEX(data!D:D,MATCH($N479,data!$A:$A,0)))</f>
        <v/>
      </c>
      <c r="AP479" s="38" t="str">
        <f>IF(ISNA(MATCH($N479,data!$A:$A,0)),"",INDEX(data!E:E,MATCH($N479,data!$A:$A,0)))</f>
        <v/>
      </c>
      <c r="AQ479" s="38" t="str">
        <f>IF(ISNA(MATCH($N479,data!$A:$A,0)),"",INDEX(data!F:F,MATCH($N479,data!$A:$A,0)))</f>
        <v/>
      </c>
      <c r="AR479" s="38" t="str">
        <f>IF(ISNA(MATCH($N479,data!$A:$A,0)),"",INDEX(data!G:G,MATCH($N479,data!$A:$A,0)))</f>
        <v/>
      </c>
      <c r="AS479" s="38" t="str">
        <f>IF(ISNA(MATCH($N479,data!$A:$A,0)),"",INDEX(data!H:H,MATCH($N479,data!$A:$A,0)))</f>
        <v/>
      </c>
      <c r="AT479" s="38" t="str">
        <f>IF(ISNA(MATCH($N479,data!$A:$A,0)),"",INDEX(data!I:I,MATCH($N479,data!$A:$A,0)))</f>
        <v/>
      </c>
      <c r="AU479" s="38" t="str">
        <f>IF(ISNA(MATCH($N479,[1]data!$A:$A,0)),"",INDEX([1]data!L:L,MATCH($N479,[1]data!$A:$A,0)))</f>
        <v/>
      </c>
      <c r="AV479" s="38" t="str">
        <f>IF(ISNA(MATCH($N479,[1]data!$A:$A,0)),"",INDEX([1]data!M:M,MATCH($N479,[1]data!$A:$A,0)))</f>
        <v/>
      </c>
      <c r="AW479" s="38" t="str">
        <f>IF(ISNA(MATCH($N479,data!$A:$A,0)),"",INDEX(data!J:J,MATCH($N479,data!$A:$A,0)))</f>
        <v/>
      </c>
      <c r="AX479" s="38" t="str">
        <f>IF(ISNA(MATCH($N479,data!$A:$A,0)),"",INDEX(data!K:K,MATCH($N479,data!$A:$A,0)))</f>
        <v/>
      </c>
      <c r="AY479" s="38" t="str">
        <f>IF(ISNA(MATCH($N479,data!$A:$A,0)),"",INDEX(data!O:O,MATCH($N479,data!$A:$A,0)))</f>
        <v/>
      </c>
      <c r="AZ479" s="38" t="str">
        <f>IF(ISNA(MATCH($N479,data!$A:$A,0)),"",INDEX(data!N:N,MATCH($N479,data!$A:$A,0)))</f>
        <v/>
      </c>
      <c r="BA479" s="38" t="str">
        <f>IF(ISNA(MATCH($N479,data!$A:$A,0)),"",INDEX(data!P:P,MATCH($N479,data!$A:$A,0)))</f>
        <v/>
      </c>
      <c r="BB479" s="38" t="str">
        <f>IF(ISNA(MATCH($N479,data!$A:$A,0)),"",INDEX(data!Q:Q,MATCH($N479,data!$A:$A,0)))</f>
        <v/>
      </c>
      <c r="BC479" s="38" t="str">
        <f>IF(ISNA(MATCH($N479,data!$A:$A,0)),"",INDEX(data!R:R,MATCH($N479,data!$A:$A,0)))</f>
        <v/>
      </c>
      <c r="BD479" s="38" t="str">
        <f>IF(ISNA(MATCH($N479,[1]data!$A:$A,0)),"",INDEX([1]data!U:U,MATCH($N479,[1]data!$A:$A,0)))</f>
        <v/>
      </c>
      <c r="BE479" s="61" t="e">
        <f>IF(COUNTIF([1]data!A:A,[1]!Table1[[#This Row],[UPC]])&lt;2,"","DUP")</f>
        <v>#VALUE!</v>
      </c>
      <c r="BF479" s="38" t="str">
        <f>IF(ISNA(MATCH($N479,data!$A:$A,0)),"",INDEX(data!W:W,MATCH($N479,data!$A:$A,0)))</f>
        <v/>
      </c>
    </row>
    <row r="480" spans="1:58" ht="12.75" customHeight="1">
      <c r="A480" s="35"/>
      <c r="B480" s="35"/>
      <c r="C480" s="35"/>
      <c r="D480" s="35"/>
      <c r="E480" s="67"/>
      <c r="F480" s="67"/>
      <c r="G480" s="36"/>
      <c r="H480" s="29"/>
      <c r="I480" s="78" t="str">
        <f t="shared" si="10"/>
        <v/>
      </c>
      <c r="J480" s="29"/>
      <c r="K480" s="29"/>
      <c r="L480" s="33"/>
      <c r="M480" s="33"/>
      <c r="N480" s="60"/>
      <c r="O480" s="71"/>
      <c r="P480" s="71"/>
      <c r="Q480" s="33"/>
      <c r="R480" s="31"/>
      <c r="S480" s="31"/>
      <c r="T480" s="59"/>
      <c r="U480" s="59"/>
      <c r="V480" s="59"/>
      <c r="W480" s="57">
        <f t="shared" si="11"/>
        <v>0</v>
      </c>
      <c r="X480" s="126" t="str">
        <f>IF(Table1[[#This Row],[Shipping Weight Pounds]]&gt;150,"See LTL Form","No")</f>
        <v>No</v>
      </c>
      <c r="Y480" s="28"/>
      <c r="Z480" s="33"/>
      <c r="AA480" s="34"/>
      <c r="AB480" s="30"/>
      <c r="AC480" s="30"/>
      <c r="AD480" s="32"/>
      <c r="AE480" s="32"/>
      <c r="AF480" s="2"/>
      <c r="AG480" s="2"/>
      <c r="AH480" s="2"/>
      <c r="AI480" s="2"/>
      <c r="AK480" s="73" t="str">
        <f>IF(ISNA(MATCH($N480,[1]data!$A:$A,0)),"",INDEX([1]data!S:S,MATCH($N480,[1]data!$A:$A,0)))</f>
        <v/>
      </c>
      <c r="AL480" s="73" t="str">
        <f>IF(ISNA(MATCH($N480,[1]data!$A:$A,0)),"",INDEX([1]data!V:V,MATCH($N480,[1]data!$A:$A,0)))</f>
        <v/>
      </c>
      <c r="AM480" s="38" t="str">
        <f>IF(ISNA(MATCH($N480,data!$A:$A,0)),"",INDEX(data!B:B,MATCH($N480,data!$A:$A,0)))</f>
        <v/>
      </c>
      <c r="AN480" s="38" t="str">
        <f>IF(ISNA(MATCH($N480,data!$A:$A,0)),"",INDEX(data!C:C,MATCH($N480,data!$A:$A,0)))</f>
        <v/>
      </c>
      <c r="AO480" s="38" t="str">
        <f>IF(ISNA(MATCH($N480,data!$A:$A,0)),"",INDEX(data!D:D,MATCH($N480,data!$A:$A,0)))</f>
        <v/>
      </c>
      <c r="AP480" s="38" t="str">
        <f>IF(ISNA(MATCH($N480,data!$A:$A,0)),"",INDEX(data!E:E,MATCH($N480,data!$A:$A,0)))</f>
        <v/>
      </c>
      <c r="AQ480" s="38" t="str">
        <f>IF(ISNA(MATCH($N480,data!$A:$A,0)),"",INDEX(data!F:F,MATCH($N480,data!$A:$A,0)))</f>
        <v/>
      </c>
      <c r="AR480" s="38" t="str">
        <f>IF(ISNA(MATCH($N480,data!$A:$A,0)),"",INDEX(data!G:G,MATCH($N480,data!$A:$A,0)))</f>
        <v/>
      </c>
      <c r="AS480" s="38" t="str">
        <f>IF(ISNA(MATCH($N480,data!$A:$A,0)),"",INDEX(data!H:H,MATCH($N480,data!$A:$A,0)))</f>
        <v/>
      </c>
      <c r="AT480" s="38" t="str">
        <f>IF(ISNA(MATCH($N480,data!$A:$A,0)),"",INDEX(data!I:I,MATCH($N480,data!$A:$A,0)))</f>
        <v/>
      </c>
      <c r="AU480" s="38" t="str">
        <f>IF(ISNA(MATCH($N480,[1]data!$A:$A,0)),"",INDEX([1]data!L:L,MATCH($N480,[1]data!$A:$A,0)))</f>
        <v/>
      </c>
      <c r="AV480" s="38" t="str">
        <f>IF(ISNA(MATCH($N480,[1]data!$A:$A,0)),"",INDEX([1]data!M:M,MATCH($N480,[1]data!$A:$A,0)))</f>
        <v/>
      </c>
      <c r="AW480" s="38" t="str">
        <f>IF(ISNA(MATCH($N480,data!$A:$A,0)),"",INDEX(data!J:J,MATCH($N480,data!$A:$A,0)))</f>
        <v/>
      </c>
      <c r="AX480" s="38" t="str">
        <f>IF(ISNA(MATCH($N480,data!$A:$A,0)),"",INDEX(data!K:K,MATCH($N480,data!$A:$A,0)))</f>
        <v/>
      </c>
      <c r="AY480" s="38" t="str">
        <f>IF(ISNA(MATCH($N480,data!$A:$A,0)),"",INDEX(data!O:O,MATCH($N480,data!$A:$A,0)))</f>
        <v/>
      </c>
      <c r="AZ480" s="38" t="str">
        <f>IF(ISNA(MATCH($N480,data!$A:$A,0)),"",INDEX(data!N:N,MATCH($N480,data!$A:$A,0)))</f>
        <v/>
      </c>
      <c r="BA480" s="38" t="str">
        <f>IF(ISNA(MATCH($N480,data!$A:$A,0)),"",INDEX(data!P:P,MATCH($N480,data!$A:$A,0)))</f>
        <v/>
      </c>
      <c r="BB480" s="38" t="str">
        <f>IF(ISNA(MATCH($N480,data!$A:$A,0)),"",INDEX(data!Q:Q,MATCH($N480,data!$A:$A,0)))</f>
        <v/>
      </c>
      <c r="BC480" s="38" t="str">
        <f>IF(ISNA(MATCH($N480,data!$A:$A,0)),"",INDEX(data!R:R,MATCH($N480,data!$A:$A,0)))</f>
        <v/>
      </c>
      <c r="BD480" s="38" t="str">
        <f>IF(ISNA(MATCH($N480,[1]data!$A:$A,0)),"",INDEX([1]data!U:U,MATCH($N480,[1]data!$A:$A,0)))</f>
        <v/>
      </c>
      <c r="BE480" s="61" t="e">
        <f>IF(COUNTIF([1]data!A:A,[1]!Table1[[#This Row],[UPC]])&lt;2,"","DUP")</f>
        <v>#VALUE!</v>
      </c>
      <c r="BF480" s="38" t="str">
        <f>IF(ISNA(MATCH($N480,data!$A:$A,0)),"",INDEX(data!W:W,MATCH($N480,data!$A:$A,0)))</f>
        <v/>
      </c>
    </row>
    <row r="481" spans="1:58" ht="12.75" customHeight="1">
      <c r="A481" s="35"/>
      <c r="B481" s="35"/>
      <c r="C481" s="35"/>
      <c r="D481" s="35"/>
      <c r="E481" s="67"/>
      <c r="F481" s="67"/>
      <c r="G481" s="36"/>
      <c r="H481" s="29"/>
      <c r="I481" s="78" t="str">
        <f t="shared" si="10"/>
        <v/>
      </c>
      <c r="J481" s="29"/>
      <c r="K481" s="29"/>
      <c r="L481" s="33"/>
      <c r="M481" s="33"/>
      <c r="N481" s="60"/>
      <c r="O481" s="71"/>
      <c r="P481" s="71"/>
      <c r="Q481" s="33"/>
      <c r="R481" s="31"/>
      <c r="S481" s="31"/>
      <c r="T481" s="59"/>
      <c r="U481" s="59"/>
      <c r="V481" s="59"/>
      <c r="W481" s="57">
        <f t="shared" si="11"/>
        <v>0</v>
      </c>
      <c r="X481" s="126" t="str">
        <f>IF(Table1[[#This Row],[Shipping Weight Pounds]]&gt;150,"See LTL Form","No")</f>
        <v>No</v>
      </c>
      <c r="Y481" s="28"/>
      <c r="Z481" s="33"/>
      <c r="AA481" s="34"/>
      <c r="AB481" s="30"/>
      <c r="AC481" s="30"/>
      <c r="AD481" s="32"/>
      <c r="AE481" s="32"/>
      <c r="AF481" s="2"/>
      <c r="AG481" s="2"/>
      <c r="AH481" s="2"/>
      <c r="AI481" s="2"/>
      <c r="AK481" s="73" t="str">
        <f>IF(ISNA(MATCH($N481,[1]data!$A:$A,0)),"",INDEX([1]data!S:S,MATCH($N481,[1]data!$A:$A,0)))</f>
        <v/>
      </c>
      <c r="AL481" s="73" t="str">
        <f>IF(ISNA(MATCH($N481,[1]data!$A:$A,0)),"",INDEX([1]data!V:V,MATCH($N481,[1]data!$A:$A,0)))</f>
        <v/>
      </c>
      <c r="AM481" s="38" t="str">
        <f>IF(ISNA(MATCH($N481,data!$A:$A,0)),"",INDEX(data!B:B,MATCH($N481,data!$A:$A,0)))</f>
        <v/>
      </c>
      <c r="AN481" s="38" t="str">
        <f>IF(ISNA(MATCH($N481,data!$A:$A,0)),"",INDEX(data!C:C,MATCH($N481,data!$A:$A,0)))</f>
        <v/>
      </c>
      <c r="AO481" s="38" t="str">
        <f>IF(ISNA(MATCH($N481,data!$A:$A,0)),"",INDEX(data!D:D,MATCH($N481,data!$A:$A,0)))</f>
        <v/>
      </c>
      <c r="AP481" s="38" t="str">
        <f>IF(ISNA(MATCH($N481,data!$A:$A,0)),"",INDEX(data!E:E,MATCH($N481,data!$A:$A,0)))</f>
        <v/>
      </c>
      <c r="AQ481" s="38" t="str">
        <f>IF(ISNA(MATCH($N481,data!$A:$A,0)),"",INDEX(data!F:F,MATCH($N481,data!$A:$A,0)))</f>
        <v/>
      </c>
      <c r="AR481" s="38" t="str">
        <f>IF(ISNA(MATCH($N481,data!$A:$A,0)),"",INDEX(data!G:G,MATCH($N481,data!$A:$A,0)))</f>
        <v/>
      </c>
      <c r="AS481" s="38" t="str">
        <f>IF(ISNA(MATCH($N481,data!$A:$A,0)),"",INDEX(data!H:H,MATCH($N481,data!$A:$A,0)))</f>
        <v/>
      </c>
      <c r="AT481" s="38" t="str">
        <f>IF(ISNA(MATCH($N481,data!$A:$A,0)),"",INDEX(data!I:I,MATCH($N481,data!$A:$A,0)))</f>
        <v/>
      </c>
      <c r="AU481" s="38" t="str">
        <f>IF(ISNA(MATCH($N481,[1]data!$A:$A,0)),"",INDEX([1]data!L:L,MATCH($N481,[1]data!$A:$A,0)))</f>
        <v/>
      </c>
      <c r="AV481" s="38" t="str">
        <f>IF(ISNA(MATCH($N481,[1]data!$A:$A,0)),"",INDEX([1]data!M:M,MATCH($N481,[1]data!$A:$A,0)))</f>
        <v/>
      </c>
      <c r="AW481" s="38" t="str">
        <f>IF(ISNA(MATCH($N481,data!$A:$A,0)),"",INDEX(data!J:J,MATCH($N481,data!$A:$A,0)))</f>
        <v/>
      </c>
      <c r="AX481" s="38" t="str">
        <f>IF(ISNA(MATCH($N481,data!$A:$A,0)),"",INDEX(data!K:K,MATCH($N481,data!$A:$A,0)))</f>
        <v/>
      </c>
      <c r="AY481" s="38" t="str">
        <f>IF(ISNA(MATCH($N481,data!$A:$A,0)),"",INDEX(data!O:O,MATCH($N481,data!$A:$A,0)))</f>
        <v/>
      </c>
      <c r="AZ481" s="38" t="str">
        <f>IF(ISNA(MATCH($N481,data!$A:$A,0)),"",INDEX(data!N:N,MATCH($N481,data!$A:$A,0)))</f>
        <v/>
      </c>
      <c r="BA481" s="38" t="str">
        <f>IF(ISNA(MATCH($N481,data!$A:$A,0)),"",INDEX(data!P:P,MATCH($N481,data!$A:$A,0)))</f>
        <v/>
      </c>
      <c r="BB481" s="38" t="str">
        <f>IF(ISNA(MATCH($N481,data!$A:$A,0)),"",INDEX(data!Q:Q,MATCH($N481,data!$A:$A,0)))</f>
        <v/>
      </c>
      <c r="BC481" s="38" t="str">
        <f>IF(ISNA(MATCH($N481,data!$A:$A,0)),"",INDEX(data!R:R,MATCH($N481,data!$A:$A,0)))</f>
        <v/>
      </c>
      <c r="BD481" s="38" t="str">
        <f>IF(ISNA(MATCH($N481,[1]data!$A:$A,0)),"",INDEX([1]data!U:U,MATCH($N481,[1]data!$A:$A,0)))</f>
        <v/>
      </c>
      <c r="BE481" s="61" t="e">
        <f>IF(COUNTIF([1]data!A:A,[1]!Table1[[#This Row],[UPC]])&lt;2,"","DUP")</f>
        <v>#VALUE!</v>
      </c>
      <c r="BF481" s="38" t="str">
        <f>IF(ISNA(MATCH($N481,data!$A:$A,0)),"",INDEX(data!W:W,MATCH($N481,data!$A:$A,0)))</f>
        <v/>
      </c>
    </row>
    <row r="482" spans="1:58" ht="12.75" customHeight="1">
      <c r="A482" s="35"/>
      <c r="B482" s="35"/>
      <c r="C482" s="35"/>
      <c r="D482" s="35"/>
      <c r="E482" s="67"/>
      <c r="F482" s="67"/>
      <c r="G482" s="36"/>
      <c r="H482" s="29"/>
      <c r="I482" s="78" t="str">
        <f t="shared" si="10"/>
        <v/>
      </c>
      <c r="J482" s="29"/>
      <c r="K482" s="29"/>
      <c r="L482" s="33"/>
      <c r="M482" s="33"/>
      <c r="N482" s="60"/>
      <c r="O482" s="71"/>
      <c r="P482" s="71"/>
      <c r="Q482" s="33"/>
      <c r="R482" s="31"/>
      <c r="S482" s="31"/>
      <c r="T482" s="59"/>
      <c r="U482" s="59"/>
      <c r="V482" s="59"/>
      <c r="W482" s="57">
        <f t="shared" si="11"/>
        <v>0</v>
      </c>
      <c r="X482" s="126" t="str">
        <f>IF(Table1[[#This Row],[Shipping Weight Pounds]]&gt;150,"See LTL Form","No")</f>
        <v>No</v>
      </c>
      <c r="Y482" s="28"/>
      <c r="Z482" s="33"/>
      <c r="AA482" s="34"/>
      <c r="AB482" s="30"/>
      <c r="AC482" s="30"/>
      <c r="AD482" s="32"/>
      <c r="AE482" s="32"/>
      <c r="AF482" s="2"/>
      <c r="AG482" s="2"/>
      <c r="AH482" s="2"/>
      <c r="AI482" s="2"/>
      <c r="AK482" s="73" t="str">
        <f>IF(ISNA(MATCH($N482,[1]data!$A:$A,0)),"",INDEX([1]data!S:S,MATCH($N482,[1]data!$A:$A,0)))</f>
        <v/>
      </c>
      <c r="AL482" s="73" t="str">
        <f>IF(ISNA(MATCH($N482,[1]data!$A:$A,0)),"",INDEX([1]data!V:V,MATCH($N482,[1]data!$A:$A,0)))</f>
        <v/>
      </c>
      <c r="AM482" s="38" t="str">
        <f>IF(ISNA(MATCH($N482,data!$A:$A,0)),"",INDEX(data!B:B,MATCH($N482,data!$A:$A,0)))</f>
        <v/>
      </c>
      <c r="AN482" s="38" t="str">
        <f>IF(ISNA(MATCH($N482,data!$A:$A,0)),"",INDEX(data!C:C,MATCH($N482,data!$A:$A,0)))</f>
        <v/>
      </c>
      <c r="AO482" s="38" t="str">
        <f>IF(ISNA(MATCH($N482,data!$A:$A,0)),"",INDEX(data!D:D,MATCH($N482,data!$A:$A,0)))</f>
        <v/>
      </c>
      <c r="AP482" s="38" t="str">
        <f>IF(ISNA(MATCH($N482,data!$A:$A,0)),"",INDEX(data!E:E,MATCH($N482,data!$A:$A,0)))</f>
        <v/>
      </c>
      <c r="AQ482" s="38" t="str">
        <f>IF(ISNA(MATCH($N482,data!$A:$A,0)),"",INDEX(data!F:F,MATCH($N482,data!$A:$A,0)))</f>
        <v/>
      </c>
      <c r="AR482" s="38" t="str">
        <f>IF(ISNA(MATCH($N482,data!$A:$A,0)),"",INDEX(data!G:G,MATCH($N482,data!$A:$A,0)))</f>
        <v/>
      </c>
      <c r="AS482" s="38" t="str">
        <f>IF(ISNA(MATCH($N482,data!$A:$A,0)),"",INDEX(data!H:H,MATCH($N482,data!$A:$A,0)))</f>
        <v/>
      </c>
      <c r="AT482" s="38" t="str">
        <f>IF(ISNA(MATCH($N482,data!$A:$A,0)),"",INDEX(data!I:I,MATCH($N482,data!$A:$A,0)))</f>
        <v/>
      </c>
      <c r="AU482" s="38" t="str">
        <f>IF(ISNA(MATCH($N482,[1]data!$A:$A,0)),"",INDEX([1]data!L:L,MATCH($N482,[1]data!$A:$A,0)))</f>
        <v/>
      </c>
      <c r="AV482" s="38" t="str">
        <f>IF(ISNA(MATCH($N482,[1]data!$A:$A,0)),"",INDEX([1]data!M:M,MATCH($N482,[1]data!$A:$A,0)))</f>
        <v/>
      </c>
      <c r="AW482" s="38" t="str">
        <f>IF(ISNA(MATCH($N482,data!$A:$A,0)),"",INDEX(data!J:J,MATCH($N482,data!$A:$A,0)))</f>
        <v/>
      </c>
      <c r="AX482" s="38" t="str">
        <f>IF(ISNA(MATCH($N482,data!$A:$A,0)),"",INDEX(data!K:K,MATCH($N482,data!$A:$A,0)))</f>
        <v/>
      </c>
      <c r="AY482" s="38" t="str">
        <f>IF(ISNA(MATCH($N482,data!$A:$A,0)),"",INDEX(data!O:O,MATCH($N482,data!$A:$A,0)))</f>
        <v/>
      </c>
      <c r="AZ482" s="38" t="str">
        <f>IF(ISNA(MATCH($N482,data!$A:$A,0)),"",INDEX(data!N:N,MATCH($N482,data!$A:$A,0)))</f>
        <v/>
      </c>
      <c r="BA482" s="38" t="str">
        <f>IF(ISNA(MATCH($N482,data!$A:$A,0)),"",INDEX(data!P:P,MATCH($N482,data!$A:$A,0)))</f>
        <v/>
      </c>
      <c r="BB482" s="38" t="str">
        <f>IF(ISNA(MATCH($N482,data!$A:$A,0)),"",INDEX(data!Q:Q,MATCH($N482,data!$A:$A,0)))</f>
        <v/>
      </c>
      <c r="BC482" s="38" t="str">
        <f>IF(ISNA(MATCH($N482,data!$A:$A,0)),"",INDEX(data!R:R,MATCH($N482,data!$A:$A,0)))</f>
        <v/>
      </c>
      <c r="BD482" s="38" t="str">
        <f>IF(ISNA(MATCH($N482,[1]data!$A:$A,0)),"",INDEX([1]data!U:U,MATCH($N482,[1]data!$A:$A,0)))</f>
        <v/>
      </c>
      <c r="BE482" s="61" t="e">
        <f>IF(COUNTIF([1]data!A:A,[1]!Table1[[#This Row],[UPC]])&lt;2,"","DUP")</f>
        <v>#VALUE!</v>
      </c>
      <c r="BF482" s="38" t="str">
        <f>IF(ISNA(MATCH($N482,data!$A:$A,0)),"",INDEX(data!W:W,MATCH($N482,data!$A:$A,0)))</f>
        <v/>
      </c>
    </row>
    <row r="483" spans="1:58" ht="12.75" customHeight="1">
      <c r="A483" s="35"/>
      <c r="B483" s="35"/>
      <c r="C483" s="35"/>
      <c r="D483" s="35"/>
      <c r="E483" s="67"/>
      <c r="F483" s="67"/>
      <c r="G483" s="36"/>
      <c r="H483" s="29"/>
      <c r="I483" s="78" t="str">
        <f t="shared" si="10"/>
        <v/>
      </c>
      <c r="J483" s="29"/>
      <c r="K483" s="29"/>
      <c r="L483" s="33"/>
      <c r="M483" s="33"/>
      <c r="N483" s="60"/>
      <c r="O483" s="71"/>
      <c r="P483" s="71"/>
      <c r="Q483" s="33"/>
      <c r="R483" s="31"/>
      <c r="S483" s="31"/>
      <c r="T483" s="59"/>
      <c r="U483" s="59"/>
      <c r="V483" s="59"/>
      <c r="W483" s="57">
        <f t="shared" si="11"/>
        <v>0</v>
      </c>
      <c r="X483" s="126" t="str">
        <f>IF(Table1[[#This Row],[Shipping Weight Pounds]]&gt;150,"See LTL Form","No")</f>
        <v>No</v>
      </c>
      <c r="Y483" s="28"/>
      <c r="Z483" s="33"/>
      <c r="AA483" s="34"/>
      <c r="AB483" s="30"/>
      <c r="AC483" s="30"/>
      <c r="AD483" s="32"/>
      <c r="AE483" s="32"/>
      <c r="AF483" s="2"/>
      <c r="AG483" s="2"/>
      <c r="AH483" s="2"/>
      <c r="AI483" s="2"/>
      <c r="AK483" s="73" t="str">
        <f>IF(ISNA(MATCH($N483,[1]data!$A:$A,0)),"",INDEX([1]data!S:S,MATCH($N483,[1]data!$A:$A,0)))</f>
        <v/>
      </c>
      <c r="AL483" s="73" t="str">
        <f>IF(ISNA(MATCH($N483,[1]data!$A:$A,0)),"",INDEX([1]data!V:V,MATCH($N483,[1]data!$A:$A,0)))</f>
        <v/>
      </c>
      <c r="AM483" s="38" t="str">
        <f>IF(ISNA(MATCH($N483,data!$A:$A,0)),"",INDEX(data!B:B,MATCH($N483,data!$A:$A,0)))</f>
        <v/>
      </c>
      <c r="AN483" s="38" t="str">
        <f>IF(ISNA(MATCH($N483,data!$A:$A,0)),"",INDEX(data!C:C,MATCH($N483,data!$A:$A,0)))</f>
        <v/>
      </c>
      <c r="AO483" s="38" t="str">
        <f>IF(ISNA(MATCH($N483,data!$A:$A,0)),"",INDEX(data!D:D,MATCH($N483,data!$A:$A,0)))</f>
        <v/>
      </c>
      <c r="AP483" s="38" t="str">
        <f>IF(ISNA(MATCH($N483,data!$A:$A,0)),"",INDEX(data!E:E,MATCH($N483,data!$A:$A,0)))</f>
        <v/>
      </c>
      <c r="AQ483" s="38" t="str">
        <f>IF(ISNA(MATCH($N483,data!$A:$A,0)),"",INDEX(data!F:F,MATCH($N483,data!$A:$A,0)))</f>
        <v/>
      </c>
      <c r="AR483" s="38" t="str">
        <f>IF(ISNA(MATCH($N483,data!$A:$A,0)),"",INDEX(data!G:G,MATCH($N483,data!$A:$A,0)))</f>
        <v/>
      </c>
      <c r="AS483" s="38" t="str">
        <f>IF(ISNA(MATCH($N483,data!$A:$A,0)),"",INDEX(data!H:H,MATCH($N483,data!$A:$A,0)))</f>
        <v/>
      </c>
      <c r="AT483" s="38" t="str">
        <f>IF(ISNA(MATCH($N483,data!$A:$A,0)),"",INDEX(data!I:I,MATCH($N483,data!$A:$A,0)))</f>
        <v/>
      </c>
      <c r="AU483" s="38" t="str">
        <f>IF(ISNA(MATCH($N483,[1]data!$A:$A,0)),"",INDEX([1]data!L:L,MATCH($N483,[1]data!$A:$A,0)))</f>
        <v/>
      </c>
      <c r="AV483" s="38" t="str">
        <f>IF(ISNA(MATCH($N483,[1]data!$A:$A,0)),"",INDEX([1]data!M:M,MATCH($N483,[1]data!$A:$A,0)))</f>
        <v/>
      </c>
      <c r="AW483" s="38" t="str">
        <f>IF(ISNA(MATCH($N483,data!$A:$A,0)),"",INDEX(data!J:J,MATCH($N483,data!$A:$A,0)))</f>
        <v/>
      </c>
      <c r="AX483" s="38" t="str">
        <f>IF(ISNA(MATCH($N483,data!$A:$A,0)),"",INDEX(data!K:K,MATCH($N483,data!$A:$A,0)))</f>
        <v/>
      </c>
      <c r="AY483" s="38" t="str">
        <f>IF(ISNA(MATCH($N483,data!$A:$A,0)),"",INDEX(data!O:O,MATCH($N483,data!$A:$A,0)))</f>
        <v/>
      </c>
      <c r="AZ483" s="38" t="str">
        <f>IF(ISNA(MATCH($N483,data!$A:$A,0)),"",INDEX(data!N:N,MATCH($N483,data!$A:$A,0)))</f>
        <v/>
      </c>
      <c r="BA483" s="38" t="str">
        <f>IF(ISNA(MATCH($N483,data!$A:$A,0)),"",INDEX(data!P:P,MATCH($N483,data!$A:$A,0)))</f>
        <v/>
      </c>
      <c r="BB483" s="38" t="str">
        <f>IF(ISNA(MATCH($N483,data!$A:$A,0)),"",INDEX(data!Q:Q,MATCH($N483,data!$A:$A,0)))</f>
        <v/>
      </c>
      <c r="BC483" s="38" t="str">
        <f>IF(ISNA(MATCH($N483,data!$A:$A,0)),"",INDEX(data!R:R,MATCH($N483,data!$A:$A,0)))</f>
        <v/>
      </c>
      <c r="BD483" s="38" t="str">
        <f>IF(ISNA(MATCH($N483,[1]data!$A:$A,0)),"",INDEX([1]data!U:U,MATCH($N483,[1]data!$A:$A,0)))</f>
        <v/>
      </c>
      <c r="BE483" s="61" t="e">
        <f>IF(COUNTIF([1]data!A:A,[1]!Table1[[#This Row],[UPC]])&lt;2,"","DUP")</f>
        <v>#VALUE!</v>
      </c>
      <c r="BF483" s="38" t="str">
        <f>IF(ISNA(MATCH($N483,data!$A:$A,0)),"",INDEX(data!W:W,MATCH($N483,data!$A:$A,0)))</f>
        <v/>
      </c>
    </row>
    <row r="484" spans="1:58" ht="12.75" customHeight="1">
      <c r="A484" s="35"/>
      <c r="B484" s="35"/>
      <c r="C484" s="35"/>
      <c r="D484" s="35"/>
      <c r="E484" s="67"/>
      <c r="F484" s="67"/>
      <c r="G484" s="36"/>
      <c r="H484" s="29"/>
      <c r="I484" s="78" t="str">
        <f t="shared" si="10"/>
        <v/>
      </c>
      <c r="J484" s="29"/>
      <c r="K484" s="29"/>
      <c r="L484" s="33"/>
      <c r="M484" s="33"/>
      <c r="N484" s="60"/>
      <c r="O484" s="71"/>
      <c r="P484" s="71"/>
      <c r="Q484" s="33"/>
      <c r="R484" s="31"/>
      <c r="S484" s="31"/>
      <c r="T484" s="59"/>
      <c r="U484" s="59"/>
      <c r="V484" s="59"/>
      <c r="W484" s="57">
        <f t="shared" si="11"/>
        <v>0</v>
      </c>
      <c r="X484" s="126" t="str">
        <f>IF(Table1[[#This Row],[Shipping Weight Pounds]]&gt;150,"See LTL Form","No")</f>
        <v>No</v>
      </c>
      <c r="Y484" s="28"/>
      <c r="Z484" s="33"/>
      <c r="AA484" s="34"/>
      <c r="AB484" s="30"/>
      <c r="AC484" s="30"/>
      <c r="AD484" s="32"/>
      <c r="AE484" s="32"/>
      <c r="AF484" s="2"/>
      <c r="AG484" s="2"/>
      <c r="AH484" s="2"/>
      <c r="AI484" s="2"/>
      <c r="AK484" s="73" t="str">
        <f>IF(ISNA(MATCH($N484,[1]data!$A:$A,0)),"",INDEX([1]data!S:S,MATCH($N484,[1]data!$A:$A,0)))</f>
        <v/>
      </c>
      <c r="AL484" s="73" t="str">
        <f>IF(ISNA(MATCH($N484,[1]data!$A:$A,0)),"",INDEX([1]data!V:V,MATCH($N484,[1]data!$A:$A,0)))</f>
        <v/>
      </c>
      <c r="AM484" s="38" t="str">
        <f>IF(ISNA(MATCH($N484,data!$A:$A,0)),"",INDEX(data!B:B,MATCH($N484,data!$A:$A,0)))</f>
        <v/>
      </c>
      <c r="AN484" s="38" t="str">
        <f>IF(ISNA(MATCH($N484,data!$A:$A,0)),"",INDEX(data!C:C,MATCH($N484,data!$A:$A,0)))</f>
        <v/>
      </c>
      <c r="AO484" s="38" t="str">
        <f>IF(ISNA(MATCH($N484,data!$A:$A,0)),"",INDEX(data!D:D,MATCH($N484,data!$A:$A,0)))</f>
        <v/>
      </c>
      <c r="AP484" s="38" t="str">
        <f>IF(ISNA(MATCH($N484,data!$A:$A,0)),"",INDEX(data!E:E,MATCH($N484,data!$A:$A,0)))</f>
        <v/>
      </c>
      <c r="AQ484" s="38" t="str">
        <f>IF(ISNA(MATCH($N484,data!$A:$A,0)),"",INDEX(data!F:F,MATCH($N484,data!$A:$A,0)))</f>
        <v/>
      </c>
      <c r="AR484" s="38" t="str">
        <f>IF(ISNA(MATCH($N484,data!$A:$A,0)),"",INDEX(data!G:G,MATCH($N484,data!$A:$A,0)))</f>
        <v/>
      </c>
      <c r="AS484" s="38" t="str">
        <f>IF(ISNA(MATCH($N484,data!$A:$A,0)),"",INDEX(data!H:H,MATCH($N484,data!$A:$A,0)))</f>
        <v/>
      </c>
      <c r="AT484" s="38" t="str">
        <f>IF(ISNA(MATCH($N484,data!$A:$A,0)),"",INDEX(data!I:I,MATCH($N484,data!$A:$A,0)))</f>
        <v/>
      </c>
      <c r="AU484" s="38" t="str">
        <f>IF(ISNA(MATCH($N484,[1]data!$A:$A,0)),"",INDEX([1]data!L:L,MATCH($N484,[1]data!$A:$A,0)))</f>
        <v/>
      </c>
      <c r="AV484" s="38" t="str">
        <f>IF(ISNA(MATCH($N484,[1]data!$A:$A,0)),"",INDEX([1]data!M:M,MATCH($N484,[1]data!$A:$A,0)))</f>
        <v/>
      </c>
      <c r="AW484" s="38" t="str">
        <f>IF(ISNA(MATCH($N484,data!$A:$A,0)),"",INDEX(data!J:J,MATCH($N484,data!$A:$A,0)))</f>
        <v/>
      </c>
      <c r="AX484" s="38" t="str">
        <f>IF(ISNA(MATCH($N484,data!$A:$A,0)),"",INDEX(data!K:K,MATCH($N484,data!$A:$A,0)))</f>
        <v/>
      </c>
      <c r="AY484" s="38" t="str">
        <f>IF(ISNA(MATCH($N484,data!$A:$A,0)),"",INDEX(data!O:O,MATCH($N484,data!$A:$A,0)))</f>
        <v/>
      </c>
      <c r="AZ484" s="38" t="str">
        <f>IF(ISNA(MATCH($N484,data!$A:$A,0)),"",INDEX(data!N:N,MATCH($N484,data!$A:$A,0)))</f>
        <v/>
      </c>
      <c r="BA484" s="38" t="str">
        <f>IF(ISNA(MATCH($N484,data!$A:$A,0)),"",INDEX(data!P:P,MATCH($N484,data!$A:$A,0)))</f>
        <v/>
      </c>
      <c r="BB484" s="38" t="str">
        <f>IF(ISNA(MATCH($N484,data!$A:$A,0)),"",INDEX(data!Q:Q,MATCH($N484,data!$A:$A,0)))</f>
        <v/>
      </c>
      <c r="BC484" s="38" t="str">
        <f>IF(ISNA(MATCH($N484,data!$A:$A,0)),"",INDEX(data!R:R,MATCH($N484,data!$A:$A,0)))</f>
        <v/>
      </c>
      <c r="BD484" s="38" t="str">
        <f>IF(ISNA(MATCH($N484,[1]data!$A:$A,0)),"",INDEX([1]data!U:U,MATCH($N484,[1]data!$A:$A,0)))</f>
        <v/>
      </c>
      <c r="BE484" s="61" t="e">
        <f>IF(COUNTIF([1]data!A:A,[1]!Table1[[#This Row],[UPC]])&lt;2,"","DUP")</f>
        <v>#VALUE!</v>
      </c>
      <c r="BF484" s="38" t="str">
        <f>IF(ISNA(MATCH($N484,data!$A:$A,0)),"",INDEX(data!W:W,MATCH($N484,data!$A:$A,0)))</f>
        <v/>
      </c>
    </row>
    <row r="485" spans="1:58" ht="12.75" customHeight="1">
      <c r="A485" s="35"/>
      <c r="B485" s="35"/>
      <c r="C485" s="35"/>
      <c r="D485" s="35"/>
      <c r="E485" s="67"/>
      <c r="F485" s="67"/>
      <c r="G485" s="36"/>
      <c r="H485" s="29"/>
      <c r="I485" s="78" t="str">
        <f t="shared" si="10"/>
        <v/>
      </c>
      <c r="J485" s="29"/>
      <c r="K485" s="29"/>
      <c r="L485" s="33"/>
      <c r="M485" s="33"/>
      <c r="N485" s="60"/>
      <c r="O485" s="71"/>
      <c r="P485" s="71"/>
      <c r="Q485" s="33"/>
      <c r="R485" s="31"/>
      <c r="S485" s="31"/>
      <c r="T485" s="59"/>
      <c r="U485" s="59"/>
      <c r="V485" s="59"/>
      <c r="W485" s="57">
        <f t="shared" si="11"/>
        <v>0</v>
      </c>
      <c r="X485" s="126" t="str">
        <f>IF(Table1[[#This Row],[Shipping Weight Pounds]]&gt;150,"See LTL Form","No")</f>
        <v>No</v>
      </c>
      <c r="Y485" s="28"/>
      <c r="Z485" s="33"/>
      <c r="AA485" s="34"/>
      <c r="AB485" s="30"/>
      <c r="AC485" s="30"/>
      <c r="AD485" s="32"/>
      <c r="AE485" s="32"/>
      <c r="AF485" s="2"/>
      <c r="AG485" s="2"/>
      <c r="AH485" s="2"/>
      <c r="AI485" s="2"/>
      <c r="AK485" s="73" t="str">
        <f>IF(ISNA(MATCH($N485,[1]data!$A:$A,0)),"",INDEX([1]data!S:S,MATCH($N485,[1]data!$A:$A,0)))</f>
        <v/>
      </c>
      <c r="AL485" s="73" t="str">
        <f>IF(ISNA(MATCH($N485,[1]data!$A:$A,0)),"",INDEX([1]data!V:V,MATCH($N485,[1]data!$A:$A,0)))</f>
        <v/>
      </c>
      <c r="AM485" s="38" t="str">
        <f>IF(ISNA(MATCH($N485,data!$A:$A,0)),"",INDEX(data!B:B,MATCH($N485,data!$A:$A,0)))</f>
        <v/>
      </c>
      <c r="AN485" s="38" t="str">
        <f>IF(ISNA(MATCH($N485,data!$A:$A,0)),"",INDEX(data!C:C,MATCH($N485,data!$A:$A,0)))</f>
        <v/>
      </c>
      <c r="AO485" s="38" t="str">
        <f>IF(ISNA(MATCH($N485,data!$A:$A,0)),"",INDEX(data!D:D,MATCH($N485,data!$A:$A,0)))</f>
        <v/>
      </c>
      <c r="AP485" s="38" t="str">
        <f>IF(ISNA(MATCH($N485,data!$A:$A,0)),"",INDEX(data!E:E,MATCH($N485,data!$A:$A,0)))</f>
        <v/>
      </c>
      <c r="AQ485" s="38" t="str">
        <f>IF(ISNA(MATCH($N485,data!$A:$A,0)),"",INDEX(data!F:F,MATCH($N485,data!$A:$A,0)))</f>
        <v/>
      </c>
      <c r="AR485" s="38" t="str">
        <f>IF(ISNA(MATCH($N485,data!$A:$A,0)),"",INDEX(data!G:G,MATCH($N485,data!$A:$A,0)))</f>
        <v/>
      </c>
      <c r="AS485" s="38" t="str">
        <f>IF(ISNA(MATCH($N485,data!$A:$A,0)),"",INDEX(data!H:H,MATCH($N485,data!$A:$A,0)))</f>
        <v/>
      </c>
      <c r="AT485" s="38" t="str">
        <f>IF(ISNA(MATCH($N485,data!$A:$A,0)),"",INDEX(data!I:I,MATCH($N485,data!$A:$A,0)))</f>
        <v/>
      </c>
      <c r="AU485" s="38" t="str">
        <f>IF(ISNA(MATCH($N485,[1]data!$A:$A,0)),"",INDEX([1]data!L:L,MATCH($N485,[1]data!$A:$A,0)))</f>
        <v/>
      </c>
      <c r="AV485" s="38" t="str">
        <f>IF(ISNA(MATCH($N485,[1]data!$A:$A,0)),"",INDEX([1]data!M:M,MATCH($N485,[1]data!$A:$A,0)))</f>
        <v/>
      </c>
      <c r="AW485" s="38" t="str">
        <f>IF(ISNA(MATCH($N485,data!$A:$A,0)),"",INDEX(data!J:J,MATCH($N485,data!$A:$A,0)))</f>
        <v/>
      </c>
      <c r="AX485" s="38" t="str">
        <f>IF(ISNA(MATCH($N485,data!$A:$A,0)),"",INDEX(data!K:K,MATCH($N485,data!$A:$A,0)))</f>
        <v/>
      </c>
      <c r="AY485" s="38" t="str">
        <f>IF(ISNA(MATCH($N485,data!$A:$A,0)),"",INDEX(data!O:O,MATCH($N485,data!$A:$A,0)))</f>
        <v/>
      </c>
      <c r="AZ485" s="38" t="str">
        <f>IF(ISNA(MATCH($N485,data!$A:$A,0)),"",INDEX(data!N:N,MATCH($N485,data!$A:$A,0)))</f>
        <v/>
      </c>
      <c r="BA485" s="38" t="str">
        <f>IF(ISNA(MATCH($N485,data!$A:$A,0)),"",INDEX(data!P:P,MATCH($N485,data!$A:$A,0)))</f>
        <v/>
      </c>
      <c r="BB485" s="38" t="str">
        <f>IF(ISNA(MATCH($N485,data!$A:$A,0)),"",INDEX(data!Q:Q,MATCH($N485,data!$A:$A,0)))</f>
        <v/>
      </c>
      <c r="BC485" s="38" t="str">
        <f>IF(ISNA(MATCH($N485,data!$A:$A,0)),"",INDEX(data!R:R,MATCH($N485,data!$A:$A,0)))</f>
        <v/>
      </c>
      <c r="BD485" s="38" t="str">
        <f>IF(ISNA(MATCH($N485,[1]data!$A:$A,0)),"",INDEX([1]data!U:U,MATCH($N485,[1]data!$A:$A,0)))</f>
        <v/>
      </c>
      <c r="BE485" s="61" t="e">
        <f>IF(COUNTIF([1]data!A:A,[1]!Table1[[#This Row],[UPC]])&lt;2,"","DUP")</f>
        <v>#VALUE!</v>
      </c>
      <c r="BF485" s="38" t="str">
        <f>IF(ISNA(MATCH($N485,data!$A:$A,0)),"",INDEX(data!W:W,MATCH($N485,data!$A:$A,0)))</f>
        <v/>
      </c>
    </row>
    <row r="486" spans="1:58" ht="12.75" customHeight="1">
      <c r="A486" s="35"/>
      <c r="B486" s="35"/>
      <c r="C486" s="35"/>
      <c r="D486" s="35"/>
      <c r="E486" s="67"/>
      <c r="F486" s="67"/>
      <c r="G486" s="36"/>
      <c r="H486" s="29"/>
      <c r="I486" s="78" t="str">
        <f t="shared" si="10"/>
        <v/>
      </c>
      <c r="J486" s="29"/>
      <c r="K486" s="29"/>
      <c r="L486" s="33"/>
      <c r="M486" s="33"/>
      <c r="N486" s="60"/>
      <c r="O486" s="71"/>
      <c r="P486" s="71"/>
      <c r="Q486" s="33"/>
      <c r="R486" s="31"/>
      <c r="S486" s="31"/>
      <c r="T486" s="59"/>
      <c r="U486" s="59"/>
      <c r="V486" s="59"/>
      <c r="W486" s="57">
        <f t="shared" si="11"/>
        <v>0</v>
      </c>
      <c r="X486" s="126" t="str">
        <f>IF(Table1[[#This Row],[Shipping Weight Pounds]]&gt;150,"See LTL Form","No")</f>
        <v>No</v>
      </c>
      <c r="Y486" s="28"/>
      <c r="Z486" s="33"/>
      <c r="AA486" s="34"/>
      <c r="AB486" s="30"/>
      <c r="AC486" s="30"/>
      <c r="AD486" s="32"/>
      <c r="AE486" s="32"/>
      <c r="AF486" s="2"/>
      <c r="AG486" s="2"/>
      <c r="AH486" s="2"/>
      <c r="AI486" s="2"/>
      <c r="AK486" s="73" t="str">
        <f>IF(ISNA(MATCH($N486,[1]data!$A:$A,0)),"",INDEX([1]data!S:S,MATCH($N486,[1]data!$A:$A,0)))</f>
        <v/>
      </c>
      <c r="AL486" s="73" t="str">
        <f>IF(ISNA(MATCH($N486,[1]data!$A:$A,0)),"",INDEX([1]data!V:V,MATCH($N486,[1]data!$A:$A,0)))</f>
        <v/>
      </c>
      <c r="AM486" s="38" t="str">
        <f>IF(ISNA(MATCH($N486,data!$A:$A,0)),"",INDEX(data!B:B,MATCH($N486,data!$A:$A,0)))</f>
        <v/>
      </c>
      <c r="AN486" s="38" t="str">
        <f>IF(ISNA(MATCH($N486,data!$A:$A,0)),"",INDEX(data!C:C,MATCH($N486,data!$A:$A,0)))</f>
        <v/>
      </c>
      <c r="AO486" s="38" t="str">
        <f>IF(ISNA(MATCH($N486,data!$A:$A,0)),"",INDEX(data!D:D,MATCH($N486,data!$A:$A,0)))</f>
        <v/>
      </c>
      <c r="AP486" s="38" t="str">
        <f>IF(ISNA(MATCH($N486,data!$A:$A,0)),"",INDEX(data!E:E,MATCH($N486,data!$A:$A,0)))</f>
        <v/>
      </c>
      <c r="AQ486" s="38" t="str">
        <f>IF(ISNA(MATCH($N486,data!$A:$A,0)),"",INDEX(data!F:F,MATCH($N486,data!$A:$A,0)))</f>
        <v/>
      </c>
      <c r="AR486" s="38" t="str">
        <f>IF(ISNA(MATCH($N486,data!$A:$A,0)),"",INDEX(data!G:G,MATCH($N486,data!$A:$A,0)))</f>
        <v/>
      </c>
      <c r="AS486" s="38" t="str">
        <f>IF(ISNA(MATCH($N486,data!$A:$A,0)),"",INDEX(data!H:H,MATCH($N486,data!$A:$A,0)))</f>
        <v/>
      </c>
      <c r="AT486" s="38" t="str">
        <f>IF(ISNA(MATCH($N486,data!$A:$A,0)),"",INDEX(data!I:I,MATCH($N486,data!$A:$A,0)))</f>
        <v/>
      </c>
      <c r="AU486" s="38" t="str">
        <f>IF(ISNA(MATCH($N486,[1]data!$A:$A,0)),"",INDEX([1]data!L:L,MATCH($N486,[1]data!$A:$A,0)))</f>
        <v/>
      </c>
      <c r="AV486" s="38" t="str">
        <f>IF(ISNA(MATCH($N486,[1]data!$A:$A,0)),"",INDEX([1]data!M:M,MATCH($N486,[1]data!$A:$A,0)))</f>
        <v/>
      </c>
      <c r="AW486" s="38" t="str">
        <f>IF(ISNA(MATCH($N486,data!$A:$A,0)),"",INDEX(data!J:J,MATCH($N486,data!$A:$A,0)))</f>
        <v/>
      </c>
      <c r="AX486" s="38" t="str">
        <f>IF(ISNA(MATCH($N486,data!$A:$A,0)),"",INDEX(data!K:K,MATCH($N486,data!$A:$A,0)))</f>
        <v/>
      </c>
      <c r="AY486" s="38" t="str">
        <f>IF(ISNA(MATCH($N486,data!$A:$A,0)),"",INDEX(data!O:O,MATCH($N486,data!$A:$A,0)))</f>
        <v/>
      </c>
      <c r="AZ486" s="38" t="str">
        <f>IF(ISNA(MATCH($N486,data!$A:$A,0)),"",INDEX(data!N:N,MATCH($N486,data!$A:$A,0)))</f>
        <v/>
      </c>
      <c r="BA486" s="38" t="str">
        <f>IF(ISNA(MATCH($N486,data!$A:$A,0)),"",INDEX(data!P:P,MATCH($N486,data!$A:$A,0)))</f>
        <v/>
      </c>
      <c r="BB486" s="38" t="str">
        <f>IF(ISNA(MATCH($N486,data!$A:$A,0)),"",INDEX(data!Q:Q,MATCH($N486,data!$A:$A,0)))</f>
        <v/>
      </c>
      <c r="BC486" s="38" t="str">
        <f>IF(ISNA(MATCH($N486,data!$A:$A,0)),"",INDEX(data!R:R,MATCH($N486,data!$A:$A,0)))</f>
        <v/>
      </c>
      <c r="BD486" s="38" t="str">
        <f>IF(ISNA(MATCH($N486,[1]data!$A:$A,0)),"",INDEX([1]data!U:U,MATCH($N486,[1]data!$A:$A,0)))</f>
        <v/>
      </c>
      <c r="BE486" s="61" t="e">
        <f>IF(COUNTIF([1]data!A:A,[1]!Table1[[#This Row],[UPC]])&lt;2,"","DUP")</f>
        <v>#VALUE!</v>
      </c>
      <c r="BF486" s="38" t="str">
        <f>IF(ISNA(MATCH($N486,data!$A:$A,0)),"",INDEX(data!W:W,MATCH($N486,data!$A:$A,0)))</f>
        <v/>
      </c>
    </row>
    <row r="487" spans="1:58" ht="12.75" customHeight="1">
      <c r="A487" s="35"/>
      <c r="B487" s="35"/>
      <c r="C487" s="35"/>
      <c r="D487" s="35"/>
      <c r="E487" s="67"/>
      <c r="F487" s="67"/>
      <c r="G487" s="36"/>
      <c r="H487" s="29"/>
      <c r="I487" s="78" t="str">
        <f t="shared" si="10"/>
        <v/>
      </c>
      <c r="J487" s="29"/>
      <c r="K487" s="29"/>
      <c r="L487" s="33"/>
      <c r="M487" s="33"/>
      <c r="N487" s="60"/>
      <c r="O487" s="71"/>
      <c r="P487" s="71"/>
      <c r="Q487" s="33"/>
      <c r="R487" s="31"/>
      <c r="S487" s="31"/>
      <c r="T487" s="59"/>
      <c r="U487" s="59"/>
      <c r="V487" s="59"/>
      <c r="W487" s="57">
        <f t="shared" si="11"/>
        <v>0</v>
      </c>
      <c r="X487" s="126" t="str">
        <f>IF(Table1[[#This Row],[Shipping Weight Pounds]]&gt;150,"See LTL Form","No")</f>
        <v>No</v>
      </c>
      <c r="Y487" s="28"/>
      <c r="Z487" s="33"/>
      <c r="AA487" s="34"/>
      <c r="AB487" s="30"/>
      <c r="AC487" s="30"/>
      <c r="AD487" s="32"/>
      <c r="AE487" s="32"/>
      <c r="AF487" s="2"/>
      <c r="AG487" s="2"/>
      <c r="AH487" s="2"/>
      <c r="AI487" s="2"/>
      <c r="AK487" s="73" t="str">
        <f>IF(ISNA(MATCH($N487,[1]data!$A:$A,0)),"",INDEX([1]data!S:S,MATCH($N487,[1]data!$A:$A,0)))</f>
        <v/>
      </c>
      <c r="AL487" s="73" t="str">
        <f>IF(ISNA(MATCH($N487,[1]data!$A:$A,0)),"",INDEX([1]data!V:V,MATCH($N487,[1]data!$A:$A,0)))</f>
        <v/>
      </c>
      <c r="AM487" s="38" t="str">
        <f>IF(ISNA(MATCH($N487,data!$A:$A,0)),"",INDEX(data!B:B,MATCH($N487,data!$A:$A,0)))</f>
        <v/>
      </c>
      <c r="AN487" s="38" t="str">
        <f>IF(ISNA(MATCH($N487,data!$A:$A,0)),"",INDEX(data!C:C,MATCH($N487,data!$A:$A,0)))</f>
        <v/>
      </c>
      <c r="AO487" s="38" t="str">
        <f>IF(ISNA(MATCH($N487,data!$A:$A,0)),"",INDEX(data!D:D,MATCH($N487,data!$A:$A,0)))</f>
        <v/>
      </c>
      <c r="AP487" s="38" t="str">
        <f>IF(ISNA(MATCH($N487,data!$A:$A,0)),"",INDEX(data!E:E,MATCH($N487,data!$A:$A,0)))</f>
        <v/>
      </c>
      <c r="AQ487" s="38" t="str">
        <f>IF(ISNA(MATCH($N487,data!$A:$A,0)),"",INDEX(data!F:F,MATCH($N487,data!$A:$A,0)))</f>
        <v/>
      </c>
      <c r="AR487" s="38" t="str">
        <f>IF(ISNA(MATCH($N487,data!$A:$A,0)),"",INDEX(data!G:G,MATCH($N487,data!$A:$A,0)))</f>
        <v/>
      </c>
      <c r="AS487" s="38" t="str">
        <f>IF(ISNA(MATCH($N487,data!$A:$A,0)),"",INDEX(data!H:H,MATCH($N487,data!$A:$A,0)))</f>
        <v/>
      </c>
      <c r="AT487" s="38" t="str">
        <f>IF(ISNA(MATCH($N487,data!$A:$A,0)),"",INDEX(data!I:I,MATCH($N487,data!$A:$A,0)))</f>
        <v/>
      </c>
      <c r="AU487" s="38" t="str">
        <f>IF(ISNA(MATCH($N487,[1]data!$A:$A,0)),"",INDEX([1]data!L:L,MATCH($N487,[1]data!$A:$A,0)))</f>
        <v/>
      </c>
      <c r="AV487" s="38" t="str">
        <f>IF(ISNA(MATCH($N487,[1]data!$A:$A,0)),"",INDEX([1]data!M:M,MATCH($N487,[1]data!$A:$A,0)))</f>
        <v/>
      </c>
      <c r="AW487" s="38" t="str">
        <f>IF(ISNA(MATCH($N487,data!$A:$A,0)),"",INDEX(data!J:J,MATCH($N487,data!$A:$A,0)))</f>
        <v/>
      </c>
      <c r="AX487" s="38" t="str">
        <f>IF(ISNA(MATCH($N487,data!$A:$A,0)),"",INDEX(data!K:K,MATCH($N487,data!$A:$A,0)))</f>
        <v/>
      </c>
      <c r="AY487" s="38" t="str">
        <f>IF(ISNA(MATCH($N487,data!$A:$A,0)),"",INDEX(data!O:O,MATCH($N487,data!$A:$A,0)))</f>
        <v/>
      </c>
      <c r="AZ487" s="38" t="str">
        <f>IF(ISNA(MATCH($N487,data!$A:$A,0)),"",INDEX(data!N:N,MATCH($N487,data!$A:$A,0)))</f>
        <v/>
      </c>
      <c r="BA487" s="38" t="str">
        <f>IF(ISNA(MATCH($N487,data!$A:$A,0)),"",INDEX(data!P:P,MATCH($N487,data!$A:$A,0)))</f>
        <v/>
      </c>
      <c r="BB487" s="38" t="str">
        <f>IF(ISNA(MATCH($N487,data!$A:$A,0)),"",INDEX(data!Q:Q,MATCH($N487,data!$A:$A,0)))</f>
        <v/>
      </c>
      <c r="BC487" s="38" t="str">
        <f>IF(ISNA(MATCH($N487,data!$A:$A,0)),"",INDEX(data!R:R,MATCH($N487,data!$A:$A,0)))</f>
        <v/>
      </c>
      <c r="BD487" s="38" t="str">
        <f>IF(ISNA(MATCH($N487,[1]data!$A:$A,0)),"",INDEX([1]data!U:U,MATCH($N487,[1]data!$A:$A,0)))</f>
        <v/>
      </c>
      <c r="BE487" s="61" t="e">
        <f>IF(COUNTIF([1]data!A:A,[1]!Table1[[#This Row],[UPC]])&lt;2,"","DUP")</f>
        <v>#VALUE!</v>
      </c>
      <c r="BF487" s="38" t="str">
        <f>IF(ISNA(MATCH($N487,data!$A:$A,0)),"",INDEX(data!W:W,MATCH($N487,data!$A:$A,0)))</f>
        <v/>
      </c>
    </row>
    <row r="488" spans="1:58" ht="12.75" customHeight="1">
      <c r="A488" s="35"/>
      <c r="B488" s="35"/>
      <c r="C488" s="35"/>
      <c r="D488" s="35"/>
      <c r="E488" s="67"/>
      <c r="F488" s="67"/>
      <c r="G488" s="36"/>
      <c r="H488" s="29"/>
      <c r="I488" s="78" t="str">
        <f t="shared" si="10"/>
        <v/>
      </c>
      <c r="J488" s="29"/>
      <c r="K488" s="29"/>
      <c r="L488" s="33"/>
      <c r="M488" s="33"/>
      <c r="N488" s="60"/>
      <c r="O488" s="71"/>
      <c r="P488" s="71"/>
      <c r="Q488" s="33"/>
      <c r="R488" s="31"/>
      <c r="S488" s="31"/>
      <c r="T488" s="59"/>
      <c r="U488" s="59"/>
      <c r="V488" s="59"/>
      <c r="W488" s="57">
        <f t="shared" si="11"/>
        <v>0</v>
      </c>
      <c r="X488" s="126" t="str">
        <f>IF(Table1[[#This Row],[Shipping Weight Pounds]]&gt;150,"See LTL Form","No")</f>
        <v>No</v>
      </c>
      <c r="Y488" s="28"/>
      <c r="Z488" s="33"/>
      <c r="AA488" s="34"/>
      <c r="AB488" s="30"/>
      <c r="AC488" s="30"/>
      <c r="AD488" s="32"/>
      <c r="AE488" s="32"/>
      <c r="AF488" s="2"/>
      <c r="AG488" s="2"/>
      <c r="AH488" s="2"/>
      <c r="AI488" s="2"/>
      <c r="AK488" s="73" t="str">
        <f>IF(ISNA(MATCH($N488,[1]data!$A:$A,0)),"",INDEX([1]data!S:S,MATCH($N488,[1]data!$A:$A,0)))</f>
        <v/>
      </c>
      <c r="AL488" s="73" t="str">
        <f>IF(ISNA(MATCH($N488,[1]data!$A:$A,0)),"",INDEX([1]data!V:V,MATCH($N488,[1]data!$A:$A,0)))</f>
        <v/>
      </c>
      <c r="AM488" s="38" t="str">
        <f>IF(ISNA(MATCH($N488,data!$A:$A,0)),"",INDEX(data!B:B,MATCH($N488,data!$A:$A,0)))</f>
        <v/>
      </c>
      <c r="AN488" s="38" t="str">
        <f>IF(ISNA(MATCH($N488,data!$A:$A,0)),"",INDEX(data!C:C,MATCH($N488,data!$A:$A,0)))</f>
        <v/>
      </c>
      <c r="AO488" s="38" t="str">
        <f>IF(ISNA(MATCH($N488,data!$A:$A,0)),"",INDEX(data!D:D,MATCH($N488,data!$A:$A,0)))</f>
        <v/>
      </c>
      <c r="AP488" s="38" t="str">
        <f>IF(ISNA(MATCH($N488,data!$A:$A,0)),"",INDEX(data!E:E,MATCH($N488,data!$A:$A,0)))</f>
        <v/>
      </c>
      <c r="AQ488" s="38" t="str">
        <f>IF(ISNA(MATCH($N488,data!$A:$A,0)),"",INDEX(data!F:F,MATCH($N488,data!$A:$A,0)))</f>
        <v/>
      </c>
      <c r="AR488" s="38" t="str">
        <f>IF(ISNA(MATCH($N488,data!$A:$A,0)),"",INDEX(data!G:G,MATCH($N488,data!$A:$A,0)))</f>
        <v/>
      </c>
      <c r="AS488" s="38" t="str">
        <f>IF(ISNA(MATCH($N488,data!$A:$A,0)),"",INDEX(data!H:H,MATCH($N488,data!$A:$A,0)))</f>
        <v/>
      </c>
      <c r="AT488" s="38" t="str">
        <f>IF(ISNA(MATCH($N488,data!$A:$A,0)),"",INDEX(data!I:I,MATCH($N488,data!$A:$A,0)))</f>
        <v/>
      </c>
      <c r="AU488" s="38" t="str">
        <f>IF(ISNA(MATCH($N488,[1]data!$A:$A,0)),"",INDEX([1]data!L:L,MATCH($N488,[1]data!$A:$A,0)))</f>
        <v/>
      </c>
      <c r="AV488" s="38" t="str">
        <f>IF(ISNA(MATCH($N488,[1]data!$A:$A,0)),"",INDEX([1]data!M:M,MATCH($N488,[1]data!$A:$A,0)))</f>
        <v/>
      </c>
      <c r="AW488" s="38" t="str">
        <f>IF(ISNA(MATCH($N488,data!$A:$A,0)),"",INDEX(data!J:J,MATCH($N488,data!$A:$A,0)))</f>
        <v/>
      </c>
      <c r="AX488" s="38" t="str">
        <f>IF(ISNA(MATCH($N488,data!$A:$A,0)),"",INDEX(data!K:K,MATCH($N488,data!$A:$A,0)))</f>
        <v/>
      </c>
      <c r="AY488" s="38" t="str">
        <f>IF(ISNA(MATCH($N488,data!$A:$A,0)),"",INDEX(data!O:O,MATCH($N488,data!$A:$A,0)))</f>
        <v/>
      </c>
      <c r="AZ488" s="38" t="str">
        <f>IF(ISNA(MATCH($N488,data!$A:$A,0)),"",INDEX(data!N:N,MATCH($N488,data!$A:$A,0)))</f>
        <v/>
      </c>
      <c r="BA488" s="38" t="str">
        <f>IF(ISNA(MATCH($N488,data!$A:$A,0)),"",INDEX(data!P:P,MATCH($N488,data!$A:$A,0)))</f>
        <v/>
      </c>
      <c r="BB488" s="38" t="str">
        <f>IF(ISNA(MATCH($N488,data!$A:$A,0)),"",INDEX(data!Q:Q,MATCH($N488,data!$A:$A,0)))</f>
        <v/>
      </c>
      <c r="BC488" s="38" t="str">
        <f>IF(ISNA(MATCH($N488,data!$A:$A,0)),"",INDEX(data!R:R,MATCH($N488,data!$A:$A,0)))</f>
        <v/>
      </c>
      <c r="BD488" s="38" t="str">
        <f>IF(ISNA(MATCH($N488,[1]data!$A:$A,0)),"",INDEX([1]data!U:U,MATCH($N488,[1]data!$A:$A,0)))</f>
        <v/>
      </c>
      <c r="BE488" s="61" t="e">
        <f>IF(COUNTIF([1]data!A:A,[1]!Table1[[#This Row],[UPC]])&lt;2,"","DUP")</f>
        <v>#VALUE!</v>
      </c>
      <c r="BF488" s="38" t="str">
        <f>IF(ISNA(MATCH($N488,data!$A:$A,0)),"",INDEX(data!W:W,MATCH($N488,data!$A:$A,0)))</f>
        <v/>
      </c>
    </row>
    <row r="489" spans="1:58" ht="12.75" customHeight="1">
      <c r="A489" s="35"/>
      <c r="B489" s="35"/>
      <c r="C489" s="35"/>
      <c r="D489" s="35"/>
      <c r="E489" s="67"/>
      <c r="F489" s="67"/>
      <c r="G489" s="36"/>
      <c r="H489" s="29"/>
      <c r="I489" s="78" t="str">
        <f t="shared" si="10"/>
        <v/>
      </c>
      <c r="J489" s="29"/>
      <c r="K489" s="29"/>
      <c r="L489" s="33"/>
      <c r="M489" s="33"/>
      <c r="N489" s="60"/>
      <c r="O489" s="71"/>
      <c r="P489" s="71"/>
      <c r="Q489" s="33"/>
      <c r="R489" s="31"/>
      <c r="S489" s="31"/>
      <c r="T489" s="59"/>
      <c r="U489" s="59"/>
      <c r="V489" s="59"/>
      <c r="W489" s="57">
        <f t="shared" si="11"/>
        <v>0</v>
      </c>
      <c r="X489" s="126" t="str">
        <f>IF(Table1[[#This Row],[Shipping Weight Pounds]]&gt;150,"See LTL Form","No")</f>
        <v>No</v>
      </c>
      <c r="Y489" s="28"/>
      <c r="Z489" s="33"/>
      <c r="AA489" s="34"/>
      <c r="AB489" s="30"/>
      <c r="AC489" s="30"/>
      <c r="AD489" s="32"/>
      <c r="AE489" s="32"/>
      <c r="AF489" s="2"/>
      <c r="AG489" s="2"/>
      <c r="AH489" s="2"/>
      <c r="AI489" s="2"/>
      <c r="AK489" s="73" t="str">
        <f>IF(ISNA(MATCH($N489,[1]data!$A:$A,0)),"",INDEX([1]data!S:S,MATCH($N489,[1]data!$A:$A,0)))</f>
        <v/>
      </c>
      <c r="AL489" s="73" t="str">
        <f>IF(ISNA(MATCH($N489,[1]data!$A:$A,0)),"",INDEX([1]data!V:V,MATCH($N489,[1]data!$A:$A,0)))</f>
        <v/>
      </c>
      <c r="AM489" s="38" t="str">
        <f>IF(ISNA(MATCH($N489,data!$A:$A,0)),"",INDEX(data!B:B,MATCH($N489,data!$A:$A,0)))</f>
        <v/>
      </c>
      <c r="AN489" s="38" t="str">
        <f>IF(ISNA(MATCH($N489,data!$A:$A,0)),"",INDEX(data!C:C,MATCH($N489,data!$A:$A,0)))</f>
        <v/>
      </c>
      <c r="AO489" s="38" t="str">
        <f>IF(ISNA(MATCH($N489,data!$A:$A,0)),"",INDEX(data!D:D,MATCH($N489,data!$A:$A,0)))</f>
        <v/>
      </c>
      <c r="AP489" s="38" t="str">
        <f>IF(ISNA(MATCH($N489,data!$A:$A,0)),"",INDEX(data!E:E,MATCH($N489,data!$A:$A,0)))</f>
        <v/>
      </c>
      <c r="AQ489" s="38" t="str">
        <f>IF(ISNA(MATCH($N489,data!$A:$A,0)),"",INDEX(data!F:F,MATCH($N489,data!$A:$A,0)))</f>
        <v/>
      </c>
      <c r="AR489" s="38" t="str">
        <f>IF(ISNA(MATCH($N489,data!$A:$A,0)),"",INDEX(data!G:G,MATCH($N489,data!$A:$A,0)))</f>
        <v/>
      </c>
      <c r="AS489" s="38" t="str">
        <f>IF(ISNA(MATCH($N489,data!$A:$A,0)),"",INDEX(data!H:H,MATCH($N489,data!$A:$A,0)))</f>
        <v/>
      </c>
      <c r="AT489" s="38" t="str">
        <f>IF(ISNA(MATCH($N489,data!$A:$A,0)),"",INDEX(data!I:I,MATCH($N489,data!$A:$A,0)))</f>
        <v/>
      </c>
      <c r="AU489" s="38" t="str">
        <f>IF(ISNA(MATCH($N489,[1]data!$A:$A,0)),"",INDEX([1]data!L:L,MATCH($N489,[1]data!$A:$A,0)))</f>
        <v/>
      </c>
      <c r="AV489" s="38" t="str">
        <f>IF(ISNA(MATCH($N489,[1]data!$A:$A,0)),"",INDEX([1]data!M:M,MATCH($N489,[1]data!$A:$A,0)))</f>
        <v/>
      </c>
      <c r="AW489" s="38" t="str">
        <f>IF(ISNA(MATCH($N489,data!$A:$A,0)),"",INDEX(data!J:J,MATCH($N489,data!$A:$A,0)))</f>
        <v/>
      </c>
      <c r="AX489" s="38" t="str">
        <f>IF(ISNA(MATCH($N489,data!$A:$A,0)),"",INDEX(data!K:K,MATCH($N489,data!$A:$A,0)))</f>
        <v/>
      </c>
      <c r="AY489" s="38" t="str">
        <f>IF(ISNA(MATCH($N489,data!$A:$A,0)),"",INDEX(data!O:O,MATCH($N489,data!$A:$A,0)))</f>
        <v/>
      </c>
      <c r="AZ489" s="38" t="str">
        <f>IF(ISNA(MATCH($N489,data!$A:$A,0)),"",INDEX(data!N:N,MATCH($N489,data!$A:$A,0)))</f>
        <v/>
      </c>
      <c r="BA489" s="38" t="str">
        <f>IF(ISNA(MATCH($N489,data!$A:$A,0)),"",INDEX(data!P:P,MATCH($N489,data!$A:$A,0)))</f>
        <v/>
      </c>
      <c r="BB489" s="38" t="str">
        <f>IF(ISNA(MATCH($N489,data!$A:$A,0)),"",INDEX(data!Q:Q,MATCH($N489,data!$A:$A,0)))</f>
        <v/>
      </c>
      <c r="BC489" s="38" t="str">
        <f>IF(ISNA(MATCH($N489,data!$A:$A,0)),"",INDEX(data!R:R,MATCH($N489,data!$A:$A,0)))</f>
        <v/>
      </c>
      <c r="BD489" s="38" t="str">
        <f>IF(ISNA(MATCH($N489,[1]data!$A:$A,0)),"",INDEX([1]data!U:U,MATCH($N489,[1]data!$A:$A,0)))</f>
        <v/>
      </c>
      <c r="BE489" s="61" t="e">
        <f>IF(COUNTIF([1]data!A:A,[1]!Table1[[#This Row],[UPC]])&lt;2,"","DUP")</f>
        <v>#VALUE!</v>
      </c>
      <c r="BF489" s="38" t="str">
        <f>IF(ISNA(MATCH($N489,data!$A:$A,0)),"",INDEX(data!W:W,MATCH($N489,data!$A:$A,0)))</f>
        <v/>
      </c>
    </row>
    <row r="490" spans="1:58" ht="12.75" customHeight="1">
      <c r="A490" s="35"/>
      <c r="B490" s="35"/>
      <c r="C490" s="35"/>
      <c r="D490" s="35"/>
      <c r="E490" s="67"/>
      <c r="F490" s="67"/>
      <c r="G490" s="36"/>
      <c r="H490" s="29"/>
      <c r="I490" s="78" t="str">
        <f t="shared" si="10"/>
        <v/>
      </c>
      <c r="J490" s="29"/>
      <c r="K490" s="29"/>
      <c r="L490" s="33"/>
      <c r="M490" s="33"/>
      <c r="N490" s="60"/>
      <c r="O490" s="71"/>
      <c r="P490" s="71"/>
      <c r="Q490" s="33"/>
      <c r="R490" s="31"/>
      <c r="S490" s="31"/>
      <c r="T490" s="59"/>
      <c r="U490" s="59"/>
      <c r="V490" s="59"/>
      <c r="W490" s="57">
        <f t="shared" si="11"/>
        <v>0</v>
      </c>
      <c r="X490" s="126" t="str">
        <f>IF(Table1[[#This Row],[Shipping Weight Pounds]]&gt;150,"See LTL Form","No")</f>
        <v>No</v>
      </c>
      <c r="Y490" s="28"/>
      <c r="Z490" s="33"/>
      <c r="AA490" s="34"/>
      <c r="AB490" s="30"/>
      <c r="AC490" s="30"/>
      <c r="AD490" s="32"/>
      <c r="AE490" s="32"/>
      <c r="AF490" s="2"/>
      <c r="AG490" s="2"/>
      <c r="AH490" s="2"/>
      <c r="AI490" s="2"/>
      <c r="AK490" s="73" t="str">
        <f>IF(ISNA(MATCH($N490,[1]data!$A:$A,0)),"",INDEX([1]data!S:S,MATCH($N490,[1]data!$A:$A,0)))</f>
        <v/>
      </c>
      <c r="AL490" s="73" t="str">
        <f>IF(ISNA(MATCH($N490,[1]data!$A:$A,0)),"",INDEX([1]data!V:V,MATCH($N490,[1]data!$A:$A,0)))</f>
        <v/>
      </c>
      <c r="AM490" s="38" t="str">
        <f>IF(ISNA(MATCH($N490,data!$A:$A,0)),"",INDEX(data!B:B,MATCH($N490,data!$A:$A,0)))</f>
        <v/>
      </c>
      <c r="AN490" s="38" t="str">
        <f>IF(ISNA(MATCH($N490,data!$A:$A,0)),"",INDEX(data!C:C,MATCH($N490,data!$A:$A,0)))</f>
        <v/>
      </c>
      <c r="AO490" s="38" t="str">
        <f>IF(ISNA(MATCH($N490,data!$A:$A,0)),"",INDEX(data!D:D,MATCH($N490,data!$A:$A,0)))</f>
        <v/>
      </c>
      <c r="AP490" s="38" t="str">
        <f>IF(ISNA(MATCH($N490,data!$A:$A,0)),"",INDEX(data!E:E,MATCH($N490,data!$A:$A,0)))</f>
        <v/>
      </c>
      <c r="AQ490" s="38" t="str">
        <f>IF(ISNA(MATCH($N490,data!$A:$A,0)),"",INDEX(data!F:F,MATCH($N490,data!$A:$A,0)))</f>
        <v/>
      </c>
      <c r="AR490" s="38" t="str">
        <f>IF(ISNA(MATCH($N490,data!$A:$A,0)),"",INDEX(data!G:G,MATCH($N490,data!$A:$A,0)))</f>
        <v/>
      </c>
      <c r="AS490" s="38" t="str">
        <f>IF(ISNA(MATCH($N490,data!$A:$A,0)),"",INDEX(data!H:H,MATCH($N490,data!$A:$A,0)))</f>
        <v/>
      </c>
      <c r="AT490" s="38" t="str">
        <f>IF(ISNA(MATCH($N490,data!$A:$A,0)),"",INDEX(data!I:I,MATCH($N490,data!$A:$A,0)))</f>
        <v/>
      </c>
      <c r="AU490" s="38" t="str">
        <f>IF(ISNA(MATCH($N490,[1]data!$A:$A,0)),"",INDEX([1]data!L:L,MATCH($N490,[1]data!$A:$A,0)))</f>
        <v/>
      </c>
      <c r="AV490" s="38" t="str">
        <f>IF(ISNA(MATCH($N490,[1]data!$A:$A,0)),"",INDEX([1]data!M:M,MATCH($N490,[1]data!$A:$A,0)))</f>
        <v/>
      </c>
      <c r="AW490" s="38" t="str">
        <f>IF(ISNA(MATCH($N490,data!$A:$A,0)),"",INDEX(data!J:J,MATCH($N490,data!$A:$A,0)))</f>
        <v/>
      </c>
      <c r="AX490" s="38" t="str">
        <f>IF(ISNA(MATCH($N490,data!$A:$A,0)),"",INDEX(data!K:K,MATCH($N490,data!$A:$A,0)))</f>
        <v/>
      </c>
      <c r="AY490" s="38" t="str">
        <f>IF(ISNA(MATCH($N490,data!$A:$A,0)),"",INDEX(data!O:O,MATCH($N490,data!$A:$A,0)))</f>
        <v/>
      </c>
      <c r="AZ490" s="38" t="str">
        <f>IF(ISNA(MATCH($N490,data!$A:$A,0)),"",INDEX(data!N:N,MATCH($N490,data!$A:$A,0)))</f>
        <v/>
      </c>
      <c r="BA490" s="38" t="str">
        <f>IF(ISNA(MATCH($N490,data!$A:$A,0)),"",INDEX(data!P:P,MATCH($N490,data!$A:$A,0)))</f>
        <v/>
      </c>
      <c r="BB490" s="38" t="str">
        <f>IF(ISNA(MATCH($N490,data!$A:$A,0)),"",INDEX(data!Q:Q,MATCH($N490,data!$A:$A,0)))</f>
        <v/>
      </c>
      <c r="BC490" s="38" t="str">
        <f>IF(ISNA(MATCH($N490,data!$A:$A,0)),"",INDEX(data!R:R,MATCH($N490,data!$A:$A,0)))</f>
        <v/>
      </c>
      <c r="BD490" s="38" t="str">
        <f>IF(ISNA(MATCH($N490,[1]data!$A:$A,0)),"",INDEX([1]data!U:U,MATCH($N490,[1]data!$A:$A,0)))</f>
        <v/>
      </c>
      <c r="BE490" s="61" t="e">
        <f>IF(COUNTIF([1]data!A:A,[1]!Table1[[#This Row],[UPC]])&lt;2,"","DUP")</f>
        <v>#VALUE!</v>
      </c>
      <c r="BF490" s="38" t="str">
        <f>IF(ISNA(MATCH($N490,data!$A:$A,0)),"",INDEX(data!W:W,MATCH($N490,data!$A:$A,0)))</f>
        <v/>
      </c>
    </row>
    <row r="491" spans="1:58" ht="12.75" customHeight="1">
      <c r="A491" s="35"/>
      <c r="B491" s="35"/>
      <c r="C491" s="35"/>
      <c r="D491" s="35"/>
      <c r="E491" s="67"/>
      <c r="F491" s="67"/>
      <c r="G491" s="36"/>
      <c r="H491" s="29"/>
      <c r="I491" s="78" t="str">
        <f t="shared" si="10"/>
        <v/>
      </c>
      <c r="J491" s="29"/>
      <c r="K491" s="29"/>
      <c r="L491" s="33"/>
      <c r="M491" s="33"/>
      <c r="N491" s="60"/>
      <c r="O491" s="71"/>
      <c r="P491" s="71"/>
      <c r="Q491" s="33"/>
      <c r="R491" s="31"/>
      <c r="S491" s="31"/>
      <c r="T491" s="59"/>
      <c r="U491" s="59"/>
      <c r="V491" s="59"/>
      <c r="W491" s="57">
        <f t="shared" si="11"/>
        <v>0</v>
      </c>
      <c r="X491" s="126" t="str">
        <f>IF(Table1[[#This Row],[Shipping Weight Pounds]]&gt;150,"See LTL Form","No")</f>
        <v>No</v>
      </c>
      <c r="Y491" s="28"/>
      <c r="Z491" s="33"/>
      <c r="AA491" s="34"/>
      <c r="AB491" s="30"/>
      <c r="AC491" s="30"/>
      <c r="AD491" s="32"/>
      <c r="AE491" s="32"/>
      <c r="AF491" s="2"/>
      <c r="AG491" s="2"/>
      <c r="AH491" s="2"/>
      <c r="AI491" s="2"/>
      <c r="AK491" s="73" t="str">
        <f>IF(ISNA(MATCH($N491,[1]data!$A:$A,0)),"",INDEX([1]data!S:S,MATCH($N491,[1]data!$A:$A,0)))</f>
        <v/>
      </c>
      <c r="AL491" s="73" t="str">
        <f>IF(ISNA(MATCH($N491,[1]data!$A:$A,0)),"",INDEX([1]data!V:V,MATCH($N491,[1]data!$A:$A,0)))</f>
        <v/>
      </c>
      <c r="AM491" s="38" t="str">
        <f>IF(ISNA(MATCH($N491,data!$A:$A,0)),"",INDEX(data!B:B,MATCH($N491,data!$A:$A,0)))</f>
        <v/>
      </c>
      <c r="AN491" s="38" t="str">
        <f>IF(ISNA(MATCH($N491,data!$A:$A,0)),"",INDEX(data!C:C,MATCH($N491,data!$A:$A,0)))</f>
        <v/>
      </c>
      <c r="AO491" s="38" t="str">
        <f>IF(ISNA(MATCH($N491,data!$A:$A,0)),"",INDEX(data!D:D,MATCH($N491,data!$A:$A,0)))</f>
        <v/>
      </c>
      <c r="AP491" s="38" t="str">
        <f>IF(ISNA(MATCH($N491,data!$A:$A,0)),"",INDEX(data!E:E,MATCH($N491,data!$A:$A,0)))</f>
        <v/>
      </c>
      <c r="AQ491" s="38" t="str">
        <f>IF(ISNA(MATCH($N491,data!$A:$A,0)),"",INDEX(data!F:F,MATCH($N491,data!$A:$A,0)))</f>
        <v/>
      </c>
      <c r="AR491" s="38" t="str">
        <f>IF(ISNA(MATCH($N491,data!$A:$A,0)),"",INDEX(data!G:G,MATCH($N491,data!$A:$A,0)))</f>
        <v/>
      </c>
      <c r="AS491" s="38" t="str">
        <f>IF(ISNA(MATCH($N491,data!$A:$A,0)),"",INDEX(data!H:H,MATCH($N491,data!$A:$A,0)))</f>
        <v/>
      </c>
      <c r="AT491" s="38" t="str">
        <f>IF(ISNA(MATCH($N491,data!$A:$A,0)),"",INDEX(data!I:I,MATCH($N491,data!$A:$A,0)))</f>
        <v/>
      </c>
      <c r="AU491" s="38" t="str">
        <f>IF(ISNA(MATCH($N491,[1]data!$A:$A,0)),"",INDEX([1]data!L:L,MATCH($N491,[1]data!$A:$A,0)))</f>
        <v/>
      </c>
      <c r="AV491" s="38" t="str">
        <f>IF(ISNA(MATCH($N491,[1]data!$A:$A,0)),"",INDEX([1]data!M:M,MATCH($N491,[1]data!$A:$A,0)))</f>
        <v/>
      </c>
      <c r="AW491" s="38" t="str">
        <f>IF(ISNA(MATCH($N491,data!$A:$A,0)),"",INDEX(data!J:J,MATCH($N491,data!$A:$A,0)))</f>
        <v/>
      </c>
      <c r="AX491" s="38" t="str">
        <f>IF(ISNA(MATCH($N491,data!$A:$A,0)),"",INDEX(data!K:K,MATCH($N491,data!$A:$A,0)))</f>
        <v/>
      </c>
      <c r="AY491" s="38" t="str">
        <f>IF(ISNA(MATCH($N491,data!$A:$A,0)),"",INDEX(data!O:O,MATCH($N491,data!$A:$A,0)))</f>
        <v/>
      </c>
      <c r="AZ491" s="38" t="str">
        <f>IF(ISNA(MATCH($N491,data!$A:$A,0)),"",INDEX(data!N:N,MATCH($N491,data!$A:$A,0)))</f>
        <v/>
      </c>
      <c r="BA491" s="38" t="str">
        <f>IF(ISNA(MATCH($N491,data!$A:$A,0)),"",INDEX(data!P:P,MATCH($N491,data!$A:$A,0)))</f>
        <v/>
      </c>
      <c r="BB491" s="38" t="str">
        <f>IF(ISNA(MATCH($N491,data!$A:$A,0)),"",INDEX(data!Q:Q,MATCH($N491,data!$A:$A,0)))</f>
        <v/>
      </c>
      <c r="BC491" s="38" t="str">
        <f>IF(ISNA(MATCH($N491,data!$A:$A,0)),"",INDEX(data!R:R,MATCH($N491,data!$A:$A,0)))</f>
        <v/>
      </c>
      <c r="BD491" s="38" t="str">
        <f>IF(ISNA(MATCH($N491,[1]data!$A:$A,0)),"",INDEX([1]data!U:U,MATCH($N491,[1]data!$A:$A,0)))</f>
        <v/>
      </c>
      <c r="BE491" s="61" t="e">
        <f>IF(COUNTIF([1]data!A:A,[1]!Table1[[#This Row],[UPC]])&lt;2,"","DUP")</f>
        <v>#VALUE!</v>
      </c>
      <c r="BF491" s="38" t="str">
        <f>IF(ISNA(MATCH($N491,data!$A:$A,0)),"",INDEX(data!W:W,MATCH($N491,data!$A:$A,0)))</f>
        <v/>
      </c>
    </row>
    <row r="492" spans="1:58" ht="12.75" customHeight="1">
      <c r="A492" s="35"/>
      <c r="B492" s="35"/>
      <c r="C492" s="35"/>
      <c r="D492" s="35"/>
      <c r="E492" s="67"/>
      <c r="F492" s="67"/>
      <c r="G492" s="36"/>
      <c r="H492" s="29"/>
      <c r="I492" s="78" t="str">
        <f t="shared" si="10"/>
        <v/>
      </c>
      <c r="J492" s="29"/>
      <c r="K492" s="29"/>
      <c r="L492" s="33"/>
      <c r="M492" s="33"/>
      <c r="N492" s="60"/>
      <c r="O492" s="71"/>
      <c r="P492" s="71"/>
      <c r="Q492" s="33"/>
      <c r="R492" s="31"/>
      <c r="S492" s="31"/>
      <c r="T492" s="59"/>
      <c r="U492" s="59"/>
      <c r="V492" s="59"/>
      <c r="W492" s="57">
        <f t="shared" si="11"/>
        <v>0</v>
      </c>
      <c r="X492" s="126" t="str">
        <f>IF(Table1[[#This Row],[Shipping Weight Pounds]]&gt;150,"See LTL Form","No")</f>
        <v>No</v>
      </c>
      <c r="Y492" s="28"/>
      <c r="Z492" s="33"/>
      <c r="AA492" s="34"/>
      <c r="AB492" s="30"/>
      <c r="AC492" s="30"/>
      <c r="AD492" s="32"/>
      <c r="AE492" s="32"/>
      <c r="AF492" s="2"/>
      <c r="AG492" s="2"/>
      <c r="AH492" s="2"/>
      <c r="AI492" s="2"/>
      <c r="AK492" s="73" t="str">
        <f>IF(ISNA(MATCH($N492,[1]data!$A:$A,0)),"",INDEX([1]data!S:S,MATCH($N492,[1]data!$A:$A,0)))</f>
        <v/>
      </c>
      <c r="AL492" s="73" t="str">
        <f>IF(ISNA(MATCH($N492,[1]data!$A:$A,0)),"",INDEX([1]data!V:V,MATCH($N492,[1]data!$A:$A,0)))</f>
        <v/>
      </c>
      <c r="AM492" s="38" t="str">
        <f>IF(ISNA(MATCH($N492,data!$A:$A,0)),"",INDEX(data!B:B,MATCH($N492,data!$A:$A,0)))</f>
        <v/>
      </c>
      <c r="AN492" s="38" t="str">
        <f>IF(ISNA(MATCH($N492,data!$A:$A,0)),"",INDEX(data!C:C,MATCH($N492,data!$A:$A,0)))</f>
        <v/>
      </c>
      <c r="AO492" s="38" t="str">
        <f>IF(ISNA(MATCH($N492,data!$A:$A,0)),"",INDEX(data!D:D,MATCH($N492,data!$A:$A,0)))</f>
        <v/>
      </c>
      <c r="AP492" s="38" t="str">
        <f>IF(ISNA(MATCH($N492,data!$A:$A,0)),"",INDEX(data!E:E,MATCH($N492,data!$A:$A,0)))</f>
        <v/>
      </c>
      <c r="AQ492" s="38" t="str">
        <f>IF(ISNA(MATCH($N492,data!$A:$A,0)),"",INDEX(data!F:F,MATCH($N492,data!$A:$A,0)))</f>
        <v/>
      </c>
      <c r="AR492" s="38" t="str">
        <f>IF(ISNA(MATCH($N492,data!$A:$A,0)),"",INDEX(data!G:G,MATCH($N492,data!$A:$A,0)))</f>
        <v/>
      </c>
      <c r="AS492" s="38" t="str">
        <f>IF(ISNA(MATCH($N492,data!$A:$A,0)),"",INDEX(data!H:H,MATCH($N492,data!$A:$A,0)))</f>
        <v/>
      </c>
      <c r="AT492" s="38" t="str">
        <f>IF(ISNA(MATCH($N492,data!$A:$A,0)),"",INDEX(data!I:I,MATCH($N492,data!$A:$A,0)))</f>
        <v/>
      </c>
      <c r="AU492" s="38" t="str">
        <f>IF(ISNA(MATCH($N492,[1]data!$A:$A,0)),"",INDEX([1]data!L:L,MATCH($N492,[1]data!$A:$A,0)))</f>
        <v/>
      </c>
      <c r="AV492" s="38" t="str">
        <f>IF(ISNA(MATCH($N492,[1]data!$A:$A,0)),"",INDEX([1]data!M:M,MATCH($N492,[1]data!$A:$A,0)))</f>
        <v/>
      </c>
      <c r="AW492" s="38" t="str">
        <f>IF(ISNA(MATCH($N492,data!$A:$A,0)),"",INDEX(data!J:J,MATCH($N492,data!$A:$A,0)))</f>
        <v/>
      </c>
      <c r="AX492" s="38" t="str">
        <f>IF(ISNA(MATCH($N492,data!$A:$A,0)),"",INDEX(data!K:K,MATCH($N492,data!$A:$A,0)))</f>
        <v/>
      </c>
      <c r="AY492" s="38" t="str">
        <f>IF(ISNA(MATCH($N492,data!$A:$A,0)),"",INDEX(data!O:O,MATCH($N492,data!$A:$A,0)))</f>
        <v/>
      </c>
      <c r="AZ492" s="38" t="str">
        <f>IF(ISNA(MATCH($N492,data!$A:$A,0)),"",INDEX(data!N:N,MATCH($N492,data!$A:$A,0)))</f>
        <v/>
      </c>
      <c r="BA492" s="38" t="str">
        <f>IF(ISNA(MATCH($N492,data!$A:$A,0)),"",INDEX(data!P:P,MATCH($N492,data!$A:$A,0)))</f>
        <v/>
      </c>
      <c r="BB492" s="38" t="str">
        <f>IF(ISNA(MATCH($N492,data!$A:$A,0)),"",INDEX(data!Q:Q,MATCH($N492,data!$A:$A,0)))</f>
        <v/>
      </c>
      <c r="BC492" s="38" t="str">
        <f>IF(ISNA(MATCH($N492,data!$A:$A,0)),"",INDEX(data!R:R,MATCH($N492,data!$A:$A,0)))</f>
        <v/>
      </c>
      <c r="BD492" s="38" t="str">
        <f>IF(ISNA(MATCH($N492,[1]data!$A:$A,0)),"",INDEX([1]data!U:U,MATCH($N492,[1]data!$A:$A,0)))</f>
        <v/>
      </c>
      <c r="BE492" s="61" t="e">
        <f>IF(COUNTIF([1]data!A:A,[1]!Table1[[#This Row],[UPC]])&lt;2,"","DUP")</f>
        <v>#VALUE!</v>
      </c>
      <c r="BF492" s="38" t="str">
        <f>IF(ISNA(MATCH($N492,data!$A:$A,0)),"",INDEX(data!W:W,MATCH($N492,data!$A:$A,0)))</f>
        <v/>
      </c>
    </row>
    <row r="493" spans="1:58" ht="12.75" customHeight="1">
      <c r="A493" s="35"/>
      <c r="B493" s="35"/>
      <c r="C493" s="35"/>
      <c r="D493" s="35"/>
      <c r="E493" s="67"/>
      <c r="F493" s="67"/>
      <c r="G493" s="36"/>
      <c r="H493" s="29"/>
      <c r="I493" s="78" t="str">
        <f t="shared" si="10"/>
        <v/>
      </c>
      <c r="J493" s="29"/>
      <c r="K493" s="29"/>
      <c r="L493" s="33"/>
      <c r="M493" s="33"/>
      <c r="N493" s="60"/>
      <c r="O493" s="71"/>
      <c r="P493" s="71"/>
      <c r="Q493" s="33"/>
      <c r="R493" s="31"/>
      <c r="S493" s="31"/>
      <c r="T493" s="59"/>
      <c r="U493" s="59"/>
      <c r="V493" s="59"/>
      <c r="W493" s="57">
        <f t="shared" si="11"/>
        <v>0</v>
      </c>
      <c r="X493" s="126" t="str">
        <f>IF(Table1[[#This Row],[Shipping Weight Pounds]]&gt;150,"See LTL Form","No")</f>
        <v>No</v>
      </c>
      <c r="Y493" s="28"/>
      <c r="Z493" s="33"/>
      <c r="AA493" s="34"/>
      <c r="AB493" s="30"/>
      <c r="AC493" s="30"/>
      <c r="AD493" s="32"/>
      <c r="AE493" s="32"/>
      <c r="AF493" s="2"/>
      <c r="AG493" s="2"/>
      <c r="AH493" s="2"/>
      <c r="AI493" s="2"/>
      <c r="AK493" s="73" t="str">
        <f>IF(ISNA(MATCH($N493,[1]data!$A:$A,0)),"",INDEX([1]data!S:S,MATCH($N493,[1]data!$A:$A,0)))</f>
        <v/>
      </c>
      <c r="AL493" s="73" t="str">
        <f>IF(ISNA(MATCH($N493,[1]data!$A:$A,0)),"",INDEX([1]data!V:V,MATCH($N493,[1]data!$A:$A,0)))</f>
        <v/>
      </c>
      <c r="AM493" s="38" t="str">
        <f>IF(ISNA(MATCH($N493,data!$A:$A,0)),"",INDEX(data!B:B,MATCH($N493,data!$A:$A,0)))</f>
        <v/>
      </c>
      <c r="AN493" s="38" t="str">
        <f>IF(ISNA(MATCH($N493,data!$A:$A,0)),"",INDEX(data!C:C,MATCH($N493,data!$A:$A,0)))</f>
        <v/>
      </c>
      <c r="AO493" s="38" t="str">
        <f>IF(ISNA(MATCH($N493,data!$A:$A,0)),"",INDEX(data!D:D,MATCH($N493,data!$A:$A,0)))</f>
        <v/>
      </c>
      <c r="AP493" s="38" t="str">
        <f>IF(ISNA(MATCH($N493,data!$A:$A,0)),"",INDEX(data!E:E,MATCH($N493,data!$A:$A,0)))</f>
        <v/>
      </c>
      <c r="AQ493" s="38" t="str">
        <f>IF(ISNA(MATCH($N493,data!$A:$A,0)),"",INDEX(data!F:F,MATCH($N493,data!$A:$A,0)))</f>
        <v/>
      </c>
      <c r="AR493" s="38" t="str">
        <f>IF(ISNA(MATCH($N493,data!$A:$A,0)),"",INDEX(data!G:G,MATCH($N493,data!$A:$A,0)))</f>
        <v/>
      </c>
      <c r="AS493" s="38" t="str">
        <f>IF(ISNA(MATCH($N493,data!$A:$A,0)),"",INDEX(data!H:H,MATCH($N493,data!$A:$A,0)))</f>
        <v/>
      </c>
      <c r="AT493" s="38" t="str">
        <f>IF(ISNA(MATCH($N493,data!$A:$A,0)),"",INDEX(data!I:I,MATCH($N493,data!$A:$A,0)))</f>
        <v/>
      </c>
      <c r="AU493" s="38" t="str">
        <f>IF(ISNA(MATCH($N493,[1]data!$A:$A,0)),"",INDEX([1]data!L:L,MATCH($N493,[1]data!$A:$A,0)))</f>
        <v/>
      </c>
      <c r="AV493" s="38" t="str">
        <f>IF(ISNA(MATCH($N493,[1]data!$A:$A,0)),"",INDEX([1]data!M:M,MATCH($N493,[1]data!$A:$A,0)))</f>
        <v/>
      </c>
      <c r="AW493" s="38" t="str">
        <f>IF(ISNA(MATCH($N493,data!$A:$A,0)),"",INDEX(data!J:J,MATCH($N493,data!$A:$A,0)))</f>
        <v/>
      </c>
      <c r="AX493" s="38" t="str">
        <f>IF(ISNA(MATCH($N493,data!$A:$A,0)),"",INDEX(data!K:K,MATCH($N493,data!$A:$A,0)))</f>
        <v/>
      </c>
      <c r="AY493" s="38" t="str">
        <f>IF(ISNA(MATCH($N493,data!$A:$A,0)),"",INDEX(data!O:O,MATCH($N493,data!$A:$A,0)))</f>
        <v/>
      </c>
      <c r="AZ493" s="38" t="str">
        <f>IF(ISNA(MATCH($N493,data!$A:$A,0)),"",INDEX(data!N:N,MATCH($N493,data!$A:$A,0)))</f>
        <v/>
      </c>
      <c r="BA493" s="38" t="str">
        <f>IF(ISNA(MATCH($N493,data!$A:$A,0)),"",INDEX(data!P:P,MATCH($N493,data!$A:$A,0)))</f>
        <v/>
      </c>
      <c r="BB493" s="38" t="str">
        <f>IF(ISNA(MATCH($N493,data!$A:$A,0)),"",INDEX(data!Q:Q,MATCH($N493,data!$A:$A,0)))</f>
        <v/>
      </c>
      <c r="BC493" s="38" t="str">
        <f>IF(ISNA(MATCH($N493,data!$A:$A,0)),"",INDEX(data!R:R,MATCH($N493,data!$A:$A,0)))</f>
        <v/>
      </c>
      <c r="BD493" s="38" t="str">
        <f>IF(ISNA(MATCH($N493,[1]data!$A:$A,0)),"",INDEX([1]data!U:U,MATCH($N493,[1]data!$A:$A,0)))</f>
        <v/>
      </c>
      <c r="BE493" s="61" t="e">
        <f>IF(COUNTIF([1]data!A:A,[1]!Table1[[#This Row],[UPC]])&lt;2,"","DUP")</f>
        <v>#VALUE!</v>
      </c>
      <c r="BF493" s="38" t="str">
        <f>IF(ISNA(MATCH($N493,data!$A:$A,0)),"",INDEX(data!W:W,MATCH($N493,data!$A:$A,0)))</f>
        <v/>
      </c>
    </row>
    <row r="494" spans="1:58" ht="12.75" customHeight="1">
      <c r="A494" s="35"/>
      <c r="B494" s="35"/>
      <c r="C494" s="35"/>
      <c r="D494" s="35"/>
      <c r="E494" s="67"/>
      <c r="F494" s="67"/>
      <c r="G494" s="36"/>
      <c r="H494" s="29"/>
      <c r="I494" s="78" t="str">
        <f t="shared" si="10"/>
        <v/>
      </c>
      <c r="J494" s="29"/>
      <c r="K494" s="29"/>
      <c r="L494" s="33"/>
      <c r="M494" s="33"/>
      <c r="N494" s="60"/>
      <c r="O494" s="71"/>
      <c r="P494" s="71"/>
      <c r="Q494" s="33"/>
      <c r="R494" s="31"/>
      <c r="S494" s="31"/>
      <c r="T494" s="59"/>
      <c r="U494" s="59"/>
      <c r="V494" s="59"/>
      <c r="W494" s="57">
        <f t="shared" si="11"/>
        <v>0</v>
      </c>
      <c r="X494" s="126" t="str">
        <f>IF(Table1[[#This Row],[Shipping Weight Pounds]]&gt;150,"See LTL Form","No")</f>
        <v>No</v>
      </c>
      <c r="Y494" s="28"/>
      <c r="Z494" s="33"/>
      <c r="AA494" s="34"/>
      <c r="AB494" s="30"/>
      <c r="AC494" s="30"/>
      <c r="AD494" s="32"/>
      <c r="AE494" s="32"/>
      <c r="AF494" s="2"/>
      <c r="AG494" s="2"/>
      <c r="AH494" s="2"/>
      <c r="AI494" s="2"/>
      <c r="AK494" s="73" t="str">
        <f>IF(ISNA(MATCH($N494,[1]data!$A:$A,0)),"",INDEX([1]data!S:S,MATCH($N494,[1]data!$A:$A,0)))</f>
        <v/>
      </c>
      <c r="AL494" s="73" t="str">
        <f>IF(ISNA(MATCH($N494,[1]data!$A:$A,0)),"",INDEX([1]data!V:V,MATCH($N494,[1]data!$A:$A,0)))</f>
        <v/>
      </c>
      <c r="AM494" s="38" t="str">
        <f>IF(ISNA(MATCH($N494,data!$A:$A,0)),"",INDEX(data!B:B,MATCH($N494,data!$A:$A,0)))</f>
        <v/>
      </c>
      <c r="AN494" s="38" t="str">
        <f>IF(ISNA(MATCH($N494,data!$A:$A,0)),"",INDEX(data!C:C,MATCH($N494,data!$A:$A,0)))</f>
        <v/>
      </c>
      <c r="AO494" s="38" t="str">
        <f>IF(ISNA(MATCH($N494,data!$A:$A,0)),"",INDEX(data!D:D,MATCH($N494,data!$A:$A,0)))</f>
        <v/>
      </c>
      <c r="AP494" s="38" t="str">
        <f>IF(ISNA(MATCH($N494,data!$A:$A,0)),"",INDEX(data!E:E,MATCH($N494,data!$A:$A,0)))</f>
        <v/>
      </c>
      <c r="AQ494" s="38" t="str">
        <f>IF(ISNA(MATCH($N494,data!$A:$A,0)),"",INDEX(data!F:F,MATCH($N494,data!$A:$A,0)))</f>
        <v/>
      </c>
      <c r="AR494" s="38" t="str">
        <f>IF(ISNA(MATCH($N494,data!$A:$A,0)),"",INDEX(data!G:G,MATCH($N494,data!$A:$A,0)))</f>
        <v/>
      </c>
      <c r="AS494" s="38" t="str">
        <f>IF(ISNA(MATCH($N494,data!$A:$A,0)),"",INDEX(data!H:H,MATCH($N494,data!$A:$A,0)))</f>
        <v/>
      </c>
      <c r="AT494" s="38" t="str">
        <f>IF(ISNA(MATCH($N494,data!$A:$A,0)),"",INDEX(data!I:I,MATCH($N494,data!$A:$A,0)))</f>
        <v/>
      </c>
      <c r="AU494" s="38" t="str">
        <f>IF(ISNA(MATCH($N494,[1]data!$A:$A,0)),"",INDEX([1]data!L:L,MATCH($N494,[1]data!$A:$A,0)))</f>
        <v/>
      </c>
      <c r="AV494" s="38" t="str">
        <f>IF(ISNA(MATCH($N494,[1]data!$A:$A,0)),"",INDEX([1]data!M:M,MATCH($N494,[1]data!$A:$A,0)))</f>
        <v/>
      </c>
      <c r="AW494" s="38" t="str">
        <f>IF(ISNA(MATCH($N494,data!$A:$A,0)),"",INDEX(data!J:J,MATCH($N494,data!$A:$A,0)))</f>
        <v/>
      </c>
      <c r="AX494" s="38" t="str">
        <f>IF(ISNA(MATCH($N494,data!$A:$A,0)),"",INDEX(data!K:K,MATCH($N494,data!$A:$A,0)))</f>
        <v/>
      </c>
      <c r="AY494" s="38" t="str">
        <f>IF(ISNA(MATCH($N494,data!$A:$A,0)),"",INDEX(data!O:O,MATCH($N494,data!$A:$A,0)))</f>
        <v/>
      </c>
      <c r="AZ494" s="38" t="str">
        <f>IF(ISNA(MATCH($N494,data!$A:$A,0)),"",INDEX(data!N:N,MATCH($N494,data!$A:$A,0)))</f>
        <v/>
      </c>
      <c r="BA494" s="38" t="str">
        <f>IF(ISNA(MATCH($N494,data!$A:$A,0)),"",INDEX(data!P:P,MATCH($N494,data!$A:$A,0)))</f>
        <v/>
      </c>
      <c r="BB494" s="38" t="str">
        <f>IF(ISNA(MATCH($N494,data!$A:$A,0)),"",INDEX(data!Q:Q,MATCH($N494,data!$A:$A,0)))</f>
        <v/>
      </c>
      <c r="BC494" s="38" t="str">
        <f>IF(ISNA(MATCH($N494,data!$A:$A,0)),"",INDEX(data!R:R,MATCH($N494,data!$A:$A,0)))</f>
        <v/>
      </c>
      <c r="BD494" s="38" t="str">
        <f>IF(ISNA(MATCH($N494,[1]data!$A:$A,0)),"",INDEX([1]data!U:U,MATCH($N494,[1]data!$A:$A,0)))</f>
        <v/>
      </c>
      <c r="BE494" s="61" t="e">
        <f>IF(COUNTIF([1]data!A:A,[1]!Table1[[#This Row],[UPC]])&lt;2,"","DUP")</f>
        <v>#VALUE!</v>
      </c>
      <c r="BF494" s="38" t="str">
        <f>IF(ISNA(MATCH($N494,data!$A:$A,0)),"",INDEX(data!W:W,MATCH($N494,data!$A:$A,0)))</f>
        <v/>
      </c>
    </row>
    <row r="495" spans="1:58" ht="12.75" customHeight="1">
      <c r="A495" s="35"/>
      <c r="B495" s="35"/>
      <c r="C495" s="35"/>
      <c r="D495" s="35"/>
      <c r="E495" s="67"/>
      <c r="F495" s="67"/>
      <c r="G495" s="36"/>
      <c r="H495" s="29"/>
      <c r="I495" s="78" t="str">
        <f t="shared" si="10"/>
        <v/>
      </c>
      <c r="J495" s="29"/>
      <c r="K495" s="29"/>
      <c r="L495" s="33"/>
      <c r="M495" s="33"/>
      <c r="N495" s="60"/>
      <c r="O495" s="71"/>
      <c r="P495" s="71"/>
      <c r="Q495" s="33"/>
      <c r="R495" s="31"/>
      <c r="S495" s="31"/>
      <c r="T495" s="59"/>
      <c r="U495" s="59"/>
      <c r="V495" s="59"/>
      <c r="W495" s="57">
        <f t="shared" si="11"/>
        <v>0</v>
      </c>
      <c r="X495" s="126" t="str">
        <f>IF(Table1[[#This Row],[Shipping Weight Pounds]]&gt;150,"See LTL Form","No")</f>
        <v>No</v>
      </c>
      <c r="Y495" s="28"/>
      <c r="Z495" s="33"/>
      <c r="AA495" s="34"/>
      <c r="AB495" s="30"/>
      <c r="AC495" s="30"/>
      <c r="AD495" s="32"/>
      <c r="AE495" s="32"/>
      <c r="AF495" s="2"/>
      <c r="AG495" s="2"/>
      <c r="AH495" s="2"/>
      <c r="AI495" s="2"/>
      <c r="AK495" s="73" t="str">
        <f>IF(ISNA(MATCH($N495,[1]data!$A:$A,0)),"",INDEX([1]data!S:S,MATCH($N495,[1]data!$A:$A,0)))</f>
        <v/>
      </c>
      <c r="AL495" s="73" t="str">
        <f>IF(ISNA(MATCH($N495,[1]data!$A:$A,0)),"",INDEX([1]data!V:V,MATCH($N495,[1]data!$A:$A,0)))</f>
        <v/>
      </c>
      <c r="AM495" s="38" t="str">
        <f>IF(ISNA(MATCH($N495,data!$A:$A,0)),"",INDEX(data!B:B,MATCH($N495,data!$A:$A,0)))</f>
        <v/>
      </c>
      <c r="AN495" s="38" t="str">
        <f>IF(ISNA(MATCH($N495,data!$A:$A,0)),"",INDEX(data!C:C,MATCH($N495,data!$A:$A,0)))</f>
        <v/>
      </c>
      <c r="AO495" s="38" t="str">
        <f>IF(ISNA(MATCH($N495,data!$A:$A,0)),"",INDEX(data!D:D,MATCH($N495,data!$A:$A,0)))</f>
        <v/>
      </c>
      <c r="AP495" s="38" t="str">
        <f>IF(ISNA(MATCH($N495,data!$A:$A,0)),"",INDEX(data!E:E,MATCH($N495,data!$A:$A,0)))</f>
        <v/>
      </c>
      <c r="AQ495" s="38" t="str">
        <f>IF(ISNA(MATCH($N495,data!$A:$A,0)),"",INDEX(data!F:F,MATCH($N495,data!$A:$A,0)))</f>
        <v/>
      </c>
      <c r="AR495" s="38" t="str">
        <f>IF(ISNA(MATCH($N495,data!$A:$A,0)),"",INDEX(data!G:G,MATCH($N495,data!$A:$A,0)))</f>
        <v/>
      </c>
      <c r="AS495" s="38" t="str">
        <f>IF(ISNA(MATCH($N495,data!$A:$A,0)),"",INDEX(data!H:H,MATCH($N495,data!$A:$A,0)))</f>
        <v/>
      </c>
      <c r="AT495" s="38" t="str">
        <f>IF(ISNA(MATCH($N495,data!$A:$A,0)),"",INDEX(data!I:I,MATCH($N495,data!$A:$A,0)))</f>
        <v/>
      </c>
      <c r="AU495" s="38" t="str">
        <f>IF(ISNA(MATCH($N495,[1]data!$A:$A,0)),"",INDEX([1]data!L:L,MATCH($N495,[1]data!$A:$A,0)))</f>
        <v/>
      </c>
      <c r="AV495" s="38" t="str">
        <f>IF(ISNA(MATCH($N495,[1]data!$A:$A,0)),"",INDEX([1]data!M:M,MATCH($N495,[1]data!$A:$A,0)))</f>
        <v/>
      </c>
      <c r="AW495" s="38" t="str">
        <f>IF(ISNA(MATCH($N495,data!$A:$A,0)),"",INDEX(data!J:J,MATCH($N495,data!$A:$A,0)))</f>
        <v/>
      </c>
      <c r="AX495" s="38" t="str">
        <f>IF(ISNA(MATCH($N495,data!$A:$A,0)),"",INDEX(data!K:K,MATCH($N495,data!$A:$A,0)))</f>
        <v/>
      </c>
      <c r="AY495" s="38" t="str">
        <f>IF(ISNA(MATCH($N495,data!$A:$A,0)),"",INDEX(data!O:O,MATCH($N495,data!$A:$A,0)))</f>
        <v/>
      </c>
      <c r="AZ495" s="38" t="str">
        <f>IF(ISNA(MATCH($N495,data!$A:$A,0)),"",INDEX(data!N:N,MATCH($N495,data!$A:$A,0)))</f>
        <v/>
      </c>
      <c r="BA495" s="38" t="str">
        <f>IF(ISNA(MATCH($N495,data!$A:$A,0)),"",INDEX(data!P:P,MATCH($N495,data!$A:$A,0)))</f>
        <v/>
      </c>
      <c r="BB495" s="38" t="str">
        <f>IF(ISNA(MATCH($N495,data!$A:$A,0)),"",INDEX(data!Q:Q,MATCH($N495,data!$A:$A,0)))</f>
        <v/>
      </c>
      <c r="BC495" s="38" t="str">
        <f>IF(ISNA(MATCH($N495,data!$A:$A,0)),"",INDEX(data!R:R,MATCH($N495,data!$A:$A,0)))</f>
        <v/>
      </c>
      <c r="BD495" s="38" t="str">
        <f>IF(ISNA(MATCH($N495,[1]data!$A:$A,0)),"",INDEX([1]data!U:U,MATCH($N495,[1]data!$A:$A,0)))</f>
        <v/>
      </c>
      <c r="BE495" s="61" t="e">
        <f>IF(COUNTIF([1]data!A:A,[1]!Table1[[#This Row],[UPC]])&lt;2,"","DUP")</f>
        <v>#VALUE!</v>
      </c>
      <c r="BF495" s="38" t="str">
        <f>IF(ISNA(MATCH($N495,data!$A:$A,0)),"",INDEX(data!W:W,MATCH($N495,data!$A:$A,0)))</f>
        <v/>
      </c>
    </row>
    <row r="496" spans="1:58" ht="12.75" customHeight="1">
      <c r="A496" s="35"/>
      <c r="B496" s="35"/>
      <c r="C496" s="35"/>
      <c r="D496" s="35"/>
      <c r="E496" s="67"/>
      <c r="F496" s="67"/>
      <c r="G496" s="36"/>
      <c r="H496" s="29"/>
      <c r="I496" s="78" t="str">
        <f t="shared" si="10"/>
        <v/>
      </c>
      <c r="J496" s="29"/>
      <c r="K496" s="29"/>
      <c r="L496" s="33"/>
      <c r="M496" s="33"/>
      <c r="N496" s="60"/>
      <c r="O496" s="71"/>
      <c r="P496" s="71"/>
      <c r="Q496" s="33"/>
      <c r="R496" s="31"/>
      <c r="S496" s="31"/>
      <c r="T496" s="59"/>
      <c r="U496" s="59"/>
      <c r="V496" s="59"/>
      <c r="W496" s="57">
        <f t="shared" si="11"/>
        <v>0</v>
      </c>
      <c r="X496" s="126" t="str">
        <f>IF(Table1[[#This Row],[Shipping Weight Pounds]]&gt;150,"See LTL Form","No")</f>
        <v>No</v>
      </c>
      <c r="Y496" s="28"/>
      <c r="Z496" s="33"/>
      <c r="AA496" s="34"/>
      <c r="AB496" s="30"/>
      <c r="AC496" s="30"/>
      <c r="AD496" s="32"/>
      <c r="AE496" s="32"/>
      <c r="AF496" s="2"/>
      <c r="AG496" s="2"/>
      <c r="AH496" s="2"/>
      <c r="AI496" s="2"/>
      <c r="AK496" s="73" t="str">
        <f>IF(ISNA(MATCH($N496,[1]data!$A:$A,0)),"",INDEX([1]data!S:S,MATCH($N496,[1]data!$A:$A,0)))</f>
        <v/>
      </c>
      <c r="AL496" s="73" t="str">
        <f>IF(ISNA(MATCH($N496,[1]data!$A:$A,0)),"",INDEX([1]data!V:V,MATCH($N496,[1]data!$A:$A,0)))</f>
        <v/>
      </c>
      <c r="AM496" s="38" t="str">
        <f>IF(ISNA(MATCH($N496,data!$A:$A,0)),"",INDEX(data!B:B,MATCH($N496,data!$A:$A,0)))</f>
        <v/>
      </c>
      <c r="AN496" s="38" t="str">
        <f>IF(ISNA(MATCH($N496,data!$A:$A,0)),"",INDEX(data!C:C,MATCH($N496,data!$A:$A,0)))</f>
        <v/>
      </c>
      <c r="AO496" s="38" t="str">
        <f>IF(ISNA(MATCH($N496,data!$A:$A,0)),"",INDEX(data!D:D,MATCH($N496,data!$A:$A,0)))</f>
        <v/>
      </c>
      <c r="AP496" s="38" t="str">
        <f>IF(ISNA(MATCH($N496,data!$A:$A,0)),"",INDEX(data!E:E,MATCH($N496,data!$A:$A,0)))</f>
        <v/>
      </c>
      <c r="AQ496" s="38" t="str">
        <f>IF(ISNA(MATCH($N496,data!$A:$A,0)),"",INDEX(data!F:F,MATCH($N496,data!$A:$A,0)))</f>
        <v/>
      </c>
      <c r="AR496" s="38" t="str">
        <f>IF(ISNA(MATCH($N496,data!$A:$A,0)),"",INDEX(data!G:G,MATCH($N496,data!$A:$A,0)))</f>
        <v/>
      </c>
      <c r="AS496" s="38" t="str">
        <f>IF(ISNA(MATCH($N496,data!$A:$A,0)),"",INDEX(data!H:H,MATCH($N496,data!$A:$A,0)))</f>
        <v/>
      </c>
      <c r="AT496" s="38" t="str">
        <f>IF(ISNA(MATCH($N496,data!$A:$A,0)),"",INDEX(data!I:I,MATCH($N496,data!$A:$A,0)))</f>
        <v/>
      </c>
      <c r="AU496" s="38" t="str">
        <f>IF(ISNA(MATCH($N496,[1]data!$A:$A,0)),"",INDEX([1]data!L:L,MATCH($N496,[1]data!$A:$A,0)))</f>
        <v/>
      </c>
      <c r="AV496" s="38" t="str">
        <f>IF(ISNA(MATCH($N496,[1]data!$A:$A,0)),"",INDEX([1]data!M:M,MATCH($N496,[1]data!$A:$A,0)))</f>
        <v/>
      </c>
      <c r="AW496" s="38" t="str">
        <f>IF(ISNA(MATCH($N496,data!$A:$A,0)),"",INDEX(data!J:J,MATCH($N496,data!$A:$A,0)))</f>
        <v/>
      </c>
      <c r="AX496" s="38" t="str">
        <f>IF(ISNA(MATCH($N496,data!$A:$A,0)),"",INDEX(data!K:K,MATCH($N496,data!$A:$A,0)))</f>
        <v/>
      </c>
      <c r="AY496" s="38" t="str">
        <f>IF(ISNA(MATCH($N496,data!$A:$A,0)),"",INDEX(data!O:O,MATCH($N496,data!$A:$A,0)))</f>
        <v/>
      </c>
      <c r="AZ496" s="38" t="str">
        <f>IF(ISNA(MATCH($N496,data!$A:$A,0)),"",INDEX(data!N:N,MATCH($N496,data!$A:$A,0)))</f>
        <v/>
      </c>
      <c r="BA496" s="38" t="str">
        <f>IF(ISNA(MATCH($N496,data!$A:$A,0)),"",INDEX(data!P:P,MATCH($N496,data!$A:$A,0)))</f>
        <v/>
      </c>
      <c r="BB496" s="38" t="str">
        <f>IF(ISNA(MATCH($N496,data!$A:$A,0)),"",INDEX(data!Q:Q,MATCH($N496,data!$A:$A,0)))</f>
        <v/>
      </c>
      <c r="BC496" s="38" t="str">
        <f>IF(ISNA(MATCH($N496,data!$A:$A,0)),"",INDEX(data!R:R,MATCH($N496,data!$A:$A,0)))</f>
        <v/>
      </c>
      <c r="BD496" s="38" t="str">
        <f>IF(ISNA(MATCH($N496,[1]data!$A:$A,0)),"",INDEX([1]data!U:U,MATCH($N496,[1]data!$A:$A,0)))</f>
        <v/>
      </c>
      <c r="BE496" s="61" t="e">
        <f>IF(COUNTIF([1]data!A:A,[1]!Table1[[#This Row],[UPC]])&lt;2,"","DUP")</f>
        <v>#VALUE!</v>
      </c>
      <c r="BF496" s="38" t="str">
        <f>IF(ISNA(MATCH($N496,data!$A:$A,0)),"",INDEX(data!W:W,MATCH($N496,data!$A:$A,0)))</f>
        <v/>
      </c>
    </row>
    <row r="497" spans="1:58" ht="12.75" customHeight="1">
      <c r="A497" s="35"/>
      <c r="B497" s="35"/>
      <c r="C497" s="35"/>
      <c r="D497" s="35"/>
      <c r="E497" s="67"/>
      <c r="F497" s="67"/>
      <c r="G497" s="36"/>
      <c r="H497" s="29"/>
      <c r="I497" s="78" t="str">
        <f t="shared" si="10"/>
        <v/>
      </c>
      <c r="J497" s="29"/>
      <c r="K497" s="29"/>
      <c r="L497" s="33"/>
      <c r="M497" s="33"/>
      <c r="N497" s="60"/>
      <c r="O497" s="71"/>
      <c r="P497" s="71"/>
      <c r="Q497" s="33"/>
      <c r="R497" s="31"/>
      <c r="S497" s="31"/>
      <c r="T497" s="59"/>
      <c r="U497" s="59"/>
      <c r="V497" s="59"/>
      <c r="W497" s="57">
        <f t="shared" si="11"/>
        <v>0</v>
      </c>
      <c r="X497" s="126" t="str">
        <f>IF(Table1[[#This Row],[Shipping Weight Pounds]]&gt;150,"See LTL Form","No")</f>
        <v>No</v>
      </c>
      <c r="Y497" s="28"/>
      <c r="Z497" s="33"/>
      <c r="AA497" s="34"/>
      <c r="AB497" s="30"/>
      <c r="AC497" s="30"/>
      <c r="AD497" s="32"/>
      <c r="AE497" s="32"/>
      <c r="AF497" s="2"/>
      <c r="AG497" s="2"/>
      <c r="AH497" s="2"/>
      <c r="AI497" s="2"/>
      <c r="AK497" s="73" t="str">
        <f>IF(ISNA(MATCH($N497,[1]data!$A:$A,0)),"",INDEX([1]data!S:S,MATCH($N497,[1]data!$A:$A,0)))</f>
        <v/>
      </c>
      <c r="AL497" s="73" t="str">
        <f>IF(ISNA(MATCH($N497,[1]data!$A:$A,0)),"",INDEX([1]data!V:V,MATCH($N497,[1]data!$A:$A,0)))</f>
        <v/>
      </c>
      <c r="AM497" s="38" t="str">
        <f>IF(ISNA(MATCH($N497,data!$A:$A,0)),"",INDEX(data!B:B,MATCH($N497,data!$A:$A,0)))</f>
        <v/>
      </c>
      <c r="AN497" s="38" t="str">
        <f>IF(ISNA(MATCH($N497,data!$A:$A,0)),"",INDEX(data!C:C,MATCH($N497,data!$A:$A,0)))</f>
        <v/>
      </c>
      <c r="AO497" s="38" t="str">
        <f>IF(ISNA(MATCH($N497,data!$A:$A,0)),"",INDEX(data!D:D,MATCH($N497,data!$A:$A,0)))</f>
        <v/>
      </c>
      <c r="AP497" s="38" t="str">
        <f>IF(ISNA(MATCH($N497,data!$A:$A,0)),"",INDEX(data!E:E,MATCH($N497,data!$A:$A,0)))</f>
        <v/>
      </c>
      <c r="AQ497" s="38" t="str">
        <f>IF(ISNA(MATCH($N497,data!$A:$A,0)),"",INDEX(data!F:F,MATCH($N497,data!$A:$A,0)))</f>
        <v/>
      </c>
      <c r="AR497" s="38" t="str">
        <f>IF(ISNA(MATCH($N497,data!$A:$A,0)),"",INDEX(data!G:G,MATCH($N497,data!$A:$A,0)))</f>
        <v/>
      </c>
      <c r="AS497" s="38" t="str">
        <f>IF(ISNA(MATCH($N497,data!$A:$A,0)),"",INDEX(data!H:H,MATCH($N497,data!$A:$A,0)))</f>
        <v/>
      </c>
      <c r="AT497" s="38" t="str">
        <f>IF(ISNA(MATCH($N497,data!$A:$A,0)),"",INDEX(data!I:I,MATCH($N497,data!$A:$A,0)))</f>
        <v/>
      </c>
      <c r="AU497" s="38" t="str">
        <f>IF(ISNA(MATCH($N497,[1]data!$A:$A,0)),"",INDEX([1]data!L:L,MATCH($N497,[1]data!$A:$A,0)))</f>
        <v/>
      </c>
      <c r="AV497" s="38" t="str">
        <f>IF(ISNA(MATCH($N497,[1]data!$A:$A,0)),"",INDEX([1]data!M:M,MATCH($N497,[1]data!$A:$A,0)))</f>
        <v/>
      </c>
      <c r="AW497" s="38" t="str">
        <f>IF(ISNA(MATCH($N497,data!$A:$A,0)),"",INDEX(data!J:J,MATCH($N497,data!$A:$A,0)))</f>
        <v/>
      </c>
      <c r="AX497" s="38" t="str">
        <f>IF(ISNA(MATCH($N497,data!$A:$A,0)),"",INDEX(data!K:K,MATCH($N497,data!$A:$A,0)))</f>
        <v/>
      </c>
      <c r="AY497" s="38" t="str">
        <f>IF(ISNA(MATCH($N497,data!$A:$A,0)),"",INDEX(data!O:O,MATCH($N497,data!$A:$A,0)))</f>
        <v/>
      </c>
      <c r="AZ497" s="38" t="str">
        <f>IF(ISNA(MATCH($N497,data!$A:$A,0)),"",INDEX(data!N:N,MATCH($N497,data!$A:$A,0)))</f>
        <v/>
      </c>
      <c r="BA497" s="38" t="str">
        <f>IF(ISNA(MATCH($N497,data!$A:$A,0)),"",INDEX(data!P:P,MATCH($N497,data!$A:$A,0)))</f>
        <v/>
      </c>
      <c r="BB497" s="38" t="str">
        <f>IF(ISNA(MATCH($N497,data!$A:$A,0)),"",INDEX(data!Q:Q,MATCH($N497,data!$A:$A,0)))</f>
        <v/>
      </c>
      <c r="BC497" s="38" t="str">
        <f>IF(ISNA(MATCH($N497,data!$A:$A,0)),"",INDEX(data!R:R,MATCH($N497,data!$A:$A,0)))</f>
        <v/>
      </c>
      <c r="BD497" s="38" t="str">
        <f>IF(ISNA(MATCH($N497,[1]data!$A:$A,0)),"",INDEX([1]data!U:U,MATCH($N497,[1]data!$A:$A,0)))</f>
        <v/>
      </c>
      <c r="BE497" s="61" t="e">
        <f>IF(COUNTIF([1]data!A:A,[1]!Table1[[#This Row],[UPC]])&lt;2,"","DUP")</f>
        <v>#VALUE!</v>
      </c>
      <c r="BF497" s="38" t="str">
        <f>IF(ISNA(MATCH($N497,data!$A:$A,0)),"",INDEX(data!W:W,MATCH($N497,data!$A:$A,0)))</f>
        <v/>
      </c>
    </row>
    <row r="498" spans="1:58">
      <c r="A498" s="35"/>
      <c r="B498" s="35"/>
      <c r="C498" s="35"/>
      <c r="D498" s="35"/>
      <c r="E498" s="67"/>
      <c r="F498" s="67"/>
      <c r="G498" s="36"/>
      <c r="H498" s="29"/>
      <c r="I498" s="78" t="str">
        <f t="shared" si="10"/>
        <v/>
      </c>
      <c r="J498" s="29"/>
      <c r="K498" s="29"/>
      <c r="L498" s="33"/>
      <c r="M498" s="33"/>
      <c r="N498" s="60"/>
      <c r="O498" s="71"/>
      <c r="P498" s="71"/>
      <c r="Q498" s="33"/>
      <c r="R498" s="31"/>
      <c r="S498" s="31"/>
      <c r="T498" s="59"/>
      <c r="U498" s="59"/>
      <c r="V498" s="59"/>
      <c r="W498" s="57">
        <f t="shared" si="11"/>
        <v>0</v>
      </c>
      <c r="X498" s="126" t="str">
        <f>IF(Table1[[#This Row],[Shipping Weight Pounds]]&gt;150,"See LTL Form","No")</f>
        <v>No</v>
      </c>
      <c r="Y498" s="28"/>
      <c r="Z498" s="33"/>
      <c r="AA498" s="34"/>
      <c r="AB498" s="30"/>
      <c r="AC498" s="30"/>
      <c r="AD498" s="32"/>
      <c r="AE498" s="32"/>
      <c r="AF498" s="2"/>
      <c r="AG498" s="2"/>
      <c r="AH498" s="2"/>
      <c r="AI498" s="2"/>
      <c r="AK498" s="73" t="str">
        <f>IF(ISNA(MATCH($N498,[1]data!$A:$A,0)),"",INDEX([1]data!S:S,MATCH($N498,[1]data!$A:$A,0)))</f>
        <v/>
      </c>
      <c r="AL498" s="73" t="str">
        <f>IF(ISNA(MATCH($N498,[1]data!$A:$A,0)),"",INDEX([1]data!V:V,MATCH($N498,[1]data!$A:$A,0)))</f>
        <v/>
      </c>
      <c r="AM498" s="38" t="str">
        <f>IF(ISNA(MATCH($N498,data!$A:$A,0)),"",INDEX(data!B:B,MATCH($N498,data!$A:$A,0)))</f>
        <v/>
      </c>
      <c r="AN498" s="38" t="str">
        <f>IF(ISNA(MATCH($N498,data!$A:$A,0)),"",INDEX(data!C:C,MATCH($N498,data!$A:$A,0)))</f>
        <v/>
      </c>
      <c r="AO498" s="38" t="str">
        <f>IF(ISNA(MATCH($N498,data!$A:$A,0)),"",INDEX(data!D:D,MATCH($N498,data!$A:$A,0)))</f>
        <v/>
      </c>
      <c r="AP498" s="38" t="str">
        <f>IF(ISNA(MATCH($N498,data!$A:$A,0)),"",INDEX(data!E:E,MATCH($N498,data!$A:$A,0)))</f>
        <v/>
      </c>
      <c r="AQ498" s="38" t="str">
        <f>IF(ISNA(MATCH($N498,data!$A:$A,0)),"",INDEX(data!F:F,MATCH($N498,data!$A:$A,0)))</f>
        <v/>
      </c>
      <c r="AR498" s="38" t="str">
        <f>IF(ISNA(MATCH($N498,data!$A:$A,0)),"",INDEX(data!G:G,MATCH($N498,data!$A:$A,0)))</f>
        <v/>
      </c>
      <c r="AS498" s="38" t="str">
        <f>IF(ISNA(MATCH($N498,data!$A:$A,0)),"",INDEX(data!H:H,MATCH($N498,data!$A:$A,0)))</f>
        <v/>
      </c>
      <c r="AT498" s="38" t="str">
        <f>IF(ISNA(MATCH($N498,data!$A:$A,0)),"",INDEX(data!I:I,MATCH($N498,data!$A:$A,0)))</f>
        <v/>
      </c>
      <c r="AU498" s="38" t="str">
        <f>IF(ISNA(MATCH($N498,[1]data!$A:$A,0)),"",INDEX([1]data!L:L,MATCH($N498,[1]data!$A:$A,0)))</f>
        <v/>
      </c>
      <c r="AV498" s="38" t="str">
        <f>IF(ISNA(MATCH($N498,[1]data!$A:$A,0)),"",INDEX([1]data!M:M,MATCH($N498,[1]data!$A:$A,0)))</f>
        <v/>
      </c>
      <c r="AW498" s="38" t="str">
        <f>IF(ISNA(MATCH($N498,data!$A:$A,0)),"",INDEX(data!J:J,MATCH($N498,data!$A:$A,0)))</f>
        <v/>
      </c>
      <c r="AX498" s="38" t="str">
        <f>IF(ISNA(MATCH($N498,data!$A:$A,0)),"",INDEX(data!K:K,MATCH($N498,data!$A:$A,0)))</f>
        <v/>
      </c>
      <c r="AY498" s="38" t="str">
        <f>IF(ISNA(MATCH($N498,data!$A:$A,0)),"",INDEX(data!O:O,MATCH($N498,data!$A:$A,0)))</f>
        <v/>
      </c>
      <c r="AZ498" s="38" t="str">
        <f>IF(ISNA(MATCH($N498,data!$A:$A,0)),"",INDEX(data!N:N,MATCH($N498,data!$A:$A,0)))</f>
        <v/>
      </c>
      <c r="BA498" s="38" t="str">
        <f>IF(ISNA(MATCH($N498,data!$A:$A,0)),"",INDEX(data!P:P,MATCH($N498,data!$A:$A,0)))</f>
        <v/>
      </c>
      <c r="BB498" s="38" t="str">
        <f>IF(ISNA(MATCH($N498,data!$A:$A,0)),"",INDEX(data!Q:Q,MATCH($N498,data!$A:$A,0)))</f>
        <v/>
      </c>
      <c r="BC498" s="38" t="str">
        <f>IF(ISNA(MATCH($N498,data!$A:$A,0)),"",INDEX(data!R:R,MATCH($N498,data!$A:$A,0)))</f>
        <v/>
      </c>
      <c r="BD498" s="38" t="str">
        <f>IF(ISNA(MATCH($N498,[1]data!$A:$A,0)),"",INDEX([1]data!U:U,MATCH($N498,[1]data!$A:$A,0)))</f>
        <v/>
      </c>
      <c r="BE498" s="61" t="e">
        <f>IF(COUNTIF([1]data!A:A,[1]!Table1[[#This Row],[UPC]])&lt;2,"","DUP")</f>
        <v>#VALUE!</v>
      </c>
      <c r="BF498" s="38" t="str">
        <f>IF(ISNA(MATCH($N498,data!$A:$A,0)),"",INDEX(data!W:W,MATCH($N498,data!$A:$A,0)))</f>
        <v/>
      </c>
    </row>
    <row r="499" spans="1:58">
      <c r="A499" s="35"/>
      <c r="B499" s="35"/>
      <c r="C499" s="35"/>
      <c r="D499" s="35"/>
      <c r="E499" s="67"/>
      <c r="F499" s="67"/>
      <c r="G499" s="36"/>
      <c r="H499" s="29"/>
      <c r="I499" s="78" t="str">
        <f t="shared" si="10"/>
        <v/>
      </c>
      <c r="J499" s="29"/>
      <c r="K499" s="29"/>
      <c r="L499" s="33"/>
      <c r="M499" s="33"/>
      <c r="N499" s="60"/>
      <c r="O499" s="71"/>
      <c r="P499" s="71"/>
      <c r="Q499" s="33"/>
      <c r="R499" s="31"/>
      <c r="S499" s="31"/>
      <c r="T499" s="59"/>
      <c r="U499" s="59"/>
      <c r="V499" s="59"/>
      <c r="W499" s="57">
        <f t="shared" si="11"/>
        <v>0</v>
      </c>
      <c r="X499" s="126" t="str">
        <f>IF(Table1[[#This Row],[Shipping Weight Pounds]]&gt;150,"See LTL Form","No")</f>
        <v>No</v>
      </c>
      <c r="Y499" s="28"/>
      <c r="Z499" s="33"/>
      <c r="AA499" s="34"/>
      <c r="AB499" s="30"/>
      <c r="AC499" s="30"/>
      <c r="AD499" s="32"/>
      <c r="AE499" s="32"/>
      <c r="AF499" s="2"/>
      <c r="AG499" s="2"/>
      <c r="AH499" s="2"/>
      <c r="AI499" s="2"/>
      <c r="AK499" s="73" t="str">
        <f>IF(ISNA(MATCH($N499,[1]data!$A:$A,0)),"",INDEX([1]data!S:S,MATCH($N499,[1]data!$A:$A,0)))</f>
        <v/>
      </c>
      <c r="AL499" s="73" t="str">
        <f>IF(ISNA(MATCH($N499,[1]data!$A:$A,0)),"",INDEX([1]data!V:V,MATCH($N499,[1]data!$A:$A,0)))</f>
        <v/>
      </c>
      <c r="AM499" s="38" t="str">
        <f>IF(ISNA(MATCH($N499,data!$A:$A,0)),"",INDEX(data!B:B,MATCH($N499,data!$A:$A,0)))</f>
        <v/>
      </c>
      <c r="AN499" s="38" t="str">
        <f>IF(ISNA(MATCH($N499,data!$A:$A,0)),"",INDEX(data!C:C,MATCH($N499,data!$A:$A,0)))</f>
        <v/>
      </c>
      <c r="AO499" s="38" t="str">
        <f>IF(ISNA(MATCH($N499,data!$A:$A,0)),"",INDEX(data!D:D,MATCH($N499,data!$A:$A,0)))</f>
        <v/>
      </c>
      <c r="AP499" s="38" t="str">
        <f>IF(ISNA(MATCH($N499,data!$A:$A,0)),"",INDEX(data!E:E,MATCH($N499,data!$A:$A,0)))</f>
        <v/>
      </c>
      <c r="AQ499" s="38" t="str">
        <f>IF(ISNA(MATCH($N499,data!$A:$A,0)),"",INDEX(data!F:F,MATCH($N499,data!$A:$A,0)))</f>
        <v/>
      </c>
      <c r="AR499" s="38" t="str">
        <f>IF(ISNA(MATCH($N499,data!$A:$A,0)),"",INDEX(data!G:G,MATCH($N499,data!$A:$A,0)))</f>
        <v/>
      </c>
      <c r="AS499" s="38" t="str">
        <f>IF(ISNA(MATCH($N499,data!$A:$A,0)),"",INDEX(data!H:H,MATCH($N499,data!$A:$A,0)))</f>
        <v/>
      </c>
      <c r="AT499" s="38" t="str">
        <f>IF(ISNA(MATCH($N499,data!$A:$A,0)),"",INDEX(data!I:I,MATCH($N499,data!$A:$A,0)))</f>
        <v/>
      </c>
      <c r="AU499" s="38" t="str">
        <f>IF(ISNA(MATCH($N499,[1]data!$A:$A,0)),"",INDEX([1]data!L:L,MATCH($N499,[1]data!$A:$A,0)))</f>
        <v/>
      </c>
      <c r="AV499" s="38" t="str">
        <f>IF(ISNA(MATCH($N499,[1]data!$A:$A,0)),"",INDEX([1]data!M:M,MATCH($N499,[1]data!$A:$A,0)))</f>
        <v/>
      </c>
      <c r="AW499" s="38" t="str">
        <f>IF(ISNA(MATCH($N499,data!$A:$A,0)),"",INDEX(data!J:J,MATCH($N499,data!$A:$A,0)))</f>
        <v/>
      </c>
      <c r="AX499" s="38" t="str">
        <f>IF(ISNA(MATCH($N499,data!$A:$A,0)),"",INDEX(data!K:K,MATCH($N499,data!$A:$A,0)))</f>
        <v/>
      </c>
      <c r="AY499" s="38" t="str">
        <f>IF(ISNA(MATCH($N499,data!$A:$A,0)),"",INDEX(data!O:O,MATCH($N499,data!$A:$A,0)))</f>
        <v/>
      </c>
      <c r="AZ499" s="38" t="str">
        <f>IF(ISNA(MATCH($N499,data!$A:$A,0)),"",INDEX(data!N:N,MATCH($N499,data!$A:$A,0)))</f>
        <v/>
      </c>
      <c r="BA499" s="38" t="str">
        <f>IF(ISNA(MATCH($N499,data!$A:$A,0)),"",INDEX(data!P:P,MATCH($N499,data!$A:$A,0)))</f>
        <v/>
      </c>
      <c r="BB499" s="38" t="str">
        <f>IF(ISNA(MATCH($N499,data!$A:$A,0)),"",INDEX(data!Q:Q,MATCH($N499,data!$A:$A,0)))</f>
        <v/>
      </c>
      <c r="BC499" s="38" t="str">
        <f>IF(ISNA(MATCH($N499,data!$A:$A,0)),"",INDEX(data!R:R,MATCH($N499,data!$A:$A,0)))</f>
        <v/>
      </c>
      <c r="BD499" s="38" t="str">
        <f>IF(ISNA(MATCH($N499,[1]data!$A:$A,0)),"",INDEX([1]data!U:U,MATCH($N499,[1]data!$A:$A,0)))</f>
        <v/>
      </c>
      <c r="BE499" s="61" t="e">
        <f>IF(COUNTIF([1]data!A:A,[1]!Table1[[#This Row],[UPC]])&lt;2,"","DUP")</f>
        <v>#VALUE!</v>
      </c>
      <c r="BF499" s="38" t="str">
        <f>IF(ISNA(MATCH($N499,data!$A:$A,0)),"",INDEX(data!W:W,MATCH($N499,data!$A:$A,0)))</f>
        <v/>
      </c>
    </row>
    <row r="500" spans="1:58">
      <c r="A500" s="35"/>
      <c r="B500" s="35"/>
      <c r="C500" s="35"/>
      <c r="D500" s="35"/>
      <c r="E500" s="67"/>
      <c r="F500" s="67"/>
      <c r="G500" s="36"/>
      <c r="H500" s="29"/>
      <c r="I500" s="78" t="str">
        <f t="shared" si="10"/>
        <v/>
      </c>
      <c r="J500" s="29"/>
      <c r="K500" s="29"/>
      <c r="L500" s="33"/>
      <c r="M500" s="33"/>
      <c r="N500" s="60"/>
      <c r="O500" s="71"/>
      <c r="P500" s="71"/>
      <c r="Q500" s="33"/>
      <c r="R500" s="31"/>
      <c r="S500" s="31"/>
      <c r="T500" s="59"/>
      <c r="U500" s="59"/>
      <c r="V500" s="59"/>
      <c r="W500" s="57">
        <f t="shared" si="11"/>
        <v>0</v>
      </c>
      <c r="X500" s="126" t="str">
        <f>IF(Table1[[#This Row],[Shipping Weight Pounds]]&gt;150,"See LTL Form","No")</f>
        <v>No</v>
      </c>
      <c r="Y500" s="28"/>
      <c r="Z500" s="33"/>
      <c r="AA500" s="34"/>
      <c r="AB500" s="30"/>
      <c r="AC500" s="30"/>
      <c r="AD500" s="32"/>
      <c r="AE500" s="32"/>
      <c r="AF500" s="2"/>
      <c r="AG500" s="2"/>
      <c r="AH500" s="2"/>
      <c r="AI500" s="2"/>
      <c r="AK500" s="73" t="str">
        <f>IF(ISNA(MATCH($N500,[1]data!$A:$A,0)),"",INDEX([1]data!S:S,MATCH($N500,[1]data!$A:$A,0)))</f>
        <v/>
      </c>
      <c r="AL500" s="73" t="str">
        <f>IF(ISNA(MATCH($N500,[1]data!$A:$A,0)),"",INDEX([1]data!V:V,MATCH($N500,[1]data!$A:$A,0)))</f>
        <v/>
      </c>
      <c r="AM500" s="38" t="str">
        <f>IF(ISNA(MATCH($N500,data!$A:$A,0)),"",INDEX(data!B:B,MATCH($N500,data!$A:$A,0)))</f>
        <v/>
      </c>
      <c r="AN500" s="38" t="str">
        <f>IF(ISNA(MATCH($N500,data!$A:$A,0)),"",INDEX(data!C:C,MATCH($N500,data!$A:$A,0)))</f>
        <v/>
      </c>
      <c r="AO500" s="38" t="str">
        <f>IF(ISNA(MATCH($N500,data!$A:$A,0)),"",INDEX(data!D:D,MATCH($N500,data!$A:$A,0)))</f>
        <v/>
      </c>
      <c r="AP500" s="38" t="str">
        <f>IF(ISNA(MATCH($N500,data!$A:$A,0)),"",INDEX(data!E:E,MATCH($N500,data!$A:$A,0)))</f>
        <v/>
      </c>
      <c r="AQ500" s="38" t="str">
        <f>IF(ISNA(MATCH($N500,data!$A:$A,0)),"",INDEX(data!F:F,MATCH($N500,data!$A:$A,0)))</f>
        <v/>
      </c>
      <c r="AR500" s="38" t="str">
        <f>IF(ISNA(MATCH($N500,data!$A:$A,0)),"",INDEX(data!G:G,MATCH($N500,data!$A:$A,0)))</f>
        <v/>
      </c>
      <c r="AS500" s="38" t="str">
        <f>IF(ISNA(MATCH($N500,data!$A:$A,0)),"",INDEX(data!H:H,MATCH($N500,data!$A:$A,0)))</f>
        <v/>
      </c>
      <c r="AT500" s="38" t="str">
        <f>IF(ISNA(MATCH($N500,data!$A:$A,0)),"",INDEX(data!I:I,MATCH($N500,data!$A:$A,0)))</f>
        <v/>
      </c>
      <c r="AU500" s="38" t="str">
        <f>IF(ISNA(MATCH($N500,[1]data!$A:$A,0)),"",INDEX([1]data!L:L,MATCH($N500,[1]data!$A:$A,0)))</f>
        <v/>
      </c>
      <c r="AV500" s="38" t="str">
        <f>IF(ISNA(MATCH($N500,[1]data!$A:$A,0)),"",INDEX([1]data!M:M,MATCH($N500,[1]data!$A:$A,0)))</f>
        <v/>
      </c>
      <c r="AW500" s="38" t="str">
        <f>IF(ISNA(MATCH($N500,data!$A:$A,0)),"",INDEX(data!J:J,MATCH($N500,data!$A:$A,0)))</f>
        <v/>
      </c>
      <c r="AX500" s="38" t="str">
        <f>IF(ISNA(MATCH($N500,data!$A:$A,0)),"",INDEX(data!K:K,MATCH($N500,data!$A:$A,0)))</f>
        <v/>
      </c>
      <c r="AY500" s="38" t="str">
        <f>IF(ISNA(MATCH($N500,data!$A:$A,0)),"",INDEX(data!O:O,MATCH($N500,data!$A:$A,0)))</f>
        <v/>
      </c>
      <c r="AZ500" s="38" t="str">
        <f>IF(ISNA(MATCH($N500,data!$A:$A,0)),"",INDEX(data!N:N,MATCH($N500,data!$A:$A,0)))</f>
        <v/>
      </c>
      <c r="BA500" s="38" t="str">
        <f>IF(ISNA(MATCH($N500,data!$A:$A,0)),"",INDEX(data!P:P,MATCH($N500,data!$A:$A,0)))</f>
        <v/>
      </c>
      <c r="BB500" s="38" t="str">
        <f>IF(ISNA(MATCH($N500,data!$A:$A,0)),"",INDEX(data!Q:Q,MATCH($N500,data!$A:$A,0)))</f>
        <v/>
      </c>
      <c r="BC500" s="38" t="str">
        <f>IF(ISNA(MATCH($N500,data!$A:$A,0)),"",INDEX(data!R:R,MATCH($N500,data!$A:$A,0)))</f>
        <v/>
      </c>
      <c r="BD500" s="38" t="str">
        <f>IF(ISNA(MATCH($N500,[1]data!$A:$A,0)),"",INDEX([1]data!U:U,MATCH($N500,[1]data!$A:$A,0)))</f>
        <v/>
      </c>
      <c r="BE500" s="61" t="e">
        <f>IF(COUNTIF([1]data!A:A,[1]!Table1[[#This Row],[UPC]])&lt;2,"","DUP")</f>
        <v>#VALUE!</v>
      </c>
      <c r="BF500" s="38" t="str">
        <f>IF(ISNA(MATCH($N500,data!$A:$A,0)),"",INDEX(data!W:W,MATCH($N500,data!$A:$A,0)))</f>
        <v/>
      </c>
    </row>
    <row r="501" spans="1:58">
      <c r="A501" s="35"/>
      <c r="B501" s="35"/>
      <c r="C501" s="35"/>
      <c r="D501" s="35"/>
      <c r="E501" s="67"/>
      <c r="F501" s="67"/>
      <c r="G501" s="36"/>
      <c r="H501" s="29"/>
      <c r="I501" s="78" t="str">
        <f t="shared" si="10"/>
        <v/>
      </c>
      <c r="J501" s="29"/>
      <c r="K501" s="29"/>
      <c r="L501" s="33"/>
      <c r="M501" s="33"/>
      <c r="N501" s="60"/>
      <c r="O501" s="71"/>
      <c r="P501" s="71"/>
      <c r="Q501" s="33"/>
      <c r="R501" s="31"/>
      <c r="S501" s="31"/>
      <c r="T501" s="59"/>
      <c r="U501" s="59"/>
      <c r="V501" s="59"/>
      <c r="W501" s="57">
        <f t="shared" si="11"/>
        <v>0</v>
      </c>
      <c r="X501" s="126" t="str">
        <f>IF(Table1[[#This Row],[Shipping Weight Pounds]]&gt;150,"See LTL Form","No")</f>
        <v>No</v>
      </c>
      <c r="Y501" s="28"/>
      <c r="Z501" s="33"/>
      <c r="AA501" s="34"/>
      <c r="AB501" s="30"/>
      <c r="AC501" s="30"/>
      <c r="AD501" s="32"/>
      <c r="AE501" s="32"/>
      <c r="AF501" s="2"/>
      <c r="AG501" s="2"/>
      <c r="AH501" s="2"/>
      <c r="AI501" s="2"/>
      <c r="AK501" s="73" t="str">
        <f>IF(ISNA(MATCH($N501,[1]data!$A:$A,0)),"",INDEX([1]data!S:S,MATCH($N501,[1]data!$A:$A,0)))</f>
        <v/>
      </c>
      <c r="AL501" s="73" t="str">
        <f>IF(ISNA(MATCH($N501,[1]data!$A:$A,0)),"",INDEX([1]data!V:V,MATCH($N501,[1]data!$A:$A,0)))</f>
        <v/>
      </c>
      <c r="AM501" s="38" t="str">
        <f>IF(ISNA(MATCH($N501,data!$A:$A,0)),"",INDEX(data!B:B,MATCH($N501,data!$A:$A,0)))</f>
        <v/>
      </c>
      <c r="AN501" s="38" t="str">
        <f>IF(ISNA(MATCH($N501,data!$A:$A,0)),"",INDEX(data!C:C,MATCH($N501,data!$A:$A,0)))</f>
        <v/>
      </c>
      <c r="AO501" s="38" t="str">
        <f>IF(ISNA(MATCH($N501,data!$A:$A,0)),"",INDEX(data!D:D,MATCH($N501,data!$A:$A,0)))</f>
        <v/>
      </c>
      <c r="AP501" s="38" t="str">
        <f>IF(ISNA(MATCH($N501,data!$A:$A,0)),"",INDEX(data!E:E,MATCH($N501,data!$A:$A,0)))</f>
        <v/>
      </c>
      <c r="AQ501" s="38" t="str">
        <f>IF(ISNA(MATCH($N501,data!$A:$A,0)),"",INDEX(data!F:F,MATCH($N501,data!$A:$A,0)))</f>
        <v/>
      </c>
      <c r="AR501" s="38" t="str">
        <f>IF(ISNA(MATCH($N501,data!$A:$A,0)),"",INDEX(data!G:G,MATCH($N501,data!$A:$A,0)))</f>
        <v/>
      </c>
      <c r="AS501" s="38" t="str">
        <f>IF(ISNA(MATCH($N501,data!$A:$A,0)),"",INDEX(data!H:H,MATCH($N501,data!$A:$A,0)))</f>
        <v/>
      </c>
      <c r="AT501" s="38" t="str">
        <f>IF(ISNA(MATCH($N501,data!$A:$A,0)),"",INDEX(data!I:I,MATCH($N501,data!$A:$A,0)))</f>
        <v/>
      </c>
      <c r="AU501" s="38" t="str">
        <f>IF(ISNA(MATCH($N501,[1]data!$A:$A,0)),"",INDEX([1]data!L:L,MATCH($N501,[1]data!$A:$A,0)))</f>
        <v/>
      </c>
      <c r="AV501" s="38" t="str">
        <f>IF(ISNA(MATCH($N501,[1]data!$A:$A,0)),"",INDEX([1]data!M:M,MATCH($N501,[1]data!$A:$A,0)))</f>
        <v/>
      </c>
      <c r="AW501" s="38" t="str">
        <f>IF(ISNA(MATCH($N501,data!$A:$A,0)),"",INDEX(data!J:J,MATCH($N501,data!$A:$A,0)))</f>
        <v/>
      </c>
      <c r="AX501" s="38" t="str">
        <f>IF(ISNA(MATCH($N501,data!$A:$A,0)),"",INDEX(data!K:K,MATCH($N501,data!$A:$A,0)))</f>
        <v/>
      </c>
      <c r="AY501" s="38" t="str">
        <f>IF(ISNA(MATCH($N501,data!$A:$A,0)),"",INDEX(data!O:O,MATCH($N501,data!$A:$A,0)))</f>
        <v/>
      </c>
      <c r="AZ501" s="38" t="str">
        <f>IF(ISNA(MATCH($N501,data!$A:$A,0)),"",INDEX(data!N:N,MATCH($N501,data!$A:$A,0)))</f>
        <v/>
      </c>
      <c r="BA501" s="38" t="str">
        <f>IF(ISNA(MATCH($N501,data!$A:$A,0)),"",INDEX(data!P:P,MATCH($N501,data!$A:$A,0)))</f>
        <v/>
      </c>
      <c r="BB501" s="38" t="str">
        <f>IF(ISNA(MATCH($N501,data!$A:$A,0)),"",INDEX(data!Q:Q,MATCH($N501,data!$A:$A,0)))</f>
        <v/>
      </c>
      <c r="BC501" s="38" t="str">
        <f>IF(ISNA(MATCH($N501,data!$A:$A,0)),"",INDEX(data!R:R,MATCH($N501,data!$A:$A,0)))</f>
        <v/>
      </c>
      <c r="BD501" s="38" t="str">
        <f>IF(ISNA(MATCH($N501,[1]data!$A:$A,0)),"",INDEX([1]data!U:U,MATCH($N501,[1]data!$A:$A,0)))</f>
        <v/>
      </c>
      <c r="BE501" s="61" t="e">
        <f>IF(COUNTIF([1]data!A:A,[1]!Table1[[#This Row],[UPC]])&lt;2,"","DUP")</f>
        <v>#VALUE!</v>
      </c>
      <c r="BF501" s="38" t="str">
        <f>IF(ISNA(MATCH($N501,data!$A:$A,0)),"",INDEX(data!W:W,MATCH($N501,data!$A:$A,0)))</f>
        <v/>
      </c>
    </row>
    <row r="502" spans="1:58">
      <c r="A502" s="35"/>
      <c r="B502" s="35"/>
      <c r="C502" s="35"/>
      <c r="D502" s="35"/>
      <c r="E502" s="67"/>
      <c r="F502" s="67"/>
      <c r="G502" s="36"/>
      <c r="H502" s="29"/>
      <c r="I502" s="78" t="str">
        <f t="shared" si="10"/>
        <v/>
      </c>
      <c r="J502" s="29"/>
      <c r="K502" s="29"/>
      <c r="L502" s="33"/>
      <c r="M502" s="33"/>
      <c r="N502" s="60"/>
      <c r="O502" s="71"/>
      <c r="P502" s="71"/>
      <c r="Q502" s="33"/>
      <c r="R502" s="31"/>
      <c r="S502" s="31"/>
      <c r="T502" s="59"/>
      <c r="U502" s="59"/>
      <c r="V502" s="59"/>
      <c r="W502" s="57">
        <f t="shared" si="11"/>
        <v>0</v>
      </c>
      <c r="X502" s="126" t="str">
        <f>IF(Table1[[#This Row],[Shipping Weight Pounds]]&gt;150,"See LTL Form","No")</f>
        <v>No</v>
      </c>
      <c r="Y502" s="28"/>
      <c r="Z502" s="33"/>
      <c r="AA502" s="34"/>
      <c r="AB502" s="30"/>
      <c r="AC502" s="30"/>
      <c r="AD502" s="32"/>
      <c r="AE502" s="32"/>
      <c r="AF502" s="2"/>
      <c r="AG502" s="2"/>
      <c r="AH502" s="2"/>
      <c r="AI502" s="2"/>
      <c r="AK502" s="73" t="str">
        <f>IF(ISNA(MATCH($N502,[1]data!$A:$A,0)),"",INDEX([1]data!S:S,MATCH($N502,[1]data!$A:$A,0)))</f>
        <v/>
      </c>
      <c r="AL502" s="73" t="str">
        <f>IF(ISNA(MATCH($N502,[1]data!$A:$A,0)),"",INDEX([1]data!V:V,MATCH($N502,[1]data!$A:$A,0)))</f>
        <v/>
      </c>
      <c r="AM502" s="38" t="str">
        <f>IF(ISNA(MATCH($N502,data!$A:$A,0)),"",INDEX(data!B:B,MATCH($N502,data!$A:$A,0)))</f>
        <v/>
      </c>
      <c r="AN502" s="38" t="str">
        <f>IF(ISNA(MATCH($N502,data!$A:$A,0)),"",INDEX(data!C:C,MATCH($N502,data!$A:$A,0)))</f>
        <v/>
      </c>
      <c r="AO502" s="38" t="str">
        <f>IF(ISNA(MATCH($N502,data!$A:$A,0)),"",INDEX(data!D:D,MATCH($N502,data!$A:$A,0)))</f>
        <v/>
      </c>
      <c r="AP502" s="38" t="str">
        <f>IF(ISNA(MATCH($N502,data!$A:$A,0)),"",INDEX(data!E:E,MATCH($N502,data!$A:$A,0)))</f>
        <v/>
      </c>
      <c r="AQ502" s="38" t="str">
        <f>IF(ISNA(MATCH($N502,data!$A:$A,0)),"",INDEX(data!F:F,MATCH($N502,data!$A:$A,0)))</f>
        <v/>
      </c>
      <c r="AR502" s="38" t="str">
        <f>IF(ISNA(MATCH($N502,data!$A:$A,0)),"",INDEX(data!G:G,MATCH($N502,data!$A:$A,0)))</f>
        <v/>
      </c>
      <c r="AS502" s="38" t="str">
        <f>IF(ISNA(MATCH($N502,data!$A:$A,0)),"",INDEX(data!H:H,MATCH($N502,data!$A:$A,0)))</f>
        <v/>
      </c>
      <c r="AT502" s="38" t="str">
        <f>IF(ISNA(MATCH($N502,data!$A:$A,0)),"",INDEX(data!I:I,MATCH($N502,data!$A:$A,0)))</f>
        <v/>
      </c>
      <c r="AU502" s="38" t="str">
        <f>IF(ISNA(MATCH($N502,[1]data!$A:$A,0)),"",INDEX([1]data!L:L,MATCH($N502,[1]data!$A:$A,0)))</f>
        <v/>
      </c>
      <c r="AV502" s="38" t="str">
        <f>IF(ISNA(MATCH($N502,[1]data!$A:$A,0)),"",INDEX([1]data!M:M,MATCH($N502,[1]data!$A:$A,0)))</f>
        <v/>
      </c>
      <c r="AW502" s="38" t="str">
        <f>IF(ISNA(MATCH($N502,data!$A:$A,0)),"",INDEX(data!J:J,MATCH($N502,data!$A:$A,0)))</f>
        <v/>
      </c>
      <c r="AX502" s="38" t="str">
        <f>IF(ISNA(MATCH($N502,data!$A:$A,0)),"",INDEX(data!K:K,MATCH($N502,data!$A:$A,0)))</f>
        <v/>
      </c>
      <c r="AY502" s="38" t="str">
        <f>IF(ISNA(MATCH($N502,data!$A:$A,0)),"",INDEX(data!O:O,MATCH($N502,data!$A:$A,0)))</f>
        <v/>
      </c>
      <c r="AZ502" s="38" t="str">
        <f>IF(ISNA(MATCH($N502,data!$A:$A,0)),"",INDEX(data!N:N,MATCH($N502,data!$A:$A,0)))</f>
        <v/>
      </c>
      <c r="BA502" s="38" t="str">
        <f>IF(ISNA(MATCH($N502,data!$A:$A,0)),"",INDEX(data!P:P,MATCH($N502,data!$A:$A,0)))</f>
        <v/>
      </c>
      <c r="BB502" s="38" t="str">
        <f>IF(ISNA(MATCH($N502,data!$A:$A,0)),"",INDEX(data!Q:Q,MATCH($N502,data!$A:$A,0)))</f>
        <v/>
      </c>
      <c r="BC502" s="38" t="str">
        <f>IF(ISNA(MATCH($N502,data!$A:$A,0)),"",INDEX(data!R:R,MATCH($N502,data!$A:$A,0)))</f>
        <v/>
      </c>
      <c r="BD502" s="38" t="str">
        <f>IF(ISNA(MATCH($N502,[1]data!$A:$A,0)),"",INDEX([1]data!U:U,MATCH($N502,[1]data!$A:$A,0)))</f>
        <v/>
      </c>
      <c r="BE502" s="61" t="e">
        <f>IF(COUNTIF([1]data!A:A,[1]!Table1[[#This Row],[UPC]])&lt;2,"","DUP")</f>
        <v>#VALUE!</v>
      </c>
      <c r="BF502" s="38" t="str">
        <f>IF(ISNA(MATCH($N502,data!$A:$A,0)),"",INDEX(data!W:W,MATCH($N502,data!$A:$A,0)))</f>
        <v/>
      </c>
    </row>
    <row r="503" spans="1:58">
      <c r="A503" s="35"/>
      <c r="B503" s="35"/>
      <c r="C503" s="35"/>
      <c r="D503" s="35"/>
      <c r="E503" s="67"/>
      <c r="F503" s="67"/>
      <c r="G503" s="36"/>
      <c r="H503" s="29"/>
      <c r="I503" s="78" t="str">
        <f t="shared" si="10"/>
        <v/>
      </c>
      <c r="J503" s="29"/>
      <c r="K503" s="29"/>
      <c r="L503" s="33"/>
      <c r="M503" s="33"/>
      <c r="N503" s="60"/>
      <c r="O503" s="71"/>
      <c r="P503" s="71"/>
      <c r="Q503" s="33"/>
      <c r="R503" s="31"/>
      <c r="S503" s="31"/>
      <c r="T503" s="59"/>
      <c r="U503" s="59"/>
      <c r="V503" s="59"/>
      <c r="W503" s="57">
        <f t="shared" si="11"/>
        <v>0</v>
      </c>
      <c r="X503" s="126" t="str">
        <f>IF(Table1[[#This Row],[Shipping Weight Pounds]]&gt;150,"See LTL Form","No")</f>
        <v>No</v>
      </c>
      <c r="Y503" s="28"/>
      <c r="Z503" s="33"/>
      <c r="AA503" s="34"/>
      <c r="AB503" s="30"/>
      <c r="AC503" s="30"/>
      <c r="AD503" s="32"/>
      <c r="AE503" s="32"/>
      <c r="AF503" s="2"/>
      <c r="AG503" s="2"/>
      <c r="AH503" s="2"/>
      <c r="AI503" s="2"/>
      <c r="AK503" s="73" t="str">
        <f>IF(ISNA(MATCH($N503,[1]data!$A:$A,0)),"",INDEX([1]data!S:S,MATCH($N503,[1]data!$A:$A,0)))</f>
        <v/>
      </c>
      <c r="AL503" s="73" t="str">
        <f>IF(ISNA(MATCH($N503,[1]data!$A:$A,0)),"",INDEX([1]data!V:V,MATCH($N503,[1]data!$A:$A,0)))</f>
        <v/>
      </c>
      <c r="AM503" s="38" t="str">
        <f>IF(ISNA(MATCH($N503,data!$A:$A,0)),"",INDEX(data!B:B,MATCH($N503,data!$A:$A,0)))</f>
        <v/>
      </c>
      <c r="AN503" s="38" t="str">
        <f>IF(ISNA(MATCH($N503,data!$A:$A,0)),"",INDEX(data!C:C,MATCH($N503,data!$A:$A,0)))</f>
        <v/>
      </c>
      <c r="AO503" s="38" t="str">
        <f>IF(ISNA(MATCH($N503,data!$A:$A,0)),"",INDEX(data!D:D,MATCH($N503,data!$A:$A,0)))</f>
        <v/>
      </c>
      <c r="AP503" s="38" t="str">
        <f>IF(ISNA(MATCH($N503,data!$A:$A,0)),"",INDEX(data!E:E,MATCH($N503,data!$A:$A,0)))</f>
        <v/>
      </c>
      <c r="AQ503" s="38" t="str">
        <f>IF(ISNA(MATCH($N503,data!$A:$A,0)),"",INDEX(data!F:F,MATCH($N503,data!$A:$A,0)))</f>
        <v/>
      </c>
      <c r="AR503" s="38" t="str">
        <f>IF(ISNA(MATCH($N503,data!$A:$A,0)),"",INDEX(data!G:G,MATCH($N503,data!$A:$A,0)))</f>
        <v/>
      </c>
      <c r="AS503" s="38" t="str">
        <f>IF(ISNA(MATCH($N503,data!$A:$A,0)),"",INDEX(data!H:H,MATCH($N503,data!$A:$A,0)))</f>
        <v/>
      </c>
      <c r="AT503" s="38" t="str">
        <f>IF(ISNA(MATCH($N503,data!$A:$A,0)),"",INDEX(data!I:I,MATCH($N503,data!$A:$A,0)))</f>
        <v/>
      </c>
      <c r="AU503" s="38" t="str">
        <f>IF(ISNA(MATCH($N503,[1]data!$A:$A,0)),"",INDEX([1]data!L:L,MATCH($N503,[1]data!$A:$A,0)))</f>
        <v/>
      </c>
      <c r="AV503" s="38" t="str">
        <f>IF(ISNA(MATCH($N503,[1]data!$A:$A,0)),"",INDEX([1]data!M:M,MATCH($N503,[1]data!$A:$A,0)))</f>
        <v/>
      </c>
      <c r="AW503" s="38" t="str">
        <f>IF(ISNA(MATCH($N503,data!$A:$A,0)),"",INDEX(data!J:J,MATCH($N503,data!$A:$A,0)))</f>
        <v/>
      </c>
      <c r="AX503" s="38" t="str">
        <f>IF(ISNA(MATCH($N503,data!$A:$A,0)),"",INDEX(data!K:K,MATCH($N503,data!$A:$A,0)))</f>
        <v/>
      </c>
      <c r="AY503" s="38" t="str">
        <f>IF(ISNA(MATCH($N503,data!$A:$A,0)),"",INDEX(data!O:O,MATCH($N503,data!$A:$A,0)))</f>
        <v/>
      </c>
      <c r="AZ503" s="38" t="str">
        <f>IF(ISNA(MATCH($N503,data!$A:$A,0)),"",INDEX(data!N:N,MATCH($N503,data!$A:$A,0)))</f>
        <v/>
      </c>
      <c r="BA503" s="38" t="str">
        <f>IF(ISNA(MATCH($N503,data!$A:$A,0)),"",INDEX(data!P:P,MATCH($N503,data!$A:$A,0)))</f>
        <v/>
      </c>
      <c r="BB503" s="38" t="str">
        <f>IF(ISNA(MATCH($N503,data!$A:$A,0)),"",INDEX(data!Q:Q,MATCH($N503,data!$A:$A,0)))</f>
        <v/>
      </c>
      <c r="BC503" s="38" t="str">
        <f>IF(ISNA(MATCH($N503,data!$A:$A,0)),"",INDEX(data!R:R,MATCH($N503,data!$A:$A,0)))</f>
        <v/>
      </c>
      <c r="BD503" s="38" t="str">
        <f>IF(ISNA(MATCH($N503,[1]data!$A:$A,0)),"",INDEX([1]data!U:U,MATCH($N503,[1]data!$A:$A,0)))</f>
        <v/>
      </c>
      <c r="BE503" s="61" t="e">
        <f>IF(COUNTIF([1]data!A:A,[1]!Table1[[#This Row],[UPC]])&lt;2,"","DUP")</f>
        <v>#VALUE!</v>
      </c>
      <c r="BF503" s="38" t="str">
        <f>IF(ISNA(MATCH($N503,data!$A:$A,0)),"",INDEX(data!W:W,MATCH($N503,data!$A:$A,0)))</f>
        <v/>
      </c>
    </row>
    <row r="504" spans="1:58">
      <c r="A504" s="35"/>
      <c r="B504" s="35"/>
      <c r="C504" s="35"/>
      <c r="D504" s="35"/>
      <c r="E504" s="67"/>
      <c r="F504" s="67"/>
      <c r="G504" s="36"/>
      <c r="H504" s="29"/>
      <c r="I504" s="78" t="str">
        <f t="shared" si="10"/>
        <v/>
      </c>
      <c r="J504" s="29"/>
      <c r="K504" s="29"/>
      <c r="L504" s="33"/>
      <c r="M504" s="33"/>
      <c r="N504" s="60"/>
      <c r="O504" s="71"/>
      <c r="P504" s="71"/>
      <c r="Q504" s="33"/>
      <c r="R504" s="31"/>
      <c r="S504" s="31"/>
      <c r="T504" s="59"/>
      <c r="U504" s="59"/>
      <c r="V504" s="59"/>
      <c r="W504" s="57">
        <f t="shared" si="11"/>
        <v>0</v>
      </c>
      <c r="X504" s="126" t="str">
        <f>IF(Table1[[#This Row],[Shipping Weight Pounds]]&gt;150,"See LTL Form","No")</f>
        <v>No</v>
      </c>
      <c r="Y504" s="28"/>
      <c r="Z504" s="33"/>
      <c r="AA504" s="34"/>
      <c r="AB504" s="30"/>
      <c r="AC504" s="30"/>
      <c r="AD504" s="32"/>
      <c r="AE504" s="32"/>
      <c r="AF504" s="2"/>
      <c r="AG504" s="2"/>
      <c r="AH504" s="2"/>
      <c r="AI504" s="2"/>
      <c r="AK504" s="73" t="str">
        <f>IF(ISNA(MATCH($N504,[1]data!$A:$A,0)),"",INDEX([1]data!S:S,MATCH($N504,[1]data!$A:$A,0)))</f>
        <v/>
      </c>
      <c r="AL504" s="73" t="str">
        <f>IF(ISNA(MATCH($N504,[1]data!$A:$A,0)),"",INDEX([1]data!V:V,MATCH($N504,[1]data!$A:$A,0)))</f>
        <v/>
      </c>
      <c r="AM504" s="38" t="str">
        <f>IF(ISNA(MATCH($N504,data!$A:$A,0)),"",INDEX(data!B:B,MATCH($N504,data!$A:$A,0)))</f>
        <v/>
      </c>
      <c r="AN504" s="38" t="str">
        <f>IF(ISNA(MATCH($N504,data!$A:$A,0)),"",INDEX(data!C:C,MATCH($N504,data!$A:$A,0)))</f>
        <v/>
      </c>
      <c r="AO504" s="38" t="str">
        <f>IF(ISNA(MATCH($N504,data!$A:$A,0)),"",INDEX(data!D:D,MATCH($N504,data!$A:$A,0)))</f>
        <v/>
      </c>
      <c r="AP504" s="38" t="str">
        <f>IF(ISNA(MATCH($N504,data!$A:$A,0)),"",INDEX(data!E:E,MATCH($N504,data!$A:$A,0)))</f>
        <v/>
      </c>
      <c r="AQ504" s="38" t="str">
        <f>IF(ISNA(MATCH($N504,data!$A:$A,0)),"",INDEX(data!F:F,MATCH($N504,data!$A:$A,0)))</f>
        <v/>
      </c>
      <c r="AR504" s="38" t="str">
        <f>IF(ISNA(MATCH($N504,data!$A:$A,0)),"",INDEX(data!G:G,MATCH($N504,data!$A:$A,0)))</f>
        <v/>
      </c>
      <c r="AS504" s="38" t="str">
        <f>IF(ISNA(MATCH($N504,data!$A:$A,0)),"",INDEX(data!H:H,MATCH($N504,data!$A:$A,0)))</f>
        <v/>
      </c>
      <c r="AT504" s="38" t="str">
        <f>IF(ISNA(MATCH($N504,data!$A:$A,0)),"",INDEX(data!I:I,MATCH($N504,data!$A:$A,0)))</f>
        <v/>
      </c>
      <c r="AU504" s="38" t="str">
        <f>IF(ISNA(MATCH($N504,[1]data!$A:$A,0)),"",INDEX([1]data!L:L,MATCH($N504,[1]data!$A:$A,0)))</f>
        <v/>
      </c>
      <c r="AV504" s="38" t="str">
        <f>IF(ISNA(MATCH($N504,[1]data!$A:$A,0)),"",INDEX([1]data!M:M,MATCH($N504,[1]data!$A:$A,0)))</f>
        <v/>
      </c>
      <c r="AW504" s="38" t="str">
        <f>IF(ISNA(MATCH($N504,data!$A:$A,0)),"",INDEX(data!J:J,MATCH($N504,data!$A:$A,0)))</f>
        <v/>
      </c>
      <c r="AX504" s="38" t="str">
        <f>IF(ISNA(MATCH($N504,data!$A:$A,0)),"",INDEX(data!K:K,MATCH($N504,data!$A:$A,0)))</f>
        <v/>
      </c>
      <c r="AY504" s="38" t="str">
        <f>IF(ISNA(MATCH($N504,data!$A:$A,0)),"",INDEX(data!O:O,MATCH($N504,data!$A:$A,0)))</f>
        <v/>
      </c>
      <c r="AZ504" s="38" t="str">
        <f>IF(ISNA(MATCH($N504,data!$A:$A,0)),"",INDEX(data!N:N,MATCH($N504,data!$A:$A,0)))</f>
        <v/>
      </c>
      <c r="BA504" s="38" t="str">
        <f>IF(ISNA(MATCH($N504,data!$A:$A,0)),"",INDEX(data!P:P,MATCH($N504,data!$A:$A,0)))</f>
        <v/>
      </c>
      <c r="BB504" s="38" t="str">
        <f>IF(ISNA(MATCH($N504,data!$A:$A,0)),"",INDEX(data!Q:Q,MATCH($N504,data!$A:$A,0)))</f>
        <v/>
      </c>
      <c r="BC504" s="38" t="str">
        <f>IF(ISNA(MATCH($N504,data!$A:$A,0)),"",INDEX(data!R:R,MATCH($N504,data!$A:$A,0)))</f>
        <v/>
      </c>
      <c r="BD504" s="38" t="str">
        <f>IF(ISNA(MATCH($N504,[1]data!$A:$A,0)),"",INDEX([1]data!U:U,MATCH($N504,[1]data!$A:$A,0)))</f>
        <v/>
      </c>
      <c r="BE504" s="61" t="e">
        <f>IF(COUNTIF([1]data!A:A,[1]!Table1[[#This Row],[UPC]])&lt;2,"","DUP")</f>
        <v>#VALUE!</v>
      </c>
      <c r="BF504" s="38" t="str">
        <f>IF(ISNA(MATCH($N504,data!$A:$A,0)),"",INDEX(data!W:W,MATCH($N504,data!$A:$A,0)))</f>
        <v/>
      </c>
    </row>
    <row r="505" spans="1:58">
      <c r="A505" s="35"/>
      <c r="B505" s="35"/>
      <c r="C505" s="35"/>
      <c r="D505" s="35"/>
      <c r="E505" s="67"/>
      <c r="F505" s="67"/>
      <c r="G505" s="36"/>
      <c r="H505" s="29"/>
      <c r="I505" s="78" t="str">
        <f t="shared" si="10"/>
        <v/>
      </c>
      <c r="J505" s="29"/>
      <c r="K505" s="29"/>
      <c r="L505" s="33"/>
      <c r="M505" s="33"/>
      <c r="N505" s="60"/>
      <c r="O505" s="71"/>
      <c r="P505" s="71"/>
      <c r="Q505" s="33"/>
      <c r="R505" s="31"/>
      <c r="S505" s="31"/>
      <c r="T505" s="59"/>
      <c r="U505" s="59"/>
      <c r="V505" s="59"/>
      <c r="W505" s="57">
        <f t="shared" si="11"/>
        <v>0</v>
      </c>
      <c r="X505" s="126" t="str">
        <f>IF(Table1[[#This Row],[Shipping Weight Pounds]]&gt;150,"See LTL Form","No")</f>
        <v>No</v>
      </c>
      <c r="Y505" s="28"/>
      <c r="Z505" s="33"/>
      <c r="AA505" s="34"/>
      <c r="AB505" s="30"/>
      <c r="AC505" s="30"/>
      <c r="AD505" s="32"/>
      <c r="AE505" s="32"/>
      <c r="AF505" s="2"/>
      <c r="AG505" s="2"/>
      <c r="AH505" s="2"/>
      <c r="AI505" s="2"/>
      <c r="AK505" s="73" t="str">
        <f>IF(ISNA(MATCH($N505,[1]data!$A:$A,0)),"",INDEX([1]data!S:S,MATCH($N505,[1]data!$A:$A,0)))</f>
        <v/>
      </c>
      <c r="AL505" s="73" t="str">
        <f>IF(ISNA(MATCH($N505,[1]data!$A:$A,0)),"",INDEX([1]data!V:V,MATCH($N505,[1]data!$A:$A,0)))</f>
        <v/>
      </c>
      <c r="AM505" s="38" t="str">
        <f>IF(ISNA(MATCH($N505,data!$A:$A,0)),"",INDEX(data!B:B,MATCH($N505,data!$A:$A,0)))</f>
        <v/>
      </c>
      <c r="AN505" s="38" t="str">
        <f>IF(ISNA(MATCH($N505,data!$A:$A,0)),"",INDEX(data!C:C,MATCH($N505,data!$A:$A,0)))</f>
        <v/>
      </c>
      <c r="AO505" s="38" t="str">
        <f>IF(ISNA(MATCH($N505,data!$A:$A,0)),"",INDEX(data!D:D,MATCH($N505,data!$A:$A,0)))</f>
        <v/>
      </c>
      <c r="AP505" s="38" t="str">
        <f>IF(ISNA(MATCH($N505,data!$A:$A,0)),"",INDEX(data!E:E,MATCH($N505,data!$A:$A,0)))</f>
        <v/>
      </c>
      <c r="AQ505" s="38" t="str">
        <f>IF(ISNA(MATCH($N505,data!$A:$A,0)),"",INDEX(data!F:F,MATCH($N505,data!$A:$A,0)))</f>
        <v/>
      </c>
      <c r="AR505" s="38" t="str">
        <f>IF(ISNA(MATCH($N505,data!$A:$A,0)),"",INDEX(data!G:G,MATCH($N505,data!$A:$A,0)))</f>
        <v/>
      </c>
      <c r="AS505" s="38" t="str">
        <f>IF(ISNA(MATCH($N505,data!$A:$A,0)),"",INDEX(data!H:H,MATCH($N505,data!$A:$A,0)))</f>
        <v/>
      </c>
      <c r="AT505" s="38" t="str">
        <f>IF(ISNA(MATCH($N505,data!$A:$A,0)),"",INDEX(data!I:I,MATCH($N505,data!$A:$A,0)))</f>
        <v/>
      </c>
      <c r="AU505" s="38" t="str">
        <f>IF(ISNA(MATCH($N505,[1]data!$A:$A,0)),"",INDEX([1]data!L:L,MATCH($N505,[1]data!$A:$A,0)))</f>
        <v/>
      </c>
      <c r="AV505" s="38" t="str">
        <f>IF(ISNA(MATCH($N505,[1]data!$A:$A,0)),"",INDEX([1]data!M:M,MATCH($N505,[1]data!$A:$A,0)))</f>
        <v/>
      </c>
      <c r="AW505" s="38" t="str">
        <f>IF(ISNA(MATCH($N505,data!$A:$A,0)),"",INDEX(data!J:J,MATCH($N505,data!$A:$A,0)))</f>
        <v/>
      </c>
      <c r="AX505" s="38" t="str">
        <f>IF(ISNA(MATCH($N505,data!$A:$A,0)),"",INDEX(data!K:K,MATCH($N505,data!$A:$A,0)))</f>
        <v/>
      </c>
      <c r="AY505" s="38" t="str">
        <f>IF(ISNA(MATCH($N505,data!$A:$A,0)),"",INDEX(data!O:O,MATCH($N505,data!$A:$A,0)))</f>
        <v/>
      </c>
      <c r="AZ505" s="38" t="str">
        <f>IF(ISNA(MATCH($N505,data!$A:$A,0)),"",INDEX(data!N:N,MATCH($N505,data!$A:$A,0)))</f>
        <v/>
      </c>
      <c r="BA505" s="38" t="str">
        <f>IF(ISNA(MATCH($N505,data!$A:$A,0)),"",INDEX(data!P:P,MATCH($N505,data!$A:$A,0)))</f>
        <v/>
      </c>
      <c r="BB505" s="38" t="str">
        <f>IF(ISNA(MATCH($N505,data!$A:$A,0)),"",INDEX(data!Q:Q,MATCH($N505,data!$A:$A,0)))</f>
        <v/>
      </c>
      <c r="BC505" s="38" t="str">
        <f>IF(ISNA(MATCH($N505,data!$A:$A,0)),"",INDEX(data!R:R,MATCH($N505,data!$A:$A,0)))</f>
        <v/>
      </c>
      <c r="BD505" s="38" t="str">
        <f>IF(ISNA(MATCH($N505,[1]data!$A:$A,0)),"",INDEX([1]data!U:U,MATCH($N505,[1]data!$A:$A,0)))</f>
        <v/>
      </c>
      <c r="BE505" s="61" t="e">
        <f>IF(COUNTIF([1]data!A:A,[1]!Table1[[#This Row],[UPC]])&lt;2,"","DUP")</f>
        <v>#VALUE!</v>
      </c>
      <c r="BF505" s="38" t="str">
        <f>IF(ISNA(MATCH($N505,data!$A:$A,0)),"",INDEX(data!W:W,MATCH($N505,data!$A:$A,0)))</f>
        <v/>
      </c>
    </row>
    <row r="506" spans="1:58">
      <c r="A506" s="35"/>
      <c r="B506" s="35"/>
      <c r="C506" s="35"/>
      <c r="D506" s="35"/>
      <c r="E506" s="67"/>
      <c r="F506" s="67"/>
      <c r="G506" s="36"/>
      <c r="H506" s="29"/>
      <c r="I506" s="78" t="str">
        <f t="shared" si="10"/>
        <v/>
      </c>
      <c r="J506" s="29"/>
      <c r="K506" s="29"/>
      <c r="L506" s="33"/>
      <c r="M506" s="33"/>
      <c r="N506" s="60"/>
      <c r="O506" s="71"/>
      <c r="P506" s="71"/>
      <c r="Q506" s="33"/>
      <c r="R506" s="31"/>
      <c r="S506" s="31"/>
      <c r="T506" s="59"/>
      <c r="U506" s="59"/>
      <c r="V506" s="59"/>
      <c r="W506" s="57">
        <f t="shared" si="11"/>
        <v>0</v>
      </c>
      <c r="X506" s="126" t="str">
        <f>IF(Table1[[#This Row],[Shipping Weight Pounds]]&gt;150,"See LTL Form","No")</f>
        <v>No</v>
      </c>
      <c r="Y506" s="28"/>
      <c r="Z506" s="33"/>
      <c r="AA506" s="34"/>
      <c r="AB506" s="30"/>
      <c r="AC506" s="30"/>
      <c r="AD506" s="32"/>
      <c r="AE506" s="32"/>
      <c r="AF506" s="2"/>
      <c r="AG506" s="2"/>
      <c r="AH506" s="2"/>
      <c r="AI506" s="2"/>
      <c r="AK506" s="73" t="str">
        <f>IF(ISNA(MATCH($N506,[1]data!$A:$A,0)),"",INDEX([1]data!S:S,MATCH($N506,[1]data!$A:$A,0)))</f>
        <v/>
      </c>
      <c r="AL506" s="73" t="str">
        <f>IF(ISNA(MATCH($N506,[1]data!$A:$A,0)),"",INDEX([1]data!V:V,MATCH($N506,[1]data!$A:$A,0)))</f>
        <v/>
      </c>
      <c r="AM506" s="38" t="str">
        <f>IF(ISNA(MATCH($N506,data!$A:$A,0)),"",INDEX(data!B:B,MATCH($N506,data!$A:$A,0)))</f>
        <v/>
      </c>
      <c r="AN506" s="38" t="str">
        <f>IF(ISNA(MATCH($N506,data!$A:$A,0)),"",INDEX(data!C:C,MATCH($N506,data!$A:$A,0)))</f>
        <v/>
      </c>
      <c r="AO506" s="38" t="str">
        <f>IF(ISNA(MATCH($N506,data!$A:$A,0)),"",INDEX(data!D:D,MATCH($N506,data!$A:$A,0)))</f>
        <v/>
      </c>
      <c r="AP506" s="38" t="str">
        <f>IF(ISNA(MATCH($N506,data!$A:$A,0)),"",INDEX(data!E:E,MATCH($N506,data!$A:$A,0)))</f>
        <v/>
      </c>
      <c r="AQ506" s="38" t="str">
        <f>IF(ISNA(MATCH($N506,data!$A:$A,0)),"",INDEX(data!F:F,MATCH($N506,data!$A:$A,0)))</f>
        <v/>
      </c>
      <c r="AR506" s="38" t="str">
        <f>IF(ISNA(MATCH($N506,data!$A:$A,0)),"",INDEX(data!G:G,MATCH($N506,data!$A:$A,0)))</f>
        <v/>
      </c>
      <c r="AS506" s="38" t="str">
        <f>IF(ISNA(MATCH($N506,data!$A:$A,0)),"",INDEX(data!H:H,MATCH($N506,data!$A:$A,0)))</f>
        <v/>
      </c>
      <c r="AT506" s="38" t="str">
        <f>IF(ISNA(MATCH($N506,data!$A:$A,0)),"",INDEX(data!I:I,MATCH($N506,data!$A:$A,0)))</f>
        <v/>
      </c>
      <c r="AU506" s="38" t="str">
        <f>IF(ISNA(MATCH($N506,[1]data!$A:$A,0)),"",INDEX([1]data!L:L,MATCH($N506,[1]data!$A:$A,0)))</f>
        <v/>
      </c>
      <c r="AV506" s="38" t="str">
        <f>IF(ISNA(MATCH($N506,[1]data!$A:$A,0)),"",INDEX([1]data!M:M,MATCH($N506,[1]data!$A:$A,0)))</f>
        <v/>
      </c>
      <c r="AW506" s="38" t="str">
        <f>IF(ISNA(MATCH($N506,data!$A:$A,0)),"",INDEX(data!J:J,MATCH($N506,data!$A:$A,0)))</f>
        <v/>
      </c>
      <c r="AX506" s="38" t="str">
        <f>IF(ISNA(MATCH($N506,data!$A:$A,0)),"",INDEX(data!K:K,MATCH($N506,data!$A:$A,0)))</f>
        <v/>
      </c>
      <c r="AY506" s="38" t="str">
        <f>IF(ISNA(MATCH($N506,data!$A:$A,0)),"",INDEX(data!O:O,MATCH($N506,data!$A:$A,0)))</f>
        <v/>
      </c>
      <c r="AZ506" s="38" t="str">
        <f>IF(ISNA(MATCH($N506,data!$A:$A,0)),"",INDEX(data!N:N,MATCH($N506,data!$A:$A,0)))</f>
        <v/>
      </c>
      <c r="BA506" s="38" t="str">
        <f>IF(ISNA(MATCH($N506,data!$A:$A,0)),"",INDEX(data!P:P,MATCH($N506,data!$A:$A,0)))</f>
        <v/>
      </c>
      <c r="BB506" s="38" t="str">
        <f>IF(ISNA(MATCH($N506,data!$A:$A,0)),"",INDEX(data!Q:Q,MATCH($N506,data!$A:$A,0)))</f>
        <v/>
      </c>
      <c r="BC506" s="38" t="str">
        <f>IF(ISNA(MATCH($N506,data!$A:$A,0)),"",INDEX(data!R:R,MATCH($N506,data!$A:$A,0)))</f>
        <v/>
      </c>
      <c r="BD506" s="38" t="str">
        <f>IF(ISNA(MATCH($N506,[1]data!$A:$A,0)),"",INDEX([1]data!U:U,MATCH($N506,[1]data!$A:$A,0)))</f>
        <v/>
      </c>
      <c r="BE506" s="61" t="e">
        <f>IF(COUNTIF([1]data!A:A,[1]!Table1[[#This Row],[UPC]])&lt;2,"","DUP")</f>
        <v>#VALUE!</v>
      </c>
      <c r="BF506" s="38" t="str">
        <f>IF(ISNA(MATCH($N506,data!$A:$A,0)),"",INDEX(data!W:W,MATCH($N506,data!$A:$A,0)))</f>
        <v/>
      </c>
    </row>
    <row r="507" spans="1:58">
      <c r="A507" s="35"/>
      <c r="B507" s="35"/>
      <c r="C507" s="35"/>
      <c r="D507" s="35"/>
      <c r="E507" s="67"/>
      <c r="F507" s="67"/>
      <c r="G507" s="36"/>
      <c r="H507" s="29"/>
      <c r="I507" s="78" t="str">
        <f t="shared" si="10"/>
        <v/>
      </c>
      <c r="J507" s="29"/>
      <c r="K507" s="29"/>
      <c r="L507" s="33"/>
      <c r="M507" s="33"/>
      <c r="N507" s="60"/>
      <c r="O507" s="71"/>
      <c r="P507" s="71"/>
      <c r="Q507" s="33"/>
      <c r="R507" s="31"/>
      <c r="S507" s="31"/>
      <c r="T507" s="59"/>
      <c r="U507" s="59"/>
      <c r="V507" s="59"/>
      <c r="W507" s="57">
        <f t="shared" si="11"/>
        <v>0</v>
      </c>
      <c r="X507" s="126" t="str">
        <f>IF(Table1[[#This Row],[Shipping Weight Pounds]]&gt;150,"See LTL Form","No")</f>
        <v>No</v>
      </c>
      <c r="Y507" s="28"/>
      <c r="Z507" s="33"/>
      <c r="AA507" s="34"/>
      <c r="AB507" s="30"/>
      <c r="AC507" s="30"/>
      <c r="AD507" s="32"/>
      <c r="AE507" s="32"/>
      <c r="AF507" s="2"/>
      <c r="AG507" s="2"/>
      <c r="AH507" s="2"/>
      <c r="AI507" s="2"/>
      <c r="AK507" s="73" t="str">
        <f>IF(ISNA(MATCH($N507,[1]data!$A:$A,0)),"",INDEX([1]data!S:S,MATCH($N507,[1]data!$A:$A,0)))</f>
        <v/>
      </c>
      <c r="AL507" s="73" t="str">
        <f>IF(ISNA(MATCH($N507,[1]data!$A:$A,0)),"",INDEX([1]data!V:V,MATCH($N507,[1]data!$A:$A,0)))</f>
        <v/>
      </c>
      <c r="AM507" s="38" t="str">
        <f>IF(ISNA(MATCH($N507,data!$A:$A,0)),"",INDEX(data!B:B,MATCH($N507,data!$A:$A,0)))</f>
        <v/>
      </c>
      <c r="AN507" s="38" t="str">
        <f>IF(ISNA(MATCH($N507,data!$A:$A,0)),"",INDEX(data!C:C,MATCH($N507,data!$A:$A,0)))</f>
        <v/>
      </c>
      <c r="AO507" s="38" t="str">
        <f>IF(ISNA(MATCH($N507,data!$A:$A,0)),"",INDEX(data!D:D,MATCH($N507,data!$A:$A,0)))</f>
        <v/>
      </c>
      <c r="AP507" s="38" t="str">
        <f>IF(ISNA(MATCH($N507,data!$A:$A,0)),"",INDEX(data!E:E,MATCH($N507,data!$A:$A,0)))</f>
        <v/>
      </c>
      <c r="AQ507" s="38" t="str">
        <f>IF(ISNA(MATCH($N507,data!$A:$A,0)),"",INDEX(data!F:F,MATCH($N507,data!$A:$A,0)))</f>
        <v/>
      </c>
      <c r="AR507" s="38" t="str">
        <f>IF(ISNA(MATCH($N507,data!$A:$A,0)),"",INDEX(data!G:G,MATCH($N507,data!$A:$A,0)))</f>
        <v/>
      </c>
      <c r="AS507" s="38" t="str">
        <f>IF(ISNA(MATCH($N507,data!$A:$A,0)),"",INDEX(data!H:H,MATCH($N507,data!$A:$A,0)))</f>
        <v/>
      </c>
      <c r="AT507" s="38" t="str">
        <f>IF(ISNA(MATCH($N507,data!$A:$A,0)),"",INDEX(data!I:I,MATCH($N507,data!$A:$A,0)))</f>
        <v/>
      </c>
      <c r="AU507" s="38" t="str">
        <f>IF(ISNA(MATCH($N507,[1]data!$A:$A,0)),"",INDEX([1]data!L:L,MATCH($N507,[1]data!$A:$A,0)))</f>
        <v/>
      </c>
      <c r="AV507" s="38" t="str">
        <f>IF(ISNA(MATCH($N507,[1]data!$A:$A,0)),"",INDEX([1]data!M:M,MATCH($N507,[1]data!$A:$A,0)))</f>
        <v/>
      </c>
      <c r="AW507" s="38" t="str">
        <f>IF(ISNA(MATCH($N507,data!$A:$A,0)),"",INDEX(data!J:J,MATCH($N507,data!$A:$A,0)))</f>
        <v/>
      </c>
      <c r="AX507" s="38" t="str">
        <f>IF(ISNA(MATCH($N507,data!$A:$A,0)),"",INDEX(data!K:K,MATCH($N507,data!$A:$A,0)))</f>
        <v/>
      </c>
      <c r="AY507" s="38" t="str">
        <f>IF(ISNA(MATCH($N507,data!$A:$A,0)),"",INDEX(data!O:O,MATCH($N507,data!$A:$A,0)))</f>
        <v/>
      </c>
      <c r="AZ507" s="38" t="str">
        <f>IF(ISNA(MATCH($N507,data!$A:$A,0)),"",INDEX(data!N:N,MATCH($N507,data!$A:$A,0)))</f>
        <v/>
      </c>
      <c r="BA507" s="38" t="str">
        <f>IF(ISNA(MATCH($N507,data!$A:$A,0)),"",INDEX(data!P:P,MATCH($N507,data!$A:$A,0)))</f>
        <v/>
      </c>
      <c r="BB507" s="38" t="str">
        <f>IF(ISNA(MATCH($N507,data!$A:$A,0)),"",INDEX(data!Q:Q,MATCH($N507,data!$A:$A,0)))</f>
        <v/>
      </c>
      <c r="BC507" s="38" t="str">
        <f>IF(ISNA(MATCH($N507,data!$A:$A,0)),"",INDEX(data!R:R,MATCH($N507,data!$A:$A,0)))</f>
        <v/>
      </c>
      <c r="BD507" s="38" t="str">
        <f>IF(ISNA(MATCH($N507,[1]data!$A:$A,0)),"",INDEX([1]data!U:U,MATCH($N507,[1]data!$A:$A,0)))</f>
        <v/>
      </c>
      <c r="BE507" s="61" t="e">
        <f>IF(COUNTIF([1]data!A:A,[1]!Table1[[#This Row],[UPC]])&lt;2,"","DUP")</f>
        <v>#VALUE!</v>
      </c>
      <c r="BF507" s="38" t="str">
        <f>IF(ISNA(MATCH($N507,data!$A:$A,0)),"",INDEX(data!W:W,MATCH($N507,data!$A:$A,0)))</f>
        <v/>
      </c>
    </row>
    <row r="508" spans="1:58">
      <c r="A508" s="35"/>
      <c r="B508" s="35"/>
      <c r="C508" s="35"/>
      <c r="D508" s="35"/>
      <c r="E508" s="67"/>
      <c r="F508" s="67"/>
      <c r="G508" s="36"/>
      <c r="H508" s="29"/>
      <c r="I508" s="78" t="str">
        <f t="shared" si="10"/>
        <v/>
      </c>
      <c r="J508" s="29"/>
      <c r="K508" s="29"/>
      <c r="L508" s="33"/>
      <c r="M508" s="33"/>
      <c r="N508" s="60"/>
      <c r="O508" s="71"/>
      <c r="P508" s="71"/>
      <c r="Q508" s="33"/>
      <c r="R508" s="31"/>
      <c r="S508" s="31"/>
      <c r="T508" s="59"/>
      <c r="U508" s="59"/>
      <c r="V508" s="59"/>
      <c r="W508" s="57">
        <f t="shared" si="11"/>
        <v>0</v>
      </c>
      <c r="X508" s="126" t="str">
        <f>IF(Table1[[#This Row],[Shipping Weight Pounds]]&gt;150,"See LTL Form","No")</f>
        <v>No</v>
      </c>
      <c r="Y508" s="28"/>
      <c r="Z508" s="33"/>
      <c r="AA508" s="34"/>
      <c r="AB508" s="30"/>
      <c r="AC508" s="30"/>
      <c r="AD508" s="32"/>
      <c r="AE508" s="32"/>
      <c r="AF508" s="2"/>
      <c r="AG508" s="2"/>
      <c r="AH508" s="2"/>
      <c r="AI508" s="2"/>
      <c r="AK508" s="73" t="str">
        <f>IF(ISNA(MATCH($N508,[1]data!$A:$A,0)),"",INDEX([1]data!S:S,MATCH($N508,[1]data!$A:$A,0)))</f>
        <v/>
      </c>
      <c r="AL508" s="73" t="str">
        <f>IF(ISNA(MATCH($N508,[1]data!$A:$A,0)),"",INDEX([1]data!V:V,MATCH($N508,[1]data!$A:$A,0)))</f>
        <v/>
      </c>
      <c r="AM508" s="38" t="str">
        <f>IF(ISNA(MATCH($N508,data!$A:$A,0)),"",INDEX(data!B:B,MATCH($N508,data!$A:$A,0)))</f>
        <v/>
      </c>
      <c r="AN508" s="38" t="str">
        <f>IF(ISNA(MATCH($N508,data!$A:$A,0)),"",INDEX(data!C:C,MATCH($N508,data!$A:$A,0)))</f>
        <v/>
      </c>
      <c r="AO508" s="38" t="str">
        <f>IF(ISNA(MATCH($N508,data!$A:$A,0)),"",INDEX(data!D:D,MATCH($N508,data!$A:$A,0)))</f>
        <v/>
      </c>
      <c r="AP508" s="38" t="str">
        <f>IF(ISNA(MATCH($N508,data!$A:$A,0)),"",INDEX(data!E:E,MATCH($N508,data!$A:$A,0)))</f>
        <v/>
      </c>
      <c r="AQ508" s="38" t="str">
        <f>IF(ISNA(MATCH($N508,data!$A:$A,0)),"",INDEX(data!F:F,MATCH($N508,data!$A:$A,0)))</f>
        <v/>
      </c>
      <c r="AR508" s="38" t="str">
        <f>IF(ISNA(MATCH($N508,data!$A:$A,0)),"",INDEX(data!G:G,MATCH($N508,data!$A:$A,0)))</f>
        <v/>
      </c>
      <c r="AS508" s="38" t="str">
        <f>IF(ISNA(MATCH($N508,data!$A:$A,0)),"",INDEX(data!H:H,MATCH($N508,data!$A:$A,0)))</f>
        <v/>
      </c>
      <c r="AT508" s="38" t="str">
        <f>IF(ISNA(MATCH($N508,data!$A:$A,0)),"",INDEX(data!I:I,MATCH($N508,data!$A:$A,0)))</f>
        <v/>
      </c>
      <c r="AU508" s="38" t="str">
        <f>IF(ISNA(MATCH($N508,[1]data!$A:$A,0)),"",INDEX([1]data!L:L,MATCH($N508,[1]data!$A:$A,0)))</f>
        <v/>
      </c>
      <c r="AV508" s="38" t="str">
        <f>IF(ISNA(MATCH($N508,[1]data!$A:$A,0)),"",INDEX([1]data!M:M,MATCH($N508,[1]data!$A:$A,0)))</f>
        <v/>
      </c>
      <c r="AW508" s="38" t="str">
        <f>IF(ISNA(MATCH($N508,data!$A:$A,0)),"",INDEX(data!J:J,MATCH($N508,data!$A:$A,0)))</f>
        <v/>
      </c>
      <c r="AX508" s="38" t="str">
        <f>IF(ISNA(MATCH($N508,data!$A:$A,0)),"",INDEX(data!K:K,MATCH($N508,data!$A:$A,0)))</f>
        <v/>
      </c>
      <c r="AY508" s="38" t="str">
        <f>IF(ISNA(MATCH($N508,data!$A:$A,0)),"",INDEX(data!O:O,MATCH($N508,data!$A:$A,0)))</f>
        <v/>
      </c>
      <c r="AZ508" s="38" t="str">
        <f>IF(ISNA(MATCH($N508,data!$A:$A,0)),"",INDEX(data!N:N,MATCH($N508,data!$A:$A,0)))</f>
        <v/>
      </c>
      <c r="BA508" s="38" t="str">
        <f>IF(ISNA(MATCH($N508,data!$A:$A,0)),"",INDEX(data!P:P,MATCH($N508,data!$A:$A,0)))</f>
        <v/>
      </c>
      <c r="BB508" s="38" t="str">
        <f>IF(ISNA(MATCH($N508,data!$A:$A,0)),"",INDEX(data!Q:Q,MATCH($N508,data!$A:$A,0)))</f>
        <v/>
      </c>
      <c r="BC508" s="38" t="str">
        <f>IF(ISNA(MATCH($N508,data!$A:$A,0)),"",INDEX(data!R:R,MATCH($N508,data!$A:$A,0)))</f>
        <v/>
      </c>
      <c r="BD508" s="38" t="str">
        <f>IF(ISNA(MATCH($N508,[1]data!$A:$A,0)),"",INDEX([1]data!U:U,MATCH($N508,[1]data!$A:$A,0)))</f>
        <v/>
      </c>
      <c r="BE508" s="61" t="e">
        <f>IF(COUNTIF([1]data!A:A,[1]!Table1[[#This Row],[UPC]])&lt;2,"","DUP")</f>
        <v>#VALUE!</v>
      </c>
      <c r="BF508" s="38" t="str">
        <f>IF(ISNA(MATCH($N508,data!$A:$A,0)),"",INDEX(data!W:W,MATCH($N508,data!$A:$A,0)))</f>
        <v/>
      </c>
    </row>
    <row r="509" spans="1:58">
      <c r="A509" s="35"/>
      <c r="B509" s="35"/>
      <c r="C509" s="35"/>
      <c r="D509" s="35"/>
      <c r="E509" s="67"/>
      <c r="F509" s="67"/>
      <c r="G509" s="36"/>
      <c r="H509" s="29"/>
      <c r="I509" s="78" t="str">
        <f t="shared" si="10"/>
        <v/>
      </c>
      <c r="J509" s="29"/>
      <c r="K509" s="29"/>
      <c r="L509" s="33"/>
      <c r="M509" s="33"/>
      <c r="N509" s="60"/>
      <c r="O509" s="71"/>
      <c r="P509" s="71"/>
      <c r="Q509" s="33"/>
      <c r="R509" s="31"/>
      <c r="S509" s="31"/>
      <c r="T509" s="59"/>
      <c r="U509" s="59"/>
      <c r="V509" s="59"/>
      <c r="W509" s="57">
        <f t="shared" si="11"/>
        <v>0</v>
      </c>
      <c r="X509" s="126" t="str">
        <f>IF(Table1[[#This Row],[Shipping Weight Pounds]]&gt;150,"See LTL Form","No")</f>
        <v>No</v>
      </c>
      <c r="Y509" s="28"/>
      <c r="Z509" s="33"/>
      <c r="AA509" s="34"/>
      <c r="AB509" s="30"/>
      <c r="AC509" s="30"/>
      <c r="AD509" s="32"/>
      <c r="AE509" s="32"/>
      <c r="AF509" s="2"/>
      <c r="AG509" s="2"/>
      <c r="AH509" s="2"/>
      <c r="AI509" s="2"/>
      <c r="AK509" s="73" t="str">
        <f>IF(ISNA(MATCH($N509,[1]data!$A:$A,0)),"",INDEX([1]data!S:S,MATCH($N509,[1]data!$A:$A,0)))</f>
        <v/>
      </c>
      <c r="AL509" s="73" t="str">
        <f>IF(ISNA(MATCH($N509,[1]data!$A:$A,0)),"",INDEX([1]data!V:V,MATCH($N509,[1]data!$A:$A,0)))</f>
        <v/>
      </c>
      <c r="AM509" s="38" t="str">
        <f>IF(ISNA(MATCH($N509,data!$A:$A,0)),"",INDEX(data!B:B,MATCH($N509,data!$A:$A,0)))</f>
        <v/>
      </c>
      <c r="AN509" s="38" t="str">
        <f>IF(ISNA(MATCH($N509,data!$A:$A,0)),"",INDEX(data!C:C,MATCH($N509,data!$A:$A,0)))</f>
        <v/>
      </c>
      <c r="AO509" s="38" t="str">
        <f>IF(ISNA(MATCH($N509,data!$A:$A,0)),"",INDEX(data!D:D,MATCH($N509,data!$A:$A,0)))</f>
        <v/>
      </c>
      <c r="AP509" s="38" t="str">
        <f>IF(ISNA(MATCH($N509,data!$A:$A,0)),"",INDEX(data!E:E,MATCH($N509,data!$A:$A,0)))</f>
        <v/>
      </c>
      <c r="AQ509" s="38" t="str">
        <f>IF(ISNA(MATCH($N509,data!$A:$A,0)),"",INDEX(data!F:F,MATCH($N509,data!$A:$A,0)))</f>
        <v/>
      </c>
      <c r="AR509" s="38" t="str">
        <f>IF(ISNA(MATCH($N509,data!$A:$A,0)),"",INDEX(data!G:G,MATCH($N509,data!$A:$A,0)))</f>
        <v/>
      </c>
      <c r="AS509" s="38" t="str">
        <f>IF(ISNA(MATCH($N509,data!$A:$A,0)),"",INDEX(data!H:H,MATCH($N509,data!$A:$A,0)))</f>
        <v/>
      </c>
      <c r="AT509" s="38" t="str">
        <f>IF(ISNA(MATCH($N509,data!$A:$A,0)),"",INDEX(data!I:I,MATCH($N509,data!$A:$A,0)))</f>
        <v/>
      </c>
      <c r="AU509" s="38" t="str">
        <f>IF(ISNA(MATCH($N509,[1]data!$A:$A,0)),"",INDEX([1]data!L:L,MATCH($N509,[1]data!$A:$A,0)))</f>
        <v/>
      </c>
      <c r="AV509" s="38" t="str">
        <f>IF(ISNA(MATCH($N509,[1]data!$A:$A,0)),"",INDEX([1]data!M:M,MATCH($N509,[1]data!$A:$A,0)))</f>
        <v/>
      </c>
      <c r="AW509" s="38" t="str">
        <f>IF(ISNA(MATCH($N509,data!$A:$A,0)),"",INDEX(data!J:J,MATCH($N509,data!$A:$A,0)))</f>
        <v/>
      </c>
      <c r="AX509" s="38" t="str">
        <f>IF(ISNA(MATCH($N509,data!$A:$A,0)),"",INDEX(data!K:K,MATCH($N509,data!$A:$A,0)))</f>
        <v/>
      </c>
      <c r="AY509" s="38" t="str">
        <f>IF(ISNA(MATCH($N509,data!$A:$A,0)),"",INDEX(data!O:O,MATCH($N509,data!$A:$A,0)))</f>
        <v/>
      </c>
      <c r="AZ509" s="38" t="str">
        <f>IF(ISNA(MATCH($N509,data!$A:$A,0)),"",INDEX(data!N:N,MATCH($N509,data!$A:$A,0)))</f>
        <v/>
      </c>
      <c r="BA509" s="38" t="str">
        <f>IF(ISNA(MATCH($N509,data!$A:$A,0)),"",INDEX(data!P:P,MATCH($N509,data!$A:$A,0)))</f>
        <v/>
      </c>
      <c r="BB509" s="38" t="str">
        <f>IF(ISNA(MATCH($N509,data!$A:$A,0)),"",INDEX(data!Q:Q,MATCH($N509,data!$A:$A,0)))</f>
        <v/>
      </c>
      <c r="BC509" s="38" t="str">
        <f>IF(ISNA(MATCH($N509,data!$A:$A,0)),"",INDEX(data!R:R,MATCH($N509,data!$A:$A,0)))</f>
        <v/>
      </c>
      <c r="BD509" s="38" t="str">
        <f>IF(ISNA(MATCH($N509,[1]data!$A:$A,0)),"",INDEX([1]data!U:U,MATCH($N509,[1]data!$A:$A,0)))</f>
        <v/>
      </c>
      <c r="BE509" s="61" t="e">
        <f>IF(COUNTIF([1]data!A:A,[1]!Table1[[#This Row],[UPC]])&lt;2,"","DUP")</f>
        <v>#VALUE!</v>
      </c>
      <c r="BF509" s="38" t="str">
        <f>IF(ISNA(MATCH($N509,data!$A:$A,0)),"",INDEX(data!W:W,MATCH($N509,data!$A:$A,0)))</f>
        <v/>
      </c>
    </row>
    <row r="510" spans="1:58">
      <c r="A510" s="35"/>
      <c r="B510" s="35"/>
      <c r="C510" s="35"/>
      <c r="D510" s="35"/>
      <c r="E510" s="67"/>
      <c r="F510" s="67"/>
      <c r="G510" s="36"/>
      <c r="H510" s="29"/>
      <c r="I510" s="78" t="str">
        <f t="shared" si="10"/>
        <v/>
      </c>
      <c r="J510" s="29"/>
      <c r="K510" s="29"/>
      <c r="L510" s="33"/>
      <c r="M510" s="33"/>
      <c r="N510" s="60"/>
      <c r="O510" s="71"/>
      <c r="P510" s="71"/>
      <c r="Q510" s="33"/>
      <c r="R510" s="31"/>
      <c r="S510" s="31"/>
      <c r="T510" s="59"/>
      <c r="U510" s="59"/>
      <c r="V510" s="59"/>
      <c r="W510" s="57">
        <f t="shared" si="11"/>
        <v>0</v>
      </c>
      <c r="X510" s="126" t="str">
        <f>IF(Table1[[#This Row],[Shipping Weight Pounds]]&gt;150,"See LTL Form","No")</f>
        <v>No</v>
      </c>
      <c r="Y510" s="28"/>
      <c r="Z510" s="33"/>
      <c r="AA510" s="34"/>
      <c r="AB510" s="30"/>
      <c r="AC510" s="30"/>
      <c r="AD510" s="32"/>
      <c r="AE510" s="32"/>
      <c r="AF510" s="2"/>
      <c r="AG510" s="2"/>
      <c r="AH510" s="2"/>
      <c r="AI510" s="2"/>
      <c r="AK510" s="73" t="str">
        <f>IF(ISNA(MATCH($N510,[1]data!$A:$A,0)),"",INDEX([1]data!S:S,MATCH($N510,[1]data!$A:$A,0)))</f>
        <v/>
      </c>
      <c r="AL510" s="73" t="str">
        <f>IF(ISNA(MATCH($N510,[1]data!$A:$A,0)),"",INDEX([1]data!V:V,MATCH($N510,[1]data!$A:$A,0)))</f>
        <v/>
      </c>
      <c r="AM510" s="38" t="str">
        <f>IF(ISNA(MATCH($N510,data!$A:$A,0)),"",INDEX(data!B:B,MATCH($N510,data!$A:$A,0)))</f>
        <v/>
      </c>
      <c r="AN510" s="38" t="str">
        <f>IF(ISNA(MATCH($N510,data!$A:$A,0)),"",INDEX(data!C:C,MATCH($N510,data!$A:$A,0)))</f>
        <v/>
      </c>
      <c r="AO510" s="38" t="str">
        <f>IF(ISNA(MATCH($N510,data!$A:$A,0)),"",INDEX(data!D:D,MATCH($N510,data!$A:$A,0)))</f>
        <v/>
      </c>
      <c r="AP510" s="38" t="str">
        <f>IF(ISNA(MATCH($N510,data!$A:$A,0)),"",INDEX(data!E:E,MATCH($N510,data!$A:$A,0)))</f>
        <v/>
      </c>
      <c r="AQ510" s="38" t="str">
        <f>IF(ISNA(MATCH($N510,data!$A:$A,0)),"",INDEX(data!F:F,MATCH($N510,data!$A:$A,0)))</f>
        <v/>
      </c>
      <c r="AR510" s="38" t="str">
        <f>IF(ISNA(MATCH($N510,data!$A:$A,0)),"",INDEX(data!G:G,MATCH($N510,data!$A:$A,0)))</f>
        <v/>
      </c>
      <c r="AS510" s="38" t="str">
        <f>IF(ISNA(MATCH($N510,data!$A:$A,0)),"",INDEX(data!H:H,MATCH($N510,data!$A:$A,0)))</f>
        <v/>
      </c>
      <c r="AT510" s="38" t="str">
        <f>IF(ISNA(MATCH($N510,data!$A:$A,0)),"",INDEX(data!I:I,MATCH($N510,data!$A:$A,0)))</f>
        <v/>
      </c>
      <c r="AU510" s="38" t="str">
        <f>IF(ISNA(MATCH($N510,[1]data!$A:$A,0)),"",INDEX([1]data!L:L,MATCH($N510,[1]data!$A:$A,0)))</f>
        <v/>
      </c>
      <c r="AV510" s="38" t="str">
        <f>IF(ISNA(MATCH($N510,[1]data!$A:$A,0)),"",INDEX([1]data!M:M,MATCH($N510,[1]data!$A:$A,0)))</f>
        <v/>
      </c>
      <c r="AW510" s="38" t="str">
        <f>IF(ISNA(MATCH($N510,data!$A:$A,0)),"",INDEX(data!J:J,MATCH($N510,data!$A:$A,0)))</f>
        <v/>
      </c>
      <c r="AX510" s="38" t="str">
        <f>IF(ISNA(MATCH($N510,data!$A:$A,0)),"",INDEX(data!K:K,MATCH($N510,data!$A:$A,0)))</f>
        <v/>
      </c>
      <c r="AY510" s="38" t="str">
        <f>IF(ISNA(MATCH($N510,data!$A:$A,0)),"",INDEX(data!O:O,MATCH($N510,data!$A:$A,0)))</f>
        <v/>
      </c>
      <c r="AZ510" s="38" t="str">
        <f>IF(ISNA(MATCH($N510,data!$A:$A,0)),"",INDEX(data!N:N,MATCH($N510,data!$A:$A,0)))</f>
        <v/>
      </c>
      <c r="BA510" s="38" t="str">
        <f>IF(ISNA(MATCH($N510,data!$A:$A,0)),"",INDEX(data!P:P,MATCH($N510,data!$A:$A,0)))</f>
        <v/>
      </c>
      <c r="BB510" s="38" t="str">
        <f>IF(ISNA(MATCH($N510,data!$A:$A,0)),"",INDEX(data!Q:Q,MATCH($N510,data!$A:$A,0)))</f>
        <v/>
      </c>
      <c r="BC510" s="38" t="str">
        <f>IF(ISNA(MATCH($N510,data!$A:$A,0)),"",INDEX(data!R:R,MATCH($N510,data!$A:$A,0)))</f>
        <v/>
      </c>
      <c r="BD510" s="38" t="str">
        <f>IF(ISNA(MATCH($N510,[1]data!$A:$A,0)),"",INDEX([1]data!U:U,MATCH($N510,[1]data!$A:$A,0)))</f>
        <v/>
      </c>
      <c r="BE510" s="61" t="e">
        <f>IF(COUNTIF([1]data!A:A,[1]!Table1[[#This Row],[UPC]])&lt;2,"","DUP")</f>
        <v>#VALUE!</v>
      </c>
      <c r="BF510" s="38" t="str">
        <f>IF(ISNA(MATCH($N510,data!$A:$A,0)),"",INDEX(data!W:W,MATCH($N510,data!$A:$A,0)))</f>
        <v/>
      </c>
    </row>
    <row r="511" spans="1:58">
      <c r="A511" s="35"/>
      <c r="B511" s="35"/>
      <c r="C511" s="35"/>
      <c r="D511" s="35"/>
      <c r="E511" s="67"/>
      <c r="F511" s="67"/>
      <c r="G511" s="36"/>
      <c r="H511" s="29"/>
      <c r="I511" s="78" t="str">
        <f t="shared" si="10"/>
        <v/>
      </c>
      <c r="J511" s="29"/>
      <c r="K511" s="29"/>
      <c r="L511" s="33"/>
      <c r="M511" s="33"/>
      <c r="N511" s="60"/>
      <c r="O511" s="71"/>
      <c r="P511" s="71"/>
      <c r="Q511" s="33"/>
      <c r="R511" s="31"/>
      <c r="S511" s="31"/>
      <c r="T511" s="59"/>
      <c r="U511" s="59"/>
      <c r="V511" s="59"/>
      <c r="W511" s="57">
        <f t="shared" si="11"/>
        <v>0</v>
      </c>
      <c r="X511" s="126" t="str">
        <f>IF(Table1[[#This Row],[Shipping Weight Pounds]]&gt;150,"See LTL Form","No")</f>
        <v>No</v>
      </c>
      <c r="Y511" s="28"/>
      <c r="Z511" s="33"/>
      <c r="AA511" s="34"/>
      <c r="AB511" s="30"/>
      <c r="AC511" s="30"/>
      <c r="AD511" s="32"/>
      <c r="AE511" s="32"/>
      <c r="AF511" s="2"/>
      <c r="AG511" s="2"/>
      <c r="AH511" s="2"/>
      <c r="AI511" s="2"/>
      <c r="AK511" s="73" t="str">
        <f>IF(ISNA(MATCH($N511,[1]data!$A:$A,0)),"",INDEX([1]data!S:S,MATCH($N511,[1]data!$A:$A,0)))</f>
        <v/>
      </c>
      <c r="AL511" s="73" t="str">
        <f>IF(ISNA(MATCH($N511,[1]data!$A:$A,0)),"",INDEX([1]data!V:V,MATCH($N511,[1]data!$A:$A,0)))</f>
        <v/>
      </c>
      <c r="AM511" s="38" t="str">
        <f>IF(ISNA(MATCH($N511,data!$A:$A,0)),"",INDEX(data!B:B,MATCH($N511,data!$A:$A,0)))</f>
        <v/>
      </c>
      <c r="AN511" s="38" t="str">
        <f>IF(ISNA(MATCH($N511,data!$A:$A,0)),"",INDEX(data!C:C,MATCH($N511,data!$A:$A,0)))</f>
        <v/>
      </c>
      <c r="AO511" s="38" t="str">
        <f>IF(ISNA(MATCH($N511,data!$A:$A,0)),"",INDEX(data!D:D,MATCH($N511,data!$A:$A,0)))</f>
        <v/>
      </c>
      <c r="AP511" s="38" t="str">
        <f>IF(ISNA(MATCH($N511,data!$A:$A,0)),"",INDEX(data!E:E,MATCH($N511,data!$A:$A,0)))</f>
        <v/>
      </c>
      <c r="AQ511" s="38" t="str">
        <f>IF(ISNA(MATCH($N511,data!$A:$A,0)),"",INDEX(data!F:F,MATCH($N511,data!$A:$A,0)))</f>
        <v/>
      </c>
      <c r="AR511" s="38" t="str">
        <f>IF(ISNA(MATCH($N511,data!$A:$A,0)),"",INDEX(data!G:G,MATCH($N511,data!$A:$A,0)))</f>
        <v/>
      </c>
      <c r="AS511" s="38" t="str">
        <f>IF(ISNA(MATCH($N511,data!$A:$A,0)),"",INDEX(data!H:H,MATCH($N511,data!$A:$A,0)))</f>
        <v/>
      </c>
      <c r="AT511" s="38" t="str">
        <f>IF(ISNA(MATCH($N511,data!$A:$A,0)),"",INDEX(data!I:I,MATCH($N511,data!$A:$A,0)))</f>
        <v/>
      </c>
      <c r="AU511" s="38" t="str">
        <f>IF(ISNA(MATCH($N511,[1]data!$A:$A,0)),"",INDEX([1]data!L:L,MATCH($N511,[1]data!$A:$A,0)))</f>
        <v/>
      </c>
      <c r="AV511" s="38" t="str">
        <f>IF(ISNA(MATCH($N511,[1]data!$A:$A,0)),"",INDEX([1]data!M:M,MATCH($N511,[1]data!$A:$A,0)))</f>
        <v/>
      </c>
      <c r="AW511" s="38" t="str">
        <f>IF(ISNA(MATCH($N511,data!$A:$A,0)),"",INDEX(data!J:J,MATCH($N511,data!$A:$A,0)))</f>
        <v/>
      </c>
      <c r="AX511" s="38" t="str">
        <f>IF(ISNA(MATCH($N511,data!$A:$A,0)),"",INDEX(data!K:K,MATCH($N511,data!$A:$A,0)))</f>
        <v/>
      </c>
      <c r="AY511" s="38" t="str">
        <f>IF(ISNA(MATCH($N511,data!$A:$A,0)),"",INDEX(data!O:O,MATCH($N511,data!$A:$A,0)))</f>
        <v/>
      </c>
      <c r="AZ511" s="38" t="str">
        <f>IF(ISNA(MATCH($N511,data!$A:$A,0)),"",INDEX(data!N:N,MATCH($N511,data!$A:$A,0)))</f>
        <v/>
      </c>
      <c r="BA511" s="38" t="str">
        <f>IF(ISNA(MATCH($N511,data!$A:$A,0)),"",INDEX(data!P:P,MATCH($N511,data!$A:$A,0)))</f>
        <v/>
      </c>
      <c r="BB511" s="38" t="str">
        <f>IF(ISNA(MATCH($N511,data!$A:$A,0)),"",INDEX(data!Q:Q,MATCH($N511,data!$A:$A,0)))</f>
        <v/>
      </c>
      <c r="BC511" s="38" t="str">
        <f>IF(ISNA(MATCH($N511,data!$A:$A,0)),"",INDEX(data!R:R,MATCH($N511,data!$A:$A,0)))</f>
        <v/>
      </c>
      <c r="BD511" s="38" t="str">
        <f>IF(ISNA(MATCH($N511,[1]data!$A:$A,0)),"",INDEX([1]data!U:U,MATCH($N511,[1]data!$A:$A,0)))</f>
        <v/>
      </c>
      <c r="BE511" s="61" t="e">
        <f>IF(COUNTIF([1]data!A:A,[1]!Table1[[#This Row],[UPC]])&lt;2,"","DUP")</f>
        <v>#VALUE!</v>
      </c>
      <c r="BF511" s="38" t="str">
        <f>IF(ISNA(MATCH($N511,data!$A:$A,0)),"",INDEX(data!W:W,MATCH($N511,data!$A:$A,0)))</f>
        <v/>
      </c>
    </row>
    <row r="512" spans="1:58">
      <c r="A512" s="35"/>
      <c r="B512" s="35"/>
      <c r="C512" s="35"/>
      <c r="D512" s="35"/>
      <c r="E512" s="67"/>
      <c r="F512" s="67"/>
      <c r="G512" s="36"/>
      <c r="H512" s="29"/>
      <c r="I512" s="78" t="str">
        <f t="shared" si="10"/>
        <v/>
      </c>
      <c r="J512" s="29"/>
      <c r="K512" s="29"/>
      <c r="L512" s="33"/>
      <c r="M512" s="33"/>
      <c r="N512" s="60"/>
      <c r="O512" s="71"/>
      <c r="P512" s="71"/>
      <c r="Q512" s="33"/>
      <c r="R512" s="31"/>
      <c r="S512" s="31"/>
      <c r="T512" s="59"/>
      <c r="U512" s="59"/>
      <c r="V512" s="59"/>
      <c r="W512" s="57">
        <f t="shared" si="11"/>
        <v>0</v>
      </c>
      <c r="X512" s="126" t="str">
        <f>IF(Table1[[#This Row],[Shipping Weight Pounds]]&gt;150,"See LTL Form","No")</f>
        <v>No</v>
      </c>
      <c r="Y512" s="28"/>
      <c r="Z512" s="33"/>
      <c r="AA512" s="34"/>
      <c r="AB512" s="30"/>
      <c r="AC512" s="30"/>
      <c r="AD512" s="32"/>
      <c r="AE512" s="32"/>
      <c r="AF512" s="2"/>
      <c r="AG512" s="2"/>
      <c r="AH512" s="2"/>
      <c r="AI512" s="2"/>
      <c r="AK512" s="73" t="str">
        <f>IF(ISNA(MATCH($N512,[1]data!$A:$A,0)),"",INDEX([1]data!S:S,MATCH($N512,[1]data!$A:$A,0)))</f>
        <v/>
      </c>
      <c r="AL512" s="73" t="str">
        <f>IF(ISNA(MATCH($N512,[1]data!$A:$A,0)),"",INDEX([1]data!V:V,MATCH($N512,[1]data!$A:$A,0)))</f>
        <v/>
      </c>
      <c r="AM512" s="38" t="str">
        <f>IF(ISNA(MATCH($N512,data!$A:$A,0)),"",INDEX(data!B:B,MATCH($N512,data!$A:$A,0)))</f>
        <v/>
      </c>
      <c r="AN512" s="38" t="str">
        <f>IF(ISNA(MATCH($N512,data!$A:$A,0)),"",INDEX(data!C:C,MATCH($N512,data!$A:$A,0)))</f>
        <v/>
      </c>
      <c r="AO512" s="38" t="str">
        <f>IF(ISNA(MATCH($N512,data!$A:$A,0)),"",INDEX(data!D:D,MATCH($N512,data!$A:$A,0)))</f>
        <v/>
      </c>
      <c r="AP512" s="38" t="str">
        <f>IF(ISNA(MATCH($N512,data!$A:$A,0)),"",INDEX(data!E:E,MATCH($N512,data!$A:$A,0)))</f>
        <v/>
      </c>
      <c r="AQ512" s="38" t="str">
        <f>IF(ISNA(MATCH($N512,data!$A:$A,0)),"",INDEX(data!F:F,MATCH($N512,data!$A:$A,0)))</f>
        <v/>
      </c>
      <c r="AR512" s="38" t="str">
        <f>IF(ISNA(MATCH($N512,data!$A:$A,0)),"",INDEX(data!G:G,MATCH($N512,data!$A:$A,0)))</f>
        <v/>
      </c>
      <c r="AS512" s="38" t="str">
        <f>IF(ISNA(MATCH($N512,data!$A:$A,0)),"",INDEX(data!H:H,MATCH($N512,data!$A:$A,0)))</f>
        <v/>
      </c>
      <c r="AT512" s="38" t="str">
        <f>IF(ISNA(MATCH($N512,data!$A:$A,0)),"",INDEX(data!I:I,MATCH($N512,data!$A:$A,0)))</f>
        <v/>
      </c>
      <c r="AU512" s="38" t="str">
        <f>IF(ISNA(MATCH($N512,[1]data!$A:$A,0)),"",INDEX([1]data!L:L,MATCH($N512,[1]data!$A:$A,0)))</f>
        <v/>
      </c>
      <c r="AV512" s="38" t="str">
        <f>IF(ISNA(MATCH($N512,[1]data!$A:$A,0)),"",INDEX([1]data!M:M,MATCH($N512,[1]data!$A:$A,0)))</f>
        <v/>
      </c>
      <c r="AW512" s="38" t="str">
        <f>IF(ISNA(MATCH($N512,data!$A:$A,0)),"",INDEX(data!J:J,MATCH($N512,data!$A:$A,0)))</f>
        <v/>
      </c>
      <c r="AX512" s="38" t="str">
        <f>IF(ISNA(MATCH($N512,data!$A:$A,0)),"",INDEX(data!K:K,MATCH($N512,data!$A:$A,0)))</f>
        <v/>
      </c>
      <c r="AY512" s="38" t="str">
        <f>IF(ISNA(MATCH($N512,data!$A:$A,0)),"",INDEX(data!O:O,MATCH($N512,data!$A:$A,0)))</f>
        <v/>
      </c>
      <c r="AZ512" s="38" t="str">
        <f>IF(ISNA(MATCH($N512,data!$A:$A,0)),"",INDEX(data!N:N,MATCH($N512,data!$A:$A,0)))</f>
        <v/>
      </c>
      <c r="BA512" s="38" t="str">
        <f>IF(ISNA(MATCH($N512,data!$A:$A,0)),"",INDEX(data!P:P,MATCH($N512,data!$A:$A,0)))</f>
        <v/>
      </c>
      <c r="BB512" s="38" t="str">
        <f>IF(ISNA(MATCH($N512,data!$A:$A,0)),"",INDEX(data!Q:Q,MATCH($N512,data!$A:$A,0)))</f>
        <v/>
      </c>
      <c r="BC512" s="38" t="str">
        <f>IF(ISNA(MATCH($N512,data!$A:$A,0)),"",INDEX(data!R:R,MATCH($N512,data!$A:$A,0)))</f>
        <v/>
      </c>
      <c r="BD512" s="38" t="str">
        <f>IF(ISNA(MATCH($N512,[1]data!$A:$A,0)),"",INDEX([1]data!U:U,MATCH($N512,[1]data!$A:$A,0)))</f>
        <v/>
      </c>
      <c r="BE512" s="61" t="e">
        <f>IF(COUNTIF([1]data!A:A,[1]!Table1[[#This Row],[UPC]])&lt;2,"","DUP")</f>
        <v>#VALUE!</v>
      </c>
      <c r="BF512" s="38" t="str">
        <f>IF(ISNA(MATCH($N512,data!$A:$A,0)),"",INDEX(data!W:W,MATCH($N512,data!$A:$A,0)))</f>
        <v/>
      </c>
    </row>
    <row r="513" spans="1:58">
      <c r="A513" s="35"/>
      <c r="B513" s="35"/>
      <c r="C513" s="35"/>
      <c r="D513" s="35"/>
      <c r="E513" s="67"/>
      <c r="F513" s="67"/>
      <c r="G513" s="36"/>
      <c r="H513" s="29"/>
      <c r="I513" s="78" t="str">
        <f t="shared" si="10"/>
        <v/>
      </c>
      <c r="J513" s="29"/>
      <c r="K513" s="29"/>
      <c r="L513" s="33"/>
      <c r="M513" s="33"/>
      <c r="N513" s="60"/>
      <c r="O513" s="71"/>
      <c r="P513" s="71"/>
      <c r="Q513" s="33"/>
      <c r="R513" s="31"/>
      <c r="S513" s="31"/>
      <c r="T513" s="59"/>
      <c r="U513" s="59"/>
      <c r="V513" s="59"/>
      <c r="W513" s="57">
        <f t="shared" si="11"/>
        <v>0</v>
      </c>
      <c r="X513" s="126" t="str">
        <f>IF(Table1[[#This Row],[Shipping Weight Pounds]]&gt;150,"See LTL Form","No")</f>
        <v>No</v>
      </c>
      <c r="Y513" s="28"/>
      <c r="Z513" s="33"/>
      <c r="AA513" s="34"/>
      <c r="AB513" s="30"/>
      <c r="AC513" s="30"/>
      <c r="AD513" s="32"/>
      <c r="AE513" s="32"/>
      <c r="AF513" s="2"/>
      <c r="AG513" s="2"/>
      <c r="AH513" s="2"/>
      <c r="AI513" s="2"/>
      <c r="AK513" s="73" t="str">
        <f>IF(ISNA(MATCH($N513,[1]data!$A:$A,0)),"",INDEX([1]data!S:S,MATCH($N513,[1]data!$A:$A,0)))</f>
        <v/>
      </c>
      <c r="AL513" s="73" t="str">
        <f>IF(ISNA(MATCH($N513,[1]data!$A:$A,0)),"",INDEX([1]data!V:V,MATCH($N513,[1]data!$A:$A,0)))</f>
        <v/>
      </c>
      <c r="AM513" s="38" t="str">
        <f>IF(ISNA(MATCH($N513,data!$A:$A,0)),"",INDEX(data!B:B,MATCH($N513,data!$A:$A,0)))</f>
        <v/>
      </c>
      <c r="AN513" s="38" t="str">
        <f>IF(ISNA(MATCH($N513,data!$A:$A,0)),"",INDEX(data!C:C,MATCH($N513,data!$A:$A,0)))</f>
        <v/>
      </c>
      <c r="AO513" s="38" t="str">
        <f>IF(ISNA(MATCH($N513,data!$A:$A,0)),"",INDEX(data!D:D,MATCH($N513,data!$A:$A,0)))</f>
        <v/>
      </c>
      <c r="AP513" s="38" t="str">
        <f>IF(ISNA(MATCH($N513,data!$A:$A,0)),"",INDEX(data!E:E,MATCH($N513,data!$A:$A,0)))</f>
        <v/>
      </c>
      <c r="AQ513" s="38" t="str">
        <f>IF(ISNA(MATCH($N513,data!$A:$A,0)),"",INDEX(data!F:F,MATCH($N513,data!$A:$A,0)))</f>
        <v/>
      </c>
      <c r="AR513" s="38" t="str">
        <f>IF(ISNA(MATCH($N513,data!$A:$A,0)),"",INDEX(data!G:G,MATCH($N513,data!$A:$A,0)))</f>
        <v/>
      </c>
      <c r="AS513" s="38" t="str">
        <f>IF(ISNA(MATCH($N513,data!$A:$A,0)),"",INDEX(data!H:H,MATCH($N513,data!$A:$A,0)))</f>
        <v/>
      </c>
      <c r="AT513" s="38" t="str">
        <f>IF(ISNA(MATCH($N513,data!$A:$A,0)),"",INDEX(data!I:I,MATCH($N513,data!$A:$A,0)))</f>
        <v/>
      </c>
      <c r="AU513" s="38" t="str">
        <f>IF(ISNA(MATCH($N513,[1]data!$A:$A,0)),"",INDEX([1]data!L:L,MATCH($N513,[1]data!$A:$A,0)))</f>
        <v/>
      </c>
      <c r="AV513" s="38" t="str">
        <f>IF(ISNA(MATCH($N513,[1]data!$A:$A,0)),"",INDEX([1]data!M:M,MATCH($N513,[1]data!$A:$A,0)))</f>
        <v/>
      </c>
      <c r="AW513" s="38" t="str">
        <f>IF(ISNA(MATCH($N513,data!$A:$A,0)),"",INDEX(data!J:J,MATCH($N513,data!$A:$A,0)))</f>
        <v/>
      </c>
      <c r="AX513" s="38" t="str">
        <f>IF(ISNA(MATCH($N513,data!$A:$A,0)),"",INDEX(data!K:K,MATCH($N513,data!$A:$A,0)))</f>
        <v/>
      </c>
      <c r="AY513" s="38" t="str">
        <f>IF(ISNA(MATCH($N513,data!$A:$A,0)),"",INDEX(data!O:O,MATCH($N513,data!$A:$A,0)))</f>
        <v/>
      </c>
      <c r="AZ513" s="38" t="str">
        <f>IF(ISNA(MATCH($N513,data!$A:$A,0)),"",INDEX(data!N:N,MATCH($N513,data!$A:$A,0)))</f>
        <v/>
      </c>
      <c r="BA513" s="38" t="str">
        <f>IF(ISNA(MATCH($N513,data!$A:$A,0)),"",INDEX(data!P:P,MATCH($N513,data!$A:$A,0)))</f>
        <v/>
      </c>
      <c r="BB513" s="38" t="str">
        <f>IF(ISNA(MATCH($N513,data!$A:$A,0)),"",INDEX(data!Q:Q,MATCH($N513,data!$A:$A,0)))</f>
        <v/>
      </c>
      <c r="BC513" s="38" t="str">
        <f>IF(ISNA(MATCH($N513,data!$A:$A,0)),"",INDEX(data!R:R,MATCH($N513,data!$A:$A,0)))</f>
        <v/>
      </c>
      <c r="BD513" s="38" t="str">
        <f>IF(ISNA(MATCH($N513,[1]data!$A:$A,0)),"",INDEX([1]data!U:U,MATCH($N513,[1]data!$A:$A,0)))</f>
        <v/>
      </c>
      <c r="BE513" s="61" t="e">
        <f>IF(COUNTIF([1]data!A:A,[1]!Table1[[#This Row],[UPC]])&lt;2,"","DUP")</f>
        <v>#VALUE!</v>
      </c>
      <c r="BF513" s="38" t="str">
        <f>IF(ISNA(MATCH($N513,data!$A:$A,0)),"",INDEX(data!W:W,MATCH($N513,data!$A:$A,0)))</f>
        <v/>
      </c>
    </row>
    <row r="514" spans="1:58">
      <c r="A514" s="35"/>
      <c r="B514" s="35"/>
      <c r="C514" s="35"/>
      <c r="D514" s="35"/>
      <c r="E514" s="67"/>
      <c r="F514" s="67"/>
      <c r="G514" s="36"/>
      <c r="H514" s="29"/>
      <c r="I514" s="78" t="str">
        <f t="shared" si="10"/>
        <v/>
      </c>
      <c r="J514" s="29"/>
      <c r="K514" s="29"/>
      <c r="L514" s="33"/>
      <c r="M514" s="33"/>
      <c r="N514" s="60"/>
      <c r="O514" s="71"/>
      <c r="P514" s="71"/>
      <c r="Q514" s="33"/>
      <c r="R514" s="31"/>
      <c r="S514" s="31"/>
      <c r="T514" s="59"/>
      <c r="U514" s="59"/>
      <c r="V514" s="59"/>
      <c r="W514" s="57">
        <f t="shared" si="11"/>
        <v>0</v>
      </c>
      <c r="X514" s="126" t="str">
        <f>IF(Table1[[#This Row],[Shipping Weight Pounds]]&gt;150,"See LTL Form","No")</f>
        <v>No</v>
      </c>
      <c r="Y514" s="28"/>
      <c r="Z514" s="33"/>
      <c r="AA514" s="34"/>
      <c r="AB514" s="30"/>
      <c r="AC514" s="30"/>
      <c r="AD514" s="32"/>
      <c r="AE514" s="32"/>
      <c r="AF514" s="2"/>
      <c r="AG514" s="2"/>
      <c r="AH514" s="2"/>
      <c r="AI514" s="2"/>
      <c r="AK514" s="73" t="str">
        <f>IF(ISNA(MATCH($N514,[1]data!$A:$A,0)),"",INDEX([1]data!S:S,MATCH($N514,[1]data!$A:$A,0)))</f>
        <v/>
      </c>
      <c r="AL514" s="73" t="str">
        <f>IF(ISNA(MATCH($N514,[1]data!$A:$A,0)),"",INDEX([1]data!V:V,MATCH($N514,[1]data!$A:$A,0)))</f>
        <v/>
      </c>
      <c r="AM514" s="38" t="str">
        <f>IF(ISNA(MATCH($N514,data!$A:$A,0)),"",INDEX(data!B:B,MATCH($N514,data!$A:$A,0)))</f>
        <v/>
      </c>
      <c r="AN514" s="38" t="str">
        <f>IF(ISNA(MATCH($N514,data!$A:$A,0)),"",INDEX(data!C:C,MATCH($N514,data!$A:$A,0)))</f>
        <v/>
      </c>
      <c r="AO514" s="38" t="str">
        <f>IF(ISNA(MATCH($N514,data!$A:$A,0)),"",INDEX(data!D:D,MATCH($N514,data!$A:$A,0)))</f>
        <v/>
      </c>
      <c r="AP514" s="38" t="str">
        <f>IF(ISNA(MATCH($N514,data!$A:$A,0)),"",INDEX(data!E:E,MATCH($N514,data!$A:$A,0)))</f>
        <v/>
      </c>
      <c r="AQ514" s="38" t="str">
        <f>IF(ISNA(MATCH($N514,data!$A:$A,0)),"",INDEX(data!F:F,MATCH($N514,data!$A:$A,0)))</f>
        <v/>
      </c>
      <c r="AR514" s="38" t="str">
        <f>IF(ISNA(MATCH($N514,data!$A:$A,0)),"",INDEX(data!G:G,MATCH($N514,data!$A:$A,0)))</f>
        <v/>
      </c>
      <c r="AS514" s="38" t="str">
        <f>IF(ISNA(MATCH($N514,data!$A:$A,0)),"",INDEX(data!H:H,MATCH($N514,data!$A:$A,0)))</f>
        <v/>
      </c>
      <c r="AT514" s="38" t="str">
        <f>IF(ISNA(MATCH($N514,data!$A:$A,0)),"",INDEX(data!I:I,MATCH($N514,data!$A:$A,0)))</f>
        <v/>
      </c>
      <c r="AU514" s="38" t="str">
        <f>IF(ISNA(MATCH($N514,[1]data!$A:$A,0)),"",INDEX([1]data!L:L,MATCH($N514,[1]data!$A:$A,0)))</f>
        <v/>
      </c>
      <c r="AV514" s="38" t="str">
        <f>IF(ISNA(MATCH($N514,[1]data!$A:$A,0)),"",INDEX([1]data!M:M,MATCH($N514,[1]data!$A:$A,0)))</f>
        <v/>
      </c>
      <c r="AW514" s="38" t="str">
        <f>IF(ISNA(MATCH($N514,data!$A:$A,0)),"",INDEX(data!J:J,MATCH($N514,data!$A:$A,0)))</f>
        <v/>
      </c>
      <c r="AX514" s="38" t="str">
        <f>IF(ISNA(MATCH($N514,data!$A:$A,0)),"",INDEX(data!K:K,MATCH($N514,data!$A:$A,0)))</f>
        <v/>
      </c>
      <c r="AY514" s="38" t="str">
        <f>IF(ISNA(MATCH($N514,data!$A:$A,0)),"",INDEX(data!O:O,MATCH($N514,data!$A:$A,0)))</f>
        <v/>
      </c>
      <c r="AZ514" s="38" t="str">
        <f>IF(ISNA(MATCH($N514,data!$A:$A,0)),"",INDEX(data!N:N,MATCH($N514,data!$A:$A,0)))</f>
        <v/>
      </c>
      <c r="BA514" s="38" t="str">
        <f>IF(ISNA(MATCH($N514,data!$A:$A,0)),"",INDEX(data!P:P,MATCH($N514,data!$A:$A,0)))</f>
        <v/>
      </c>
      <c r="BB514" s="38" t="str">
        <f>IF(ISNA(MATCH($N514,data!$A:$A,0)),"",INDEX(data!Q:Q,MATCH($N514,data!$A:$A,0)))</f>
        <v/>
      </c>
      <c r="BC514" s="38" t="str">
        <f>IF(ISNA(MATCH($N514,data!$A:$A,0)),"",INDEX(data!R:R,MATCH($N514,data!$A:$A,0)))</f>
        <v/>
      </c>
      <c r="BD514" s="38" t="str">
        <f>IF(ISNA(MATCH($N514,[1]data!$A:$A,0)),"",INDEX([1]data!U:U,MATCH($N514,[1]data!$A:$A,0)))</f>
        <v/>
      </c>
      <c r="BE514" s="61" t="e">
        <f>IF(COUNTIF([1]data!A:A,[1]!Table1[[#This Row],[UPC]])&lt;2,"","DUP")</f>
        <v>#VALUE!</v>
      </c>
      <c r="BF514" s="38" t="str">
        <f>IF(ISNA(MATCH($N514,data!$A:$A,0)),"",INDEX(data!W:W,MATCH($N514,data!$A:$A,0)))</f>
        <v/>
      </c>
    </row>
    <row r="515" spans="1:58">
      <c r="A515" s="35"/>
      <c r="B515" s="35"/>
      <c r="C515" s="35"/>
      <c r="D515" s="35"/>
      <c r="E515" s="67"/>
      <c r="F515" s="67"/>
      <c r="G515" s="36"/>
      <c r="H515" s="29"/>
      <c r="I515" s="78" t="str">
        <f t="shared" si="10"/>
        <v/>
      </c>
      <c r="J515" s="29"/>
      <c r="K515" s="29"/>
      <c r="L515" s="33"/>
      <c r="M515" s="33"/>
      <c r="N515" s="60"/>
      <c r="O515" s="71"/>
      <c r="P515" s="71"/>
      <c r="Q515" s="33"/>
      <c r="R515" s="31"/>
      <c r="S515" s="31"/>
      <c r="T515" s="59"/>
      <c r="U515" s="59"/>
      <c r="V515" s="59"/>
      <c r="W515" s="57">
        <f t="shared" si="11"/>
        <v>0</v>
      </c>
      <c r="X515" s="126" t="str">
        <f>IF(Table1[[#This Row],[Shipping Weight Pounds]]&gt;150,"See LTL Form","No")</f>
        <v>No</v>
      </c>
      <c r="Y515" s="28"/>
      <c r="Z515" s="33"/>
      <c r="AA515" s="34"/>
      <c r="AB515" s="30"/>
      <c r="AC515" s="30"/>
      <c r="AD515" s="32"/>
      <c r="AE515" s="32"/>
      <c r="AF515" s="2"/>
      <c r="AG515" s="2"/>
      <c r="AH515" s="2"/>
      <c r="AI515" s="2"/>
      <c r="AK515" s="73" t="str">
        <f>IF(ISNA(MATCH($N515,[1]data!$A:$A,0)),"",INDEX([1]data!S:S,MATCH($N515,[1]data!$A:$A,0)))</f>
        <v/>
      </c>
      <c r="AL515" s="73" t="str">
        <f>IF(ISNA(MATCH($N515,[1]data!$A:$A,0)),"",INDEX([1]data!V:V,MATCH($N515,[1]data!$A:$A,0)))</f>
        <v/>
      </c>
      <c r="AM515" s="38" t="str">
        <f>IF(ISNA(MATCH($N515,data!$A:$A,0)),"",INDEX(data!B:B,MATCH($N515,data!$A:$A,0)))</f>
        <v/>
      </c>
      <c r="AN515" s="38" t="str">
        <f>IF(ISNA(MATCH($N515,data!$A:$A,0)),"",INDEX(data!C:C,MATCH($N515,data!$A:$A,0)))</f>
        <v/>
      </c>
      <c r="AO515" s="38" t="str">
        <f>IF(ISNA(MATCH($N515,data!$A:$A,0)),"",INDEX(data!D:D,MATCH($N515,data!$A:$A,0)))</f>
        <v/>
      </c>
      <c r="AP515" s="38" t="str">
        <f>IF(ISNA(MATCH($N515,data!$A:$A,0)),"",INDEX(data!E:E,MATCH($N515,data!$A:$A,0)))</f>
        <v/>
      </c>
      <c r="AQ515" s="38" t="str">
        <f>IF(ISNA(MATCH($N515,data!$A:$A,0)),"",INDEX(data!F:F,MATCH($N515,data!$A:$A,0)))</f>
        <v/>
      </c>
      <c r="AR515" s="38" t="str">
        <f>IF(ISNA(MATCH($N515,data!$A:$A,0)),"",INDEX(data!G:G,MATCH($N515,data!$A:$A,0)))</f>
        <v/>
      </c>
      <c r="AS515" s="38" t="str">
        <f>IF(ISNA(MATCH($N515,data!$A:$A,0)),"",INDEX(data!H:H,MATCH($N515,data!$A:$A,0)))</f>
        <v/>
      </c>
      <c r="AT515" s="38" t="str">
        <f>IF(ISNA(MATCH($N515,data!$A:$A,0)),"",INDEX(data!I:I,MATCH($N515,data!$A:$A,0)))</f>
        <v/>
      </c>
      <c r="AU515" s="38" t="str">
        <f>IF(ISNA(MATCH($N515,[1]data!$A:$A,0)),"",INDEX([1]data!L:L,MATCH($N515,[1]data!$A:$A,0)))</f>
        <v/>
      </c>
      <c r="AV515" s="38" t="str">
        <f>IF(ISNA(MATCH($N515,[1]data!$A:$A,0)),"",INDEX([1]data!M:M,MATCH($N515,[1]data!$A:$A,0)))</f>
        <v/>
      </c>
      <c r="AW515" s="38" t="str">
        <f>IF(ISNA(MATCH($N515,data!$A:$A,0)),"",INDEX(data!J:J,MATCH($N515,data!$A:$A,0)))</f>
        <v/>
      </c>
      <c r="AX515" s="38" t="str">
        <f>IF(ISNA(MATCH($N515,data!$A:$A,0)),"",INDEX(data!K:K,MATCH($N515,data!$A:$A,0)))</f>
        <v/>
      </c>
      <c r="AY515" s="38" t="str">
        <f>IF(ISNA(MATCH($N515,data!$A:$A,0)),"",INDEX(data!O:O,MATCH($N515,data!$A:$A,0)))</f>
        <v/>
      </c>
      <c r="AZ515" s="38" t="str">
        <f>IF(ISNA(MATCH($N515,data!$A:$A,0)),"",INDEX(data!N:N,MATCH($N515,data!$A:$A,0)))</f>
        <v/>
      </c>
      <c r="BA515" s="38" t="str">
        <f>IF(ISNA(MATCH($N515,data!$A:$A,0)),"",INDEX(data!P:P,MATCH($N515,data!$A:$A,0)))</f>
        <v/>
      </c>
      <c r="BB515" s="38" t="str">
        <f>IF(ISNA(MATCH($N515,data!$A:$A,0)),"",INDEX(data!Q:Q,MATCH($N515,data!$A:$A,0)))</f>
        <v/>
      </c>
      <c r="BC515" s="38" t="str">
        <f>IF(ISNA(MATCH($N515,data!$A:$A,0)),"",INDEX(data!R:R,MATCH($N515,data!$A:$A,0)))</f>
        <v/>
      </c>
      <c r="BD515" s="38" t="str">
        <f>IF(ISNA(MATCH($N515,[1]data!$A:$A,0)),"",INDEX([1]data!U:U,MATCH($N515,[1]data!$A:$A,0)))</f>
        <v/>
      </c>
      <c r="BE515" s="61" t="e">
        <f>IF(COUNTIF([1]data!A:A,[1]!Table1[[#This Row],[UPC]])&lt;2,"","DUP")</f>
        <v>#VALUE!</v>
      </c>
      <c r="BF515" s="38" t="str">
        <f>IF(ISNA(MATCH($N515,data!$A:$A,0)),"",INDEX(data!W:W,MATCH($N515,data!$A:$A,0)))</f>
        <v/>
      </c>
    </row>
    <row r="516" spans="1:58">
      <c r="A516" s="35"/>
      <c r="B516" s="35"/>
      <c r="C516" s="35"/>
      <c r="D516" s="35"/>
      <c r="E516" s="67"/>
      <c r="F516" s="67"/>
      <c r="G516" s="36"/>
      <c r="H516" s="29"/>
      <c r="I516" s="78" t="str">
        <f t="shared" si="10"/>
        <v/>
      </c>
      <c r="J516" s="29"/>
      <c r="K516" s="29"/>
      <c r="L516" s="33"/>
      <c r="M516" s="33"/>
      <c r="N516" s="60"/>
      <c r="O516" s="71"/>
      <c r="P516" s="71"/>
      <c r="Q516" s="33"/>
      <c r="R516" s="31"/>
      <c r="S516" s="31"/>
      <c r="T516" s="59"/>
      <c r="U516" s="59"/>
      <c r="V516" s="59"/>
      <c r="W516" s="57">
        <f t="shared" si="11"/>
        <v>0</v>
      </c>
      <c r="X516" s="126" t="str">
        <f>IF(Table1[[#This Row],[Shipping Weight Pounds]]&gt;150,"See LTL Form","No")</f>
        <v>No</v>
      </c>
      <c r="Y516" s="28"/>
      <c r="Z516" s="33"/>
      <c r="AA516" s="34"/>
      <c r="AB516" s="30"/>
      <c r="AC516" s="30"/>
      <c r="AD516" s="32"/>
      <c r="AE516" s="32"/>
      <c r="AF516" s="2"/>
      <c r="AG516" s="2"/>
      <c r="AH516" s="2"/>
      <c r="AI516" s="2"/>
      <c r="AK516" s="73" t="str">
        <f>IF(ISNA(MATCH($N516,[1]data!$A:$A,0)),"",INDEX([1]data!S:S,MATCH($N516,[1]data!$A:$A,0)))</f>
        <v/>
      </c>
      <c r="AL516" s="73" t="str">
        <f>IF(ISNA(MATCH($N516,[1]data!$A:$A,0)),"",INDEX([1]data!V:V,MATCH($N516,[1]data!$A:$A,0)))</f>
        <v/>
      </c>
      <c r="AM516" s="38" t="str">
        <f>IF(ISNA(MATCH($N516,data!$A:$A,0)),"",INDEX(data!B:B,MATCH($N516,data!$A:$A,0)))</f>
        <v/>
      </c>
      <c r="AN516" s="38" t="str">
        <f>IF(ISNA(MATCH($N516,data!$A:$A,0)),"",INDEX(data!C:C,MATCH($N516,data!$A:$A,0)))</f>
        <v/>
      </c>
      <c r="AO516" s="38" t="str">
        <f>IF(ISNA(MATCH($N516,data!$A:$A,0)),"",INDEX(data!D:D,MATCH($N516,data!$A:$A,0)))</f>
        <v/>
      </c>
      <c r="AP516" s="38" t="str">
        <f>IF(ISNA(MATCH($N516,data!$A:$A,0)),"",INDEX(data!E:E,MATCH($N516,data!$A:$A,0)))</f>
        <v/>
      </c>
      <c r="AQ516" s="38" t="str">
        <f>IF(ISNA(MATCH($N516,data!$A:$A,0)),"",INDEX(data!F:F,MATCH($N516,data!$A:$A,0)))</f>
        <v/>
      </c>
      <c r="AR516" s="38" t="str">
        <f>IF(ISNA(MATCH($N516,data!$A:$A,0)),"",INDEX(data!G:G,MATCH($N516,data!$A:$A,0)))</f>
        <v/>
      </c>
      <c r="AS516" s="38" t="str">
        <f>IF(ISNA(MATCH($N516,data!$A:$A,0)),"",INDEX(data!H:H,MATCH($N516,data!$A:$A,0)))</f>
        <v/>
      </c>
      <c r="AT516" s="38" t="str">
        <f>IF(ISNA(MATCH($N516,data!$A:$A,0)),"",INDEX(data!I:I,MATCH($N516,data!$A:$A,0)))</f>
        <v/>
      </c>
      <c r="AU516" s="38" t="str">
        <f>IF(ISNA(MATCH($N516,[1]data!$A:$A,0)),"",INDEX([1]data!L:L,MATCH($N516,[1]data!$A:$A,0)))</f>
        <v/>
      </c>
      <c r="AV516" s="38" t="str">
        <f>IF(ISNA(MATCH($N516,[1]data!$A:$A,0)),"",INDEX([1]data!M:M,MATCH($N516,[1]data!$A:$A,0)))</f>
        <v/>
      </c>
      <c r="AW516" s="38" t="str">
        <f>IF(ISNA(MATCH($N516,data!$A:$A,0)),"",INDEX(data!J:J,MATCH($N516,data!$A:$A,0)))</f>
        <v/>
      </c>
      <c r="AX516" s="38" t="str">
        <f>IF(ISNA(MATCH($N516,data!$A:$A,0)),"",INDEX(data!K:K,MATCH($N516,data!$A:$A,0)))</f>
        <v/>
      </c>
      <c r="AY516" s="38" t="str">
        <f>IF(ISNA(MATCH($N516,data!$A:$A,0)),"",INDEX(data!O:O,MATCH($N516,data!$A:$A,0)))</f>
        <v/>
      </c>
      <c r="AZ516" s="38" t="str">
        <f>IF(ISNA(MATCH($N516,data!$A:$A,0)),"",INDEX(data!N:N,MATCH($N516,data!$A:$A,0)))</f>
        <v/>
      </c>
      <c r="BA516" s="38" t="str">
        <f>IF(ISNA(MATCH($N516,data!$A:$A,0)),"",INDEX(data!P:P,MATCH($N516,data!$A:$A,0)))</f>
        <v/>
      </c>
      <c r="BB516" s="38" t="str">
        <f>IF(ISNA(MATCH($N516,data!$A:$A,0)),"",INDEX(data!Q:Q,MATCH($N516,data!$A:$A,0)))</f>
        <v/>
      </c>
      <c r="BC516" s="38" t="str">
        <f>IF(ISNA(MATCH($N516,data!$A:$A,0)),"",INDEX(data!R:R,MATCH($N516,data!$A:$A,0)))</f>
        <v/>
      </c>
      <c r="BD516" s="38" t="str">
        <f>IF(ISNA(MATCH($N516,[1]data!$A:$A,0)),"",INDEX([1]data!U:U,MATCH($N516,[1]data!$A:$A,0)))</f>
        <v/>
      </c>
      <c r="BE516" s="61" t="e">
        <f>IF(COUNTIF([1]data!A:A,[1]!Table1[[#This Row],[UPC]])&lt;2,"","DUP")</f>
        <v>#VALUE!</v>
      </c>
      <c r="BF516" s="38" t="str">
        <f>IF(ISNA(MATCH($N516,data!$A:$A,0)),"",INDEX(data!W:W,MATCH($N516,data!$A:$A,0)))</f>
        <v/>
      </c>
    </row>
    <row r="517" spans="1:58">
      <c r="A517" s="35"/>
      <c r="B517" s="35"/>
      <c r="C517" s="35"/>
      <c r="D517" s="35"/>
      <c r="E517" s="67"/>
      <c r="F517" s="67"/>
      <c r="G517" s="36"/>
      <c r="H517" s="29"/>
      <c r="I517" s="78" t="str">
        <f t="shared" si="10"/>
        <v/>
      </c>
      <c r="J517" s="29"/>
      <c r="K517" s="29"/>
      <c r="L517" s="33"/>
      <c r="M517" s="33"/>
      <c r="N517" s="60"/>
      <c r="O517" s="71"/>
      <c r="P517" s="71"/>
      <c r="Q517" s="33"/>
      <c r="R517" s="31"/>
      <c r="S517" s="31"/>
      <c r="T517" s="59"/>
      <c r="U517" s="59"/>
      <c r="V517" s="59"/>
      <c r="W517" s="57">
        <f t="shared" si="11"/>
        <v>0</v>
      </c>
      <c r="X517" s="126" t="str">
        <f>IF(Table1[[#This Row],[Shipping Weight Pounds]]&gt;150,"See LTL Form","No")</f>
        <v>No</v>
      </c>
      <c r="Y517" s="28"/>
      <c r="Z517" s="33"/>
      <c r="AA517" s="34"/>
      <c r="AB517" s="30"/>
      <c r="AC517" s="30"/>
      <c r="AD517" s="32"/>
      <c r="AE517" s="32"/>
      <c r="AF517" s="2"/>
      <c r="AG517" s="2"/>
      <c r="AH517" s="2"/>
      <c r="AI517" s="2"/>
      <c r="AK517" s="73" t="str">
        <f>IF(ISNA(MATCH($N517,[1]data!$A:$A,0)),"",INDEX([1]data!S:S,MATCH($N517,[1]data!$A:$A,0)))</f>
        <v/>
      </c>
      <c r="AL517" s="73" t="str">
        <f>IF(ISNA(MATCH($N517,[1]data!$A:$A,0)),"",INDEX([1]data!V:V,MATCH($N517,[1]data!$A:$A,0)))</f>
        <v/>
      </c>
      <c r="AM517" s="38" t="str">
        <f>IF(ISNA(MATCH($N517,data!$A:$A,0)),"",INDEX(data!B:B,MATCH($N517,data!$A:$A,0)))</f>
        <v/>
      </c>
      <c r="AN517" s="38" t="str">
        <f>IF(ISNA(MATCH($N517,data!$A:$A,0)),"",INDEX(data!C:C,MATCH($N517,data!$A:$A,0)))</f>
        <v/>
      </c>
      <c r="AO517" s="38" t="str">
        <f>IF(ISNA(MATCH($N517,data!$A:$A,0)),"",INDEX(data!D:D,MATCH($N517,data!$A:$A,0)))</f>
        <v/>
      </c>
      <c r="AP517" s="38" t="str">
        <f>IF(ISNA(MATCH($N517,data!$A:$A,0)),"",INDEX(data!E:E,MATCH($N517,data!$A:$A,0)))</f>
        <v/>
      </c>
      <c r="AQ517" s="38" t="str">
        <f>IF(ISNA(MATCH($N517,data!$A:$A,0)),"",INDEX(data!F:F,MATCH($N517,data!$A:$A,0)))</f>
        <v/>
      </c>
      <c r="AR517" s="38" t="str">
        <f>IF(ISNA(MATCH($N517,data!$A:$A,0)),"",INDEX(data!G:G,MATCH($N517,data!$A:$A,0)))</f>
        <v/>
      </c>
      <c r="AS517" s="38" t="str">
        <f>IF(ISNA(MATCH($N517,data!$A:$A,0)),"",INDEX(data!H:H,MATCH($N517,data!$A:$A,0)))</f>
        <v/>
      </c>
      <c r="AT517" s="38" t="str">
        <f>IF(ISNA(MATCH($N517,data!$A:$A,0)),"",INDEX(data!I:I,MATCH($N517,data!$A:$A,0)))</f>
        <v/>
      </c>
      <c r="AU517" s="38" t="str">
        <f>IF(ISNA(MATCH($N517,[1]data!$A:$A,0)),"",INDEX([1]data!L:L,MATCH($N517,[1]data!$A:$A,0)))</f>
        <v/>
      </c>
      <c r="AV517" s="38" t="str">
        <f>IF(ISNA(MATCH($N517,[1]data!$A:$A,0)),"",INDEX([1]data!M:M,MATCH($N517,[1]data!$A:$A,0)))</f>
        <v/>
      </c>
      <c r="AW517" s="38" t="str">
        <f>IF(ISNA(MATCH($N517,data!$A:$A,0)),"",INDEX(data!J:J,MATCH($N517,data!$A:$A,0)))</f>
        <v/>
      </c>
      <c r="AX517" s="38" t="str">
        <f>IF(ISNA(MATCH($N517,data!$A:$A,0)),"",INDEX(data!K:K,MATCH($N517,data!$A:$A,0)))</f>
        <v/>
      </c>
      <c r="AY517" s="38" t="str">
        <f>IF(ISNA(MATCH($N517,data!$A:$A,0)),"",INDEX(data!O:O,MATCH($N517,data!$A:$A,0)))</f>
        <v/>
      </c>
      <c r="AZ517" s="38" t="str">
        <f>IF(ISNA(MATCH($N517,data!$A:$A,0)),"",INDEX(data!N:N,MATCH($N517,data!$A:$A,0)))</f>
        <v/>
      </c>
      <c r="BA517" s="38" t="str">
        <f>IF(ISNA(MATCH($N517,data!$A:$A,0)),"",INDEX(data!P:P,MATCH($N517,data!$A:$A,0)))</f>
        <v/>
      </c>
      <c r="BB517" s="38" t="str">
        <f>IF(ISNA(MATCH($N517,data!$A:$A,0)),"",INDEX(data!Q:Q,MATCH($N517,data!$A:$A,0)))</f>
        <v/>
      </c>
      <c r="BC517" s="38" t="str">
        <f>IF(ISNA(MATCH($N517,data!$A:$A,0)),"",INDEX(data!R:R,MATCH($N517,data!$A:$A,0)))</f>
        <v/>
      </c>
      <c r="BD517" s="38" t="str">
        <f>IF(ISNA(MATCH($N517,[1]data!$A:$A,0)),"",INDEX([1]data!U:U,MATCH($N517,[1]data!$A:$A,0)))</f>
        <v/>
      </c>
      <c r="BE517" s="61" t="e">
        <f>IF(COUNTIF([1]data!A:A,[1]!Table1[[#This Row],[UPC]])&lt;2,"","DUP")</f>
        <v>#VALUE!</v>
      </c>
      <c r="BF517" s="38" t="str">
        <f>IF(ISNA(MATCH($N517,data!$A:$A,0)),"",INDEX(data!W:W,MATCH($N517,data!$A:$A,0)))</f>
        <v/>
      </c>
    </row>
    <row r="518" spans="1:58">
      <c r="A518" s="35"/>
      <c r="B518" s="35"/>
      <c r="C518" s="35"/>
      <c r="D518" s="35"/>
      <c r="E518" s="67"/>
      <c r="F518" s="67"/>
      <c r="G518" s="36"/>
      <c r="H518" s="29"/>
      <c r="I518" s="78" t="str">
        <f t="shared" si="10"/>
        <v/>
      </c>
      <c r="J518" s="29"/>
      <c r="K518" s="29"/>
      <c r="L518" s="33"/>
      <c r="M518" s="33"/>
      <c r="N518" s="60"/>
      <c r="O518" s="71"/>
      <c r="P518" s="71"/>
      <c r="Q518" s="33"/>
      <c r="R518" s="31"/>
      <c r="S518" s="31"/>
      <c r="T518" s="59"/>
      <c r="U518" s="59"/>
      <c r="V518" s="59"/>
      <c r="W518" s="57">
        <f t="shared" si="11"/>
        <v>0</v>
      </c>
      <c r="X518" s="126" t="str">
        <f>IF(Table1[[#This Row],[Shipping Weight Pounds]]&gt;150,"See LTL Form","No")</f>
        <v>No</v>
      </c>
      <c r="Y518" s="28"/>
      <c r="Z518" s="33"/>
      <c r="AA518" s="34"/>
      <c r="AB518" s="30"/>
      <c r="AC518" s="30"/>
      <c r="AD518" s="32"/>
      <c r="AE518" s="32"/>
      <c r="AF518" s="2"/>
      <c r="AG518" s="2"/>
      <c r="AH518" s="2"/>
      <c r="AI518" s="2"/>
      <c r="AK518" s="73" t="str">
        <f>IF(ISNA(MATCH($N518,[1]data!$A:$A,0)),"",INDEX([1]data!S:S,MATCH($N518,[1]data!$A:$A,0)))</f>
        <v/>
      </c>
      <c r="AL518" s="73" t="str">
        <f>IF(ISNA(MATCH($N518,[1]data!$A:$A,0)),"",INDEX([1]data!V:V,MATCH($N518,[1]data!$A:$A,0)))</f>
        <v/>
      </c>
      <c r="AM518" s="38" t="str">
        <f>IF(ISNA(MATCH($N518,data!$A:$A,0)),"",INDEX(data!B:B,MATCH($N518,data!$A:$A,0)))</f>
        <v/>
      </c>
      <c r="AN518" s="38" t="str">
        <f>IF(ISNA(MATCH($N518,data!$A:$A,0)),"",INDEX(data!C:C,MATCH($N518,data!$A:$A,0)))</f>
        <v/>
      </c>
      <c r="AO518" s="38" t="str">
        <f>IF(ISNA(MATCH($N518,data!$A:$A,0)),"",INDEX(data!D:D,MATCH($N518,data!$A:$A,0)))</f>
        <v/>
      </c>
      <c r="AP518" s="38" t="str">
        <f>IF(ISNA(MATCH($N518,data!$A:$A,0)),"",INDEX(data!E:E,MATCH($N518,data!$A:$A,0)))</f>
        <v/>
      </c>
      <c r="AQ518" s="38" t="str">
        <f>IF(ISNA(MATCH($N518,data!$A:$A,0)),"",INDEX(data!F:F,MATCH($N518,data!$A:$A,0)))</f>
        <v/>
      </c>
      <c r="AR518" s="38" t="str">
        <f>IF(ISNA(MATCH($N518,data!$A:$A,0)),"",INDEX(data!G:G,MATCH($N518,data!$A:$A,0)))</f>
        <v/>
      </c>
      <c r="AS518" s="38" t="str">
        <f>IF(ISNA(MATCH($N518,data!$A:$A,0)),"",INDEX(data!H:H,MATCH($N518,data!$A:$A,0)))</f>
        <v/>
      </c>
      <c r="AT518" s="38" t="str">
        <f>IF(ISNA(MATCH($N518,data!$A:$A,0)),"",INDEX(data!I:I,MATCH($N518,data!$A:$A,0)))</f>
        <v/>
      </c>
      <c r="AU518" s="38" t="str">
        <f>IF(ISNA(MATCH($N518,[1]data!$A:$A,0)),"",INDEX([1]data!L:L,MATCH($N518,[1]data!$A:$A,0)))</f>
        <v/>
      </c>
      <c r="AV518" s="38" t="str">
        <f>IF(ISNA(MATCH($N518,[1]data!$A:$A,0)),"",INDEX([1]data!M:M,MATCH($N518,[1]data!$A:$A,0)))</f>
        <v/>
      </c>
      <c r="AW518" s="38" t="str">
        <f>IF(ISNA(MATCH($N518,data!$A:$A,0)),"",INDEX(data!J:J,MATCH($N518,data!$A:$A,0)))</f>
        <v/>
      </c>
      <c r="AX518" s="38" t="str">
        <f>IF(ISNA(MATCH($N518,data!$A:$A,0)),"",INDEX(data!K:K,MATCH($N518,data!$A:$A,0)))</f>
        <v/>
      </c>
      <c r="AY518" s="38" t="str">
        <f>IF(ISNA(MATCH($N518,data!$A:$A,0)),"",INDEX(data!O:O,MATCH($N518,data!$A:$A,0)))</f>
        <v/>
      </c>
      <c r="AZ518" s="38" t="str">
        <f>IF(ISNA(MATCH($N518,data!$A:$A,0)),"",INDEX(data!N:N,MATCH($N518,data!$A:$A,0)))</f>
        <v/>
      </c>
      <c r="BA518" s="38" t="str">
        <f>IF(ISNA(MATCH($N518,data!$A:$A,0)),"",INDEX(data!P:P,MATCH($N518,data!$A:$A,0)))</f>
        <v/>
      </c>
      <c r="BB518" s="38" t="str">
        <f>IF(ISNA(MATCH($N518,data!$A:$A,0)),"",INDEX(data!Q:Q,MATCH($N518,data!$A:$A,0)))</f>
        <v/>
      </c>
      <c r="BC518" s="38" t="str">
        <f>IF(ISNA(MATCH($N518,data!$A:$A,0)),"",INDEX(data!R:R,MATCH($N518,data!$A:$A,0)))</f>
        <v/>
      </c>
      <c r="BD518" s="38" t="str">
        <f>IF(ISNA(MATCH($N518,[1]data!$A:$A,0)),"",INDEX([1]data!U:U,MATCH($N518,[1]data!$A:$A,0)))</f>
        <v/>
      </c>
      <c r="BE518" s="61" t="e">
        <f>IF(COUNTIF([1]data!A:A,[1]!Table1[[#This Row],[UPC]])&lt;2,"","DUP")</f>
        <v>#VALUE!</v>
      </c>
      <c r="BF518" s="38" t="str">
        <f>IF(ISNA(MATCH($N518,data!$A:$A,0)),"",INDEX(data!W:W,MATCH($N518,data!$A:$A,0)))</f>
        <v/>
      </c>
    </row>
    <row r="519" spans="1:58">
      <c r="A519" s="35"/>
      <c r="B519" s="35"/>
      <c r="C519" s="35"/>
      <c r="D519" s="35"/>
      <c r="E519" s="67"/>
      <c r="F519" s="67"/>
      <c r="G519" s="36"/>
      <c r="H519" s="29"/>
      <c r="I519" s="78" t="str">
        <f t="shared" si="10"/>
        <v/>
      </c>
      <c r="J519" s="29"/>
      <c r="K519" s="29"/>
      <c r="L519" s="33"/>
      <c r="M519" s="33"/>
      <c r="N519" s="60"/>
      <c r="O519" s="71"/>
      <c r="P519" s="71"/>
      <c r="Q519" s="33"/>
      <c r="R519" s="31"/>
      <c r="S519" s="31"/>
      <c r="T519" s="59"/>
      <c r="U519" s="59"/>
      <c r="V519" s="59"/>
      <c r="W519" s="57">
        <f t="shared" si="11"/>
        <v>0</v>
      </c>
      <c r="X519" s="126" t="str">
        <f>IF(Table1[[#This Row],[Shipping Weight Pounds]]&gt;150,"See LTL Form","No")</f>
        <v>No</v>
      </c>
      <c r="Y519" s="28"/>
      <c r="Z519" s="33"/>
      <c r="AA519" s="34"/>
      <c r="AB519" s="30"/>
      <c r="AC519" s="30"/>
      <c r="AD519" s="32"/>
      <c r="AE519" s="32"/>
      <c r="AF519" s="2"/>
      <c r="AG519" s="2"/>
      <c r="AH519" s="2"/>
      <c r="AI519" s="2"/>
      <c r="AK519" s="73" t="str">
        <f>IF(ISNA(MATCH($N519,[1]data!$A:$A,0)),"",INDEX([1]data!S:S,MATCH($N519,[1]data!$A:$A,0)))</f>
        <v/>
      </c>
      <c r="AL519" s="73" t="str">
        <f>IF(ISNA(MATCH($N519,[1]data!$A:$A,0)),"",INDEX([1]data!V:V,MATCH($N519,[1]data!$A:$A,0)))</f>
        <v/>
      </c>
      <c r="AM519" s="38" t="str">
        <f>IF(ISNA(MATCH($N519,data!$A:$A,0)),"",INDEX(data!B:B,MATCH($N519,data!$A:$A,0)))</f>
        <v/>
      </c>
      <c r="AN519" s="38" t="str">
        <f>IF(ISNA(MATCH($N519,data!$A:$A,0)),"",INDEX(data!C:C,MATCH($N519,data!$A:$A,0)))</f>
        <v/>
      </c>
      <c r="AO519" s="38" t="str">
        <f>IF(ISNA(MATCH($N519,data!$A:$A,0)),"",INDEX(data!D:D,MATCH($N519,data!$A:$A,0)))</f>
        <v/>
      </c>
      <c r="AP519" s="38" t="str">
        <f>IF(ISNA(MATCH($N519,data!$A:$A,0)),"",INDEX(data!E:E,MATCH($N519,data!$A:$A,0)))</f>
        <v/>
      </c>
      <c r="AQ519" s="38" t="str">
        <f>IF(ISNA(MATCH($N519,data!$A:$A,0)),"",INDEX(data!F:F,MATCH($N519,data!$A:$A,0)))</f>
        <v/>
      </c>
      <c r="AR519" s="38" t="str">
        <f>IF(ISNA(MATCH($N519,data!$A:$A,0)),"",INDEX(data!G:G,MATCH($N519,data!$A:$A,0)))</f>
        <v/>
      </c>
      <c r="AS519" s="38" t="str">
        <f>IF(ISNA(MATCH($N519,data!$A:$A,0)),"",INDEX(data!H:H,MATCH($N519,data!$A:$A,0)))</f>
        <v/>
      </c>
      <c r="AT519" s="38" t="str">
        <f>IF(ISNA(MATCH($N519,data!$A:$A,0)),"",INDEX(data!I:I,MATCH($N519,data!$A:$A,0)))</f>
        <v/>
      </c>
      <c r="AU519" s="38" t="str">
        <f>IF(ISNA(MATCH($N519,[1]data!$A:$A,0)),"",INDEX([1]data!L:L,MATCH($N519,[1]data!$A:$A,0)))</f>
        <v/>
      </c>
      <c r="AV519" s="38" t="str">
        <f>IF(ISNA(MATCH($N519,[1]data!$A:$A,0)),"",INDEX([1]data!M:M,MATCH($N519,[1]data!$A:$A,0)))</f>
        <v/>
      </c>
      <c r="AW519" s="38" t="str">
        <f>IF(ISNA(MATCH($N519,data!$A:$A,0)),"",INDEX(data!J:J,MATCH($N519,data!$A:$A,0)))</f>
        <v/>
      </c>
      <c r="AX519" s="38" t="str">
        <f>IF(ISNA(MATCH($N519,data!$A:$A,0)),"",INDEX(data!K:K,MATCH($N519,data!$A:$A,0)))</f>
        <v/>
      </c>
      <c r="AY519" s="38" t="str">
        <f>IF(ISNA(MATCH($N519,data!$A:$A,0)),"",INDEX(data!O:O,MATCH($N519,data!$A:$A,0)))</f>
        <v/>
      </c>
      <c r="AZ519" s="38" t="str">
        <f>IF(ISNA(MATCH($N519,data!$A:$A,0)),"",INDEX(data!N:N,MATCH($N519,data!$A:$A,0)))</f>
        <v/>
      </c>
      <c r="BA519" s="38" t="str">
        <f>IF(ISNA(MATCH($N519,data!$A:$A,0)),"",INDEX(data!P:P,MATCH($N519,data!$A:$A,0)))</f>
        <v/>
      </c>
      <c r="BB519" s="38" t="str">
        <f>IF(ISNA(MATCH($N519,data!$A:$A,0)),"",INDEX(data!Q:Q,MATCH($N519,data!$A:$A,0)))</f>
        <v/>
      </c>
      <c r="BC519" s="38" t="str">
        <f>IF(ISNA(MATCH($N519,data!$A:$A,0)),"",INDEX(data!R:R,MATCH($N519,data!$A:$A,0)))</f>
        <v/>
      </c>
      <c r="BD519" s="38" t="str">
        <f>IF(ISNA(MATCH($N519,[1]data!$A:$A,0)),"",INDEX([1]data!U:U,MATCH($N519,[1]data!$A:$A,0)))</f>
        <v/>
      </c>
      <c r="BE519" s="61" t="e">
        <f>IF(COUNTIF([1]data!A:A,[1]!Table1[[#This Row],[UPC]])&lt;2,"","DUP")</f>
        <v>#VALUE!</v>
      </c>
      <c r="BF519" s="38" t="str">
        <f>IF(ISNA(MATCH($N519,data!$A:$A,0)),"",INDEX(data!W:W,MATCH($N519,data!$A:$A,0)))</f>
        <v/>
      </c>
    </row>
    <row r="520" spans="1:58">
      <c r="A520" s="35"/>
      <c r="B520" s="35"/>
      <c r="C520" s="35"/>
      <c r="D520" s="35"/>
      <c r="E520" s="67"/>
      <c r="F520" s="67"/>
      <c r="G520" s="36"/>
      <c r="H520" s="29"/>
      <c r="I520" s="78" t="str">
        <f t="shared" ref="I520:I583" si="12">IF(H520&lt;&gt;0,(H520-G520)/H520,"")</f>
        <v/>
      </c>
      <c r="J520" s="29"/>
      <c r="K520" s="29"/>
      <c r="L520" s="33"/>
      <c r="M520" s="33"/>
      <c r="N520" s="60"/>
      <c r="O520" s="71"/>
      <c r="P520" s="71"/>
      <c r="Q520" s="33"/>
      <c r="R520" s="31"/>
      <c r="S520" s="31"/>
      <c r="T520" s="59"/>
      <c r="U520" s="59"/>
      <c r="V520" s="59"/>
      <c r="W520" s="57">
        <f t="shared" ref="W520:W583" si="13">IF(ISERR(Q520*R520*S520),"",(Q520*R520*S520))</f>
        <v>0</v>
      </c>
      <c r="X520" s="126" t="str">
        <f>IF(Table1[[#This Row],[Shipping Weight Pounds]]&gt;150,"See LTL Form","No")</f>
        <v>No</v>
      </c>
      <c r="Y520" s="28"/>
      <c r="Z520" s="33"/>
      <c r="AA520" s="34"/>
      <c r="AB520" s="30"/>
      <c r="AC520" s="30"/>
      <c r="AD520" s="32"/>
      <c r="AE520" s="32"/>
      <c r="AF520" s="2"/>
      <c r="AG520" s="2"/>
      <c r="AH520" s="2"/>
      <c r="AI520" s="2"/>
      <c r="AK520" s="73" t="str">
        <f>IF(ISNA(MATCH($N520,[1]data!$A:$A,0)),"",INDEX([1]data!S:S,MATCH($N520,[1]data!$A:$A,0)))</f>
        <v/>
      </c>
      <c r="AL520" s="73" t="str">
        <f>IF(ISNA(MATCH($N520,[1]data!$A:$A,0)),"",INDEX([1]data!V:V,MATCH($N520,[1]data!$A:$A,0)))</f>
        <v/>
      </c>
      <c r="AM520" s="38" t="str">
        <f>IF(ISNA(MATCH($N520,data!$A:$A,0)),"",INDEX(data!B:B,MATCH($N520,data!$A:$A,0)))</f>
        <v/>
      </c>
      <c r="AN520" s="38" t="str">
        <f>IF(ISNA(MATCH($N520,data!$A:$A,0)),"",INDEX(data!C:C,MATCH($N520,data!$A:$A,0)))</f>
        <v/>
      </c>
      <c r="AO520" s="38" t="str">
        <f>IF(ISNA(MATCH($N520,data!$A:$A,0)),"",INDEX(data!D:D,MATCH($N520,data!$A:$A,0)))</f>
        <v/>
      </c>
      <c r="AP520" s="38" t="str">
        <f>IF(ISNA(MATCH($N520,data!$A:$A,0)),"",INDEX(data!E:E,MATCH($N520,data!$A:$A,0)))</f>
        <v/>
      </c>
      <c r="AQ520" s="38" t="str">
        <f>IF(ISNA(MATCH($N520,data!$A:$A,0)),"",INDEX(data!F:F,MATCH($N520,data!$A:$A,0)))</f>
        <v/>
      </c>
      <c r="AR520" s="38" t="str">
        <f>IF(ISNA(MATCH($N520,data!$A:$A,0)),"",INDEX(data!G:G,MATCH($N520,data!$A:$A,0)))</f>
        <v/>
      </c>
      <c r="AS520" s="38" t="str">
        <f>IF(ISNA(MATCH($N520,data!$A:$A,0)),"",INDEX(data!H:H,MATCH($N520,data!$A:$A,0)))</f>
        <v/>
      </c>
      <c r="AT520" s="38" t="str">
        <f>IF(ISNA(MATCH($N520,data!$A:$A,0)),"",INDEX(data!I:I,MATCH($N520,data!$A:$A,0)))</f>
        <v/>
      </c>
      <c r="AU520" s="38" t="str">
        <f>IF(ISNA(MATCH($N520,[1]data!$A:$A,0)),"",INDEX([1]data!L:L,MATCH($N520,[1]data!$A:$A,0)))</f>
        <v/>
      </c>
      <c r="AV520" s="38" t="str">
        <f>IF(ISNA(MATCH($N520,[1]data!$A:$A,0)),"",INDEX([1]data!M:M,MATCH($N520,[1]data!$A:$A,0)))</f>
        <v/>
      </c>
      <c r="AW520" s="38" t="str">
        <f>IF(ISNA(MATCH($N520,data!$A:$A,0)),"",INDEX(data!J:J,MATCH($N520,data!$A:$A,0)))</f>
        <v/>
      </c>
      <c r="AX520" s="38" t="str">
        <f>IF(ISNA(MATCH($N520,data!$A:$A,0)),"",INDEX(data!K:K,MATCH($N520,data!$A:$A,0)))</f>
        <v/>
      </c>
      <c r="AY520" s="38" t="str">
        <f>IF(ISNA(MATCH($N520,data!$A:$A,0)),"",INDEX(data!O:O,MATCH($N520,data!$A:$A,0)))</f>
        <v/>
      </c>
      <c r="AZ520" s="38" t="str">
        <f>IF(ISNA(MATCH($N520,data!$A:$A,0)),"",INDEX(data!N:N,MATCH($N520,data!$A:$A,0)))</f>
        <v/>
      </c>
      <c r="BA520" s="38" t="str">
        <f>IF(ISNA(MATCH($N520,data!$A:$A,0)),"",INDEX(data!P:P,MATCH($N520,data!$A:$A,0)))</f>
        <v/>
      </c>
      <c r="BB520" s="38" t="str">
        <f>IF(ISNA(MATCH($N520,data!$A:$A,0)),"",INDEX(data!Q:Q,MATCH($N520,data!$A:$A,0)))</f>
        <v/>
      </c>
      <c r="BC520" s="38" t="str">
        <f>IF(ISNA(MATCH($N520,data!$A:$A,0)),"",INDEX(data!R:R,MATCH($N520,data!$A:$A,0)))</f>
        <v/>
      </c>
      <c r="BD520" s="38" t="str">
        <f>IF(ISNA(MATCH($N520,[1]data!$A:$A,0)),"",INDEX([1]data!U:U,MATCH($N520,[1]data!$A:$A,0)))</f>
        <v/>
      </c>
      <c r="BE520" s="61" t="e">
        <f>IF(COUNTIF([1]data!A:A,[1]!Table1[[#This Row],[UPC]])&lt;2,"","DUP")</f>
        <v>#VALUE!</v>
      </c>
      <c r="BF520" s="38" t="str">
        <f>IF(ISNA(MATCH($N520,data!$A:$A,0)),"",INDEX(data!W:W,MATCH($N520,data!$A:$A,0)))</f>
        <v/>
      </c>
    </row>
    <row r="521" spans="1:58">
      <c r="A521" s="35"/>
      <c r="B521" s="35"/>
      <c r="C521" s="35"/>
      <c r="D521" s="35"/>
      <c r="E521" s="67"/>
      <c r="F521" s="67"/>
      <c r="G521" s="36"/>
      <c r="H521" s="29"/>
      <c r="I521" s="78" t="str">
        <f t="shared" si="12"/>
        <v/>
      </c>
      <c r="J521" s="29"/>
      <c r="K521" s="29"/>
      <c r="L521" s="33"/>
      <c r="M521" s="33"/>
      <c r="N521" s="60"/>
      <c r="O521" s="71"/>
      <c r="P521" s="71"/>
      <c r="Q521" s="33"/>
      <c r="R521" s="31"/>
      <c r="S521" s="31"/>
      <c r="T521" s="59"/>
      <c r="U521" s="59"/>
      <c r="V521" s="59"/>
      <c r="W521" s="57">
        <f t="shared" si="13"/>
        <v>0</v>
      </c>
      <c r="X521" s="126" t="str">
        <f>IF(Table1[[#This Row],[Shipping Weight Pounds]]&gt;150,"See LTL Form","No")</f>
        <v>No</v>
      </c>
      <c r="Y521" s="28"/>
      <c r="Z521" s="33"/>
      <c r="AA521" s="34"/>
      <c r="AB521" s="30"/>
      <c r="AC521" s="30"/>
      <c r="AD521" s="32"/>
      <c r="AE521" s="32"/>
      <c r="AF521" s="2"/>
      <c r="AG521" s="2"/>
      <c r="AH521" s="2"/>
      <c r="AI521" s="2"/>
      <c r="AK521" s="73" t="str">
        <f>IF(ISNA(MATCH($N521,[1]data!$A:$A,0)),"",INDEX([1]data!S:S,MATCH($N521,[1]data!$A:$A,0)))</f>
        <v/>
      </c>
      <c r="AL521" s="73" t="str">
        <f>IF(ISNA(MATCH($N521,[1]data!$A:$A,0)),"",INDEX([1]data!V:V,MATCH($N521,[1]data!$A:$A,0)))</f>
        <v/>
      </c>
      <c r="AM521" s="38" t="str">
        <f>IF(ISNA(MATCH($N521,data!$A:$A,0)),"",INDEX(data!B:B,MATCH($N521,data!$A:$A,0)))</f>
        <v/>
      </c>
      <c r="AN521" s="38" t="str">
        <f>IF(ISNA(MATCH($N521,data!$A:$A,0)),"",INDEX(data!C:C,MATCH($N521,data!$A:$A,0)))</f>
        <v/>
      </c>
      <c r="AO521" s="38" t="str">
        <f>IF(ISNA(MATCH($N521,data!$A:$A,0)),"",INDEX(data!D:D,MATCH($N521,data!$A:$A,0)))</f>
        <v/>
      </c>
      <c r="AP521" s="38" t="str">
        <f>IF(ISNA(MATCH($N521,data!$A:$A,0)),"",INDEX(data!E:E,MATCH($N521,data!$A:$A,0)))</f>
        <v/>
      </c>
      <c r="AQ521" s="38" t="str">
        <f>IF(ISNA(MATCH($N521,data!$A:$A,0)),"",INDEX(data!F:F,MATCH($N521,data!$A:$A,0)))</f>
        <v/>
      </c>
      <c r="AR521" s="38" t="str">
        <f>IF(ISNA(MATCH($N521,data!$A:$A,0)),"",INDEX(data!G:G,MATCH($N521,data!$A:$A,0)))</f>
        <v/>
      </c>
      <c r="AS521" s="38" t="str">
        <f>IF(ISNA(MATCH($N521,data!$A:$A,0)),"",INDEX(data!H:H,MATCH($N521,data!$A:$A,0)))</f>
        <v/>
      </c>
      <c r="AT521" s="38" t="str">
        <f>IF(ISNA(MATCH($N521,data!$A:$A,0)),"",INDEX(data!I:I,MATCH($N521,data!$A:$A,0)))</f>
        <v/>
      </c>
      <c r="AU521" s="38" t="str">
        <f>IF(ISNA(MATCH($N521,[1]data!$A:$A,0)),"",INDEX([1]data!L:L,MATCH($N521,[1]data!$A:$A,0)))</f>
        <v/>
      </c>
      <c r="AV521" s="38" t="str">
        <f>IF(ISNA(MATCH($N521,[1]data!$A:$A,0)),"",INDEX([1]data!M:M,MATCH($N521,[1]data!$A:$A,0)))</f>
        <v/>
      </c>
      <c r="AW521" s="38" t="str">
        <f>IF(ISNA(MATCH($N521,data!$A:$A,0)),"",INDEX(data!J:J,MATCH($N521,data!$A:$A,0)))</f>
        <v/>
      </c>
      <c r="AX521" s="38" t="str">
        <f>IF(ISNA(MATCH($N521,data!$A:$A,0)),"",INDEX(data!K:K,MATCH($N521,data!$A:$A,0)))</f>
        <v/>
      </c>
      <c r="AY521" s="38" t="str">
        <f>IF(ISNA(MATCH($N521,data!$A:$A,0)),"",INDEX(data!O:O,MATCH($N521,data!$A:$A,0)))</f>
        <v/>
      </c>
      <c r="AZ521" s="38" t="str">
        <f>IF(ISNA(MATCH($N521,data!$A:$A,0)),"",INDEX(data!N:N,MATCH($N521,data!$A:$A,0)))</f>
        <v/>
      </c>
      <c r="BA521" s="38" t="str">
        <f>IF(ISNA(MATCH($N521,data!$A:$A,0)),"",INDEX(data!P:P,MATCH($N521,data!$A:$A,0)))</f>
        <v/>
      </c>
      <c r="BB521" s="38" t="str">
        <f>IF(ISNA(MATCH($N521,data!$A:$A,0)),"",INDEX(data!Q:Q,MATCH($N521,data!$A:$A,0)))</f>
        <v/>
      </c>
      <c r="BC521" s="38" t="str">
        <f>IF(ISNA(MATCH($N521,data!$A:$A,0)),"",INDEX(data!R:R,MATCH($N521,data!$A:$A,0)))</f>
        <v/>
      </c>
      <c r="BD521" s="38" t="str">
        <f>IF(ISNA(MATCH($N521,[1]data!$A:$A,0)),"",INDEX([1]data!U:U,MATCH($N521,[1]data!$A:$A,0)))</f>
        <v/>
      </c>
      <c r="BE521" s="61" t="e">
        <f>IF(COUNTIF([1]data!A:A,[1]!Table1[[#This Row],[UPC]])&lt;2,"","DUP")</f>
        <v>#VALUE!</v>
      </c>
      <c r="BF521" s="38" t="str">
        <f>IF(ISNA(MATCH($N521,data!$A:$A,0)),"",INDEX(data!W:W,MATCH($N521,data!$A:$A,0)))</f>
        <v/>
      </c>
    </row>
    <row r="522" spans="1:58">
      <c r="A522" s="35"/>
      <c r="B522" s="35"/>
      <c r="C522" s="35"/>
      <c r="D522" s="35"/>
      <c r="E522" s="67"/>
      <c r="F522" s="67"/>
      <c r="G522" s="36"/>
      <c r="H522" s="29"/>
      <c r="I522" s="78" t="str">
        <f t="shared" si="12"/>
        <v/>
      </c>
      <c r="J522" s="29"/>
      <c r="K522" s="29"/>
      <c r="L522" s="33"/>
      <c r="M522" s="33"/>
      <c r="N522" s="60"/>
      <c r="O522" s="71"/>
      <c r="P522" s="71"/>
      <c r="Q522" s="33"/>
      <c r="R522" s="31"/>
      <c r="S522" s="31"/>
      <c r="T522" s="59"/>
      <c r="U522" s="59"/>
      <c r="V522" s="59"/>
      <c r="W522" s="57">
        <f t="shared" si="13"/>
        <v>0</v>
      </c>
      <c r="X522" s="126" t="str">
        <f>IF(Table1[[#This Row],[Shipping Weight Pounds]]&gt;150,"See LTL Form","No")</f>
        <v>No</v>
      </c>
      <c r="Y522" s="28"/>
      <c r="Z522" s="33"/>
      <c r="AA522" s="34"/>
      <c r="AB522" s="30"/>
      <c r="AC522" s="30"/>
      <c r="AD522" s="32"/>
      <c r="AE522" s="32"/>
      <c r="AF522" s="2"/>
      <c r="AG522" s="2"/>
      <c r="AH522" s="2"/>
      <c r="AI522" s="2"/>
      <c r="AK522" s="73" t="str">
        <f>IF(ISNA(MATCH($N522,[1]data!$A:$A,0)),"",INDEX([1]data!S:S,MATCH($N522,[1]data!$A:$A,0)))</f>
        <v/>
      </c>
      <c r="AL522" s="73" t="str">
        <f>IF(ISNA(MATCH($N522,[1]data!$A:$A,0)),"",INDEX([1]data!V:V,MATCH($N522,[1]data!$A:$A,0)))</f>
        <v/>
      </c>
      <c r="AM522" s="38" t="str">
        <f>IF(ISNA(MATCH($N522,data!$A:$A,0)),"",INDEX(data!B:B,MATCH($N522,data!$A:$A,0)))</f>
        <v/>
      </c>
      <c r="AN522" s="38" t="str">
        <f>IF(ISNA(MATCH($N522,data!$A:$A,0)),"",INDEX(data!C:C,MATCH($N522,data!$A:$A,0)))</f>
        <v/>
      </c>
      <c r="AO522" s="38" t="str">
        <f>IF(ISNA(MATCH($N522,data!$A:$A,0)),"",INDEX(data!D:D,MATCH($N522,data!$A:$A,0)))</f>
        <v/>
      </c>
      <c r="AP522" s="38" t="str">
        <f>IF(ISNA(MATCH($N522,data!$A:$A,0)),"",INDEX(data!E:E,MATCH($N522,data!$A:$A,0)))</f>
        <v/>
      </c>
      <c r="AQ522" s="38" t="str">
        <f>IF(ISNA(MATCH($N522,data!$A:$A,0)),"",INDEX(data!F:F,MATCH($N522,data!$A:$A,0)))</f>
        <v/>
      </c>
      <c r="AR522" s="38" t="str">
        <f>IF(ISNA(MATCH($N522,data!$A:$A,0)),"",INDEX(data!G:G,MATCH($N522,data!$A:$A,0)))</f>
        <v/>
      </c>
      <c r="AS522" s="38" t="str">
        <f>IF(ISNA(MATCH($N522,data!$A:$A,0)),"",INDEX(data!H:H,MATCH($N522,data!$A:$A,0)))</f>
        <v/>
      </c>
      <c r="AT522" s="38" t="str">
        <f>IF(ISNA(MATCH($N522,data!$A:$A,0)),"",INDEX(data!I:I,MATCH($N522,data!$A:$A,0)))</f>
        <v/>
      </c>
      <c r="AU522" s="38" t="str">
        <f>IF(ISNA(MATCH($N522,[1]data!$A:$A,0)),"",INDEX([1]data!L:L,MATCH($N522,[1]data!$A:$A,0)))</f>
        <v/>
      </c>
      <c r="AV522" s="38" t="str">
        <f>IF(ISNA(MATCH($N522,[1]data!$A:$A,0)),"",INDEX([1]data!M:M,MATCH($N522,[1]data!$A:$A,0)))</f>
        <v/>
      </c>
      <c r="AW522" s="38" t="str">
        <f>IF(ISNA(MATCH($N522,data!$A:$A,0)),"",INDEX(data!J:J,MATCH($N522,data!$A:$A,0)))</f>
        <v/>
      </c>
      <c r="AX522" s="38" t="str">
        <f>IF(ISNA(MATCH($N522,data!$A:$A,0)),"",INDEX(data!K:K,MATCH($N522,data!$A:$A,0)))</f>
        <v/>
      </c>
      <c r="AY522" s="38" t="str">
        <f>IF(ISNA(MATCH($N522,data!$A:$A,0)),"",INDEX(data!O:O,MATCH($N522,data!$A:$A,0)))</f>
        <v/>
      </c>
      <c r="AZ522" s="38" t="str">
        <f>IF(ISNA(MATCH($N522,data!$A:$A,0)),"",INDEX(data!N:N,MATCH($N522,data!$A:$A,0)))</f>
        <v/>
      </c>
      <c r="BA522" s="38" t="str">
        <f>IF(ISNA(MATCH($N522,data!$A:$A,0)),"",INDEX(data!P:P,MATCH($N522,data!$A:$A,0)))</f>
        <v/>
      </c>
      <c r="BB522" s="38" t="str">
        <f>IF(ISNA(MATCH($N522,data!$A:$A,0)),"",INDEX(data!Q:Q,MATCH($N522,data!$A:$A,0)))</f>
        <v/>
      </c>
      <c r="BC522" s="38" t="str">
        <f>IF(ISNA(MATCH($N522,data!$A:$A,0)),"",INDEX(data!R:R,MATCH($N522,data!$A:$A,0)))</f>
        <v/>
      </c>
      <c r="BD522" s="38" t="str">
        <f>IF(ISNA(MATCH($N522,[1]data!$A:$A,0)),"",INDEX([1]data!U:U,MATCH($N522,[1]data!$A:$A,0)))</f>
        <v/>
      </c>
      <c r="BE522" s="61" t="e">
        <f>IF(COUNTIF([1]data!A:A,[1]!Table1[[#This Row],[UPC]])&lt;2,"","DUP")</f>
        <v>#VALUE!</v>
      </c>
      <c r="BF522" s="38" t="str">
        <f>IF(ISNA(MATCH($N522,data!$A:$A,0)),"",INDEX(data!W:W,MATCH($N522,data!$A:$A,0)))</f>
        <v/>
      </c>
    </row>
    <row r="523" spans="1:58">
      <c r="A523" s="35"/>
      <c r="B523" s="35"/>
      <c r="C523" s="35"/>
      <c r="D523" s="35"/>
      <c r="E523" s="67"/>
      <c r="F523" s="67"/>
      <c r="G523" s="36"/>
      <c r="H523" s="29"/>
      <c r="I523" s="78" t="str">
        <f t="shared" si="12"/>
        <v/>
      </c>
      <c r="J523" s="29"/>
      <c r="K523" s="29"/>
      <c r="L523" s="33"/>
      <c r="M523" s="33"/>
      <c r="N523" s="60"/>
      <c r="O523" s="71"/>
      <c r="P523" s="71"/>
      <c r="Q523" s="33"/>
      <c r="R523" s="31"/>
      <c r="S523" s="31"/>
      <c r="T523" s="59"/>
      <c r="U523" s="59"/>
      <c r="V523" s="59"/>
      <c r="W523" s="57">
        <f t="shared" si="13"/>
        <v>0</v>
      </c>
      <c r="X523" s="126" t="str">
        <f>IF(Table1[[#This Row],[Shipping Weight Pounds]]&gt;150,"See LTL Form","No")</f>
        <v>No</v>
      </c>
      <c r="Y523" s="28"/>
      <c r="Z523" s="33"/>
      <c r="AA523" s="34"/>
      <c r="AB523" s="30"/>
      <c r="AC523" s="30"/>
      <c r="AD523" s="32"/>
      <c r="AE523" s="32"/>
      <c r="AF523" s="2"/>
      <c r="AG523" s="2"/>
      <c r="AH523" s="2"/>
      <c r="AI523" s="2"/>
      <c r="AK523" s="73" t="str">
        <f>IF(ISNA(MATCH($N523,[1]data!$A:$A,0)),"",INDEX([1]data!S:S,MATCH($N523,[1]data!$A:$A,0)))</f>
        <v/>
      </c>
      <c r="AL523" s="73" t="str">
        <f>IF(ISNA(MATCH($N523,[1]data!$A:$A,0)),"",INDEX([1]data!V:V,MATCH($N523,[1]data!$A:$A,0)))</f>
        <v/>
      </c>
      <c r="AM523" s="38" t="str">
        <f>IF(ISNA(MATCH($N523,data!$A:$A,0)),"",INDEX(data!B:B,MATCH($N523,data!$A:$A,0)))</f>
        <v/>
      </c>
      <c r="AN523" s="38" t="str">
        <f>IF(ISNA(MATCH($N523,data!$A:$A,0)),"",INDEX(data!C:C,MATCH($N523,data!$A:$A,0)))</f>
        <v/>
      </c>
      <c r="AO523" s="38" t="str">
        <f>IF(ISNA(MATCH($N523,data!$A:$A,0)),"",INDEX(data!D:D,MATCH($N523,data!$A:$A,0)))</f>
        <v/>
      </c>
      <c r="AP523" s="38" t="str">
        <f>IF(ISNA(MATCH($N523,data!$A:$A,0)),"",INDEX(data!E:E,MATCH($N523,data!$A:$A,0)))</f>
        <v/>
      </c>
      <c r="AQ523" s="38" t="str">
        <f>IF(ISNA(MATCH($N523,data!$A:$A,0)),"",INDEX(data!F:F,MATCH($N523,data!$A:$A,0)))</f>
        <v/>
      </c>
      <c r="AR523" s="38" t="str">
        <f>IF(ISNA(MATCH($N523,data!$A:$A,0)),"",INDEX(data!G:G,MATCH($N523,data!$A:$A,0)))</f>
        <v/>
      </c>
      <c r="AS523" s="38" t="str">
        <f>IF(ISNA(MATCH($N523,data!$A:$A,0)),"",INDEX(data!H:H,MATCH($N523,data!$A:$A,0)))</f>
        <v/>
      </c>
      <c r="AT523" s="38" t="str">
        <f>IF(ISNA(MATCH($N523,data!$A:$A,0)),"",INDEX(data!I:I,MATCH($N523,data!$A:$A,0)))</f>
        <v/>
      </c>
      <c r="AU523" s="38" t="str">
        <f>IF(ISNA(MATCH($N523,[1]data!$A:$A,0)),"",INDEX([1]data!L:L,MATCH($N523,[1]data!$A:$A,0)))</f>
        <v/>
      </c>
      <c r="AV523" s="38" t="str">
        <f>IF(ISNA(MATCH($N523,[1]data!$A:$A,0)),"",INDEX([1]data!M:M,MATCH($N523,[1]data!$A:$A,0)))</f>
        <v/>
      </c>
      <c r="AW523" s="38" t="str">
        <f>IF(ISNA(MATCH($N523,data!$A:$A,0)),"",INDEX(data!J:J,MATCH($N523,data!$A:$A,0)))</f>
        <v/>
      </c>
      <c r="AX523" s="38" t="str">
        <f>IF(ISNA(MATCH($N523,data!$A:$A,0)),"",INDEX(data!K:K,MATCH($N523,data!$A:$A,0)))</f>
        <v/>
      </c>
      <c r="AY523" s="38" t="str">
        <f>IF(ISNA(MATCH($N523,data!$A:$A,0)),"",INDEX(data!O:O,MATCH($N523,data!$A:$A,0)))</f>
        <v/>
      </c>
      <c r="AZ523" s="38" t="str">
        <f>IF(ISNA(MATCH($N523,data!$A:$A,0)),"",INDEX(data!N:N,MATCH($N523,data!$A:$A,0)))</f>
        <v/>
      </c>
      <c r="BA523" s="38" t="str">
        <f>IF(ISNA(MATCH($N523,data!$A:$A,0)),"",INDEX(data!P:P,MATCH($N523,data!$A:$A,0)))</f>
        <v/>
      </c>
      <c r="BB523" s="38" t="str">
        <f>IF(ISNA(MATCH($N523,data!$A:$A,0)),"",INDEX(data!Q:Q,MATCH($N523,data!$A:$A,0)))</f>
        <v/>
      </c>
      <c r="BC523" s="38" t="str">
        <f>IF(ISNA(MATCH($N523,data!$A:$A,0)),"",INDEX(data!R:R,MATCH($N523,data!$A:$A,0)))</f>
        <v/>
      </c>
      <c r="BD523" s="38" t="str">
        <f>IF(ISNA(MATCH($N523,[1]data!$A:$A,0)),"",INDEX([1]data!U:U,MATCH($N523,[1]data!$A:$A,0)))</f>
        <v/>
      </c>
      <c r="BE523" s="61" t="e">
        <f>IF(COUNTIF([1]data!A:A,[1]!Table1[[#This Row],[UPC]])&lt;2,"","DUP")</f>
        <v>#VALUE!</v>
      </c>
      <c r="BF523" s="38" t="str">
        <f>IF(ISNA(MATCH($N523,data!$A:$A,0)),"",INDEX(data!W:W,MATCH($N523,data!$A:$A,0)))</f>
        <v/>
      </c>
    </row>
    <row r="524" spans="1:58">
      <c r="A524" s="35"/>
      <c r="B524" s="35"/>
      <c r="C524" s="35"/>
      <c r="D524" s="35"/>
      <c r="E524" s="67"/>
      <c r="F524" s="67"/>
      <c r="G524" s="36"/>
      <c r="H524" s="29"/>
      <c r="I524" s="78" t="str">
        <f t="shared" si="12"/>
        <v/>
      </c>
      <c r="J524" s="29"/>
      <c r="K524" s="29"/>
      <c r="L524" s="33"/>
      <c r="M524" s="33"/>
      <c r="N524" s="60"/>
      <c r="O524" s="71"/>
      <c r="P524" s="71"/>
      <c r="Q524" s="33"/>
      <c r="R524" s="31"/>
      <c r="S524" s="31"/>
      <c r="T524" s="59"/>
      <c r="U524" s="59"/>
      <c r="V524" s="59"/>
      <c r="W524" s="57">
        <f t="shared" si="13"/>
        <v>0</v>
      </c>
      <c r="X524" s="126" t="str">
        <f>IF(Table1[[#This Row],[Shipping Weight Pounds]]&gt;150,"See LTL Form","No")</f>
        <v>No</v>
      </c>
      <c r="Y524" s="28"/>
      <c r="Z524" s="33"/>
      <c r="AA524" s="34"/>
      <c r="AB524" s="30"/>
      <c r="AC524" s="30"/>
      <c r="AD524" s="32"/>
      <c r="AE524" s="32"/>
      <c r="AF524" s="2"/>
      <c r="AG524" s="2"/>
      <c r="AH524" s="2"/>
      <c r="AI524" s="2"/>
      <c r="AK524" s="73" t="str">
        <f>IF(ISNA(MATCH($N524,[1]data!$A:$A,0)),"",INDEX([1]data!S:S,MATCH($N524,[1]data!$A:$A,0)))</f>
        <v/>
      </c>
      <c r="AL524" s="73" t="str">
        <f>IF(ISNA(MATCH($N524,[1]data!$A:$A,0)),"",INDEX([1]data!V:V,MATCH($N524,[1]data!$A:$A,0)))</f>
        <v/>
      </c>
      <c r="AM524" s="38" t="str">
        <f>IF(ISNA(MATCH($N524,data!$A:$A,0)),"",INDEX(data!B:B,MATCH($N524,data!$A:$A,0)))</f>
        <v/>
      </c>
      <c r="AN524" s="38" t="str">
        <f>IF(ISNA(MATCH($N524,data!$A:$A,0)),"",INDEX(data!C:C,MATCH($N524,data!$A:$A,0)))</f>
        <v/>
      </c>
      <c r="AO524" s="38" t="str">
        <f>IF(ISNA(MATCH($N524,data!$A:$A,0)),"",INDEX(data!D:D,MATCH($N524,data!$A:$A,0)))</f>
        <v/>
      </c>
      <c r="AP524" s="38" t="str">
        <f>IF(ISNA(MATCH($N524,data!$A:$A,0)),"",INDEX(data!E:E,MATCH($N524,data!$A:$A,0)))</f>
        <v/>
      </c>
      <c r="AQ524" s="38" t="str">
        <f>IF(ISNA(MATCH($N524,data!$A:$A,0)),"",INDEX(data!F:F,MATCH($N524,data!$A:$A,0)))</f>
        <v/>
      </c>
      <c r="AR524" s="38" t="str">
        <f>IF(ISNA(MATCH($N524,data!$A:$A,0)),"",INDEX(data!G:G,MATCH($N524,data!$A:$A,0)))</f>
        <v/>
      </c>
      <c r="AS524" s="38" t="str">
        <f>IF(ISNA(MATCH($N524,data!$A:$A,0)),"",INDEX(data!H:H,MATCH($N524,data!$A:$A,0)))</f>
        <v/>
      </c>
      <c r="AT524" s="38" t="str">
        <f>IF(ISNA(MATCH($N524,data!$A:$A,0)),"",INDEX(data!I:I,MATCH($N524,data!$A:$A,0)))</f>
        <v/>
      </c>
      <c r="AU524" s="38" t="str">
        <f>IF(ISNA(MATCH($N524,[1]data!$A:$A,0)),"",INDEX([1]data!L:L,MATCH($N524,[1]data!$A:$A,0)))</f>
        <v/>
      </c>
      <c r="AV524" s="38" t="str">
        <f>IF(ISNA(MATCH($N524,[1]data!$A:$A,0)),"",INDEX([1]data!M:M,MATCH($N524,[1]data!$A:$A,0)))</f>
        <v/>
      </c>
      <c r="AW524" s="38" t="str">
        <f>IF(ISNA(MATCH($N524,data!$A:$A,0)),"",INDEX(data!J:J,MATCH($N524,data!$A:$A,0)))</f>
        <v/>
      </c>
      <c r="AX524" s="38" t="str">
        <f>IF(ISNA(MATCH($N524,data!$A:$A,0)),"",INDEX(data!K:K,MATCH($N524,data!$A:$A,0)))</f>
        <v/>
      </c>
      <c r="AY524" s="38" t="str">
        <f>IF(ISNA(MATCH($N524,data!$A:$A,0)),"",INDEX(data!O:O,MATCH($N524,data!$A:$A,0)))</f>
        <v/>
      </c>
      <c r="AZ524" s="38" t="str">
        <f>IF(ISNA(MATCH($N524,data!$A:$A,0)),"",INDEX(data!N:N,MATCH($N524,data!$A:$A,0)))</f>
        <v/>
      </c>
      <c r="BA524" s="38" t="str">
        <f>IF(ISNA(MATCH($N524,data!$A:$A,0)),"",INDEX(data!P:P,MATCH($N524,data!$A:$A,0)))</f>
        <v/>
      </c>
      <c r="BB524" s="38" t="str">
        <f>IF(ISNA(MATCH($N524,data!$A:$A,0)),"",INDEX(data!Q:Q,MATCH($N524,data!$A:$A,0)))</f>
        <v/>
      </c>
      <c r="BC524" s="38" t="str">
        <f>IF(ISNA(MATCH($N524,data!$A:$A,0)),"",INDEX(data!R:R,MATCH($N524,data!$A:$A,0)))</f>
        <v/>
      </c>
      <c r="BD524" s="38" t="str">
        <f>IF(ISNA(MATCH($N524,[1]data!$A:$A,0)),"",INDEX([1]data!U:U,MATCH($N524,[1]data!$A:$A,0)))</f>
        <v/>
      </c>
      <c r="BE524" s="61" t="e">
        <f>IF(COUNTIF([1]data!A:A,[1]!Table1[[#This Row],[UPC]])&lt;2,"","DUP")</f>
        <v>#VALUE!</v>
      </c>
      <c r="BF524" s="38" t="str">
        <f>IF(ISNA(MATCH($N524,data!$A:$A,0)),"",INDEX(data!W:W,MATCH($N524,data!$A:$A,0)))</f>
        <v/>
      </c>
    </row>
    <row r="525" spans="1:58">
      <c r="A525" s="35"/>
      <c r="B525" s="35"/>
      <c r="C525" s="35"/>
      <c r="D525" s="35"/>
      <c r="E525" s="67"/>
      <c r="F525" s="67"/>
      <c r="G525" s="36"/>
      <c r="H525" s="29"/>
      <c r="I525" s="78" t="str">
        <f t="shared" si="12"/>
        <v/>
      </c>
      <c r="J525" s="29"/>
      <c r="K525" s="29"/>
      <c r="L525" s="33"/>
      <c r="M525" s="33"/>
      <c r="N525" s="60"/>
      <c r="O525" s="71"/>
      <c r="P525" s="71"/>
      <c r="Q525" s="33"/>
      <c r="R525" s="31"/>
      <c r="S525" s="31"/>
      <c r="T525" s="59"/>
      <c r="U525" s="59"/>
      <c r="V525" s="59"/>
      <c r="W525" s="57">
        <f t="shared" si="13"/>
        <v>0</v>
      </c>
      <c r="X525" s="126" t="str">
        <f>IF(Table1[[#This Row],[Shipping Weight Pounds]]&gt;150,"See LTL Form","No")</f>
        <v>No</v>
      </c>
      <c r="Y525" s="28"/>
      <c r="Z525" s="33"/>
      <c r="AA525" s="34"/>
      <c r="AB525" s="30"/>
      <c r="AC525" s="30"/>
      <c r="AD525" s="32"/>
      <c r="AE525" s="32"/>
      <c r="AF525" s="2"/>
      <c r="AG525" s="2"/>
      <c r="AH525" s="2"/>
      <c r="AI525" s="2"/>
      <c r="AK525" s="73" t="str">
        <f>IF(ISNA(MATCH($N525,[1]data!$A:$A,0)),"",INDEX([1]data!S:S,MATCH($N525,[1]data!$A:$A,0)))</f>
        <v/>
      </c>
      <c r="AL525" s="73" t="str">
        <f>IF(ISNA(MATCH($N525,[1]data!$A:$A,0)),"",INDEX([1]data!V:V,MATCH($N525,[1]data!$A:$A,0)))</f>
        <v/>
      </c>
      <c r="AM525" s="38" t="str">
        <f>IF(ISNA(MATCH($N525,data!$A:$A,0)),"",INDEX(data!B:B,MATCH($N525,data!$A:$A,0)))</f>
        <v/>
      </c>
      <c r="AN525" s="38" t="str">
        <f>IF(ISNA(MATCH($N525,data!$A:$A,0)),"",INDEX(data!C:C,MATCH($N525,data!$A:$A,0)))</f>
        <v/>
      </c>
      <c r="AO525" s="38" t="str">
        <f>IF(ISNA(MATCH($N525,data!$A:$A,0)),"",INDEX(data!D:D,MATCH($N525,data!$A:$A,0)))</f>
        <v/>
      </c>
      <c r="AP525" s="38" t="str">
        <f>IF(ISNA(MATCH($N525,data!$A:$A,0)),"",INDEX(data!E:E,MATCH($N525,data!$A:$A,0)))</f>
        <v/>
      </c>
      <c r="AQ525" s="38" t="str">
        <f>IF(ISNA(MATCH($N525,data!$A:$A,0)),"",INDEX(data!F:F,MATCH($N525,data!$A:$A,0)))</f>
        <v/>
      </c>
      <c r="AR525" s="38" t="str">
        <f>IF(ISNA(MATCH($N525,data!$A:$A,0)),"",INDEX(data!G:G,MATCH($N525,data!$A:$A,0)))</f>
        <v/>
      </c>
      <c r="AS525" s="38" t="str">
        <f>IF(ISNA(MATCH($N525,data!$A:$A,0)),"",INDEX(data!H:H,MATCH($N525,data!$A:$A,0)))</f>
        <v/>
      </c>
      <c r="AT525" s="38" t="str">
        <f>IF(ISNA(MATCH($N525,data!$A:$A,0)),"",INDEX(data!I:I,MATCH($N525,data!$A:$A,0)))</f>
        <v/>
      </c>
      <c r="AU525" s="38" t="str">
        <f>IF(ISNA(MATCH($N525,[1]data!$A:$A,0)),"",INDEX([1]data!L:L,MATCH($N525,[1]data!$A:$A,0)))</f>
        <v/>
      </c>
      <c r="AV525" s="38" t="str">
        <f>IF(ISNA(MATCH($N525,[1]data!$A:$A,0)),"",INDEX([1]data!M:M,MATCH($N525,[1]data!$A:$A,0)))</f>
        <v/>
      </c>
      <c r="AW525" s="38" t="str">
        <f>IF(ISNA(MATCH($N525,data!$A:$A,0)),"",INDEX(data!J:J,MATCH($N525,data!$A:$A,0)))</f>
        <v/>
      </c>
      <c r="AX525" s="38" t="str">
        <f>IF(ISNA(MATCH($N525,data!$A:$A,0)),"",INDEX(data!K:K,MATCH($N525,data!$A:$A,0)))</f>
        <v/>
      </c>
      <c r="AY525" s="38" t="str">
        <f>IF(ISNA(MATCH($N525,data!$A:$A,0)),"",INDEX(data!O:O,MATCH($N525,data!$A:$A,0)))</f>
        <v/>
      </c>
      <c r="AZ525" s="38" t="str">
        <f>IF(ISNA(MATCH($N525,data!$A:$A,0)),"",INDEX(data!N:N,MATCH($N525,data!$A:$A,0)))</f>
        <v/>
      </c>
      <c r="BA525" s="38" t="str">
        <f>IF(ISNA(MATCH($N525,data!$A:$A,0)),"",INDEX(data!P:P,MATCH($N525,data!$A:$A,0)))</f>
        <v/>
      </c>
      <c r="BB525" s="38" t="str">
        <f>IF(ISNA(MATCH($N525,data!$A:$A,0)),"",INDEX(data!Q:Q,MATCH($N525,data!$A:$A,0)))</f>
        <v/>
      </c>
      <c r="BC525" s="38" t="str">
        <f>IF(ISNA(MATCH($N525,data!$A:$A,0)),"",INDEX(data!R:R,MATCH($N525,data!$A:$A,0)))</f>
        <v/>
      </c>
      <c r="BD525" s="38" t="str">
        <f>IF(ISNA(MATCH($N525,[1]data!$A:$A,0)),"",INDEX([1]data!U:U,MATCH($N525,[1]data!$A:$A,0)))</f>
        <v/>
      </c>
      <c r="BE525" s="61" t="e">
        <f>IF(COUNTIF([1]data!A:A,[1]!Table1[[#This Row],[UPC]])&lt;2,"","DUP")</f>
        <v>#VALUE!</v>
      </c>
      <c r="BF525" s="38" t="str">
        <f>IF(ISNA(MATCH($N525,data!$A:$A,0)),"",INDEX(data!W:W,MATCH($N525,data!$A:$A,0)))</f>
        <v/>
      </c>
    </row>
    <row r="526" spans="1:58">
      <c r="A526" s="35"/>
      <c r="B526" s="35"/>
      <c r="C526" s="35"/>
      <c r="D526" s="35"/>
      <c r="E526" s="67"/>
      <c r="F526" s="67"/>
      <c r="G526" s="36"/>
      <c r="H526" s="29"/>
      <c r="I526" s="78" t="str">
        <f t="shared" si="12"/>
        <v/>
      </c>
      <c r="J526" s="29"/>
      <c r="K526" s="29"/>
      <c r="L526" s="33"/>
      <c r="M526" s="33"/>
      <c r="N526" s="60"/>
      <c r="O526" s="71"/>
      <c r="P526" s="71"/>
      <c r="Q526" s="33"/>
      <c r="R526" s="31"/>
      <c r="S526" s="31"/>
      <c r="T526" s="59"/>
      <c r="U526" s="59"/>
      <c r="V526" s="59"/>
      <c r="W526" s="57">
        <f t="shared" si="13"/>
        <v>0</v>
      </c>
      <c r="X526" s="126" t="str">
        <f>IF(Table1[[#This Row],[Shipping Weight Pounds]]&gt;150,"See LTL Form","No")</f>
        <v>No</v>
      </c>
      <c r="Y526" s="28"/>
      <c r="Z526" s="33"/>
      <c r="AA526" s="34"/>
      <c r="AB526" s="30"/>
      <c r="AC526" s="30"/>
      <c r="AD526" s="32"/>
      <c r="AE526" s="32"/>
      <c r="AF526" s="2"/>
      <c r="AG526" s="2"/>
      <c r="AH526" s="2"/>
      <c r="AI526" s="2"/>
      <c r="AK526" s="73" t="str">
        <f>IF(ISNA(MATCH($N526,[1]data!$A:$A,0)),"",INDEX([1]data!S:S,MATCH($N526,[1]data!$A:$A,0)))</f>
        <v/>
      </c>
      <c r="AL526" s="73" t="str">
        <f>IF(ISNA(MATCH($N526,[1]data!$A:$A,0)),"",INDEX([1]data!V:V,MATCH($N526,[1]data!$A:$A,0)))</f>
        <v/>
      </c>
      <c r="AM526" s="38" t="str">
        <f>IF(ISNA(MATCH($N526,data!$A:$A,0)),"",INDEX(data!B:B,MATCH($N526,data!$A:$A,0)))</f>
        <v/>
      </c>
      <c r="AN526" s="38" t="str">
        <f>IF(ISNA(MATCH($N526,data!$A:$A,0)),"",INDEX(data!C:C,MATCH($N526,data!$A:$A,0)))</f>
        <v/>
      </c>
      <c r="AO526" s="38" t="str">
        <f>IF(ISNA(MATCH($N526,data!$A:$A,0)),"",INDEX(data!D:D,MATCH($N526,data!$A:$A,0)))</f>
        <v/>
      </c>
      <c r="AP526" s="38" t="str">
        <f>IF(ISNA(MATCH($N526,data!$A:$A,0)),"",INDEX(data!E:E,MATCH($N526,data!$A:$A,0)))</f>
        <v/>
      </c>
      <c r="AQ526" s="38" t="str">
        <f>IF(ISNA(MATCH($N526,data!$A:$A,0)),"",INDEX(data!F:F,MATCH($N526,data!$A:$A,0)))</f>
        <v/>
      </c>
      <c r="AR526" s="38" t="str">
        <f>IF(ISNA(MATCH($N526,data!$A:$A,0)),"",INDEX(data!G:G,MATCH($N526,data!$A:$A,0)))</f>
        <v/>
      </c>
      <c r="AS526" s="38" t="str">
        <f>IF(ISNA(MATCH($N526,data!$A:$A,0)),"",INDEX(data!H:H,MATCH($N526,data!$A:$A,0)))</f>
        <v/>
      </c>
      <c r="AT526" s="38" t="str">
        <f>IF(ISNA(MATCH($N526,data!$A:$A,0)),"",INDEX(data!I:I,MATCH($N526,data!$A:$A,0)))</f>
        <v/>
      </c>
      <c r="AU526" s="38" t="str">
        <f>IF(ISNA(MATCH($N526,[1]data!$A:$A,0)),"",INDEX([1]data!L:L,MATCH($N526,[1]data!$A:$A,0)))</f>
        <v/>
      </c>
      <c r="AV526" s="38" t="str">
        <f>IF(ISNA(MATCH($N526,[1]data!$A:$A,0)),"",INDEX([1]data!M:M,MATCH($N526,[1]data!$A:$A,0)))</f>
        <v/>
      </c>
      <c r="AW526" s="38" t="str">
        <f>IF(ISNA(MATCH($N526,data!$A:$A,0)),"",INDEX(data!J:J,MATCH($N526,data!$A:$A,0)))</f>
        <v/>
      </c>
      <c r="AX526" s="38" t="str">
        <f>IF(ISNA(MATCH($N526,data!$A:$A,0)),"",INDEX(data!K:K,MATCH($N526,data!$A:$A,0)))</f>
        <v/>
      </c>
      <c r="AY526" s="38" t="str">
        <f>IF(ISNA(MATCH($N526,data!$A:$A,0)),"",INDEX(data!O:O,MATCH($N526,data!$A:$A,0)))</f>
        <v/>
      </c>
      <c r="AZ526" s="38" t="str">
        <f>IF(ISNA(MATCH($N526,data!$A:$A,0)),"",INDEX(data!N:N,MATCH($N526,data!$A:$A,0)))</f>
        <v/>
      </c>
      <c r="BA526" s="38" t="str">
        <f>IF(ISNA(MATCH($N526,data!$A:$A,0)),"",INDEX(data!P:P,MATCH($N526,data!$A:$A,0)))</f>
        <v/>
      </c>
      <c r="BB526" s="38" t="str">
        <f>IF(ISNA(MATCH($N526,data!$A:$A,0)),"",INDEX(data!Q:Q,MATCH($N526,data!$A:$A,0)))</f>
        <v/>
      </c>
      <c r="BC526" s="38" t="str">
        <f>IF(ISNA(MATCH($N526,data!$A:$A,0)),"",INDEX(data!R:R,MATCH($N526,data!$A:$A,0)))</f>
        <v/>
      </c>
      <c r="BD526" s="38" t="str">
        <f>IF(ISNA(MATCH($N526,[1]data!$A:$A,0)),"",INDEX([1]data!U:U,MATCH($N526,[1]data!$A:$A,0)))</f>
        <v/>
      </c>
      <c r="BE526" s="61" t="e">
        <f>IF(COUNTIF([1]data!A:A,[1]!Table1[[#This Row],[UPC]])&lt;2,"","DUP")</f>
        <v>#VALUE!</v>
      </c>
      <c r="BF526" s="38" t="str">
        <f>IF(ISNA(MATCH($N526,data!$A:$A,0)),"",INDEX(data!W:W,MATCH($N526,data!$A:$A,0)))</f>
        <v/>
      </c>
    </row>
    <row r="527" spans="1:58">
      <c r="A527" s="35"/>
      <c r="B527" s="35"/>
      <c r="C527" s="35"/>
      <c r="D527" s="35"/>
      <c r="E527" s="67"/>
      <c r="F527" s="67"/>
      <c r="G527" s="36"/>
      <c r="H527" s="29"/>
      <c r="I527" s="78" t="str">
        <f t="shared" si="12"/>
        <v/>
      </c>
      <c r="J527" s="29"/>
      <c r="K527" s="29"/>
      <c r="L527" s="33"/>
      <c r="M527" s="33"/>
      <c r="N527" s="60"/>
      <c r="O527" s="71"/>
      <c r="P527" s="71"/>
      <c r="Q527" s="33"/>
      <c r="R527" s="31"/>
      <c r="S527" s="31"/>
      <c r="T527" s="59"/>
      <c r="U527" s="59"/>
      <c r="V527" s="59"/>
      <c r="W527" s="57">
        <f t="shared" si="13"/>
        <v>0</v>
      </c>
      <c r="X527" s="126" t="str">
        <f>IF(Table1[[#This Row],[Shipping Weight Pounds]]&gt;150,"See LTL Form","No")</f>
        <v>No</v>
      </c>
      <c r="Y527" s="28"/>
      <c r="Z527" s="33"/>
      <c r="AA527" s="34"/>
      <c r="AB527" s="30"/>
      <c r="AC527" s="30"/>
      <c r="AD527" s="32"/>
      <c r="AE527" s="32"/>
      <c r="AF527" s="2"/>
      <c r="AG527" s="2"/>
      <c r="AH527" s="2"/>
      <c r="AI527" s="2"/>
      <c r="AK527" s="73" t="str">
        <f>IF(ISNA(MATCH($N527,[1]data!$A:$A,0)),"",INDEX([1]data!S:S,MATCH($N527,[1]data!$A:$A,0)))</f>
        <v/>
      </c>
      <c r="AL527" s="73" t="str">
        <f>IF(ISNA(MATCH($N527,[1]data!$A:$A,0)),"",INDEX([1]data!V:V,MATCH($N527,[1]data!$A:$A,0)))</f>
        <v/>
      </c>
      <c r="AM527" s="38" t="str">
        <f>IF(ISNA(MATCH($N527,data!$A:$A,0)),"",INDEX(data!B:B,MATCH($N527,data!$A:$A,0)))</f>
        <v/>
      </c>
      <c r="AN527" s="38" t="str">
        <f>IF(ISNA(MATCH($N527,data!$A:$A,0)),"",INDEX(data!C:C,MATCH($N527,data!$A:$A,0)))</f>
        <v/>
      </c>
      <c r="AO527" s="38" t="str">
        <f>IF(ISNA(MATCH($N527,data!$A:$A,0)),"",INDEX(data!D:D,MATCH($N527,data!$A:$A,0)))</f>
        <v/>
      </c>
      <c r="AP527" s="38" t="str">
        <f>IF(ISNA(MATCH($N527,data!$A:$A,0)),"",INDEX(data!E:E,MATCH($N527,data!$A:$A,0)))</f>
        <v/>
      </c>
      <c r="AQ527" s="38" t="str">
        <f>IF(ISNA(MATCH($N527,data!$A:$A,0)),"",INDEX(data!F:F,MATCH($N527,data!$A:$A,0)))</f>
        <v/>
      </c>
      <c r="AR527" s="38" t="str">
        <f>IF(ISNA(MATCH($N527,data!$A:$A,0)),"",INDEX(data!G:G,MATCH($N527,data!$A:$A,0)))</f>
        <v/>
      </c>
      <c r="AS527" s="38" t="str">
        <f>IF(ISNA(MATCH($N527,data!$A:$A,0)),"",INDEX(data!H:H,MATCH($N527,data!$A:$A,0)))</f>
        <v/>
      </c>
      <c r="AT527" s="38" t="str">
        <f>IF(ISNA(MATCH($N527,data!$A:$A,0)),"",INDEX(data!I:I,MATCH($N527,data!$A:$A,0)))</f>
        <v/>
      </c>
      <c r="AU527" s="38" t="str">
        <f>IF(ISNA(MATCH($N527,[1]data!$A:$A,0)),"",INDEX([1]data!L:L,MATCH($N527,[1]data!$A:$A,0)))</f>
        <v/>
      </c>
      <c r="AV527" s="38" t="str">
        <f>IF(ISNA(MATCH($N527,[1]data!$A:$A,0)),"",INDEX([1]data!M:M,MATCH($N527,[1]data!$A:$A,0)))</f>
        <v/>
      </c>
      <c r="AW527" s="38" t="str">
        <f>IF(ISNA(MATCH($N527,data!$A:$A,0)),"",INDEX(data!J:J,MATCH($N527,data!$A:$A,0)))</f>
        <v/>
      </c>
      <c r="AX527" s="38" t="str">
        <f>IF(ISNA(MATCH($N527,data!$A:$A,0)),"",INDEX(data!K:K,MATCH($N527,data!$A:$A,0)))</f>
        <v/>
      </c>
      <c r="AY527" s="38" t="str">
        <f>IF(ISNA(MATCH($N527,data!$A:$A,0)),"",INDEX(data!O:O,MATCH($N527,data!$A:$A,0)))</f>
        <v/>
      </c>
      <c r="AZ527" s="38" t="str">
        <f>IF(ISNA(MATCH($N527,data!$A:$A,0)),"",INDEX(data!N:N,MATCH($N527,data!$A:$A,0)))</f>
        <v/>
      </c>
      <c r="BA527" s="38" t="str">
        <f>IF(ISNA(MATCH($N527,data!$A:$A,0)),"",INDEX(data!P:P,MATCH($N527,data!$A:$A,0)))</f>
        <v/>
      </c>
      <c r="BB527" s="38" t="str">
        <f>IF(ISNA(MATCH($N527,data!$A:$A,0)),"",INDEX(data!Q:Q,MATCH($N527,data!$A:$A,0)))</f>
        <v/>
      </c>
      <c r="BC527" s="38" t="str">
        <f>IF(ISNA(MATCH($N527,data!$A:$A,0)),"",INDEX(data!R:R,MATCH($N527,data!$A:$A,0)))</f>
        <v/>
      </c>
      <c r="BD527" s="38" t="str">
        <f>IF(ISNA(MATCH($N527,[1]data!$A:$A,0)),"",INDEX([1]data!U:U,MATCH($N527,[1]data!$A:$A,0)))</f>
        <v/>
      </c>
      <c r="BE527" s="61" t="e">
        <f>IF(COUNTIF([1]data!A:A,[1]!Table1[[#This Row],[UPC]])&lt;2,"","DUP")</f>
        <v>#VALUE!</v>
      </c>
      <c r="BF527" s="38" t="str">
        <f>IF(ISNA(MATCH($N527,data!$A:$A,0)),"",INDEX(data!W:W,MATCH($N527,data!$A:$A,0)))</f>
        <v/>
      </c>
    </row>
    <row r="528" spans="1:58">
      <c r="A528" s="35"/>
      <c r="B528" s="35"/>
      <c r="C528" s="35"/>
      <c r="D528" s="35"/>
      <c r="E528" s="67"/>
      <c r="F528" s="67"/>
      <c r="G528" s="36"/>
      <c r="H528" s="29"/>
      <c r="I528" s="78" t="str">
        <f t="shared" si="12"/>
        <v/>
      </c>
      <c r="J528" s="29"/>
      <c r="K528" s="29"/>
      <c r="L528" s="33"/>
      <c r="M528" s="33"/>
      <c r="N528" s="60"/>
      <c r="O528" s="71"/>
      <c r="P528" s="71"/>
      <c r="Q528" s="33"/>
      <c r="R528" s="31"/>
      <c r="S528" s="31"/>
      <c r="T528" s="59"/>
      <c r="U528" s="59"/>
      <c r="V528" s="59"/>
      <c r="W528" s="57">
        <f t="shared" si="13"/>
        <v>0</v>
      </c>
      <c r="X528" s="126" t="str">
        <f>IF(Table1[[#This Row],[Shipping Weight Pounds]]&gt;150,"See LTL Form","No")</f>
        <v>No</v>
      </c>
      <c r="Y528" s="28"/>
      <c r="Z528" s="33"/>
      <c r="AA528" s="34"/>
      <c r="AB528" s="30"/>
      <c r="AC528" s="30"/>
      <c r="AD528" s="32"/>
      <c r="AE528" s="32"/>
      <c r="AF528" s="2"/>
      <c r="AG528" s="2"/>
      <c r="AH528" s="2"/>
      <c r="AI528" s="2"/>
      <c r="AK528" s="73" t="str">
        <f>IF(ISNA(MATCH($N528,[1]data!$A:$A,0)),"",INDEX([1]data!S:S,MATCH($N528,[1]data!$A:$A,0)))</f>
        <v/>
      </c>
      <c r="AL528" s="73" t="str">
        <f>IF(ISNA(MATCH($N528,[1]data!$A:$A,0)),"",INDEX([1]data!V:V,MATCH($N528,[1]data!$A:$A,0)))</f>
        <v/>
      </c>
      <c r="AM528" s="38" t="str">
        <f>IF(ISNA(MATCH($N528,data!$A:$A,0)),"",INDEX(data!B:B,MATCH($N528,data!$A:$A,0)))</f>
        <v/>
      </c>
      <c r="AN528" s="38" t="str">
        <f>IF(ISNA(MATCH($N528,data!$A:$A,0)),"",INDEX(data!C:C,MATCH($N528,data!$A:$A,0)))</f>
        <v/>
      </c>
      <c r="AO528" s="38" t="str">
        <f>IF(ISNA(MATCH($N528,data!$A:$A,0)),"",INDEX(data!D:D,MATCH($N528,data!$A:$A,0)))</f>
        <v/>
      </c>
      <c r="AP528" s="38" t="str">
        <f>IF(ISNA(MATCH($N528,data!$A:$A,0)),"",INDEX(data!E:E,MATCH($N528,data!$A:$A,0)))</f>
        <v/>
      </c>
      <c r="AQ528" s="38" t="str">
        <f>IF(ISNA(MATCH($N528,data!$A:$A,0)),"",INDEX(data!F:F,MATCH($N528,data!$A:$A,0)))</f>
        <v/>
      </c>
      <c r="AR528" s="38" t="str">
        <f>IF(ISNA(MATCH($N528,data!$A:$A,0)),"",INDEX(data!G:G,MATCH($N528,data!$A:$A,0)))</f>
        <v/>
      </c>
      <c r="AS528" s="38" t="str">
        <f>IF(ISNA(MATCH($N528,data!$A:$A,0)),"",INDEX(data!H:H,MATCH($N528,data!$A:$A,0)))</f>
        <v/>
      </c>
      <c r="AT528" s="38" t="str">
        <f>IF(ISNA(MATCH($N528,data!$A:$A,0)),"",INDEX(data!I:I,MATCH($N528,data!$A:$A,0)))</f>
        <v/>
      </c>
      <c r="AU528" s="38" t="str">
        <f>IF(ISNA(MATCH($N528,[1]data!$A:$A,0)),"",INDEX([1]data!L:L,MATCH($N528,[1]data!$A:$A,0)))</f>
        <v/>
      </c>
      <c r="AV528" s="38" t="str">
        <f>IF(ISNA(MATCH($N528,[1]data!$A:$A,0)),"",INDEX([1]data!M:M,MATCH($N528,[1]data!$A:$A,0)))</f>
        <v/>
      </c>
      <c r="AW528" s="38" t="str">
        <f>IF(ISNA(MATCH($N528,data!$A:$A,0)),"",INDEX(data!J:J,MATCH($N528,data!$A:$A,0)))</f>
        <v/>
      </c>
      <c r="AX528" s="38" t="str">
        <f>IF(ISNA(MATCH($N528,data!$A:$A,0)),"",INDEX(data!K:K,MATCH($N528,data!$A:$A,0)))</f>
        <v/>
      </c>
      <c r="AY528" s="38" t="str">
        <f>IF(ISNA(MATCH($N528,data!$A:$A,0)),"",INDEX(data!O:O,MATCH($N528,data!$A:$A,0)))</f>
        <v/>
      </c>
      <c r="AZ528" s="38" t="str">
        <f>IF(ISNA(MATCH($N528,data!$A:$A,0)),"",INDEX(data!N:N,MATCH($N528,data!$A:$A,0)))</f>
        <v/>
      </c>
      <c r="BA528" s="38" t="str">
        <f>IF(ISNA(MATCH($N528,data!$A:$A,0)),"",INDEX(data!P:P,MATCH($N528,data!$A:$A,0)))</f>
        <v/>
      </c>
      <c r="BB528" s="38" t="str">
        <f>IF(ISNA(MATCH($N528,data!$A:$A,0)),"",INDEX(data!Q:Q,MATCH($N528,data!$A:$A,0)))</f>
        <v/>
      </c>
      <c r="BC528" s="38" t="str">
        <f>IF(ISNA(MATCH($N528,data!$A:$A,0)),"",INDEX(data!R:R,MATCH($N528,data!$A:$A,0)))</f>
        <v/>
      </c>
      <c r="BD528" s="38" t="str">
        <f>IF(ISNA(MATCH($N528,[1]data!$A:$A,0)),"",INDEX([1]data!U:U,MATCH($N528,[1]data!$A:$A,0)))</f>
        <v/>
      </c>
      <c r="BE528" s="61" t="e">
        <f>IF(COUNTIF([1]data!A:A,[1]!Table1[[#This Row],[UPC]])&lt;2,"","DUP")</f>
        <v>#VALUE!</v>
      </c>
      <c r="BF528" s="38" t="str">
        <f>IF(ISNA(MATCH($N528,data!$A:$A,0)),"",INDEX(data!W:W,MATCH($N528,data!$A:$A,0)))</f>
        <v/>
      </c>
    </row>
    <row r="529" spans="1:58">
      <c r="A529" s="35"/>
      <c r="B529" s="35"/>
      <c r="C529" s="35"/>
      <c r="D529" s="35"/>
      <c r="E529" s="67"/>
      <c r="F529" s="67"/>
      <c r="G529" s="36"/>
      <c r="H529" s="29"/>
      <c r="I529" s="78" t="str">
        <f t="shared" si="12"/>
        <v/>
      </c>
      <c r="J529" s="29"/>
      <c r="K529" s="29"/>
      <c r="L529" s="33"/>
      <c r="M529" s="33"/>
      <c r="N529" s="60"/>
      <c r="O529" s="71"/>
      <c r="P529" s="71"/>
      <c r="Q529" s="33"/>
      <c r="R529" s="31"/>
      <c r="S529" s="31"/>
      <c r="T529" s="59"/>
      <c r="U529" s="59"/>
      <c r="V529" s="59"/>
      <c r="W529" s="57">
        <f t="shared" si="13"/>
        <v>0</v>
      </c>
      <c r="X529" s="126" t="str">
        <f>IF(Table1[[#This Row],[Shipping Weight Pounds]]&gt;150,"See LTL Form","No")</f>
        <v>No</v>
      </c>
      <c r="Y529" s="28"/>
      <c r="Z529" s="33"/>
      <c r="AA529" s="34"/>
      <c r="AB529" s="30"/>
      <c r="AC529" s="30"/>
      <c r="AD529" s="32"/>
      <c r="AE529" s="32"/>
      <c r="AF529" s="2"/>
      <c r="AG529" s="2"/>
      <c r="AH529" s="2"/>
      <c r="AI529" s="2"/>
      <c r="AK529" s="73" t="str">
        <f>IF(ISNA(MATCH($N529,[1]data!$A:$A,0)),"",INDEX([1]data!S:S,MATCH($N529,[1]data!$A:$A,0)))</f>
        <v/>
      </c>
      <c r="AL529" s="73" t="str">
        <f>IF(ISNA(MATCH($N529,[1]data!$A:$A,0)),"",INDEX([1]data!V:V,MATCH($N529,[1]data!$A:$A,0)))</f>
        <v/>
      </c>
      <c r="AM529" s="38" t="str">
        <f>IF(ISNA(MATCH($N529,data!$A:$A,0)),"",INDEX(data!B:B,MATCH($N529,data!$A:$A,0)))</f>
        <v/>
      </c>
      <c r="AN529" s="38" t="str">
        <f>IF(ISNA(MATCH($N529,data!$A:$A,0)),"",INDEX(data!C:C,MATCH($N529,data!$A:$A,0)))</f>
        <v/>
      </c>
      <c r="AO529" s="38" t="str">
        <f>IF(ISNA(MATCH($N529,data!$A:$A,0)),"",INDEX(data!D:D,MATCH($N529,data!$A:$A,0)))</f>
        <v/>
      </c>
      <c r="AP529" s="38" t="str">
        <f>IF(ISNA(MATCH($N529,data!$A:$A,0)),"",INDEX(data!E:E,MATCH($N529,data!$A:$A,0)))</f>
        <v/>
      </c>
      <c r="AQ529" s="38" t="str">
        <f>IF(ISNA(MATCH($N529,data!$A:$A,0)),"",INDEX(data!F:F,MATCH($N529,data!$A:$A,0)))</f>
        <v/>
      </c>
      <c r="AR529" s="38" t="str">
        <f>IF(ISNA(MATCH($N529,data!$A:$A,0)),"",INDEX(data!G:G,MATCH($N529,data!$A:$A,0)))</f>
        <v/>
      </c>
      <c r="AS529" s="38" t="str">
        <f>IF(ISNA(MATCH($N529,data!$A:$A,0)),"",INDEX(data!H:H,MATCH($N529,data!$A:$A,0)))</f>
        <v/>
      </c>
      <c r="AT529" s="38" t="str">
        <f>IF(ISNA(MATCH($N529,data!$A:$A,0)),"",INDEX(data!I:I,MATCH($N529,data!$A:$A,0)))</f>
        <v/>
      </c>
      <c r="AU529" s="38" t="str">
        <f>IF(ISNA(MATCH($N529,[1]data!$A:$A,0)),"",INDEX([1]data!L:L,MATCH($N529,[1]data!$A:$A,0)))</f>
        <v/>
      </c>
      <c r="AV529" s="38" t="str">
        <f>IF(ISNA(MATCH($N529,[1]data!$A:$A,0)),"",INDEX([1]data!M:M,MATCH($N529,[1]data!$A:$A,0)))</f>
        <v/>
      </c>
      <c r="AW529" s="38" t="str">
        <f>IF(ISNA(MATCH($N529,data!$A:$A,0)),"",INDEX(data!J:J,MATCH($N529,data!$A:$A,0)))</f>
        <v/>
      </c>
      <c r="AX529" s="38" t="str">
        <f>IF(ISNA(MATCH($N529,data!$A:$A,0)),"",INDEX(data!K:K,MATCH($N529,data!$A:$A,0)))</f>
        <v/>
      </c>
      <c r="AY529" s="38" t="str">
        <f>IF(ISNA(MATCH($N529,data!$A:$A,0)),"",INDEX(data!O:O,MATCH($N529,data!$A:$A,0)))</f>
        <v/>
      </c>
      <c r="AZ529" s="38" t="str">
        <f>IF(ISNA(MATCH($N529,data!$A:$A,0)),"",INDEX(data!N:N,MATCH($N529,data!$A:$A,0)))</f>
        <v/>
      </c>
      <c r="BA529" s="38" t="str">
        <f>IF(ISNA(MATCH($N529,data!$A:$A,0)),"",INDEX(data!P:P,MATCH($N529,data!$A:$A,0)))</f>
        <v/>
      </c>
      <c r="BB529" s="38" t="str">
        <f>IF(ISNA(MATCH($N529,data!$A:$A,0)),"",INDEX(data!Q:Q,MATCH($N529,data!$A:$A,0)))</f>
        <v/>
      </c>
      <c r="BC529" s="38" t="str">
        <f>IF(ISNA(MATCH($N529,data!$A:$A,0)),"",INDEX(data!R:R,MATCH($N529,data!$A:$A,0)))</f>
        <v/>
      </c>
      <c r="BD529" s="38" t="str">
        <f>IF(ISNA(MATCH($N529,[1]data!$A:$A,0)),"",INDEX([1]data!U:U,MATCH($N529,[1]data!$A:$A,0)))</f>
        <v/>
      </c>
      <c r="BE529" s="61" t="e">
        <f>IF(COUNTIF([1]data!A:A,[1]!Table1[[#This Row],[UPC]])&lt;2,"","DUP")</f>
        <v>#VALUE!</v>
      </c>
      <c r="BF529" s="38" t="str">
        <f>IF(ISNA(MATCH($N529,data!$A:$A,0)),"",INDEX(data!W:W,MATCH($N529,data!$A:$A,0)))</f>
        <v/>
      </c>
    </row>
    <row r="530" spans="1:58">
      <c r="A530" s="35"/>
      <c r="B530" s="35"/>
      <c r="C530" s="35"/>
      <c r="D530" s="35"/>
      <c r="E530" s="67"/>
      <c r="F530" s="67"/>
      <c r="G530" s="36"/>
      <c r="H530" s="29"/>
      <c r="I530" s="78" t="str">
        <f t="shared" si="12"/>
        <v/>
      </c>
      <c r="J530" s="29"/>
      <c r="K530" s="29"/>
      <c r="L530" s="33"/>
      <c r="M530" s="33"/>
      <c r="N530" s="60"/>
      <c r="O530" s="71"/>
      <c r="P530" s="71"/>
      <c r="Q530" s="33"/>
      <c r="R530" s="31"/>
      <c r="S530" s="31"/>
      <c r="T530" s="59"/>
      <c r="U530" s="59"/>
      <c r="V530" s="59"/>
      <c r="W530" s="57">
        <f t="shared" si="13"/>
        <v>0</v>
      </c>
      <c r="X530" s="126" t="str">
        <f>IF(Table1[[#This Row],[Shipping Weight Pounds]]&gt;150,"See LTL Form","No")</f>
        <v>No</v>
      </c>
      <c r="Y530" s="28"/>
      <c r="Z530" s="33"/>
      <c r="AA530" s="34"/>
      <c r="AB530" s="30"/>
      <c r="AC530" s="30"/>
      <c r="AD530" s="32"/>
      <c r="AE530" s="32"/>
      <c r="AF530" s="2"/>
      <c r="AG530" s="2"/>
      <c r="AH530" s="2"/>
      <c r="AI530" s="2"/>
      <c r="AK530" s="73" t="str">
        <f>IF(ISNA(MATCH($N530,[1]data!$A:$A,0)),"",INDEX([1]data!S:S,MATCH($N530,[1]data!$A:$A,0)))</f>
        <v/>
      </c>
      <c r="AL530" s="73" t="str">
        <f>IF(ISNA(MATCH($N530,[1]data!$A:$A,0)),"",INDEX([1]data!V:V,MATCH($N530,[1]data!$A:$A,0)))</f>
        <v/>
      </c>
      <c r="AM530" s="38" t="str">
        <f>IF(ISNA(MATCH($N530,data!$A:$A,0)),"",INDEX(data!B:B,MATCH($N530,data!$A:$A,0)))</f>
        <v/>
      </c>
      <c r="AN530" s="38" t="str">
        <f>IF(ISNA(MATCH($N530,data!$A:$A,0)),"",INDEX(data!C:C,MATCH($N530,data!$A:$A,0)))</f>
        <v/>
      </c>
      <c r="AO530" s="38" t="str">
        <f>IF(ISNA(MATCH($N530,data!$A:$A,0)),"",INDEX(data!D:D,MATCH($N530,data!$A:$A,0)))</f>
        <v/>
      </c>
      <c r="AP530" s="38" t="str">
        <f>IF(ISNA(MATCH($N530,data!$A:$A,0)),"",INDEX(data!E:E,MATCH($N530,data!$A:$A,0)))</f>
        <v/>
      </c>
      <c r="AQ530" s="38" t="str">
        <f>IF(ISNA(MATCH($N530,data!$A:$A,0)),"",INDEX(data!F:F,MATCH($N530,data!$A:$A,0)))</f>
        <v/>
      </c>
      <c r="AR530" s="38" t="str">
        <f>IF(ISNA(MATCH($N530,data!$A:$A,0)),"",INDEX(data!G:G,MATCH($N530,data!$A:$A,0)))</f>
        <v/>
      </c>
      <c r="AS530" s="38" t="str">
        <f>IF(ISNA(MATCH($N530,data!$A:$A,0)),"",INDEX(data!H:H,MATCH($N530,data!$A:$A,0)))</f>
        <v/>
      </c>
      <c r="AT530" s="38" t="str">
        <f>IF(ISNA(MATCH($N530,data!$A:$A,0)),"",INDEX(data!I:I,MATCH($N530,data!$A:$A,0)))</f>
        <v/>
      </c>
      <c r="AU530" s="38" t="str">
        <f>IF(ISNA(MATCH($N530,[1]data!$A:$A,0)),"",INDEX([1]data!L:L,MATCH($N530,[1]data!$A:$A,0)))</f>
        <v/>
      </c>
      <c r="AV530" s="38" t="str">
        <f>IF(ISNA(MATCH($N530,[1]data!$A:$A,0)),"",INDEX([1]data!M:M,MATCH($N530,[1]data!$A:$A,0)))</f>
        <v/>
      </c>
      <c r="AW530" s="38" t="str">
        <f>IF(ISNA(MATCH($N530,data!$A:$A,0)),"",INDEX(data!J:J,MATCH($N530,data!$A:$A,0)))</f>
        <v/>
      </c>
      <c r="AX530" s="38" t="str">
        <f>IF(ISNA(MATCH($N530,data!$A:$A,0)),"",INDEX(data!K:K,MATCH($N530,data!$A:$A,0)))</f>
        <v/>
      </c>
      <c r="AY530" s="38" t="str">
        <f>IF(ISNA(MATCH($N530,data!$A:$A,0)),"",INDEX(data!O:O,MATCH($N530,data!$A:$A,0)))</f>
        <v/>
      </c>
      <c r="AZ530" s="38" t="str">
        <f>IF(ISNA(MATCH($N530,data!$A:$A,0)),"",INDEX(data!N:N,MATCH($N530,data!$A:$A,0)))</f>
        <v/>
      </c>
      <c r="BA530" s="38" t="str">
        <f>IF(ISNA(MATCH($N530,data!$A:$A,0)),"",INDEX(data!P:P,MATCH($N530,data!$A:$A,0)))</f>
        <v/>
      </c>
      <c r="BB530" s="38" t="str">
        <f>IF(ISNA(MATCH($N530,data!$A:$A,0)),"",INDEX(data!Q:Q,MATCH($N530,data!$A:$A,0)))</f>
        <v/>
      </c>
      <c r="BC530" s="38" t="str">
        <f>IF(ISNA(MATCH($N530,data!$A:$A,0)),"",INDEX(data!R:R,MATCH($N530,data!$A:$A,0)))</f>
        <v/>
      </c>
      <c r="BD530" s="38" t="str">
        <f>IF(ISNA(MATCH($N530,[1]data!$A:$A,0)),"",INDEX([1]data!U:U,MATCH($N530,[1]data!$A:$A,0)))</f>
        <v/>
      </c>
      <c r="BE530" s="61" t="e">
        <f>IF(COUNTIF([1]data!A:A,[1]!Table1[[#This Row],[UPC]])&lt;2,"","DUP")</f>
        <v>#VALUE!</v>
      </c>
      <c r="BF530" s="38" t="str">
        <f>IF(ISNA(MATCH($N530,data!$A:$A,0)),"",INDEX(data!W:W,MATCH($N530,data!$A:$A,0)))</f>
        <v/>
      </c>
    </row>
    <row r="531" spans="1:58">
      <c r="A531" s="35"/>
      <c r="B531" s="35"/>
      <c r="C531" s="35"/>
      <c r="D531" s="35"/>
      <c r="E531" s="67"/>
      <c r="F531" s="67"/>
      <c r="G531" s="36"/>
      <c r="H531" s="29"/>
      <c r="I531" s="78" t="str">
        <f t="shared" si="12"/>
        <v/>
      </c>
      <c r="J531" s="29"/>
      <c r="K531" s="29"/>
      <c r="L531" s="33"/>
      <c r="M531" s="33"/>
      <c r="N531" s="60"/>
      <c r="O531" s="71"/>
      <c r="P531" s="71"/>
      <c r="Q531" s="33"/>
      <c r="R531" s="31"/>
      <c r="S531" s="31"/>
      <c r="T531" s="59"/>
      <c r="U531" s="59"/>
      <c r="V531" s="59"/>
      <c r="W531" s="57">
        <f t="shared" si="13"/>
        <v>0</v>
      </c>
      <c r="X531" s="126" t="str">
        <f>IF(Table1[[#This Row],[Shipping Weight Pounds]]&gt;150,"See LTL Form","No")</f>
        <v>No</v>
      </c>
      <c r="Y531" s="28"/>
      <c r="Z531" s="33"/>
      <c r="AA531" s="34"/>
      <c r="AB531" s="30"/>
      <c r="AC531" s="30"/>
      <c r="AD531" s="32"/>
      <c r="AE531" s="32"/>
      <c r="AF531" s="2"/>
      <c r="AG531" s="2"/>
      <c r="AH531" s="2"/>
      <c r="AI531" s="2"/>
      <c r="AK531" s="73" t="str">
        <f>IF(ISNA(MATCH($N531,[1]data!$A:$A,0)),"",INDEX([1]data!S:S,MATCH($N531,[1]data!$A:$A,0)))</f>
        <v/>
      </c>
      <c r="AL531" s="73" t="str">
        <f>IF(ISNA(MATCH($N531,[1]data!$A:$A,0)),"",INDEX([1]data!V:V,MATCH($N531,[1]data!$A:$A,0)))</f>
        <v/>
      </c>
      <c r="AM531" s="38" t="str">
        <f>IF(ISNA(MATCH($N531,data!$A:$A,0)),"",INDEX(data!B:B,MATCH($N531,data!$A:$A,0)))</f>
        <v/>
      </c>
      <c r="AN531" s="38" t="str">
        <f>IF(ISNA(MATCH($N531,data!$A:$A,0)),"",INDEX(data!C:C,MATCH($N531,data!$A:$A,0)))</f>
        <v/>
      </c>
      <c r="AO531" s="38" t="str">
        <f>IF(ISNA(MATCH($N531,data!$A:$A,0)),"",INDEX(data!D:D,MATCH($N531,data!$A:$A,0)))</f>
        <v/>
      </c>
      <c r="AP531" s="38" t="str">
        <f>IF(ISNA(MATCH($N531,data!$A:$A,0)),"",INDEX(data!E:E,MATCH($N531,data!$A:$A,0)))</f>
        <v/>
      </c>
      <c r="AQ531" s="38" t="str">
        <f>IF(ISNA(MATCH($N531,data!$A:$A,0)),"",INDEX(data!F:F,MATCH($N531,data!$A:$A,0)))</f>
        <v/>
      </c>
      <c r="AR531" s="38" t="str">
        <f>IF(ISNA(MATCH($N531,data!$A:$A,0)),"",INDEX(data!G:G,MATCH($N531,data!$A:$A,0)))</f>
        <v/>
      </c>
      <c r="AS531" s="38" t="str">
        <f>IF(ISNA(MATCH($N531,data!$A:$A,0)),"",INDEX(data!H:H,MATCH($N531,data!$A:$A,0)))</f>
        <v/>
      </c>
      <c r="AT531" s="38" t="str">
        <f>IF(ISNA(MATCH($N531,data!$A:$A,0)),"",INDEX(data!I:I,MATCH($N531,data!$A:$A,0)))</f>
        <v/>
      </c>
      <c r="AU531" s="38" t="str">
        <f>IF(ISNA(MATCH($N531,[1]data!$A:$A,0)),"",INDEX([1]data!L:L,MATCH($N531,[1]data!$A:$A,0)))</f>
        <v/>
      </c>
      <c r="AV531" s="38" t="str">
        <f>IF(ISNA(MATCH($N531,[1]data!$A:$A,0)),"",INDEX([1]data!M:M,MATCH($N531,[1]data!$A:$A,0)))</f>
        <v/>
      </c>
      <c r="AW531" s="38" t="str">
        <f>IF(ISNA(MATCH($N531,data!$A:$A,0)),"",INDEX(data!J:J,MATCH($N531,data!$A:$A,0)))</f>
        <v/>
      </c>
      <c r="AX531" s="38" t="str">
        <f>IF(ISNA(MATCH($N531,data!$A:$A,0)),"",INDEX(data!K:K,MATCH($N531,data!$A:$A,0)))</f>
        <v/>
      </c>
      <c r="AY531" s="38" t="str">
        <f>IF(ISNA(MATCH($N531,data!$A:$A,0)),"",INDEX(data!O:O,MATCH($N531,data!$A:$A,0)))</f>
        <v/>
      </c>
      <c r="AZ531" s="38" t="str">
        <f>IF(ISNA(MATCH($N531,data!$A:$A,0)),"",INDEX(data!N:N,MATCH($N531,data!$A:$A,0)))</f>
        <v/>
      </c>
      <c r="BA531" s="38" t="str">
        <f>IF(ISNA(MATCH($N531,data!$A:$A,0)),"",INDEX(data!P:P,MATCH($N531,data!$A:$A,0)))</f>
        <v/>
      </c>
      <c r="BB531" s="38" t="str">
        <f>IF(ISNA(MATCH($N531,data!$A:$A,0)),"",INDEX(data!Q:Q,MATCH($N531,data!$A:$A,0)))</f>
        <v/>
      </c>
      <c r="BC531" s="38" t="str">
        <f>IF(ISNA(MATCH($N531,data!$A:$A,0)),"",INDEX(data!R:R,MATCH($N531,data!$A:$A,0)))</f>
        <v/>
      </c>
      <c r="BD531" s="38" t="str">
        <f>IF(ISNA(MATCH($N531,[1]data!$A:$A,0)),"",INDEX([1]data!U:U,MATCH($N531,[1]data!$A:$A,0)))</f>
        <v/>
      </c>
      <c r="BE531" s="61" t="e">
        <f>IF(COUNTIF([1]data!A:A,[1]!Table1[[#This Row],[UPC]])&lt;2,"","DUP")</f>
        <v>#VALUE!</v>
      </c>
      <c r="BF531" s="38" t="str">
        <f>IF(ISNA(MATCH($N531,data!$A:$A,0)),"",INDEX(data!W:W,MATCH($N531,data!$A:$A,0)))</f>
        <v/>
      </c>
    </row>
    <row r="532" spans="1:58">
      <c r="A532" s="35"/>
      <c r="B532" s="35"/>
      <c r="C532" s="35"/>
      <c r="D532" s="35"/>
      <c r="E532" s="67"/>
      <c r="F532" s="67"/>
      <c r="G532" s="36"/>
      <c r="H532" s="29"/>
      <c r="I532" s="78" t="str">
        <f t="shared" si="12"/>
        <v/>
      </c>
      <c r="J532" s="29"/>
      <c r="K532" s="29"/>
      <c r="L532" s="33"/>
      <c r="M532" s="33"/>
      <c r="N532" s="60"/>
      <c r="O532" s="71"/>
      <c r="P532" s="71"/>
      <c r="Q532" s="33"/>
      <c r="R532" s="31"/>
      <c r="S532" s="31"/>
      <c r="T532" s="59"/>
      <c r="U532" s="59"/>
      <c r="V532" s="59"/>
      <c r="W532" s="57">
        <f t="shared" si="13"/>
        <v>0</v>
      </c>
      <c r="X532" s="126" t="str">
        <f>IF(Table1[[#This Row],[Shipping Weight Pounds]]&gt;150,"See LTL Form","No")</f>
        <v>No</v>
      </c>
      <c r="Y532" s="28"/>
      <c r="Z532" s="33"/>
      <c r="AA532" s="34"/>
      <c r="AB532" s="30"/>
      <c r="AC532" s="30"/>
      <c r="AD532" s="32"/>
      <c r="AE532" s="32"/>
      <c r="AF532" s="2"/>
      <c r="AG532" s="2"/>
      <c r="AH532" s="2"/>
      <c r="AI532" s="2"/>
      <c r="AK532" s="73" t="str">
        <f>IF(ISNA(MATCH($N532,[1]data!$A:$A,0)),"",INDEX([1]data!S:S,MATCH($N532,[1]data!$A:$A,0)))</f>
        <v/>
      </c>
      <c r="AL532" s="73" t="str">
        <f>IF(ISNA(MATCH($N532,[1]data!$A:$A,0)),"",INDEX([1]data!V:V,MATCH($N532,[1]data!$A:$A,0)))</f>
        <v/>
      </c>
      <c r="AM532" s="38" t="str">
        <f>IF(ISNA(MATCH($N532,data!$A:$A,0)),"",INDEX(data!B:B,MATCH($N532,data!$A:$A,0)))</f>
        <v/>
      </c>
      <c r="AN532" s="38" t="str">
        <f>IF(ISNA(MATCH($N532,data!$A:$A,0)),"",INDEX(data!C:C,MATCH($N532,data!$A:$A,0)))</f>
        <v/>
      </c>
      <c r="AO532" s="38" t="str">
        <f>IF(ISNA(MATCH($N532,data!$A:$A,0)),"",INDEX(data!D:D,MATCH($N532,data!$A:$A,0)))</f>
        <v/>
      </c>
      <c r="AP532" s="38" t="str">
        <f>IF(ISNA(MATCH($N532,data!$A:$A,0)),"",INDEX(data!E:E,MATCH($N532,data!$A:$A,0)))</f>
        <v/>
      </c>
      <c r="AQ532" s="38" t="str">
        <f>IF(ISNA(MATCH($N532,data!$A:$A,0)),"",INDEX(data!F:F,MATCH($N532,data!$A:$A,0)))</f>
        <v/>
      </c>
      <c r="AR532" s="38" t="str">
        <f>IF(ISNA(MATCH($N532,data!$A:$A,0)),"",INDEX(data!G:G,MATCH($N532,data!$A:$A,0)))</f>
        <v/>
      </c>
      <c r="AS532" s="38" t="str">
        <f>IF(ISNA(MATCH($N532,data!$A:$A,0)),"",INDEX(data!H:H,MATCH($N532,data!$A:$A,0)))</f>
        <v/>
      </c>
      <c r="AT532" s="38" t="str">
        <f>IF(ISNA(MATCH($N532,data!$A:$A,0)),"",INDEX(data!I:I,MATCH($N532,data!$A:$A,0)))</f>
        <v/>
      </c>
      <c r="AU532" s="38" t="str">
        <f>IF(ISNA(MATCH($N532,[1]data!$A:$A,0)),"",INDEX([1]data!L:L,MATCH($N532,[1]data!$A:$A,0)))</f>
        <v/>
      </c>
      <c r="AV532" s="38" t="str">
        <f>IF(ISNA(MATCH($N532,[1]data!$A:$A,0)),"",INDEX([1]data!M:M,MATCH($N532,[1]data!$A:$A,0)))</f>
        <v/>
      </c>
      <c r="AW532" s="38" t="str">
        <f>IF(ISNA(MATCH($N532,data!$A:$A,0)),"",INDEX(data!J:J,MATCH($N532,data!$A:$A,0)))</f>
        <v/>
      </c>
      <c r="AX532" s="38" t="str">
        <f>IF(ISNA(MATCH($N532,data!$A:$A,0)),"",INDEX(data!K:K,MATCH($N532,data!$A:$A,0)))</f>
        <v/>
      </c>
      <c r="AY532" s="38" t="str">
        <f>IF(ISNA(MATCH($N532,data!$A:$A,0)),"",INDEX(data!O:O,MATCH($N532,data!$A:$A,0)))</f>
        <v/>
      </c>
      <c r="AZ532" s="38" t="str">
        <f>IF(ISNA(MATCH($N532,data!$A:$A,0)),"",INDEX(data!N:N,MATCH($N532,data!$A:$A,0)))</f>
        <v/>
      </c>
      <c r="BA532" s="38" t="str">
        <f>IF(ISNA(MATCH($N532,data!$A:$A,0)),"",INDEX(data!P:P,MATCH($N532,data!$A:$A,0)))</f>
        <v/>
      </c>
      <c r="BB532" s="38" t="str">
        <f>IF(ISNA(MATCH($N532,data!$A:$A,0)),"",INDEX(data!Q:Q,MATCH($N532,data!$A:$A,0)))</f>
        <v/>
      </c>
      <c r="BC532" s="38" t="str">
        <f>IF(ISNA(MATCH($N532,data!$A:$A,0)),"",INDEX(data!R:R,MATCH($N532,data!$A:$A,0)))</f>
        <v/>
      </c>
      <c r="BD532" s="38" t="str">
        <f>IF(ISNA(MATCH($N532,[1]data!$A:$A,0)),"",INDEX([1]data!U:U,MATCH($N532,[1]data!$A:$A,0)))</f>
        <v/>
      </c>
      <c r="BE532" s="61" t="e">
        <f>IF(COUNTIF([1]data!A:A,[1]!Table1[[#This Row],[UPC]])&lt;2,"","DUP")</f>
        <v>#VALUE!</v>
      </c>
      <c r="BF532" s="38" t="str">
        <f>IF(ISNA(MATCH($N532,data!$A:$A,0)),"",INDEX(data!W:W,MATCH($N532,data!$A:$A,0)))</f>
        <v/>
      </c>
    </row>
    <row r="533" spans="1:58">
      <c r="A533" s="35"/>
      <c r="B533" s="35"/>
      <c r="C533" s="35"/>
      <c r="D533" s="35"/>
      <c r="E533" s="67"/>
      <c r="F533" s="67"/>
      <c r="G533" s="36"/>
      <c r="H533" s="29"/>
      <c r="I533" s="78" t="str">
        <f t="shared" si="12"/>
        <v/>
      </c>
      <c r="J533" s="29"/>
      <c r="K533" s="29"/>
      <c r="L533" s="33"/>
      <c r="M533" s="33"/>
      <c r="N533" s="60"/>
      <c r="O533" s="71"/>
      <c r="P533" s="71"/>
      <c r="Q533" s="33"/>
      <c r="R533" s="31"/>
      <c r="S533" s="31"/>
      <c r="T533" s="59"/>
      <c r="U533" s="59"/>
      <c r="V533" s="59"/>
      <c r="W533" s="57">
        <f t="shared" si="13"/>
        <v>0</v>
      </c>
      <c r="X533" s="126" t="str">
        <f>IF(Table1[[#This Row],[Shipping Weight Pounds]]&gt;150,"See LTL Form","No")</f>
        <v>No</v>
      </c>
      <c r="Y533" s="28"/>
      <c r="Z533" s="33"/>
      <c r="AA533" s="34"/>
      <c r="AB533" s="30"/>
      <c r="AC533" s="30"/>
      <c r="AD533" s="32"/>
      <c r="AE533" s="32"/>
      <c r="AF533" s="2"/>
      <c r="AG533" s="2"/>
      <c r="AH533" s="2"/>
      <c r="AI533" s="2"/>
      <c r="AK533" s="73" t="str">
        <f>IF(ISNA(MATCH($N533,[1]data!$A:$A,0)),"",INDEX([1]data!S:S,MATCH($N533,[1]data!$A:$A,0)))</f>
        <v/>
      </c>
      <c r="AL533" s="73" t="str">
        <f>IF(ISNA(MATCH($N533,[1]data!$A:$A,0)),"",INDEX([1]data!V:V,MATCH($N533,[1]data!$A:$A,0)))</f>
        <v/>
      </c>
      <c r="AM533" s="38" t="str">
        <f>IF(ISNA(MATCH($N533,data!$A:$A,0)),"",INDEX(data!B:B,MATCH($N533,data!$A:$A,0)))</f>
        <v/>
      </c>
      <c r="AN533" s="38" t="str">
        <f>IF(ISNA(MATCH($N533,data!$A:$A,0)),"",INDEX(data!C:C,MATCH($N533,data!$A:$A,0)))</f>
        <v/>
      </c>
      <c r="AO533" s="38" t="str">
        <f>IF(ISNA(MATCH($N533,data!$A:$A,0)),"",INDEX(data!D:D,MATCH($N533,data!$A:$A,0)))</f>
        <v/>
      </c>
      <c r="AP533" s="38" t="str">
        <f>IF(ISNA(MATCH($N533,data!$A:$A,0)),"",INDEX(data!E:E,MATCH($N533,data!$A:$A,0)))</f>
        <v/>
      </c>
      <c r="AQ533" s="38" t="str">
        <f>IF(ISNA(MATCH($N533,data!$A:$A,0)),"",INDEX(data!F:F,MATCH($N533,data!$A:$A,0)))</f>
        <v/>
      </c>
      <c r="AR533" s="38" t="str">
        <f>IF(ISNA(MATCH($N533,data!$A:$A,0)),"",INDEX(data!G:G,MATCH($N533,data!$A:$A,0)))</f>
        <v/>
      </c>
      <c r="AS533" s="38" t="str">
        <f>IF(ISNA(MATCH($N533,data!$A:$A,0)),"",INDEX(data!H:H,MATCH($N533,data!$A:$A,0)))</f>
        <v/>
      </c>
      <c r="AT533" s="38" t="str">
        <f>IF(ISNA(MATCH($N533,data!$A:$A,0)),"",INDEX(data!I:I,MATCH($N533,data!$A:$A,0)))</f>
        <v/>
      </c>
      <c r="AU533" s="38" t="str">
        <f>IF(ISNA(MATCH($N533,[1]data!$A:$A,0)),"",INDEX([1]data!L:L,MATCH($N533,[1]data!$A:$A,0)))</f>
        <v/>
      </c>
      <c r="AV533" s="38" t="str">
        <f>IF(ISNA(MATCH($N533,[1]data!$A:$A,0)),"",INDEX([1]data!M:M,MATCH($N533,[1]data!$A:$A,0)))</f>
        <v/>
      </c>
      <c r="AW533" s="38" t="str">
        <f>IF(ISNA(MATCH($N533,data!$A:$A,0)),"",INDEX(data!J:J,MATCH($N533,data!$A:$A,0)))</f>
        <v/>
      </c>
      <c r="AX533" s="38" t="str">
        <f>IF(ISNA(MATCH($N533,data!$A:$A,0)),"",INDEX(data!K:K,MATCH($N533,data!$A:$A,0)))</f>
        <v/>
      </c>
      <c r="AY533" s="38" t="str">
        <f>IF(ISNA(MATCH($N533,data!$A:$A,0)),"",INDEX(data!O:O,MATCH($N533,data!$A:$A,0)))</f>
        <v/>
      </c>
      <c r="AZ533" s="38" t="str">
        <f>IF(ISNA(MATCH($N533,data!$A:$A,0)),"",INDEX(data!N:N,MATCH($N533,data!$A:$A,0)))</f>
        <v/>
      </c>
      <c r="BA533" s="38" t="str">
        <f>IF(ISNA(MATCH($N533,data!$A:$A,0)),"",INDEX(data!P:P,MATCH($N533,data!$A:$A,0)))</f>
        <v/>
      </c>
      <c r="BB533" s="38" t="str">
        <f>IF(ISNA(MATCH($N533,data!$A:$A,0)),"",INDEX(data!Q:Q,MATCH($N533,data!$A:$A,0)))</f>
        <v/>
      </c>
      <c r="BC533" s="38" t="str">
        <f>IF(ISNA(MATCH($N533,data!$A:$A,0)),"",INDEX(data!R:R,MATCH($N533,data!$A:$A,0)))</f>
        <v/>
      </c>
      <c r="BD533" s="38" t="str">
        <f>IF(ISNA(MATCH($N533,[1]data!$A:$A,0)),"",INDEX([1]data!U:U,MATCH($N533,[1]data!$A:$A,0)))</f>
        <v/>
      </c>
      <c r="BE533" s="61" t="e">
        <f>IF(COUNTIF([1]data!A:A,[1]!Table1[[#This Row],[UPC]])&lt;2,"","DUP")</f>
        <v>#VALUE!</v>
      </c>
      <c r="BF533" s="38" t="str">
        <f>IF(ISNA(MATCH($N533,data!$A:$A,0)),"",INDEX(data!W:W,MATCH($N533,data!$A:$A,0)))</f>
        <v/>
      </c>
    </row>
    <row r="534" spans="1:58">
      <c r="A534" s="35"/>
      <c r="B534" s="35"/>
      <c r="C534" s="35"/>
      <c r="D534" s="35"/>
      <c r="E534" s="67"/>
      <c r="F534" s="67"/>
      <c r="G534" s="36"/>
      <c r="H534" s="29"/>
      <c r="I534" s="78" t="str">
        <f t="shared" si="12"/>
        <v/>
      </c>
      <c r="J534" s="29"/>
      <c r="K534" s="29"/>
      <c r="L534" s="33"/>
      <c r="M534" s="33"/>
      <c r="N534" s="60"/>
      <c r="O534" s="71"/>
      <c r="P534" s="71"/>
      <c r="Q534" s="33"/>
      <c r="R534" s="31"/>
      <c r="S534" s="31"/>
      <c r="T534" s="59"/>
      <c r="U534" s="59"/>
      <c r="V534" s="59"/>
      <c r="W534" s="57">
        <f t="shared" si="13"/>
        <v>0</v>
      </c>
      <c r="X534" s="126" t="str">
        <f>IF(Table1[[#This Row],[Shipping Weight Pounds]]&gt;150,"See LTL Form","No")</f>
        <v>No</v>
      </c>
      <c r="Y534" s="28"/>
      <c r="Z534" s="33"/>
      <c r="AA534" s="34"/>
      <c r="AB534" s="30"/>
      <c r="AC534" s="30"/>
      <c r="AD534" s="32"/>
      <c r="AE534" s="32"/>
      <c r="AF534" s="2"/>
      <c r="AG534" s="2"/>
      <c r="AH534" s="2"/>
      <c r="AI534" s="2"/>
      <c r="AK534" s="73" t="str">
        <f>IF(ISNA(MATCH($N534,[1]data!$A:$A,0)),"",INDEX([1]data!S:S,MATCH($N534,[1]data!$A:$A,0)))</f>
        <v/>
      </c>
      <c r="AL534" s="73" t="str">
        <f>IF(ISNA(MATCH($N534,[1]data!$A:$A,0)),"",INDEX([1]data!V:V,MATCH($N534,[1]data!$A:$A,0)))</f>
        <v/>
      </c>
      <c r="AM534" s="38" t="str">
        <f>IF(ISNA(MATCH($N534,data!$A:$A,0)),"",INDEX(data!B:B,MATCH($N534,data!$A:$A,0)))</f>
        <v/>
      </c>
      <c r="AN534" s="38" t="str">
        <f>IF(ISNA(MATCH($N534,data!$A:$A,0)),"",INDEX(data!C:C,MATCH($N534,data!$A:$A,0)))</f>
        <v/>
      </c>
      <c r="AO534" s="38" t="str">
        <f>IF(ISNA(MATCH($N534,data!$A:$A,0)),"",INDEX(data!D:D,MATCH($N534,data!$A:$A,0)))</f>
        <v/>
      </c>
      <c r="AP534" s="38" t="str">
        <f>IF(ISNA(MATCH($N534,data!$A:$A,0)),"",INDEX(data!E:E,MATCH($N534,data!$A:$A,0)))</f>
        <v/>
      </c>
      <c r="AQ534" s="38" t="str">
        <f>IF(ISNA(MATCH($N534,data!$A:$A,0)),"",INDEX(data!F:F,MATCH($N534,data!$A:$A,0)))</f>
        <v/>
      </c>
      <c r="AR534" s="38" t="str">
        <f>IF(ISNA(MATCH($N534,data!$A:$A,0)),"",INDEX(data!G:G,MATCH($N534,data!$A:$A,0)))</f>
        <v/>
      </c>
      <c r="AS534" s="38" t="str">
        <f>IF(ISNA(MATCH($N534,data!$A:$A,0)),"",INDEX(data!H:H,MATCH($N534,data!$A:$A,0)))</f>
        <v/>
      </c>
      <c r="AT534" s="38" t="str">
        <f>IF(ISNA(MATCH($N534,data!$A:$A,0)),"",INDEX(data!I:I,MATCH($N534,data!$A:$A,0)))</f>
        <v/>
      </c>
      <c r="AU534" s="38" t="str">
        <f>IF(ISNA(MATCH($N534,[1]data!$A:$A,0)),"",INDEX([1]data!L:L,MATCH($N534,[1]data!$A:$A,0)))</f>
        <v/>
      </c>
      <c r="AV534" s="38" t="str">
        <f>IF(ISNA(MATCH($N534,[1]data!$A:$A,0)),"",INDEX([1]data!M:M,MATCH($N534,[1]data!$A:$A,0)))</f>
        <v/>
      </c>
      <c r="AW534" s="38" t="str">
        <f>IF(ISNA(MATCH($N534,data!$A:$A,0)),"",INDEX(data!J:J,MATCH($N534,data!$A:$A,0)))</f>
        <v/>
      </c>
      <c r="AX534" s="38" t="str">
        <f>IF(ISNA(MATCH($N534,data!$A:$A,0)),"",INDEX(data!K:K,MATCH($N534,data!$A:$A,0)))</f>
        <v/>
      </c>
      <c r="AY534" s="38" t="str">
        <f>IF(ISNA(MATCH($N534,data!$A:$A,0)),"",INDEX(data!O:O,MATCH($N534,data!$A:$A,0)))</f>
        <v/>
      </c>
      <c r="AZ534" s="38" t="str">
        <f>IF(ISNA(MATCH($N534,data!$A:$A,0)),"",INDEX(data!N:N,MATCH($N534,data!$A:$A,0)))</f>
        <v/>
      </c>
      <c r="BA534" s="38" t="str">
        <f>IF(ISNA(MATCH($N534,data!$A:$A,0)),"",INDEX(data!P:P,MATCH($N534,data!$A:$A,0)))</f>
        <v/>
      </c>
      <c r="BB534" s="38" t="str">
        <f>IF(ISNA(MATCH($N534,data!$A:$A,0)),"",INDEX(data!Q:Q,MATCH($N534,data!$A:$A,0)))</f>
        <v/>
      </c>
      <c r="BC534" s="38" t="str">
        <f>IF(ISNA(MATCH($N534,data!$A:$A,0)),"",INDEX(data!R:R,MATCH($N534,data!$A:$A,0)))</f>
        <v/>
      </c>
      <c r="BD534" s="38" t="str">
        <f>IF(ISNA(MATCH($N534,[1]data!$A:$A,0)),"",INDEX([1]data!U:U,MATCH($N534,[1]data!$A:$A,0)))</f>
        <v/>
      </c>
      <c r="BE534" s="61" t="e">
        <f>IF(COUNTIF([1]data!A:A,[1]!Table1[[#This Row],[UPC]])&lt;2,"","DUP")</f>
        <v>#VALUE!</v>
      </c>
      <c r="BF534" s="38" t="str">
        <f>IF(ISNA(MATCH($N534,data!$A:$A,0)),"",INDEX(data!W:W,MATCH($N534,data!$A:$A,0)))</f>
        <v/>
      </c>
    </row>
    <row r="535" spans="1:58">
      <c r="A535" s="35"/>
      <c r="B535" s="35"/>
      <c r="C535" s="35"/>
      <c r="D535" s="35"/>
      <c r="E535" s="67"/>
      <c r="F535" s="67"/>
      <c r="G535" s="36"/>
      <c r="H535" s="29"/>
      <c r="I535" s="78" t="str">
        <f t="shared" si="12"/>
        <v/>
      </c>
      <c r="J535" s="29"/>
      <c r="K535" s="29"/>
      <c r="L535" s="33"/>
      <c r="M535" s="33"/>
      <c r="N535" s="60"/>
      <c r="O535" s="71"/>
      <c r="P535" s="71"/>
      <c r="Q535" s="33"/>
      <c r="R535" s="31"/>
      <c r="S535" s="31"/>
      <c r="T535" s="59"/>
      <c r="U535" s="59"/>
      <c r="V535" s="59"/>
      <c r="W535" s="57">
        <f t="shared" si="13"/>
        <v>0</v>
      </c>
      <c r="X535" s="126" t="str">
        <f>IF(Table1[[#This Row],[Shipping Weight Pounds]]&gt;150,"See LTL Form","No")</f>
        <v>No</v>
      </c>
      <c r="Y535" s="28"/>
      <c r="Z535" s="33"/>
      <c r="AA535" s="34"/>
      <c r="AB535" s="30"/>
      <c r="AC535" s="30"/>
      <c r="AD535" s="32"/>
      <c r="AE535" s="32"/>
      <c r="AF535" s="2"/>
      <c r="AG535" s="2"/>
      <c r="AH535" s="2"/>
      <c r="AI535" s="2"/>
      <c r="AK535" s="73" t="str">
        <f>IF(ISNA(MATCH($N535,[1]data!$A:$A,0)),"",INDEX([1]data!S:S,MATCH($N535,[1]data!$A:$A,0)))</f>
        <v/>
      </c>
      <c r="AL535" s="73" t="str">
        <f>IF(ISNA(MATCH($N535,[1]data!$A:$A,0)),"",INDEX([1]data!V:V,MATCH($N535,[1]data!$A:$A,0)))</f>
        <v/>
      </c>
      <c r="AM535" s="38" t="str">
        <f>IF(ISNA(MATCH($N535,data!$A:$A,0)),"",INDEX(data!B:B,MATCH($N535,data!$A:$A,0)))</f>
        <v/>
      </c>
      <c r="AN535" s="38" t="str">
        <f>IF(ISNA(MATCH($N535,data!$A:$A,0)),"",INDEX(data!C:C,MATCH($N535,data!$A:$A,0)))</f>
        <v/>
      </c>
      <c r="AO535" s="38" t="str">
        <f>IF(ISNA(MATCH($N535,data!$A:$A,0)),"",INDEX(data!D:D,MATCH($N535,data!$A:$A,0)))</f>
        <v/>
      </c>
      <c r="AP535" s="38" t="str">
        <f>IF(ISNA(MATCH($N535,data!$A:$A,0)),"",INDEX(data!E:E,MATCH($N535,data!$A:$A,0)))</f>
        <v/>
      </c>
      <c r="AQ535" s="38" t="str">
        <f>IF(ISNA(MATCH($N535,data!$A:$A,0)),"",INDEX(data!F:F,MATCH($N535,data!$A:$A,0)))</f>
        <v/>
      </c>
      <c r="AR535" s="38" t="str">
        <f>IF(ISNA(MATCH($N535,data!$A:$A,0)),"",INDEX(data!G:G,MATCH($N535,data!$A:$A,0)))</f>
        <v/>
      </c>
      <c r="AS535" s="38" t="str">
        <f>IF(ISNA(MATCH($N535,data!$A:$A,0)),"",INDEX(data!H:H,MATCH($N535,data!$A:$A,0)))</f>
        <v/>
      </c>
      <c r="AT535" s="38" t="str">
        <f>IF(ISNA(MATCH($N535,data!$A:$A,0)),"",INDEX(data!I:I,MATCH($N535,data!$A:$A,0)))</f>
        <v/>
      </c>
      <c r="AU535" s="38" t="str">
        <f>IF(ISNA(MATCH($N535,[1]data!$A:$A,0)),"",INDEX([1]data!L:L,MATCH($N535,[1]data!$A:$A,0)))</f>
        <v/>
      </c>
      <c r="AV535" s="38" t="str">
        <f>IF(ISNA(MATCH($N535,[1]data!$A:$A,0)),"",INDEX([1]data!M:M,MATCH($N535,[1]data!$A:$A,0)))</f>
        <v/>
      </c>
      <c r="AW535" s="38" t="str">
        <f>IF(ISNA(MATCH($N535,data!$A:$A,0)),"",INDEX(data!J:J,MATCH($N535,data!$A:$A,0)))</f>
        <v/>
      </c>
      <c r="AX535" s="38" t="str">
        <f>IF(ISNA(MATCH($N535,data!$A:$A,0)),"",INDEX(data!K:K,MATCH($N535,data!$A:$A,0)))</f>
        <v/>
      </c>
      <c r="AY535" s="38" t="str">
        <f>IF(ISNA(MATCH($N535,data!$A:$A,0)),"",INDEX(data!O:O,MATCH($N535,data!$A:$A,0)))</f>
        <v/>
      </c>
      <c r="AZ535" s="38" t="str">
        <f>IF(ISNA(MATCH($N535,data!$A:$A,0)),"",INDEX(data!N:N,MATCH($N535,data!$A:$A,0)))</f>
        <v/>
      </c>
      <c r="BA535" s="38" t="str">
        <f>IF(ISNA(MATCH($N535,data!$A:$A,0)),"",INDEX(data!P:P,MATCH($N535,data!$A:$A,0)))</f>
        <v/>
      </c>
      <c r="BB535" s="38" t="str">
        <f>IF(ISNA(MATCH($N535,data!$A:$A,0)),"",INDEX(data!Q:Q,MATCH($N535,data!$A:$A,0)))</f>
        <v/>
      </c>
      <c r="BC535" s="38" t="str">
        <f>IF(ISNA(MATCH($N535,data!$A:$A,0)),"",INDEX(data!R:R,MATCH($N535,data!$A:$A,0)))</f>
        <v/>
      </c>
      <c r="BD535" s="38" t="str">
        <f>IF(ISNA(MATCH($N535,[1]data!$A:$A,0)),"",INDEX([1]data!U:U,MATCH($N535,[1]data!$A:$A,0)))</f>
        <v/>
      </c>
      <c r="BE535" s="61" t="e">
        <f>IF(COUNTIF([1]data!A:A,[1]!Table1[[#This Row],[UPC]])&lt;2,"","DUP")</f>
        <v>#VALUE!</v>
      </c>
      <c r="BF535" s="38" t="str">
        <f>IF(ISNA(MATCH($N535,data!$A:$A,0)),"",INDEX(data!W:W,MATCH($N535,data!$A:$A,0)))</f>
        <v/>
      </c>
    </row>
    <row r="536" spans="1:58">
      <c r="A536" s="35"/>
      <c r="B536" s="35"/>
      <c r="C536" s="35"/>
      <c r="D536" s="35"/>
      <c r="E536" s="67"/>
      <c r="F536" s="67"/>
      <c r="G536" s="36"/>
      <c r="H536" s="29"/>
      <c r="I536" s="78" t="str">
        <f t="shared" si="12"/>
        <v/>
      </c>
      <c r="J536" s="29"/>
      <c r="K536" s="29"/>
      <c r="L536" s="33"/>
      <c r="M536" s="33"/>
      <c r="N536" s="60"/>
      <c r="O536" s="71"/>
      <c r="P536" s="71"/>
      <c r="Q536" s="33"/>
      <c r="R536" s="31"/>
      <c r="S536" s="31"/>
      <c r="T536" s="59"/>
      <c r="U536" s="59"/>
      <c r="V536" s="59"/>
      <c r="W536" s="57">
        <f t="shared" si="13"/>
        <v>0</v>
      </c>
      <c r="X536" s="126" t="str">
        <f>IF(Table1[[#This Row],[Shipping Weight Pounds]]&gt;150,"See LTL Form","No")</f>
        <v>No</v>
      </c>
      <c r="Y536" s="28"/>
      <c r="Z536" s="33"/>
      <c r="AA536" s="34"/>
      <c r="AB536" s="30"/>
      <c r="AC536" s="30"/>
      <c r="AD536" s="32"/>
      <c r="AE536" s="32"/>
      <c r="AF536" s="2"/>
      <c r="AG536" s="2"/>
      <c r="AH536" s="2"/>
      <c r="AI536" s="2"/>
      <c r="AK536" s="73" t="str">
        <f>IF(ISNA(MATCH($N536,[1]data!$A:$A,0)),"",INDEX([1]data!S:S,MATCH($N536,[1]data!$A:$A,0)))</f>
        <v/>
      </c>
      <c r="AL536" s="73" t="str">
        <f>IF(ISNA(MATCH($N536,[1]data!$A:$A,0)),"",INDEX([1]data!V:V,MATCH($N536,[1]data!$A:$A,0)))</f>
        <v/>
      </c>
      <c r="AM536" s="38" t="str">
        <f>IF(ISNA(MATCH($N536,data!$A:$A,0)),"",INDEX(data!B:B,MATCH($N536,data!$A:$A,0)))</f>
        <v/>
      </c>
      <c r="AN536" s="38" t="str">
        <f>IF(ISNA(MATCH($N536,data!$A:$A,0)),"",INDEX(data!C:C,MATCH($N536,data!$A:$A,0)))</f>
        <v/>
      </c>
      <c r="AO536" s="38" t="str">
        <f>IF(ISNA(MATCH($N536,data!$A:$A,0)),"",INDEX(data!D:D,MATCH($N536,data!$A:$A,0)))</f>
        <v/>
      </c>
      <c r="AP536" s="38" t="str">
        <f>IF(ISNA(MATCH($N536,data!$A:$A,0)),"",INDEX(data!E:E,MATCH($N536,data!$A:$A,0)))</f>
        <v/>
      </c>
      <c r="AQ536" s="38" t="str">
        <f>IF(ISNA(MATCH($N536,data!$A:$A,0)),"",INDEX(data!F:F,MATCH($N536,data!$A:$A,0)))</f>
        <v/>
      </c>
      <c r="AR536" s="38" t="str">
        <f>IF(ISNA(MATCH($N536,data!$A:$A,0)),"",INDEX(data!G:G,MATCH($N536,data!$A:$A,0)))</f>
        <v/>
      </c>
      <c r="AS536" s="38" t="str">
        <f>IF(ISNA(MATCH($N536,data!$A:$A,0)),"",INDEX(data!H:H,MATCH($N536,data!$A:$A,0)))</f>
        <v/>
      </c>
      <c r="AT536" s="38" t="str">
        <f>IF(ISNA(MATCH($N536,data!$A:$A,0)),"",INDEX(data!I:I,MATCH($N536,data!$A:$A,0)))</f>
        <v/>
      </c>
      <c r="AU536" s="38" t="str">
        <f>IF(ISNA(MATCH($N536,[1]data!$A:$A,0)),"",INDEX([1]data!L:L,MATCH($N536,[1]data!$A:$A,0)))</f>
        <v/>
      </c>
      <c r="AV536" s="38" t="str">
        <f>IF(ISNA(MATCH($N536,[1]data!$A:$A,0)),"",INDEX([1]data!M:M,MATCH($N536,[1]data!$A:$A,0)))</f>
        <v/>
      </c>
      <c r="AW536" s="38" t="str">
        <f>IF(ISNA(MATCH($N536,data!$A:$A,0)),"",INDEX(data!J:J,MATCH($N536,data!$A:$A,0)))</f>
        <v/>
      </c>
      <c r="AX536" s="38" t="str">
        <f>IF(ISNA(MATCH($N536,data!$A:$A,0)),"",INDEX(data!K:K,MATCH($N536,data!$A:$A,0)))</f>
        <v/>
      </c>
      <c r="AY536" s="38" t="str">
        <f>IF(ISNA(MATCH($N536,data!$A:$A,0)),"",INDEX(data!O:O,MATCH($N536,data!$A:$A,0)))</f>
        <v/>
      </c>
      <c r="AZ536" s="38" t="str">
        <f>IF(ISNA(MATCH($N536,data!$A:$A,0)),"",INDEX(data!N:N,MATCH($N536,data!$A:$A,0)))</f>
        <v/>
      </c>
      <c r="BA536" s="38" t="str">
        <f>IF(ISNA(MATCH($N536,data!$A:$A,0)),"",INDEX(data!P:P,MATCH($N536,data!$A:$A,0)))</f>
        <v/>
      </c>
      <c r="BB536" s="38" t="str">
        <f>IF(ISNA(MATCH($N536,data!$A:$A,0)),"",INDEX(data!Q:Q,MATCH($N536,data!$A:$A,0)))</f>
        <v/>
      </c>
      <c r="BC536" s="38" t="str">
        <f>IF(ISNA(MATCH($N536,data!$A:$A,0)),"",INDEX(data!R:R,MATCH($N536,data!$A:$A,0)))</f>
        <v/>
      </c>
      <c r="BD536" s="38" t="str">
        <f>IF(ISNA(MATCH($N536,[1]data!$A:$A,0)),"",INDEX([1]data!U:U,MATCH($N536,[1]data!$A:$A,0)))</f>
        <v/>
      </c>
      <c r="BE536" s="61" t="e">
        <f>IF(COUNTIF([1]data!A:A,[1]!Table1[[#This Row],[UPC]])&lt;2,"","DUP")</f>
        <v>#VALUE!</v>
      </c>
      <c r="BF536" s="38" t="str">
        <f>IF(ISNA(MATCH($N536,data!$A:$A,0)),"",INDEX(data!W:W,MATCH($N536,data!$A:$A,0)))</f>
        <v/>
      </c>
    </row>
    <row r="537" spans="1:58">
      <c r="A537" s="35"/>
      <c r="B537" s="35"/>
      <c r="C537" s="35"/>
      <c r="D537" s="35"/>
      <c r="E537" s="67"/>
      <c r="F537" s="67"/>
      <c r="G537" s="36"/>
      <c r="H537" s="29"/>
      <c r="I537" s="78" t="str">
        <f t="shared" si="12"/>
        <v/>
      </c>
      <c r="J537" s="29"/>
      <c r="K537" s="29"/>
      <c r="L537" s="33"/>
      <c r="M537" s="33"/>
      <c r="N537" s="60"/>
      <c r="O537" s="71"/>
      <c r="P537" s="71"/>
      <c r="Q537" s="33"/>
      <c r="R537" s="31"/>
      <c r="S537" s="31"/>
      <c r="T537" s="59"/>
      <c r="U537" s="59"/>
      <c r="V537" s="59"/>
      <c r="W537" s="57">
        <f t="shared" si="13"/>
        <v>0</v>
      </c>
      <c r="X537" s="126" t="str">
        <f>IF(Table1[[#This Row],[Shipping Weight Pounds]]&gt;150,"See LTL Form","No")</f>
        <v>No</v>
      </c>
      <c r="Y537" s="28"/>
      <c r="Z537" s="33"/>
      <c r="AA537" s="34"/>
      <c r="AB537" s="30"/>
      <c r="AC537" s="30"/>
      <c r="AD537" s="32"/>
      <c r="AE537" s="32"/>
      <c r="AF537" s="2"/>
      <c r="AG537" s="2"/>
      <c r="AH537" s="2"/>
      <c r="AI537" s="2"/>
      <c r="AK537" s="73" t="str">
        <f>IF(ISNA(MATCH($N537,[1]data!$A:$A,0)),"",INDEX([1]data!S:S,MATCH($N537,[1]data!$A:$A,0)))</f>
        <v/>
      </c>
      <c r="AL537" s="73" t="str">
        <f>IF(ISNA(MATCH($N537,[1]data!$A:$A,0)),"",INDEX([1]data!V:V,MATCH($N537,[1]data!$A:$A,0)))</f>
        <v/>
      </c>
      <c r="AM537" s="38" t="str">
        <f>IF(ISNA(MATCH($N537,data!$A:$A,0)),"",INDEX(data!B:B,MATCH($N537,data!$A:$A,0)))</f>
        <v/>
      </c>
      <c r="AN537" s="38" t="str">
        <f>IF(ISNA(MATCH($N537,data!$A:$A,0)),"",INDEX(data!C:C,MATCH($N537,data!$A:$A,0)))</f>
        <v/>
      </c>
      <c r="AO537" s="38" t="str">
        <f>IF(ISNA(MATCH($N537,data!$A:$A,0)),"",INDEX(data!D:D,MATCH($N537,data!$A:$A,0)))</f>
        <v/>
      </c>
      <c r="AP537" s="38" t="str">
        <f>IF(ISNA(MATCH($N537,data!$A:$A,0)),"",INDEX(data!E:E,MATCH($N537,data!$A:$A,0)))</f>
        <v/>
      </c>
      <c r="AQ537" s="38" t="str">
        <f>IF(ISNA(MATCH($N537,data!$A:$A,0)),"",INDEX(data!F:F,MATCH($N537,data!$A:$A,0)))</f>
        <v/>
      </c>
      <c r="AR537" s="38" t="str">
        <f>IF(ISNA(MATCH($N537,data!$A:$A,0)),"",INDEX(data!G:G,MATCH($N537,data!$A:$A,0)))</f>
        <v/>
      </c>
      <c r="AS537" s="38" t="str">
        <f>IF(ISNA(MATCH($N537,data!$A:$A,0)),"",INDEX(data!H:H,MATCH($N537,data!$A:$A,0)))</f>
        <v/>
      </c>
      <c r="AT537" s="38" t="str">
        <f>IF(ISNA(MATCH($N537,data!$A:$A,0)),"",INDEX(data!I:I,MATCH($N537,data!$A:$A,0)))</f>
        <v/>
      </c>
      <c r="AU537" s="38" t="str">
        <f>IF(ISNA(MATCH($N537,[1]data!$A:$A,0)),"",INDEX([1]data!L:L,MATCH($N537,[1]data!$A:$A,0)))</f>
        <v/>
      </c>
      <c r="AV537" s="38" t="str">
        <f>IF(ISNA(MATCH($N537,[1]data!$A:$A,0)),"",INDEX([1]data!M:M,MATCH($N537,[1]data!$A:$A,0)))</f>
        <v/>
      </c>
      <c r="AW537" s="38" t="str">
        <f>IF(ISNA(MATCH($N537,data!$A:$A,0)),"",INDEX(data!J:J,MATCH($N537,data!$A:$A,0)))</f>
        <v/>
      </c>
      <c r="AX537" s="38" t="str">
        <f>IF(ISNA(MATCH($N537,data!$A:$A,0)),"",INDEX(data!K:K,MATCH($N537,data!$A:$A,0)))</f>
        <v/>
      </c>
      <c r="AY537" s="38" t="str">
        <f>IF(ISNA(MATCH($N537,data!$A:$A,0)),"",INDEX(data!O:O,MATCH($N537,data!$A:$A,0)))</f>
        <v/>
      </c>
      <c r="AZ537" s="38" t="str">
        <f>IF(ISNA(MATCH($N537,data!$A:$A,0)),"",INDEX(data!N:N,MATCH($N537,data!$A:$A,0)))</f>
        <v/>
      </c>
      <c r="BA537" s="38" t="str">
        <f>IF(ISNA(MATCH($N537,data!$A:$A,0)),"",INDEX(data!P:P,MATCH($N537,data!$A:$A,0)))</f>
        <v/>
      </c>
      <c r="BB537" s="38" t="str">
        <f>IF(ISNA(MATCH($N537,data!$A:$A,0)),"",INDEX(data!Q:Q,MATCH($N537,data!$A:$A,0)))</f>
        <v/>
      </c>
      <c r="BC537" s="38" t="str">
        <f>IF(ISNA(MATCH($N537,data!$A:$A,0)),"",INDEX(data!R:R,MATCH($N537,data!$A:$A,0)))</f>
        <v/>
      </c>
      <c r="BD537" s="38" t="str">
        <f>IF(ISNA(MATCH($N537,[1]data!$A:$A,0)),"",INDEX([1]data!U:U,MATCH($N537,[1]data!$A:$A,0)))</f>
        <v/>
      </c>
      <c r="BE537" s="61" t="e">
        <f>IF(COUNTIF([1]data!A:A,[1]!Table1[[#This Row],[UPC]])&lt;2,"","DUP")</f>
        <v>#VALUE!</v>
      </c>
      <c r="BF537" s="38" t="str">
        <f>IF(ISNA(MATCH($N537,data!$A:$A,0)),"",INDEX(data!W:W,MATCH($N537,data!$A:$A,0)))</f>
        <v/>
      </c>
    </row>
    <row r="538" spans="1:58">
      <c r="A538" s="35"/>
      <c r="B538" s="35"/>
      <c r="C538" s="35"/>
      <c r="D538" s="35"/>
      <c r="E538" s="67"/>
      <c r="F538" s="67"/>
      <c r="G538" s="36"/>
      <c r="H538" s="29"/>
      <c r="I538" s="78" t="str">
        <f t="shared" si="12"/>
        <v/>
      </c>
      <c r="J538" s="29"/>
      <c r="K538" s="29"/>
      <c r="L538" s="33"/>
      <c r="M538" s="33"/>
      <c r="N538" s="60"/>
      <c r="O538" s="71"/>
      <c r="P538" s="71"/>
      <c r="Q538" s="33"/>
      <c r="R538" s="31"/>
      <c r="S538" s="31"/>
      <c r="T538" s="59"/>
      <c r="U538" s="59"/>
      <c r="V538" s="59"/>
      <c r="W538" s="57">
        <f t="shared" si="13"/>
        <v>0</v>
      </c>
      <c r="X538" s="126" t="str">
        <f>IF(Table1[[#This Row],[Shipping Weight Pounds]]&gt;150,"See LTL Form","No")</f>
        <v>No</v>
      </c>
      <c r="Y538" s="28"/>
      <c r="Z538" s="33"/>
      <c r="AA538" s="34"/>
      <c r="AB538" s="30"/>
      <c r="AC538" s="30"/>
      <c r="AD538" s="32"/>
      <c r="AE538" s="32"/>
      <c r="AF538" s="2"/>
      <c r="AG538" s="2"/>
      <c r="AH538" s="2"/>
      <c r="AI538" s="2"/>
      <c r="AK538" s="73" t="str">
        <f>IF(ISNA(MATCH($N538,[1]data!$A:$A,0)),"",INDEX([1]data!S:S,MATCH($N538,[1]data!$A:$A,0)))</f>
        <v/>
      </c>
      <c r="AL538" s="73" t="str">
        <f>IF(ISNA(MATCH($N538,[1]data!$A:$A,0)),"",INDEX([1]data!V:V,MATCH($N538,[1]data!$A:$A,0)))</f>
        <v/>
      </c>
      <c r="AM538" s="38" t="str">
        <f>IF(ISNA(MATCH($N538,data!$A:$A,0)),"",INDEX(data!B:B,MATCH($N538,data!$A:$A,0)))</f>
        <v/>
      </c>
      <c r="AN538" s="38" t="str">
        <f>IF(ISNA(MATCH($N538,data!$A:$A,0)),"",INDEX(data!C:C,MATCH($N538,data!$A:$A,0)))</f>
        <v/>
      </c>
      <c r="AO538" s="38" t="str">
        <f>IF(ISNA(MATCH($N538,data!$A:$A,0)),"",INDEX(data!D:D,MATCH($N538,data!$A:$A,0)))</f>
        <v/>
      </c>
      <c r="AP538" s="38" t="str">
        <f>IF(ISNA(MATCH($N538,data!$A:$A,0)),"",INDEX(data!E:E,MATCH($N538,data!$A:$A,0)))</f>
        <v/>
      </c>
      <c r="AQ538" s="38" t="str">
        <f>IF(ISNA(MATCH($N538,data!$A:$A,0)),"",INDEX(data!F:F,MATCH($N538,data!$A:$A,0)))</f>
        <v/>
      </c>
      <c r="AR538" s="38" t="str">
        <f>IF(ISNA(MATCH($N538,data!$A:$A,0)),"",INDEX(data!G:G,MATCH($N538,data!$A:$A,0)))</f>
        <v/>
      </c>
      <c r="AS538" s="38" t="str">
        <f>IF(ISNA(MATCH($N538,data!$A:$A,0)),"",INDEX(data!H:H,MATCH($N538,data!$A:$A,0)))</f>
        <v/>
      </c>
      <c r="AT538" s="38" t="str">
        <f>IF(ISNA(MATCH($N538,data!$A:$A,0)),"",INDEX(data!I:I,MATCH($N538,data!$A:$A,0)))</f>
        <v/>
      </c>
      <c r="AU538" s="38" t="str">
        <f>IF(ISNA(MATCH($N538,[1]data!$A:$A,0)),"",INDEX([1]data!L:L,MATCH($N538,[1]data!$A:$A,0)))</f>
        <v/>
      </c>
      <c r="AV538" s="38" t="str">
        <f>IF(ISNA(MATCH($N538,[1]data!$A:$A,0)),"",INDEX([1]data!M:M,MATCH($N538,[1]data!$A:$A,0)))</f>
        <v/>
      </c>
      <c r="AW538" s="38" t="str">
        <f>IF(ISNA(MATCH($N538,data!$A:$A,0)),"",INDEX(data!J:J,MATCH($N538,data!$A:$A,0)))</f>
        <v/>
      </c>
      <c r="AX538" s="38" t="str">
        <f>IF(ISNA(MATCH($N538,data!$A:$A,0)),"",INDEX(data!K:K,MATCH($N538,data!$A:$A,0)))</f>
        <v/>
      </c>
      <c r="AY538" s="38" t="str">
        <f>IF(ISNA(MATCH($N538,data!$A:$A,0)),"",INDEX(data!O:O,MATCH($N538,data!$A:$A,0)))</f>
        <v/>
      </c>
      <c r="AZ538" s="38" t="str">
        <f>IF(ISNA(MATCH($N538,data!$A:$A,0)),"",INDEX(data!N:N,MATCH($N538,data!$A:$A,0)))</f>
        <v/>
      </c>
      <c r="BA538" s="38" t="str">
        <f>IF(ISNA(MATCH($N538,data!$A:$A,0)),"",INDEX(data!P:P,MATCH($N538,data!$A:$A,0)))</f>
        <v/>
      </c>
      <c r="BB538" s="38" t="str">
        <f>IF(ISNA(MATCH($N538,data!$A:$A,0)),"",INDEX(data!Q:Q,MATCH($N538,data!$A:$A,0)))</f>
        <v/>
      </c>
      <c r="BC538" s="38" t="str">
        <f>IF(ISNA(MATCH($N538,data!$A:$A,0)),"",INDEX(data!R:R,MATCH($N538,data!$A:$A,0)))</f>
        <v/>
      </c>
      <c r="BD538" s="38" t="str">
        <f>IF(ISNA(MATCH($N538,[1]data!$A:$A,0)),"",INDEX([1]data!U:U,MATCH($N538,[1]data!$A:$A,0)))</f>
        <v/>
      </c>
      <c r="BE538" s="61" t="e">
        <f>IF(COUNTIF([1]data!A:A,[1]!Table1[[#This Row],[UPC]])&lt;2,"","DUP")</f>
        <v>#VALUE!</v>
      </c>
      <c r="BF538" s="38" t="str">
        <f>IF(ISNA(MATCH($N538,data!$A:$A,0)),"",INDEX(data!W:W,MATCH($N538,data!$A:$A,0)))</f>
        <v/>
      </c>
    </row>
    <row r="539" spans="1:58">
      <c r="A539" s="35"/>
      <c r="B539" s="35"/>
      <c r="C539" s="35"/>
      <c r="D539" s="35"/>
      <c r="E539" s="67"/>
      <c r="F539" s="67"/>
      <c r="G539" s="36"/>
      <c r="H539" s="29"/>
      <c r="I539" s="78" t="str">
        <f t="shared" si="12"/>
        <v/>
      </c>
      <c r="J539" s="29"/>
      <c r="K539" s="29"/>
      <c r="L539" s="33"/>
      <c r="M539" s="33"/>
      <c r="N539" s="60"/>
      <c r="O539" s="71"/>
      <c r="P539" s="71"/>
      <c r="Q539" s="33"/>
      <c r="R539" s="31"/>
      <c r="S539" s="31"/>
      <c r="T539" s="59"/>
      <c r="U539" s="59"/>
      <c r="V539" s="59"/>
      <c r="W539" s="57">
        <f t="shared" si="13"/>
        <v>0</v>
      </c>
      <c r="X539" s="126" t="str">
        <f>IF(Table1[[#This Row],[Shipping Weight Pounds]]&gt;150,"See LTL Form","No")</f>
        <v>No</v>
      </c>
      <c r="Y539" s="28"/>
      <c r="Z539" s="33"/>
      <c r="AA539" s="34"/>
      <c r="AB539" s="30"/>
      <c r="AC539" s="30"/>
      <c r="AD539" s="32"/>
      <c r="AE539" s="32"/>
      <c r="AF539" s="2"/>
      <c r="AG539" s="2"/>
      <c r="AH539" s="2"/>
      <c r="AI539" s="2"/>
      <c r="AK539" s="73" t="str">
        <f>IF(ISNA(MATCH($N539,[1]data!$A:$A,0)),"",INDEX([1]data!S:S,MATCH($N539,[1]data!$A:$A,0)))</f>
        <v/>
      </c>
      <c r="AL539" s="73" t="str">
        <f>IF(ISNA(MATCH($N539,[1]data!$A:$A,0)),"",INDEX([1]data!V:V,MATCH($N539,[1]data!$A:$A,0)))</f>
        <v/>
      </c>
      <c r="AM539" s="38" t="str">
        <f>IF(ISNA(MATCH($N539,data!$A:$A,0)),"",INDEX(data!B:B,MATCH($N539,data!$A:$A,0)))</f>
        <v/>
      </c>
      <c r="AN539" s="38" t="str">
        <f>IF(ISNA(MATCH($N539,data!$A:$A,0)),"",INDEX(data!C:C,MATCH($N539,data!$A:$A,0)))</f>
        <v/>
      </c>
      <c r="AO539" s="38" t="str">
        <f>IF(ISNA(MATCH($N539,data!$A:$A,0)),"",INDEX(data!D:D,MATCH($N539,data!$A:$A,0)))</f>
        <v/>
      </c>
      <c r="AP539" s="38" t="str">
        <f>IF(ISNA(MATCH($N539,data!$A:$A,0)),"",INDEX(data!E:E,MATCH($N539,data!$A:$A,0)))</f>
        <v/>
      </c>
      <c r="AQ539" s="38" t="str">
        <f>IF(ISNA(MATCH($N539,data!$A:$A,0)),"",INDEX(data!F:F,MATCH($N539,data!$A:$A,0)))</f>
        <v/>
      </c>
      <c r="AR539" s="38" t="str">
        <f>IF(ISNA(MATCH($N539,data!$A:$A,0)),"",INDEX(data!G:G,MATCH($N539,data!$A:$A,0)))</f>
        <v/>
      </c>
      <c r="AS539" s="38" t="str">
        <f>IF(ISNA(MATCH($N539,data!$A:$A,0)),"",INDEX(data!H:H,MATCH($N539,data!$A:$A,0)))</f>
        <v/>
      </c>
      <c r="AT539" s="38" t="str">
        <f>IF(ISNA(MATCH($N539,data!$A:$A,0)),"",INDEX(data!I:I,MATCH($N539,data!$A:$A,0)))</f>
        <v/>
      </c>
      <c r="AU539" s="38" t="str">
        <f>IF(ISNA(MATCH($N539,[1]data!$A:$A,0)),"",INDEX([1]data!L:L,MATCH($N539,[1]data!$A:$A,0)))</f>
        <v/>
      </c>
      <c r="AV539" s="38" t="str">
        <f>IF(ISNA(MATCH($N539,[1]data!$A:$A,0)),"",INDEX([1]data!M:M,MATCH($N539,[1]data!$A:$A,0)))</f>
        <v/>
      </c>
      <c r="AW539" s="38" t="str">
        <f>IF(ISNA(MATCH($N539,data!$A:$A,0)),"",INDEX(data!J:J,MATCH($N539,data!$A:$A,0)))</f>
        <v/>
      </c>
      <c r="AX539" s="38" t="str">
        <f>IF(ISNA(MATCH($N539,data!$A:$A,0)),"",INDEX(data!K:K,MATCH($N539,data!$A:$A,0)))</f>
        <v/>
      </c>
      <c r="AY539" s="38" t="str">
        <f>IF(ISNA(MATCH($N539,data!$A:$A,0)),"",INDEX(data!O:O,MATCH($N539,data!$A:$A,0)))</f>
        <v/>
      </c>
      <c r="AZ539" s="38" t="str">
        <f>IF(ISNA(MATCH($N539,data!$A:$A,0)),"",INDEX(data!N:N,MATCH($N539,data!$A:$A,0)))</f>
        <v/>
      </c>
      <c r="BA539" s="38" t="str">
        <f>IF(ISNA(MATCH($N539,data!$A:$A,0)),"",INDEX(data!P:P,MATCH($N539,data!$A:$A,0)))</f>
        <v/>
      </c>
      <c r="BB539" s="38" t="str">
        <f>IF(ISNA(MATCH($N539,data!$A:$A,0)),"",INDEX(data!Q:Q,MATCH($N539,data!$A:$A,0)))</f>
        <v/>
      </c>
      <c r="BC539" s="38" t="str">
        <f>IF(ISNA(MATCH($N539,data!$A:$A,0)),"",INDEX(data!R:R,MATCH($N539,data!$A:$A,0)))</f>
        <v/>
      </c>
      <c r="BD539" s="38" t="str">
        <f>IF(ISNA(MATCH($N539,[1]data!$A:$A,0)),"",INDEX([1]data!U:U,MATCH($N539,[1]data!$A:$A,0)))</f>
        <v/>
      </c>
      <c r="BE539" s="61" t="e">
        <f>IF(COUNTIF([1]data!A:A,[1]!Table1[[#This Row],[UPC]])&lt;2,"","DUP")</f>
        <v>#VALUE!</v>
      </c>
      <c r="BF539" s="38" t="str">
        <f>IF(ISNA(MATCH($N539,data!$A:$A,0)),"",INDEX(data!W:W,MATCH($N539,data!$A:$A,0)))</f>
        <v/>
      </c>
    </row>
    <row r="540" spans="1:58">
      <c r="A540" s="35"/>
      <c r="B540" s="35"/>
      <c r="C540" s="35"/>
      <c r="D540" s="35"/>
      <c r="E540" s="67"/>
      <c r="F540" s="67"/>
      <c r="G540" s="36"/>
      <c r="H540" s="29"/>
      <c r="I540" s="78" t="str">
        <f t="shared" si="12"/>
        <v/>
      </c>
      <c r="J540" s="29"/>
      <c r="K540" s="29"/>
      <c r="L540" s="33"/>
      <c r="M540" s="33"/>
      <c r="N540" s="60"/>
      <c r="O540" s="71"/>
      <c r="P540" s="71"/>
      <c r="Q540" s="33"/>
      <c r="R540" s="31"/>
      <c r="S540" s="31"/>
      <c r="T540" s="59"/>
      <c r="U540" s="59"/>
      <c r="V540" s="59"/>
      <c r="W540" s="57">
        <f t="shared" si="13"/>
        <v>0</v>
      </c>
      <c r="X540" s="126" t="str">
        <f>IF(Table1[[#This Row],[Shipping Weight Pounds]]&gt;150,"See LTL Form","No")</f>
        <v>No</v>
      </c>
      <c r="Y540" s="28"/>
      <c r="Z540" s="33"/>
      <c r="AA540" s="34"/>
      <c r="AB540" s="30"/>
      <c r="AC540" s="30"/>
      <c r="AD540" s="32"/>
      <c r="AE540" s="32"/>
      <c r="AF540" s="2"/>
      <c r="AG540" s="2"/>
      <c r="AH540" s="2"/>
      <c r="AI540" s="2"/>
      <c r="AK540" s="73" t="str">
        <f>IF(ISNA(MATCH($N540,[1]data!$A:$A,0)),"",INDEX([1]data!S:S,MATCH($N540,[1]data!$A:$A,0)))</f>
        <v/>
      </c>
      <c r="AL540" s="73" t="str">
        <f>IF(ISNA(MATCH($N540,[1]data!$A:$A,0)),"",INDEX([1]data!V:V,MATCH($N540,[1]data!$A:$A,0)))</f>
        <v/>
      </c>
      <c r="AM540" s="38" t="str">
        <f>IF(ISNA(MATCH($N540,data!$A:$A,0)),"",INDEX(data!B:B,MATCH($N540,data!$A:$A,0)))</f>
        <v/>
      </c>
      <c r="AN540" s="38" t="str">
        <f>IF(ISNA(MATCH($N540,data!$A:$A,0)),"",INDEX(data!C:C,MATCH($N540,data!$A:$A,0)))</f>
        <v/>
      </c>
      <c r="AO540" s="38" t="str">
        <f>IF(ISNA(MATCH($N540,data!$A:$A,0)),"",INDEX(data!D:D,MATCH($N540,data!$A:$A,0)))</f>
        <v/>
      </c>
      <c r="AP540" s="38" t="str">
        <f>IF(ISNA(MATCH($N540,data!$A:$A,0)),"",INDEX(data!E:E,MATCH($N540,data!$A:$A,0)))</f>
        <v/>
      </c>
      <c r="AQ540" s="38" t="str">
        <f>IF(ISNA(MATCH($N540,data!$A:$A,0)),"",INDEX(data!F:F,MATCH($N540,data!$A:$A,0)))</f>
        <v/>
      </c>
      <c r="AR540" s="38" t="str">
        <f>IF(ISNA(MATCH($N540,data!$A:$A,0)),"",INDEX(data!G:G,MATCH($N540,data!$A:$A,0)))</f>
        <v/>
      </c>
      <c r="AS540" s="38" t="str">
        <f>IF(ISNA(MATCH($N540,data!$A:$A,0)),"",INDEX(data!H:H,MATCH($N540,data!$A:$A,0)))</f>
        <v/>
      </c>
      <c r="AT540" s="38" t="str">
        <f>IF(ISNA(MATCH($N540,data!$A:$A,0)),"",INDEX(data!I:I,MATCH($N540,data!$A:$A,0)))</f>
        <v/>
      </c>
      <c r="AU540" s="38" t="str">
        <f>IF(ISNA(MATCH($N540,[1]data!$A:$A,0)),"",INDEX([1]data!L:L,MATCH($N540,[1]data!$A:$A,0)))</f>
        <v/>
      </c>
      <c r="AV540" s="38" t="str">
        <f>IF(ISNA(MATCH($N540,[1]data!$A:$A,0)),"",INDEX([1]data!M:M,MATCH($N540,[1]data!$A:$A,0)))</f>
        <v/>
      </c>
      <c r="AW540" s="38" t="str">
        <f>IF(ISNA(MATCH($N540,data!$A:$A,0)),"",INDEX(data!J:J,MATCH($N540,data!$A:$A,0)))</f>
        <v/>
      </c>
      <c r="AX540" s="38" t="str">
        <f>IF(ISNA(MATCH($N540,data!$A:$A,0)),"",INDEX(data!K:K,MATCH($N540,data!$A:$A,0)))</f>
        <v/>
      </c>
      <c r="AY540" s="38" t="str">
        <f>IF(ISNA(MATCH($N540,data!$A:$A,0)),"",INDEX(data!O:O,MATCH($N540,data!$A:$A,0)))</f>
        <v/>
      </c>
      <c r="AZ540" s="38" t="str">
        <f>IF(ISNA(MATCH($N540,data!$A:$A,0)),"",INDEX(data!N:N,MATCH($N540,data!$A:$A,0)))</f>
        <v/>
      </c>
      <c r="BA540" s="38" t="str">
        <f>IF(ISNA(MATCH($N540,data!$A:$A,0)),"",INDEX(data!P:P,MATCH($N540,data!$A:$A,0)))</f>
        <v/>
      </c>
      <c r="BB540" s="38" t="str">
        <f>IF(ISNA(MATCH($N540,data!$A:$A,0)),"",INDEX(data!Q:Q,MATCH($N540,data!$A:$A,0)))</f>
        <v/>
      </c>
      <c r="BC540" s="38" t="str">
        <f>IF(ISNA(MATCH($N540,data!$A:$A,0)),"",INDEX(data!R:R,MATCH($N540,data!$A:$A,0)))</f>
        <v/>
      </c>
      <c r="BD540" s="38" t="str">
        <f>IF(ISNA(MATCH($N540,[1]data!$A:$A,0)),"",INDEX([1]data!U:U,MATCH($N540,[1]data!$A:$A,0)))</f>
        <v/>
      </c>
      <c r="BE540" s="61" t="e">
        <f>IF(COUNTIF([1]data!A:A,[1]!Table1[[#This Row],[UPC]])&lt;2,"","DUP")</f>
        <v>#VALUE!</v>
      </c>
      <c r="BF540" s="38" t="str">
        <f>IF(ISNA(MATCH($N540,data!$A:$A,0)),"",INDEX(data!W:W,MATCH($N540,data!$A:$A,0)))</f>
        <v/>
      </c>
    </row>
    <row r="541" spans="1:58">
      <c r="A541" s="35"/>
      <c r="B541" s="35"/>
      <c r="C541" s="35"/>
      <c r="D541" s="35"/>
      <c r="E541" s="67"/>
      <c r="F541" s="67"/>
      <c r="G541" s="36"/>
      <c r="H541" s="29"/>
      <c r="I541" s="78" t="str">
        <f t="shared" si="12"/>
        <v/>
      </c>
      <c r="J541" s="29"/>
      <c r="K541" s="29"/>
      <c r="L541" s="33"/>
      <c r="M541" s="33"/>
      <c r="N541" s="60"/>
      <c r="O541" s="71"/>
      <c r="P541" s="71"/>
      <c r="Q541" s="33"/>
      <c r="R541" s="31"/>
      <c r="S541" s="31"/>
      <c r="T541" s="59"/>
      <c r="U541" s="59"/>
      <c r="V541" s="59"/>
      <c r="W541" s="57">
        <f t="shared" si="13"/>
        <v>0</v>
      </c>
      <c r="X541" s="126" t="str">
        <f>IF(Table1[[#This Row],[Shipping Weight Pounds]]&gt;150,"See LTL Form","No")</f>
        <v>No</v>
      </c>
      <c r="Y541" s="28"/>
      <c r="Z541" s="33"/>
      <c r="AA541" s="34"/>
      <c r="AB541" s="30"/>
      <c r="AC541" s="30"/>
      <c r="AD541" s="32"/>
      <c r="AE541" s="32"/>
      <c r="AF541" s="2"/>
      <c r="AG541" s="2"/>
      <c r="AH541" s="2"/>
      <c r="AI541" s="2"/>
      <c r="AK541" s="73" t="str">
        <f>IF(ISNA(MATCH($N541,[1]data!$A:$A,0)),"",INDEX([1]data!S:S,MATCH($N541,[1]data!$A:$A,0)))</f>
        <v/>
      </c>
      <c r="AL541" s="73" t="str">
        <f>IF(ISNA(MATCH($N541,[1]data!$A:$A,0)),"",INDEX([1]data!V:V,MATCH($N541,[1]data!$A:$A,0)))</f>
        <v/>
      </c>
      <c r="AM541" s="38" t="str">
        <f>IF(ISNA(MATCH($N541,data!$A:$A,0)),"",INDEX(data!B:B,MATCH($N541,data!$A:$A,0)))</f>
        <v/>
      </c>
      <c r="AN541" s="38" t="str">
        <f>IF(ISNA(MATCH($N541,data!$A:$A,0)),"",INDEX(data!C:C,MATCH($N541,data!$A:$A,0)))</f>
        <v/>
      </c>
      <c r="AO541" s="38" t="str">
        <f>IF(ISNA(MATCH($N541,data!$A:$A,0)),"",INDEX(data!D:D,MATCH($N541,data!$A:$A,0)))</f>
        <v/>
      </c>
      <c r="AP541" s="38" t="str">
        <f>IF(ISNA(MATCH($N541,data!$A:$A,0)),"",INDEX(data!E:E,MATCH($N541,data!$A:$A,0)))</f>
        <v/>
      </c>
      <c r="AQ541" s="38" t="str">
        <f>IF(ISNA(MATCH($N541,data!$A:$A,0)),"",INDEX(data!F:F,MATCH($N541,data!$A:$A,0)))</f>
        <v/>
      </c>
      <c r="AR541" s="38" t="str">
        <f>IF(ISNA(MATCH($N541,data!$A:$A,0)),"",INDEX(data!G:G,MATCH($N541,data!$A:$A,0)))</f>
        <v/>
      </c>
      <c r="AS541" s="38" t="str">
        <f>IF(ISNA(MATCH($N541,data!$A:$A,0)),"",INDEX(data!H:H,MATCH($N541,data!$A:$A,0)))</f>
        <v/>
      </c>
      <c r="AT541" s="38" t="str">
        <f>IF(ISNA(MATCH($N541,data!$A:$A,0)),"",INDEX(data!I:I,MATCH($N541,data!$A:$A,0)))</f>
        <v/>
      </c>
      <c r="AU541" s="38" t="str">
        <f>IF(ISNA(MATCH($N541,[1]data!$A:$A,0)),"",INDEX([1]data!L:L,MATCH($N541,[1]data!$A:$A,0)))</f>
        <v/>
      </c>
      <c r="AV541" s="38" t="str">
        <f>IF(ISNA(MATCH($N541,[1]data!$A:$A,0)),"",INDEX([1]data!M:M,MATCH($N541,[1]data!$A:$A,0)))</f>
        <v/>
      </c>
      <c r="AW541" s="38" t="str">
        <f>IF(ISNA(MATCH($N541,data!$A:$A,0)),"",INDEX(data!J:J,MATCH($N541,data!$A:$A,0)))</f>
        <v/>
      </c>
      <c r="AX541" s="38" t="str">
        <f>IF(ISNA(MATCH($N541,data!$A:$A,0)),"",INDEX(data!K:K,MATCH($N541,data!$A:$A,0)))</f>
        <v/>
      </c>
      <c r="AY541" s="38" t="str">
        <f>IF(ISNA(MATCH($N541,data!$A:$A,0)),"",INDEX(data!O:O,MATCH($N541,data!$A:$A,0)))</f>
        <v/>
      </c>
      <c r="AZ541" s="38" t="str">
        <f>IF(ISNA(MATCH($N541,data!$A:$A,0)),"",INDEX(data!N:N,MATCH($N541,data!$A:$A,0)))</f>
        <v/>
      </c>
      <c r="BA541" s="38" t="str">
        <f>IF(ISNA(MATCH($N541,data!$A:$A,0)),"",INDEX(data!P:P,MATCH($N541,data!$A:$A,0)))</f>
        <v/>
      </c>
      <c r="BB541" s="38" t="str">
        <f>IF(ISNA(MATCH($N541,data!$A:$A,0)),"",INDEX(data!Q:Q,MATCH($N541,data!$A:$A,0)))</f>
        <v/>
      </c>
      <c r="BC541" s="38" t="str">
        <f>IF(ISNA(MATCH($N541,data!$A:$A,0)),"",INDEX(data!R:R,MATCH($N541,data!$A:$A,0)))</f>
        <v/>
      </c>
      <c r="BD541" s="38" t="str">
        <f>IF(ISNA(MATCH($N541,[1]data!$A:$A,0)),"",INDEX([1]data!U:U,MATCH($N541,[1]data!$A:$A,0)))</f>
        <v/>
      </c>
      <c r="BE541" s="61" t="e">
        <f>IF(COUNTIF([1]data!A:A,[1]!Table1[[#This Row],[UPC]])&lt;2,"","DUP")</f>
        <v>#VALUE!</v>
      </c>
      <c r="BF541" s="38" t="str">
        <f>IF(ISNA(MATCH($N541,data!$A:$A,0)),"",INDEX(data!W:W,MATCH($N541,data!$A:$A,0)))</f>
        <v/>
      </c>
    </row>
    <row r="542" spans="1:58">
      <c r="A542" s="35"/>
      <c r="B542" s="35"/>
      <c r="C542" s="35"/>
      <c r="D542" s="35"/>
      <c r="E542" s="67"/>
      <c r="F542" s="67"/>
      <c r="G542" s="36"/>
      <c r="H542" s="29"/>
      <c r="I542" s="78" t="str">
        <f t="shared" si="12"/>
        <v/>
      </c>
      <c r="J542" s="29"/>
      <c r="K542" s="29"/>
      <c r="L542" s="33"/>
      <c r="M542" s="33"/>
      <c r="N542" s="60"/>
      <c r="O542" s="71"/>
      <c r="P542" s="71"/>
      <c r="Q542" s="33"/>
      <c r="R542" s="31"/>
      <c r="S542" s="31"/>
      <c r="T542" s="59"/>
      <c r="U542" s="59"/>
      <c r="V542" s="59"/>
      <c r="W542" s="57">
        <f t="shared" si="13"/>
        <v>0</v>
      </c>
      <c r="X542" s="126" t="str">
        <f>IF(Table1[[#This Row],[Shipping Weight Pounds]]&gt;150,"See LTL Form","No")</f>
        <v>No</v>
      </c>
      <c r="Y542" s="28"/>
      <c r="Z542" s="33"/>
      <c r="AA542" s="34"/>
      <c r="AB542" s="30"/>
      <c r="AC542" s="30"/>
      <c r="AD542" s="32"/>
      <c r="AE542" s="32"/>
      <c r="AF542" s="2"/>
      <c r="AG542" s="2"/>
      <c r="AH542" s="2"/>
      <c r="AI542" s="2"/>
      <c r="AK542" s="73" t="str">
        <f>IF(ISNA(MATCH($N542,[1]data!$A:$A,0)),"",INDEX([1]data!S:S,MATCH($N542,[1]data!$A:$A,0)))</f>
        <v/>
      </c>
      <c r="AL542" s="73" t="str">
        <f>IF(ISNA(MATCH($N542,[1]data!$A:$A,0)),"",INDEX([1]data!V:V,MATCH($N542,[1]data!$A:$A,0)))</f>
        <v/>
      </c>
      <c r="AM542" s="38" t="str">
        <f>IF(ISNA(MATCH($N542,data!$A:$A,0)),"",INDEX(data!B:B,MATCH($N542,data!$A:$A,0)))</f>
        <v/>
      </c>
      <c r="AN542" s="38" t="str">
        <f>IF(ISNA(MATCH($N542,data!$A:$A,0)),"",INDEX(data!C:C,MATCH($N542,data!$A:$A,0)))</f>
        <v/>
      </c>
      <c r="AO542" s="38" t="str">
        <f>IF(ISNA(MATCH($N542,data!$A:$A,0)),"",INDEX(data!D:D,MATCH($N542,data!$A:$A,0)))</f>
        <v/>
      </c>
      <c r="AP542" s="38" t="str">
        <f>IF(ISNA(MATCH($N542,data!$A:$A,0)),"",INDEX(data!E:E,MATCH($N542,data!$A:$A,0)))</f>
        <v/>
      </c>
      <c r="AQ542" s="38" t="str">
        <f>IF(ISNA(MATCH($N542,data!$A:$A,0)),"",INDEX(data!F:F,MATCH($N542,data!$A:$A,0)))</f>
        <v/>
      </c>
      <c r="AR542" s="38" t="str">
        <f>IF(ISNA(MATCH($N542,data!$A:$A,0)),"",INDEX(data!G:G,MATCH($N542,data!$A:$A,0)))</f>
        <v/>
      </c>
      <c r="AS542" s="38" t="str">
        <f>IF(ISNA(MATCH($N542,data!$A:$A,0)),"",INDEX(data!H:H,MATCH($N542,data!$A:$A,0)))</f>
        <v/>
      </c>
      <c r="AT542" s="38" t="str">
        <f>IF(ISNA(MATCH($N542,data!$A:$A,0)),"",INDEX(data!I:I,MATCH($N542,data!$A:$A,0)))</f>
        <v/>
      </c>
      <c r="AU542" s="38" t="str">
        <f>IF(ISNA(MATCH($N542,[1]data!$A:$A,0)),"",INDEX([1]data!L:L,MATCH($N542,[1]data!$A:$A,0)))</f>
        <v/>
      </c>
      <c r="AV542" s="38" t="str">
        <f>IF(ISNA(MATCH($N542,[1]data!$A:$A,0)),"",INDEX([1]data!M:M,MATCH($N542,[1]data!$A:$A,0)))</f>
        <v/>
      </c>
      <c r="AW542" s="38" t="str">
        <f>IF(ISNA(MATCH($N542,data!$A:$A,0)),"",INDEX(data!J:J,MATCH($N542,data!$A:$A,0)))</f>
        <v/>
      </c>
      <c r="AX542" s="38" t="str">
        <f>IF(ISNA(MATCH($N542,data!$A:$A,0)),"",INDEX(data!K:K,MATCH($N542,data!$A:$A,0)))</f>
        <v/>
      </c>
      <c r="AY542" s="38" t="str">
        <f>IF(ISNA(MATCH($N542,data!$A:$A,0)),"",INDEX(data!O:O,MATCH($N542,data!$A:$A,0)))</f>
        <v/>
      </c>
      <c r="AZ542" s="38" t="str">
        <f>IF(ISNA(MATCH($N542,data!$A:$A,0)),"",INDEX(data!N:N,MATCH($N542,data!$A:$A,0)))</f>
        <v/>
      </c>
      <c r="BA542" s="38" t="str">
        <f>IF(ISNA(MATCH($N542,data!$A:$A,0)),"",INDEX(data!P:P,MATCH($N542,data!$A:$A,0)))</f>
        <v/>
      </c>
      <c r="BB542" s="38" t="str">
        <f>IF(ISNA(MATCH($N542,data!$A:$A,0)),"",INDEX(data!Q:Q,MATCH($N542,data!$A:$A,0)))</f>
        <v/>
      </c>
      <c r="BC542" s="38" t="str">
        <f>IF(ISNA(MATCH($N542,data!$A:$A,0)),"",INDEX(data!R:R,MATCH($N542,data!$A:$A,0)))</f>
        <v/>
      </c>
      <c r="BD542" s="38" t="str">
        <f>IF(ISNA(MATCH($N542,[1]data!$A:$A,0)),"",INDEX([1]data!U:U,MATCH($N542,[1]data!$A:$A,0)))</f>
        <v/>
      </c>
      <c r="BE542" s="61" t="e">
        <f>IF(COUNTIF([1]data!A:A,[1]!Table1[[#This Row],[UPC]])&lt;2,"","DUP")</f>
        <v>#VALUE!</v>
      </c>
      <c r="BF542" s="38" t="str">
        <f>IF(ISNA(MATCH($N542,data!$A:$A,0)),"",INDEX(data!W:W,MATCH($N542,data!$A:$A,0)))</f>
        <v/>
      </c>
    </row>
    <row r="543" spans="1:58">
      <c r="A543" s="35"/>
      <c r="B543" s="35"/>
      <c r="C543" s="35"/>
      <c r="D543" s="35"/>
      <c r="E543" s="67"/>
      <c r="F543" s="67"/>
      <c r="G543" s="36"/>
      <c r="H543" s="29"/>
      <c r="I543" s="78" t="str">
        <f t="shared" si="12"/>
        <v/>
      </c>
      <c r="J543" s="29"/>
      <c r="K543" s="29"/>
      <c r="L543" s="33"/>
      <c r="M543" s="33"/>
      <c r="N543" s="60"/>
      <c r="O543" s="71"/>
      <c r="P543" s="71"/>
      <c r="Q543" s="33"/>
      <c r="R543" s="31"/>
      <c r="S543" s="31"/>
      <c r="T543" s="59"/>
      <c r="U543" s="59"/>
      <c r="V543" s="59"/>
      <c r="W543" s="57">
        <f t="shared" si="13"/>
        <v>0</v>
      </c>
      <c r="X543" s="126" t="str">
        <f>IF(Table1[[#This Row],[Shipping Weight Pounds]]&gt;150,"See LTL Form","No")</f>
        <v>No</v>
      </c>
      <c r="Y543" s="28"/>
      <c r="Z543" s="33"/>
      <c r="AA543" s="34"/>
      <c r="AB543" s="30"/>
      <c r="AC543" s="30"/>
      <c r="AD543" s="32"/>
      <c r="AE543" s="32"/>
      <c r="AF543" s="2"/>
      <c r="AG543" s="2"/>
      <c r="AH543" s="2"/>
      <c r="AI543" s="2"/>
      <c r="AK543" s="73" t="str">
        <f>IF(ISNA(MATCH($N543,[1]data!$A:$A,0)),"",INDEX([1]data!S:S,MATCH($N543,[1]data!$A:$A,0)))</f>
        <v/>
      </c>
      <c r="AL543" s="73" t="str">
        <f>IF(ISNA(MATCH($N543,[1]data!$A:$A,0)),"",INDEX([1]data!V:V,MATCH($N543,[1]data!$A:$A,0)))</f>
        <v/>
      </c>
      <c r="AM543" s="38" t="str">
        <f>IF(ISNA(MATCH($N543,data!$A:$A,0)),"",INDEX(data!B:B,MATCH($N543,data!$A:$A,0)))</f>
        <v/>
      </c>
      <c r="AN543" s="38" t="str">
        <f>IF(ISNA(MATCH($N543,data!$A:$A,0)),"",INDEX(data!C:C,MATCH($N543,data!$A:$A,0)))</f>
        <v/>
      </c>
      <c r="AO543" s="38" t="str">
        <f>IF(ISNA(MATCH($N543,data!$A:$A,0)),"",INDEX(data!D:D,MATCH($N543,data!$A:$A,0)))</f>
        <v/>
      </c>
      <c r="AP543" s="38" t="str">
        <f>IF(ISNA(MATCH($N543,data!$A:$A,0)),"",INDEX(data!E:E,MATCH($N543,data!$A:$A,0)))</f>
        <v/>
      </c>
      <c r="AQ543" s="38" t="str">
        <f>IF(ISNA(MATCH($N543,data!$A:$A,0)),"",INDEX(data!F:F,MATCH($N543,data!$A:$A,0)))</f>
        <v/>
      </c>
      <c r="AR543" s="38" t="str">
        <f>IF(ISNA(MATCH($N543,data!$A:$A,0)),"",INDEX(data!G:G,MATCH($N543,data!$A:$A,0)))</f>
        <v/>
      </c>
      <c r="AS543" s="38" t="str">
        <f>IF(ISNA(MATCH($N543,data!$A:$A,0)),"",INDEX(data!H:H,MATCH($N543,data!$A:$A,0)))</f>
        <v/>
      </c>
      <c r="AT543" s="38" t="str">
        <f>IF(ISNA(MATCH($N543,data!$A:$A,0)),"",INDEX(data!I:I,MATCH($N543,data!$A:$A,0)))</f>
        <v/>
      </c>
      <c r="AU543" s="38" t="str">
        <f>IF(ISNA(MATCH($N543,[1]data!$A:$A,0)),"",INDEX([1]data!L:L,MATCH($N543,[1]data!$A:$A,0)))</f>
        <v/>
      </c>
      <c r="AV543" s="38" t="str">
        <f>IF(ISNA(MATCH($N543,[1]data!$A:$A,0)),"",INDEX([1]data!M:M,MATCH($N543,[1]data!$A:$A,0)))</f>
        <v/>
      </c>
      <c r="AW543" s="38" t="str">
        <f>IF(ISNA(MATCH($N543,data!$A:$A,0)),"",INDEX(data!J:J,MATCH($N543,data!$A:$A,0)))</f>
        <v/>
      </c>
      <c r="AX543" s="38" t="str">
        <f>IF(ISNA(MATCH($N543,data!$A:$A,0)),"",INDEX(data!K:K,MATCH($N543,data!$A:$A,0)))</f>
        <v/>
      </c>
      <c r="AY543" s="38" t="str">
        <f>IF(ISNA(MATCH($N543,data!$A:$A,0)),"",INDEX(data!O:O,MATCH($N543,data!$A:$A,0)))</f>
        <v/>
      </c>
      <c r="AZ543" s="38" t="str">
        <f>IF(ISNA(MATCH($N543,data!$A:$A,0)),"",INDEX(data!N:N,MATCH($N543,data!$A:$A,0)))</f>
        <v/>
      </c>
      <c r="BA543" s="38" t="str">
        <f>IF(ISNA(MATCH($N543,data!$A:$A,0)),"",INDEX(data!P:P,MATCH($N543,data!$A:$A,0)))</f>
        <v/>
      </c>
      <c r="BB543" s="38" t="str">
        <f>IF(ISNA(MATCH($N543,data!$A:$A,0)),"",INDEX(data!Q:Q,MATCH($N543,data!$A:$A,0)))</f>
        <v/>
      </c>
      <c r="BC543" s="38" t="str">
        <f>IF(ISNA(MATCH($N543,data!$A:$A,0)),"",INDEX(data!R:R,MATCH($N543,data!$A:$A,0)))</f>
        <v/>
      </c>
      <c r="BD543" s="38" t="str">
        <f>IF(ISNA(MATCH($N543,[1]data!$A:$A,0)),"",INDEX([1]data!U:U,MATCH($N543,[1]data!$A:$A,0)))</f>
        <v/>
      </c>
      <c r="BE543" s="61" t="e">
        <f>IF(COUNTIF([1]data!A:A,[1]!Table1[[#This Row],[UPC]])&lt;2,"","DUP")</f>
        <v>#VALUE!</v>
      </c>
      <c r="BF543" s="38" t="str">
        <f>IF(ISNA(MATCH($N543,data!$A:$A,0)),"",INDEX(data!W:W,MATCH($N543,data!$A:$A,0)))</f>
        <v/>
      </c>
    </row>
    <row r="544" spans="1:58">
      <c r="A544" s="35"/>
      <c r="B544" s="35"/>
      <c r="C544" s="35"/>
      <c r="D544" s="35"/>
      <c r="E544" s="67"/>
      <c r="F544" s="67"/>
      <c r="G544" s="36"/>
      <c r="H544" s="29"/>
      <c r="I544" s="78" t="str">
        <f t="shared" si="12"/>
        <v/>
      </c>
      <c r="J544" s="29"/>
      <c r="K544" s="29"/>
      <c r="L544" s="33"/>
      <c r="M544" s="33"/>
      <c r="N544" s="60"/>
      <c r="O544" s="71"/>
      <c r="P544" s="71"/>
      <c r="Q544" s="33"/>
      <c r="R544" s="31"/>
      <c r="S544" s="31"/>
      <c r="T544" s="59"/>
      <c r="U544" s="59"/>
      <c r="V544" s="59"/>
      <c r="W544" s="57">
        <f t="shared" si="13"/>
        <v>0</v>
      </c>
      <c r="X544" s="126" t="str">
        <f>IF(Table1[[#This Row],[Shipping Weight Pounds]]&gt;150,"See LTL Form","No")</f>
        <v>No</v>
      </c>
      <c r="Y544" s="28"/>
      <c r="Z544" s="33"/>
      <c r="AA544" s="34"/>
      <c r="AB544" s="30"/>
      <c r="AC544" s="30"/>
      <c r="AD544" s="32"/>
      <c r="AE544" s="32"/>
      <c r="AF544" s="2"/>
      <c r="AG544" s="2"/>
      <c r="AH544" s="2"/>
      <c r="AI544" s="2"/>
      <c r="AK544" s="73" t="str">
        <f>IF(ISNA(MATCH($N544,[1]data!$A:$A,0)),"",INDEX([1]data!S:S,MATCH($N544,[1]data!$A:$A,0)))</f>
        <v/>
      </c>
      <c r="AL544" s="73" t="str">
        <f>IF(ISNA(MATCH($N544,[1]data!$A:$A,0)),"",INDEX([1]data!V:V,MATCH($N544,[1]data!$A:$A,0)))</f>
        <v/>
      </c>
      <c r="AM544" s="38" t="str">
        <f>IF(ISNA(MATCH($N544,data!$A:$A,0)),"",INDEX(data!B:B,MATCH($N544,data!$A:$A,0)))</f>
        <v/>
      </c>
      <c r="AN544" s="38" t="str">
        <f>IF(ISNA(MATCH($N544,data!$A:$A,0)),"",INDEX(data!C:C,MATCH($N544,data!$A:$A,0)))</f>
        <v/>
      </c>
      <c r="AO544" s="38" t="str">
        <f>IF(ISNA(MATCH($N544,data!$A:$A,0)),"",INDEX(data!D:D,MATCH($N544,data!$A:$A,0)))</f>
        <v/>
      </c>
      <c r="AP544" s="38" t="str">
        <f>IF(ISNA(MATCH($N544,data!$A:$A,0)),"",INDEX(data!E:E,MATCH($N544,data!$A:$A,0)))</f>
        <v/>
      </c>
      <c r="AQ544" s="38" t="str">
        <f>IF(ISNA(MATCH($N544,data!$A:$A,0)),"",INDEX(data!F:F,MATCH($N544,data!$A:$A,0)))</f>
        <v/>
      </c>
      <c r="AR544" s="38" t="str">
        <f>IF(ISNA(MATCH($N544,data!$A:$A,0)),"",INDEX(data!G:G,MATCH($N544,data!$A:$A,0)))</f>
        <v/>
      </c>
      <c r="AS544" s="38" t="str">
        <f>IF(ISNA(MATCH($N544,data!$A:$A,0)),"",INDEX(data!H:H,MATCH($N544,data!$A:$A,0)))</f>
        <v/>
      </c>
      <c r="AT544" s="38" t="str">
        <f>IF(ISNA(MATCH($N544,data!$A:$A,0)),"",INDEX(data!I:I,MATCH($N544,data!$A:$A,0)))</f>
        <v/>
      </c>
      <c r="AU544" s="38" t="str">
        <f>IF(ISNA(MATCH($N544,[1]data!$A:$A,0)),"",INDEX([1]data!L:L,MATCH($N544,[1]data!$A:$A,0)))</f>
        <v/>
      </c>
      <c r="AV544" s="38" t="str">
        <f>IF(ISNA(MATCH($N544,[1]data!$A:$A,0)),"",INDEX([1]data!M:M,MATCH($N544,[1]data!$A:$A,0)))</f>
        <v/>
      </c>
      <c r="AW544" s="38" t="str">
        <f>IF(ISNA(MATCH($N544,data!$A:$A,0)),"",INDEX(data!J:J,MATCH($N544,data!$A:$A,0)))</f>
        <v/>
      </c>
      <c r="AX544" s="38" t="str">
        <f>IF(ISNA(MATCH($N544,data!$A:$A,0)),"",INDEX(data!K:K,MATCH($N544,data!$A:$A,0)))</f>
        <v/>
      </c>
      <c r="AY544" s="38" t="str">
        <f>IF(ISNA(MATCH($N544,data!$A:$A,0)),"",INDEX(data!O:O,MATCH($N544,data!$A:$A,0)))</f>
        <v/>
      </c>
      <c r="AZ544" s="38" t="str">
        <f>IF(ISNA(MATCH($N544,data!$A:$A,0)),"",INDEX(data!N:N,MATCH($N544,data!$A:$A,0)))</f>
        <v/>
      </c>
      <c r="BA544" s="38" t="str">
        <f>IF(ISNA(MATCH($N544,data!$A:$A,0)),"",INDEX(data!P:P,MATCH($N544,data!$A:$A,0)))</f>
        <v/>
      </c>
      <c r="BB544" s="38" t="str">
        <f>IF(ISNA(MATCH($N544,data!$A:$A,0)),"",INDEX(data!Q:Q,MATCH($N544,data!$A:$A,0)))</f>
        <v/>
      </c>
      <c r="BC544" s="38" t="str">
        <f>IF(ISNA(MATCH($N544,data!$A:$A,0)),"",INDEX(data!R:R,MATCH($N544,data!$A:$A,0)))</f>
        <v/>
      </c>
      <c r="BD544" s="38" t="str">
        <f>IF(ISNA(MATCH($N544,[1]data!$A:$A,0)),"",INDEX([1]data!U:U,MATCH($N544,[1]data!$A:$A,0)))</f>
        <v/>
      </c>
      <c r="BE544" s="61" t="e">
        <f>IF(COUNTIF([1]data!A:A,[1]!Table1[[#This Row],[UPC]])&lt;2,"","DUP")</f>
        <v>#VALUE!</v>
      </c>
      <c r="BF544" s="38" t="str">
        <f>IF(ISNA(MATCH($N544,data!$A:$A,0)),"",INDEX(data!W:W,MATCH($N544,data!$A:$A,0)))</f>
        <v/>
      </c>
    </row>
    <row r="545" spans="1:58">
      <c r="A545" s="35"/>
      <c r="B545" s="35"/>
      <c r="C545" s="35"/>
      <c r="D545" s="35"/>
      <c r="E545" s="67"/>
      <c r="F545" s="67"/>
      <c r="G545" s="36"/>
      <c r="H545" s="29"/>
      <c r="I545" s="78" t="str">
        <f t="shared" si="12"/>
        <v/>
      </c>
      <c r="J545" s="29"/>
      <c r="K545" s="29"/>
      <c r="L545" s="33"/>
      <c r="M545" s="33"/>
      <c r="N545" s="60"/>
      <c r="O545" s="71"/>
      <c r="P545" s="71"/>
      <c r="Q545" s="33"/>
      <c r="R545" s="31"/>
      <c r="S545" s="31"/>
      <c r="T545" s="59"/>
      <c r="U545" s="59"/>
      <c r="V545" s="59"/>
      <c r="W545" s="57">
        <f t="shared" si="13"/>
        <v>0</v>
      </c>
      <c r="X545" s="126" t="str">
        <f>IF(Table1[[#This Row],[Shipping Weight Pounds]]&gt;150,"See LTL Form","No")</f>
        <v>No</v>
      </c>
      <c r="Y545" s="28"/>
      <c r="Z545" s="33"/>
      <c r="AA545" s="34"/>
      <c r="AB545" s="30"/>
      <c r="AC545" s="30"/>
      <c r="AD545" s="32"/>
      <c r="AE545" s="32"/>
      <c r="AF545" s="2"/>
      <c r="AG545" s="2"/>
      <c r="AH545" s="2"/>
      <c r="AI545" s="2"/>
      <c r="AK545" s="73" t="str">
        <f>IF(ISNA(MATCH($N545,[1]data!$A:$A,0)),"",INDEX([1]data!S:S,MATCH($N545,[1]data!$A:$A,0)))</f>
        <v/>
      </c>
      <c r="AL545" s="73" t="str">
        <f>IF(ISNA(MATCH($N545,[1]data!$A:$A,0)),"",INDEX([1]data!V:V,MATCH($N545,[1]data!$A:$A,0)))</f>
        <v/>
      </c>
      <c r="AM545" s="38" t="str">
        <f>IF(ISNA(MATCH($N545,data!$A:$A,0)),"",INDEX(data!B:B,MATCH($N545,data!$A:$A,0)))</f>
        <v/>
      </c>
      <c r="AN545" s="38" t="str">
        <f>IF(ISNA(MATCH($N545,data!$A:$A,0)),"",INDEX(data!C:C,MATCH($N545,data!$A:$A,0)))</f>
        <v/>
      </c>
      <c r="AO545" s="38" t="str">
        <f>IF(ISNA(MATCH($N545,data!$A:$A,0)),"",INDEX(data!D:D,MATCH($N545,data!$A:$A,0)))</f>
        <v/>
      </c>
      <c r="AP545" s="38" t="str">
        <f>IF(ISNA(MATCH($N545,data!$A:$A,0)),"",INDEX(data!E:E,MATCH($N545,data!$A:$A,0)))</f>
        <v/>
      </c>
      <c r="AQ545" s="38" t="str">
        <f>IF(ISNA(MATCH($N545,data!$A:$A,0)),"",INDEX(data!F:F,MATCH($N545,data!$A:$A,0)))</f>
        <v/>
      </c>
      <c r="AR545" s="38" t="str">
        <f>IF(ISNA(MATCH($N545,data!$A:$A,0)),"",INDEX(data!G:G,MATCH($N545,data!$A:$A,0)))</f>
        <v/>
      </c>
      <c r="AS545" s="38" t="str">
        <f>IF(ISNA(MATCH($N545,data!$A:$A,0)),"",INDEX(data!H:H,MATCH($N545,data!$A:$A,0)))</f>
        <v/>
      </c>
      <c r="AT545" s="38" t="str">
        <f>IF(ISNA(MATCH($N545,data!$A:$A,0)),"",INDEX(data!I:I,MATCH($N545,data!$A:$A,0)))</f>
        <v/>
      </c>
      <c r="AU545" s="38" t="str">
        <f>IF(ISNA(MATCH($N545,[1]data!$A:$A,0)),"",INDEX([1]data!L:L,MATCH($N545,[1]data!$A:$A,0)))</f>
        <v/>
      </c>
      <c r="AV545" s="38" t="str">
        <f>IF(ISNA(MATCH($N545,[1]data!$A:$A,0)),"",INDEX([1]data!M:M,MATCH($N545,[1]data!$A:$A,0)))</f>
        <v/>
      </c>
      <c r="AW545" s="38" t="str">
        <f>IF(ISNA(MATCH($N545,data!$A:$A,0)),"",INDEX(data!J:J,MATCH($N545,data!$A:$A,0)))</f>
        <v/>
      </c>
      <c r="AX545" s="38" t="str">
        <f>IF(ISNA(MATCH($N545,data!$A:$A,0)),"",INDEX(data!K:K,MATCH($N545,data!$A:$A,0)))</f>
        <v/>
      </c>
      <c r="AY545" s="38" t="str">
        <f>IF(ISNA(MATCH($N545,data!$A:$A,0)),"",INDEX(data!O:O,MATCH($N545,data!$A:$A,0)))</f>
        <v/>
      </c>
      <c r="AZ545" s="38" t="str">
        <f>IF(ISNA(MATCH($N545,data!$A:$A,0)),"",INDEX(data!N:N,MATCH($N545,data!$A:$A,0)))</f>
        <v/>
      </c>
      <c r="BA545" s="38" t="str">
        <f>IF(ISNA(MATCH($N545,data!$A:$A,0)),"",INDEX(data!P:P,MATCH($N545,data!$A:$A,0)))</f>
        <v/>
      </c>
      <c r="BB545" s="38" t="str">
        <f>IF(ISNA(MATCH($N545,data!$A:$A,0)),"",INDEX(data!Q:Q,MATCH($N545,data!$A:$A,0)))</f>
        <v/>
      </c>
      <c r="BC545" s="38" t="str">
        <f>IF(ISNA(MATCH($N545,data!$A:$A,0)),"",INDEX(data!R:R,MATCH($N545,data!$A:$A,0)))</f>
        <v/>
      </c>
      <c r="BD545" s="38" t="str">
        <f>IF(ISNA(MATCH($N545,[1]data!$A:$A,0)),"",INDEX([1]data!U:U,MATCH($N545,[1]data!$A:$A,0)))</f>
        <v/>
      </c>
      <c r="BE545" s="61" t="e">
        <f>IF(COUNTIF([1]data!A:A,[1]!Table1[[#This Row],[UPC]])&lt;2,"","DUP")</f>
        <v>#VALUE!</v>
      </c>
      <c r="BF545" s="38" t="str">
        <f>IF(ISNA(MATCH($N545,data!$A:$A,0)),"",INDEX(data!W:W,MATCH($N545,data!$A:$A,0)))</f>
        <v/>
      </c>
    </row>
    <row r="546" spans="1:58">
      <c r="A546" s="35"/>
      <c r="B546" s="35"/>
      <c r="C546" s="35"/>
      <c r="D546" s="35"/>
      <c r="E546" s="67"/>
      <c r="F546" s="67"/>
      <c r="G546" s="36"/>
      <c r="H546" s="29"/>
      <c r="I546" s="78" t="str">
        <f t="shared" si="12"/>
        <v/>
      </c>
      <c r="J546" s="29"/>
      <c r="K546" s="29"/>
      <c r="L546" s="33"/>
      <c r="M546" s="33"/>
      <c r="N546" s="60"/>
      <c r="O546" s="71"/>
      <c r="P546" s="71"/>
      <c r="Q546" s="33"/>
      <c r="R546" s="31"/>
      <c r="S546" s="31"/>
      <c r="T546" s="59"/>
      <c r="U546" s="59"/>
      <c r="V546" s="59"/>
      <c r="W546" s="57">
        <f t="shared" si="13"/>
        <v>0</v>
      </c>
      <c r="X546" s="126" t="str">
        <f>IF(Table1[[#This Row],[Shipping Weight Pounds]]&gt;150,"See LTL Form","No")</f>
        <v>No</v>
      </c>
      <c r="Y546" s="28"/>
      <c r="Z546" s="33"/>
      <c r="AA546" s="34"/>
      <c r="AB546" s="30"/>
      <c r="AC546" s="30"/>
      <c r="AD546" s="32"/>
      <c r="AE546" s="32"/>
      <c r="AF546" s="2"/>
      <c r="AG546" s="2"/>
      <c r="AH546" s="2"/>
      <c r="AI546" s="2"/>
      <c r="AK546" s="73" t="str">
        <f>IF(ISNA(MATCH($N546,[1]data!$A:$A,0)),"",INDEX([1]data!S:S,MATCH($N546,[1]data!$A:$A,0)))</f>
        <v/>
      </c>
      <c r="AL546" s="73" t="str">
        <f>IF(ISNA(MATCH($N546,[1]data!$A:$A,0)),"",INDEX([1]data!V:V,MATCH($N546,[1]data!$A:$A,0)))</f>
        <v/>
      </c>
      <c r="AM546" s="38" t="str">
        <f>IF(ISNA(MATCH($N546,data!$A:$A,0)),"",INDEX(data!B:B,MATCH($N546,data!$A:$A,0)))</f>
        <v/>
      </c>
      <c r="AN546" s="38" t="str">
        <f>IF(ISNA(MATCH($N546,data!$A:$A,0)),"",INDEX(data!C:C,MATCH($N546,data!$A:$A,0)))</f>
        <v/>
      </c>
      <c r="AO546" s="38" t="str">
        <f>IF(ISNA(MATCH($N546,data!$A:$A,0)),"",INDEX(data!D:D,MATCH($N546,data!$A:$A,0)))</f>
        <v/>
      </c>
      <c r="AP546" s="38" t="str">
        <f>IF(ISNA(MATCH($N546,data!$A:$A,0)),"",INDEX(data!E:E,MATCH($N546,data!$A:$A,0)))</f>
        <v/>
      </c>
      <c r="AQ546" s="38" t="str">
        <f>IF(ISNA(MATCH($N546,data!$A:$A,0)),"",INDEX(data!F:F,MATCH($N546,data!$A:$A,0)))</f>
        <v/>
      </c>
      <c r="AR546" s="38" t="str">
        <f>IF(ISNA(MATCH($N546,data!$A:$A,0)),"",INDEX(data!G:G,MATCH($N546,data!$A:$A,0)))</f>
        <v/>
      </c>
      <c r="AS546" s="38" t="str">
        <f>IF(ISNA(MATCH($N546,data!$A:$A,0)),"",INDEX(data!H:H,MATCH($N546,data!$A:$A,0)))</f>
        <v/>
      </c>
      <c r="AT546" s="38" t="str">
        <f>IF(ISNA(MATCH($N546,data!$A:$A,0)),"",INDEX(data!I:I,MATCH($N546,data!$A:$A,0)))</f>
        <v/>
      </c>
      <c r="AU546" s="38" t="str">
        <f>IF(ISNA(MATCH($N546,[1]data!$A:$A,0)),"",INDEX([1]data!L:L,MATCH($N546,[1]data!$A:$A,0)))</f>
        <v/>
      </c>
      <c r="AV546" s="38" t="str">
        <f>IF(ISNA(MATCH($N546,[1]data!$A:$A,0)),"",INDEX([1]data!M:M,MATCH($N546,[1]data!$A:$A,0)))</f>
        <v/>
      </c>
      <c r="AW546" s="38" t="str">
        <f>IF(ISNA(MATCH($N546,data!$A:$A,0)),"",INDEX(data!J:J,MATCH($N546,data!$A:$A,0)))</f>
        <v/>
      </c>
      <c r="AX546" s="38" t="str">
        <f>IF(ISNA(MATCH($N546,data!$A:$A,0)),"",INDEX(data!K:K,MATCH($N546,data!$A:$A,0)))</f>
        <v/>
      </c>
      <c r="AY546" s="38" t="str">
        <f>IF(ISNA(MATCH($N546,data!$A:$A,0)),"",INDEX(data!O:O,MATCH($N546,data!$A:$A,0)))</f>
        <v/>
      </c>
      <c r="AZ546" s="38" t="str">
        <f>IF(ISNA(MATCH($N546,data!$A:$A,0)),"",INDEX(data!N:N,MATCH($N546,data!$A:$A,0)))</f>
        <v/>
      </c>
      <c r="BA546" s="38" t="str">
        <f>IF(ISNA(MATCH($N546,data!$A:$A,0)),"",INDEX(data!P:P,MATCH($N546,data!$A:$A,0)))</f>
        <v/>
      </c>
      <c r="BB546" s="38" t="str">
        <f>IF(ISNA(MATCH($N546,data!$A:$A,0)),"",INDEX(data!Q:Q,MATCH($N546,data!$A:$A,0)))</f>
        <v/>
      </c>
      <c r="BC546" s="38" t="str">
        <f>IF(ISNA(MATCH($N546,data!$A:$A,0)),"",INDEX(data!R:R,MATCH($N546,data!$A:$A,0)))</f>
        <v/>
      </c>
      <c r="BD546" s="38" t="str">
        <f>IF(ISNA(MATCH($N546,[1]data!$A:$A,0)),"",INDEX([1]data!U:U,MATCH($N546,[1]data!$A:$A,0)))</f>
        <v/>
      </c>
      <c r="BE546" s="61" t="e">
        <f>IF(COUNTIF([1]data!A:A,[1]!Table1[[#This Row],[UPC]])&lt;2,"","DUP")</f>
        <v>#VALUE!</v>
      </c>
      <c r="BF546" s="38" t="str">
        <f>IF(ISNA(MATCH($N546,data!$A:$A,0)),"",INDEX(data!W:W,MATCH($N546,data!$A:$A,0)))</f>
        <v/>
      </c>
    </row>
    <row r="547" spans="1:58">
      <c r="A547" s="35"/>
      <c r="B547" s="35"/>
      <c r="C547" s="35"/>
      <c r="D547" s="35"/>
      <c r="E547" s="67"/>
      <c r="F547" s="67"/>
      <c r="G547" s="36"/>
      <c r="H547" s="29"/>
      <c r="I547" s="78" t="str">
        <f t="shared" si="12"/>
        <v/>
      </c>
      <c r="J547" s="29"/>
      <c r="K547" s="29"/>
      <c r="L547" s="33"/>
      <c r="M547" s="33"/>
      <c r="N547" s="60"/>
      <c r="O547" s="71"/>
      <c r="P547" s="71"/>
      <c r="Q547" s="33"/>
      <c r="R547" s="31"/>
      <c r="S547" s="31"/>
      <c r="T547" s="59"/>
      <c r="U547" s="59"/>
      <c r="V547" s="59"/>
      <c r="W547" s="57">
        <f t="shared" si="13"/>
        <v>0</v>
      </c>
      <c r="X547" s="126" t="str">
        <f>IF(Table1[[#This Row],[Shipping Weight Pounds]]&gt;150,"See LTL Form","No")</f>
        <v>No</v>
      </c>
      <c r="Y547" s="28"/>
      <c r="Z547" s="33"/>
      <c r="AA547" s="34"/>
      <c r="AB547" s="30"/>
      <c r="AC547" s="30"/>
      <c r="AD547" s="32"/>
      <c r="AE547" s="32"/>
      <c r="AF547" s="2"/>
      <c r="AG547" s="2"/>
      <c r="AH547" s="2"/>
      <c r="AI547" s="2"/>
      <c r="AK547" s="73" t="str">
        <f>IF(ISNA(MATCH($N547,[1]data!$A:$A,0)),"",INDEX([1]data!S:S,MATCH($N547,[1]data!$A:$A,0)))</f>
        <v/>
      </c>
      <c r="AL547" s="73" t="str">
        <f>IF(ISNA(MATCH($N547,[1]data!$A:$A,0)),"",INDEX([1]data!V:V,MATCH($N547,[1]data!$A:$A,0)))</f>
        <v/>
      </c>
      <c r="AM547" s="38" t="str">
        <f>IF(ISNA(MATCH($N547,data!$A:$A,0)),"",INDEX(data!B:B,MATCH($N547,data!$A:$A,0)))</f>
        <v/>
      </c>
      <c r="AN547" s="38" t="str">
        <f>IF(ISNA(MATCH($N547,data!$A:$A,0)),"",INDEX(data!C:C,MATCH($N547,data!$A:$A,0)))</f>
        <v/>
      </c>
      <c r="AO547" s="38" t="str">
        <f>IF(ISNA(MATCH($N547,data!$A:$A,0)),"",INDEX(data!D:D,MATCH($N547,data!$A:$A,0)))</f>
        <v/>
      </c>
      <c r="AP547" s="38" t="str">
        <f>IF(ISNA(MATCH($N547,data!$A:$A,0)),"",INDEX(data!E:E,MATCH($N547,data!$A:$A,0)))</f>
        <v/>
      </c>
      <c r="AQ547" s="38" t="str">
        <f>IF(ISNA(MATCH($N547,data!$A:$A,0)),"",INDEX(data!F:F,MATCH($N547,data!$A:$A,0)))</f>
        <v/>
      </c>
      <c r="AR547" s="38" t="str">
        <f>IF(ISNA(MATCH($N547,data!$A:$A,0)),"",INDEX(data!G:G,MATCH($N547,data!$A:$A,0)))</f>
        <v/>
      </c>
      <c r="AS547" s="38" t="str">
        <f>IF(ISNA(MATCH($N547,data!$A:$A,0)),"",INDEX(data!H:H,MATCH($N547,data!$A:$A,0)))</f>
        <v/>
      </c>
      <c r="AT547" s="38" t="str">
        <f>IF(ISNA(MATCH($N547,data!$A:$A,0)),"",INDEX(data!I:I,MATCH($N547,data!$A:$A,0)))</f>
        <v/>
      </c>
      <c r="AU547" s="38" t="str">
        <f>IF(ISNA(MATCH($N547,[1]data!$A:$A,0)),"",INDEX([1]data!L:L,MATCH($N547,[1]data!$A:$A,0)))</f>
        <v/>
      </c>
      <c r="AV547" s="38" t="str">
        <f>IF(ISNA(MATCH($N547,[1]data!$A:$A,0)),"",INDEX([1]data!M:M,MATCH($N547,[1]data!$A:$A,0)))</f>
        <v/>
      </c>
      <c r="AW547" s="38" t="str">
        <f>IF(ISNA(MATCH($N547,data!$A:$A,0)),"",INDEX(data!J:J,MATCH($N547,data!$A:$A,0)))</f>
        <v/>
      </c>
      <c r="AX547" s="38" t="str">
        <f>IF(ISNA(MATCH($N547,data!$A:$A,0)),"",INDEX(data!K:K,MATCH($N547,data!$A:$A,0)))</f>
        <v/>
      </c>
      <c r="AY547" s="38" t="str">
        <f>IF(ISNA(MATCH($N547,data!$A:$A,0)),"",INDEX(data!O:O,MATCH($N547,data!$A:$A,0)))</f>
        <v/>
      </c>
      <c r="AZ547" s="38" t="str">
        <f>IF(ISNA(MATCH($N547,data!$A:$A,0)),"",INDEX(data!N:N,MATCH($N547,data!$A:$A,0)))</f>
        <v/>
      </c>
      <c r="BA547" s="38" t="str">
        <f>IF(ISNA(MATCH($N547,data!$A:$A,0)),"",INDEX(data!P:P,MATCH($N547,data!$A:$A,0)))</f>
        <v/>
      </c>
      <c r="BB547" s="38" t="str">
        <f>IF(ISNA(MATCH($N547,data!$A:$A,0)),"",INDEX(data!Q:Q,MATCH($N547,data!$A:$A,0)))</f>
        <v/>
      </c>
      <c r="BC547" s="38" t="str">
        <f>IF(ISNA(MATCH($N547,data!$A:$A,0)),"",INDEX(data!R:R,MATCH($N547,data!$A:$A,0)))</f>
        <v/>
      </c>
      <c r="BD547" s="38" t="str">
        <f>IF(ISNA(MATCH($N547,[1]data!$A:$A,0)),"",INDEX([1]data!U:U,MATCH($N547,[1]data!$A:$A,0)))</f>
        <v/>
      </c>
      <c r="BE547" s="61" t="e">
        <f>IF(COUNTIF([1]data!A:A,[1]!Table1[[#This Row],[UPC]])&lt;2,"","DUP")</f>
        <v>#VALUE!</v>
      </c>
      <c r="BF547" s="38" t="str">
        <f>IF(ISNA(MATCH($N547,data!$A:$A,0)),"",INDEX(data!W:W,MATCH($N547,data!$A:$A,0)))</f>
        <v/>
      </c>
    </row>
    <row r="548" spans="1:58">
      <c r="A548" s="35"/>
      <c r="B548" s="35"/>
      <c r="C548" s="35"/>
      <c r="D548" s="35"/>
      <c r="E548" s="67"/>
      <c r="F548" s="67"/>
      <c r="G548" s="36"/>
      <c r="H548" s="29"/>
      <c r="I548" s="78" t="str">
        <f t="shared" si="12"/>
        <v/>
      </c>
      <c r="J548" s="29"/>
      <c r="K548" s="29"/>
      <c r="L548" s="33"/>
      <c r="M548" s="33"/>
      <c r="N548" s="60"/>
      <c r="O548" s="71"/>
      <c r="P548" s="71"/>
      <c r="Q548" s="33"/>
      <c r="R548" s="31"/>
      <c r="S548" s="31"/>
      <c r="T548" s="59"/>
      <c r="U548" s="59"/>
      <c r="V548" s="59"/>
      <c r="W548" s="57">
        <f t="shared" si="13"/>
        <v>0</v>
      </c>
      <c r="X548" s="126" t="str">
        <f>IF(Table1[[#This Row],[Shipping Weight Pounds]]&gt;150,"See LTL Form","No")</f>
        <v>No</v>
      </c>
      <c r="Y548" s="28"/>
      <c r="Z548" s="33"/>
      <c r="AA548" s="34"/>
      <c r="AB548" s="30"/>
      <c r="AC548" s="30"/>
      <c r="AD548" s="32"/>
      <c r="AE548" s="32"/>
      <c r="AF548" s="2"/>
      <c r="AG548" s="2"/>
      <c r="AH548" s="2"/>
      <c r="AI548" s="2"/>
      <c r="AK548" s="73" t="str">
        <f>IF(ISNA(MATCH($N548,[1]data!$A:$A,0)),"",INDEX([1]data!S:S,MATCH($N548,[1]data!$A:$A,0)))</f>
        <v/>
      </c>
      <c r="AL548" s="73" t="str">
        <f>IF(ISNA(MATCH($N548,[1]data!$A:$A,0)),"",INDEX([1]data!V:V,MATCH($N548,[1]data!$A:$A,0)))</f>
        <v/>
      </c>
      <c r="AM548" s="38" t="str">
        <f>IF(ISNA(MATCH($N548,data!$A:$A,0)),"",INDEX(data!B:B,MATCH($N548,data!$A:$A,0)))</f>
        <v/>
      </c>
      <c r="AN548" s="38" t="str">
        <f>IF(ISNA(MATCH($N548,data!$A:$A,0)),"",INDEX(data!C:C,MATCH($N548,data!$A:$A,0)))</f>
        <v/>
      </c>
      <c r="AO548" s="38" t="str">
        <f>IF(ISNA(MATCH($N548,data!$A:$A,0)),"",INDEX(data!D:D,MATCH($N548,data!$A:$A,0)))</f>
        <v/>
      </c>
      <c r="AP548" s="38" t="str">
        <f>IF(ISNA(MATCH($N548,data!$A:$A,0)),"",INDEX(data!E:E,MATCH($N548,data!$A:$A,0)))</f>
        <v/>
      </c>
      <c r="AQ548" s="38" t="str">
        <f>IF(ISNA(MATCH($N548,data!$A:$A,0)),"",INDEX(data!F:F,MATCH($N548,data!$A:$A,0)))</f>
        <v/>
      </c>
      <c r="AR548" s="38" t="str">
        <f>IF(ISNA(MATCH($N548,data!$A:$A,0)),"",INDEX(data!G:G,MATCH($N548,data!$A:$A,0)))</f>
        <v/>
      </c>
      <c r="AS548" s="38" t="str">
        <f>IF(ISNA(MATCH($N548,data!$A:$A,0)),"",INDEX(data!H:H,MATCH($N548,data!$A:$A,0)))</f>
        <v/>
      </c>
      <c r="AT548" s="38" t="str">
        <f>IF(ISNA(MATCH($N548,data!$A:$A,0)),"",INDEX(data!I:I,MATCH($N548,data!$A:$A,0)))</f>
        <v/>
      </c>
      <c r="AU548" s="38" t="str">
        <f>IF(ISNA(MATCH($N548,[1]data!$A:$A,0)),"",INDEX([1]data!L:L,MATCH($N548,[1]data!$A:$A,0)))</f>
        <v/>
      </c>
      <c r="AV548" s="38" t="str">
        <f>IF(ISNA(MATCH($N548,[1]data!$A:$A,0)),"",INDEX([1]data!M:M,MATCH($N548,[1]data!$A:$A,0)))</f>
        <v/>
      </c>
      <c r="AW548" s="38" t="str">
        <f>IF(ISNA(MATCH($N548,data!$A:$A,0)),"",INDEX(data!J:J,MATCH($N548,data!$A:$A,0)))</f>
        <v/>
      </c>
      <c r="AX548" s="38" t="str">
        <f>IF(ISNA(MATCH($N548,data!$A:$A,0)),"",INDEX(data!K:K,MATCH($N548,data!$A:$A,0)))</f>
        <v/>
      </c>
      <c r="AY548" s="38" t="str">
        <f>IF(ISNA(MATCH($N548,data!$A:$A,0)),"",INDEX(data!O:O,MATCH($N548,data!$A:$A,0)))</f>
        <v/>
      </c>
      <c r="AZ548" s="38" t="str">
        <f>IF(ISNA(MATCH($N548,data!$A:$A,0)),"",INDEX(data!N:N,MATCH($N548,data!$A:$A,0)))</f>
        <v/>
      </c>
      <c r="BA548" s="38" t="str">
        <f>IF(ISNA(MATCH($N548,data!$A:$A,0)),"",INDEX(data!P:P,MATCH($N548,data!$A:$A,0)))</f>
        <v/>
      </c>
      <c r="BB548" s="38" t="str">
        <f>IF(ISNA(MATCH($N548,data!$A:$A,0)),"",INDEX(data!Q:Q,MATCH($N548,data!$A:$A,0)))</f>
        <v/>
      </c>
      <c r="BC548" s="38" t="str">
        <f>IF(ISNA(MATCH($N548,data!$A:$A,0)),"",INDEX(data!R:R,MATCH($N548,data!$A:$A,0)))</f>
        <v/>
      </c>
      <c r="BD548" s="38" t="str">
        <f>IF(ISNA(MATCH($N548,[1]data!$A:$A,0)),"",INDEX([1]data!U:U,MATCH($N548,[1]data!$A:$A,0)))</f>
        <v/>
      </c>
      <c r="BE548" s="61" t="e">
        <f>IF(COUNTIF([1]data!A:A,[1]!Table1[[#This Row],[UPC]])&lt;2,"","DUP")</f>
        <v>#VALUE!</v>
      </c>
      <c r="BF548" s="38" t="str">
        <f>IF(ISNA(MATCH($N548,data!$A:$A,0)),"",INDEX(data!W:W,MATCH($N548,data!$A:$A,0)))</f>
        <v/>
      </c>
    </row>
    <row r="549" spans="1:58">
      <c r="A549" s="35"/>
      <c r="B549" s="35"/>
      <c r="C549" s="35"/>
      <c r="D549" s="35"/>
      <c r="E549" s="67"/>
      <c r="F549" s="67"/>
      <c r="G549" s="36"/>
      <c r="H549" s="29"/>
      <c r="I549" s="78" t="str">
        <f t="shared" si="12"/>
        <v/>
      </c>
      <c r="J549" s="29"/>
      <c r="K549" s="29"/>
      <c r="L549" s="33"/>
      <c r="M549" s="33"/>
      <c r="N549" s="60"/>
      <c r="O549" s="71"/>
      <c r="P549" s="71"/>
      <c r="Q549" s="33"/>
      <c r="R549" s="31"/>
      <c r="S549" s="31"/>
      <c r="T549" s="59"/>
      <c r="U549" s="59"/>
      <c r="V549" s="59"/>
      <c r="W549" s="57">
        <f t="shared" si="13"/>
        <v>0</v>
      </c>
      <c r="X549" s="126" t="str">
        <f>IF(Table1[[#This Row],[Shipping Weight Pounds]]&gt;150,"See LTL Form","No")</f>
        <v>No</v>
      </c>
      <c r="Y549" s="28"/>
      <c r="Z549" s="33"/>
      <c r="AA549" s="34"/>
      <c r="AB549" s="30"/>
      <c r="AC549" s="30"/>
      <c r="AD549" s="32"/>
      <c r="AE549" s="32"/>
      <c r="AF549" s="2"/>
      <c r="AG549" s="2"/>
      <c r="AH549" s="2"/>
      <c r="AI549" s="2"/>
      <c r="AK549" s="73" t="str">
        <f>IF(ISNA(MATCH($N549,[1]data!$A:$A,0)),"",INDEX([1]data!S:S,MATCH($N549,[1]data!$A:$A,0)))</f>
        <v/>
      </c>
      <c r="AL549" s="73" t="str">
        <f>IF(ISNA(MATCH($N549,[1]data!$A:$A,0)),"",INDEX([1]data!V:V,MATCH($N549,[1]data!$A:$A,0)))</f>
        <v/>
      </c>
      <c r="AM549" s="38" t="str">
        <f>IF(ISNA(MATCH($N549,data!$A:$A,0)),"",INDEX(data!B:B,MATCH($N549,data!$A:$A,0)))</f>
        <v/>
      </c>
      <c r="AN549" s="38" t="str">
        <f>IF(ISNA(MATCH($N549,data!$A:$A,0)),"",INDEX(data!C:C,MATCH($N549,data!$A:$A,0)))</f>
        <v/>
      </c>
      <c r="AO549" s="38" t="str">
        <f>IF(ISNA(MATCH($N549,data!$A:$A,0)),"",INDEX(data!D:D,MATCH($N549,data!$A:$A,0)))</f>
        <v/>
      </c>
      <c r="AP549" s="38" t="str">
        <f>IF(ISNA(MATCH($N549,data!$A:$A,0)),"",INDEX(data!E:E,MATCH($N549,data!$A:$A,0)))</f>
        <v/>
      </c>
      <c r="AQ549" s="38" t="str">
        <f>IF(ISNA(MATCH($N549,data!$A:$A,0)),"",INDEX(data!F:F,MATCH($N549,data!$A:$A,0)))</f>
        <v/>
      </c>
      <c r="AR549" s="38" t="str">
        <f>IF(ISNA(MATCH($N549,data!$A:$A,0)),"",INDEX(data!G:G,MATCH($N549,data!$A:$A,0)))</f>
        <v/>
      </c>
      <c r="AS549" s="38" t="str">
        <f>IF(ISNA(MATCH($N549,data!$A:$A,0)),"",INDEX(data!H:H,MATCH($N549,data!$A:$A,0)))</f>
        <v/>
      </c>
      <c r="AT549" s="38" t="str">
        <f>IF(ISNA(MATCH($N549,data!$A:$A,0)),"",INDEX(data!I:I,MATCH($N549,data!$A:$A,0)))</f>
        <v/>
      </c>
      <c r="AU549" s="38" t="str">
        <f>IF(ISNA(MATCH($N549,[1]data!$A:$A,0)),"",INDEX([1]data!L:L,MATCH($N549,[1]data!$A:$A,0)))</f>
        <v/>
      </c>
      <c r="AV549" s="38" t="str">
        <f>IF(ISNA(MATCH($N549,[1]data!$A:$A,0)),"",INDEX([1]data!M:M,MATCH($N549,[1]data!$A:$A,0)))</f>
        <v/>
      </c>
      <c r="AW549" s="38" t="str">
        <f>IF(ISNA(MATCH($N549,data!$A:$A,0)),"",INDEX(data!J:J,MATCH($N549,data!$A:$A,0)))</f>
        <v/>
      </c>
      <c r="AX549" s="38" t="str">
        <f>IF(ISNA(MATCH($N549,data!$A:$A,0)),"",INDEX(data!K:K,MATCH($N549,data!$A:$A,0)))</f>
        <v/>
      </c>
      <c r="AY549" s="38" t="str">
        <f>IF(ISNA(MATCH($N549,data!$A:$A,0)),"",INDEX(data!O:O,MATCH($N549,data!$A:$A,0)))</f>
        <v/>
      </c>
      <c r="AZ549" s="38" t="str">
        <f>IF(ISNA(MATCH($N549,data!$A:$A,0)),"",INDEX(data!N:N,MATCH($N549,data!$A:$A,0)))</f>
        <v/>
      </c>
      <c r="BA549" s="38" t="str">
        <f>IF(ISNA(MATCH($N549,data!$A:$A,0)),"",INDEX(data!P:P,MATCH($N549,data!$A:$A,0)))</f>
        <v/>
      </c>
      <c r="BB549" s="38" t="str">
        <f>IF(ISNA(MATCH($N549,data!$A:$A,0)),"",INDEX(data!Q:Q,MATCH($N549,data!$A:$A,0)))</f>
        <v/>
      </c>
      <c r="BC549" s="38" t="str">
        <f>IF(ISNA(MATCH($N549,data!$A:$A,0)),"",INDEX(data!R:R,MATCH($N549,data!$A:$A,0)))</f>
        <v/>
      </c>
      <c r="BD549" s="38" t="str">
        <f>IF(ISNA(MATCH($N549,[1]data!$A:$A,0)),"",INDEX([1]data!U:U,MATCH($N549,[1]data!$A:$A,0)))</f>
        <v/>
      </c>
      <c r="BE549" s="61" t="e">
        <f>IF(COUNTIF([1]data!A:A,[1]!Table1[[#This Row],[UPC]])&lt;2,"","DUP")</f>
        <v>#VALUE!</v>
      </c>
      <c r="BF549" s="38" t="str">
        <f>IF(ISNA(MATCH($N549,data!$A:$A,0)),"",INDEX(data!W:W,MATCH($N549,data!$A:$A,0)))</f>
        <v/>
      </c>
    </row>
    <row r="550" spans="1:58">
      <c r="A550" s="35"/>
      <c r="B550" s="35"/>
      <c r="C550" s="35"/>
      <c r="D550" s="35"/>
      <c r="E550" s="67"/>
      <c r="F550" s="67"/>
      <c r="G550" s="36"/>
      <c r="H550" s="29"/>
      <c r="I550" s="78" t="str">
        <f t="shared" si="12"/>
        <v/>
      </c>
      <c r="J550" s="29"/>
      <c r="K550" s="29"/>
      <c r="L550" s="33"/>
      <c r="M550" s="33"/>
      <c r="N550" s="60"/>
      <c r="O550" s="71"/>
      <c r="P550" s="71"/>
      <c r="Q550" s="33"/>
      <c r="R550" s="31"/>
      <c r="S550" s="31"/>
      <c r="T550" s="59"/>
      <c r="U550" s="59"/>
      <c r="V550" s="59"/>
      <c r="W550" s="57">
        <f t="shared" si="13"/>
        <v>0</v>
      </c>
      <c r="X550" s="126" t="str">
        <f>IF(Table1[[#This Row],[Shipping Weight Pounds]]&gt;150,"See LTL Form","No")</f>
        <v>No</v>
      </c>
      <c r="Y550" s="28"/>
      <c r="Z550" s="33"/>
      <c r="AA550" s="34"/>
      <c r="AB550" s="30"/>
      <c r="AC550" s="30"/>
      <c r="AD550" s="32"/>
      <c r="AE550" s="32"/>
      <c r="AF550" s="2"/>
      <c r="AG550" s="2"/>
      <c r="AH550" s="2"/>
      <c r="AI550" s="2"/>
      <c r="AK550" s="73" t="str">
        <f>IF(ISNA(MATCH($N550,[1]data!$A:$A,0)),"",INDEX([1]data!S:S,MATCH($N550,[1]data!$A:$A,0)))</f>
        <v/>
      </c>
      <c r="AL550" s="73" t="str">
        <f>IF(ISNA(MATCH($N550,[1]data!$A:$A,0)),"",INDEX([1]data!V:V,MATCH($N550,[1]data!$A:$A,0)))</f>
        <v/>
      </c>
      <c r="AM550" s="38" t="str">
        <f>IF(ISNA(MATCH($N550,data!$A:$A,0)),"",INDEX(data!B:B,MATCH($N550,data!$A:$A,0)))</f>
        <v/>
      </c>
      <c r="AN550" s="38" t="str">
        <f>IF(ISNA(MATCH($N550,data!$A:$A,0)),"",INDEX(data!C:C,MATCH($N550,data!$A:$A,0)))</f>
        <v/>
      </c>
      <c r="AO550" s="38" t="str">
        <f>IF(ISNA(MATCH($N550,data!$A:$A,0)),"",INDEX(data!D:D,MATCH($N550,data!$A:$A,0)))</f>
        <v/>
      </c>
      <c r="AP550" s="38" t="str">
        <f>IF(ISNA(MATCH($N550,data!$A:$A,0)),"",INDEX(data!E:E,MATCH($N550,data!$A:$A,0)))</f>
        <v/>
      </c>
      <c r="AQ550" s="38" t="str">
        <f>IF(ISNA(MATCH($N550,data!$A:$A,0)),"",INDEX(data!F:F,MATCH($N550,data!$A:$A,0)))</f>
        <v/>
      </c>
      <c r="AR550" s="38" t="str">
        <f>IF(ISNA(MATCH($N550,data!$A:$A,0)),"",INDEX(data!G:G,MATCH($N550,data!$A:$A,0)))</f>
        <v/>
      </c>
      <c r="AS550" s="38" t="str">
        <f>IF(ISNA(MATCH($N550,data!$A:$A,0)),"",INDEX(data!H:H,MATCH($N550,data!$A:$A,0)))</f>
        <v/>
      </c>
      <c r="AT550" s="38" t="str">
        <f>IF(ISNA(MATCH($N550,data!$A:$A,0)),"",INDEX(data!I:I,MATCH($N550,data!$A:$A,0)))</f>
        <v/>
      </c>
      <c r="AU550" s="38" t="str">
        <f>IF(ISNA(MATCH($N550,[1]data!$A:$A,0)),"",INDEX([1]data!L:L,MATCH($N550,[1]data!$A:$A,0)))</f>
        <v/>
      </c>
      <c r="AV550" s="38" t="str">
        <f>IF(ISNA(MATCH($N550,[1]data!$A:$A,0)),"",INDEX([1]data!M:M,MATCH($N550,[1]data!$A:$A,0)))</f>
        <v/>
      </c>
      <c r="AW550" s="38" t="str">
        <f>IF(ISNA(MATCH($N550,data!$A:$A,0)),"",INDEX(data!J:J,MATCH($N550,data!$A:$A,0)))</f>
        <v/>
      </c>
      <c r="AX550" s="38" t="str">
        <f>IF(ISNA(MATCH($N550,data!$A:$A,0)),"",INDEX(data!K:K,MATCH($N550,data!$A:$A,0)))</f>
        <v/>
      </c>
      <c r="AY550" s="38" t="str">
        <f>IF(ISNA(MATCH($N550,data!$A:$A,0)),"",INDEX(data!O:O,MATCH($N550,data!$A:$A,0)))</f>
        <v/>
      </c>
      <c r="AZ550" s="38" t="str">
        <f>IF(ISNA(MATCH($N550,data!$A:$A,0)),"",INDEX(data!N:N,MATCH($N550,data!$A:$A,0)))</f>
        <v/>
      </c>
      <c r="BA550" s="38" t="str">
        <f>IF(ISNA(MATCH($N550,data!$A:$A,0)),"",INDEX(data!P:P,MATCH($N550,data!$A:$A,0)))</f>
        <v/>
      </c>
      <c r="BB550" s="38" t="str">
        <f>IF(ISNA(MATCH($N550,data!$A:$A,0)),"",INDEX(data!Q:Q,MATCH($N550,data!$A:$A,0)))</f>
        <v/>
      </c>
      <c r="BC550" s="38" t="str">
        <f>IF(ISNA(MATCH($N550,data!$A:$A,0)),"",INDEX(data!R:R,MATCH($N550,data!$A:$A,0)))</f>
        <v/>
      </c>
      <c r="BD550" s="38" t="str">
        <f>IF(ISNA(MATCH($N550,[1]data!$A:$A,0)),"",INDEX([1]data!U:U,MATCH($N550,[1]data!$A:$A,0)))</f>
        <v/>
      </c>
      <c r="BE550" s="61" t="e">
        <f>IF(COUNTIF([1]data!A:A,[1]!Table1[[#This Row],[UPC]])&lt;2,"","DUP")</f>
        <v>#VALUE!</v>
      </c>
      <c r="BF550" s="38" t="str">
        <f>IF(ISNA(MATCH($N550,data!$A:$A,0)),"",INDEX(data!W:W,MATCH($N550,data!$A:$A,0)))</f>
        <v/>
      </c>
    </row>
    <row r="551" spans="1:58">
      <c r="A551" s="35"/>
      <c r="B551" s="35"/>
      <c r="C551" s="35"/>
      <c r="D551" s="35"/>
      <c r="E551" s="67"/>
      <c r="F551" s="67"/>
      <c r="G551" s="36"/>
      <c r="H551" s="29"/>
      <c r="I551" s="78" t="str">
        <f t="shared" si="12"/>
        <v/>
      </c>
      <c r="J551" s="29"/>
      <c r="K551" s="29"/>
      <c r="L551" s="33"/>
      <c r="M551" s="33"/>
      <c r="N551" s="60"/>
      <c r="O551" s="71"/>
      <c r="P551" s="71"/>
      <c r="Q551" s="33"/>
      <c r="R551" s="31"/>
      <c r="S551" s="31"/>
      <c r="T551" s="59"/>
      <c r="U551" s="59"/>
      <c r="V551" s="59"/>
      <c r="W551" s="57">
        <f t="shared" si="13"/>
        <v>0</v>
      </c>
      <c r="X551" s="126" t="str">
        <f>IF(Table1[[#This Row],[Shipping Weight Pounds]]&gt;150,"See LTL Form","No")</f>
        <v>No</v>
      </c>
      <c r="Y551" s="28"/>
      <c r="Z551" s="33"/>
      <c r="AA551" s="34"/>
      <c r="AB551" s="30"/>
      <c r="AC551" s="30"/>
      <c r="AD551" s="32"/>
      <c r="AE551" s="32"/>
      <c r="AF551" s="2"/>
      <c r="AG551" s="2"/>
      <c r="AH551" s="2"/>
      <c r="AI551" s="2"/>
      <c r="AK551" s="73" t="str">
        <f>IF(ISNA(MATCH($N551,[1]data!$A:$A,0)),"",INDEX([1]data!S:S,MATCH($N551,[1]data!$A:$A,0)))</f>
        <v/>
      </c>
      <c r="AL551" s="73" t="str">
        <f>IF(ISNA(MATCH($N551,[1]data!$A:$A,0)),"",INDEX([1]data!V:V,MATCH($N551,[1]data!$A:$A,0)))</f>
        <v/>
      </c>
      <c r="AM551" s="38" t="str">
        <f>IF(ISNA(MATCH($N551,data!$A:$A,0)),"",INDEX(data!B:B,MATCH($N551,data!$A:$A,0)))</f>
        <v/>
      </c>
      <c r="AN551" s="38" t="str">
        <f>IF(ISNA(MATCH($N551,data!$A:$A,0)),"",INDEX(data!C:C,MATCH($N551,data!$A:$A,0)))</f>
        <v/>
      </c>
      <c r="AO551" s="38" t="str">
        <f>IF(ISNA(MATCH($N551,data!$A:$A,0)),"",INDEX(data!D:D,MATCH($N551,data!$A:$A,0)))</f>
        <v/>
      </c>
      <c r="AP551" s="38" t="str">
        <f>IF(ISNA(MATCH($N551,data!$A:$A,0)),"",INDEX(data!E:E,MATCH($N551,data!$A:$A,0)))</f>
        <v/>
      </c>
      <c r="AQ551" s="38" t="str">
        <f>IF(ISNA(MATCH($N551,data!$A:$A,0)),"",INDEX(data!F:F,MATCH($N551,data!$A:$A,0)))</f>
        <v/>
      </c>
      <c r="AR551" s="38" t="str">
        <f>IF(ISNA(MATCH($N551,data!$A:$A,0)),"",INDEX(data!G:G,MATCH($N551,data!$A:$A,0)))</f>
        <v/>
      </c>
      <c r="AS551" s="38" t="str">
        <f>IF(ISNA(MATCH($N551,data!$A:$A,0)),"",INDEX(data!H:H,MATCH($N551,data!$A:$A,0)))</f>
        <v/>
      </c>
      <c r="AT551" s="38" t="str">
        <f>IF(ISNA(MATCH($N551,data!$A:$A,0)),"",INDEX(data!I:I,MATCH($N551,data!$A:$A,0)))</f>
        <v/>
      </c>
      <c r="AU551" s="38" t="str">
        <f>IF(ISNA(MATCH($N551,[1]data!$A:$A,0)),"",INDEX([1]data!L:L,MATCH($N551,[1]data!$A:$A,0)))</f>
        <v/>
      </c>
      <c r="AV551" s="38" t="str">
        <f>IF(ISNA(MATCH($N551,[1]data!$A:$A,0)),"",INDEX([1]data!M:M,MATCH($N551,[1]data!$A:$A,0)))</f>
        <v/>
      </c>
      <c r="AW551" s="38" t="str">
        <f>IF(ISNA(MATCH($N551,data!$A:$A,0)),"",INDEX(data!J:J,MATCH($N551,data!$A:$A,0)))</f>
        <v/>
      </c>
      <c r="AX551" s="38" t="str">
        <f>IF(ISNA(MATCH($N551,data!$A:$A,0)),"",INDEX(data!K:K,MATCH($N551,data!$A:$A,0)))</f>
        <v/>
      </c>
      <c r="AY551" s="38" t="str">
        <f>IF(ISNA(MATCH($N551,data!$A:$A,0)),"",INDEX(data!O:O,MATCH($N551,data!$A:$A,0)))</f>
        <v/>
      </c>
      <c r="AZ551" s="38" t="str">
        <f>IF(ISNA(MATCH($N551,data!$A:$A,0)),"",INDEX(data!N:N,MATCH($N551,data!$A:$A,0)))</f>
        <v/>
      </c>
      <c r="BA551" s="38" t="str">
        <f>IF(ISNA(MATCH($N551,data!$A:$A,0)),"",INDEX(data!P:P,MATCH($N551,data!$A:$A,0)))</f>
        <v/>
      </c>
      <c r="BB551" s="38" t="str">
        <f>IF(ISNA(MATCH($N551,data!$A:$A,0)),"",INDEX(data!Q:Q,MATCH($N551,data!$A:$A,0)))</f>
        <v/>
      </c>
      <c r="BC551" s="38" t="str">
        <f>IF(ISNA(MATCH($N551,data!$A:$A,0)),"",INDEX(data!R:R,MATCH($N551,data!$A:$A,0)))</f>
        <v/>
      </c>
      <c r="BD551" s="38" t="str">
        <f>IF(ISNA(MATCH($N551,[1]data!$A:$A,0)),"",INDEX([1]data!U:U,MATCH($N551,[1]data!$A:$A,0)))</f>
        <v/>
      </c>
      <c r="BE551" s="61" t="e">
        <f>IF(COUNTIF([1]data!A:A,[1]!Table1[[#This Row],[UPC]])&lt;2,"","DUP")</f>
        <v>#VALUE!</v>
      </c>
      <c r="BF551" s="38" t="str">
        <f>IF(ISNA(MATCH($N551,data!$A:$A,0)),"",INDEX(data!W:W,MATCH($N551,data!$A:$A,0)))</f>
        <v/>
      </c>
    </row>
    <row r="552" spans="1:58">
      <c r="A552" s="35"/>
      <c r="B552" s="35"/>
      <c r="C552" s="35"/>
      <c r="D552" s="35"/>
      <c r="E552" s="67"/>
      <c r="F552" s="67"/>
      <c r="G552" s="36"/>
      <c r="H552" s="29"/>
      <c r="I552" s="78" t="str">
        <f t="shared" si="12"/>
        <v/>
      </c>
      <c r="J552" s="29"/>
      <c r="K552" s="29"/>
      <c r="L552" s="33"/>
      <c r="M552" s="33"/>
      <c r="N552" s="60"/>
      <c r="O552" s="71"/>
      <c r="P552" s="71"/>
      <c r="Q552" s="33"/>
      <c r="R552" s="31"/>
      <c r="S552" s="31"/>
      <c r="T552" s="59"/>
      <c r="U552" s="59"/>
      <c r="V552" s="59"/>
      <c r="W552" s="57">
        <f t="shared" si="13"/>
        <v>0</v>
      </c>
      <c r="X552" s="126" t="str">
        <f>IF(Table1[[#This Row],[Shipping Weight Pounds]]&gt;150,"See LTL Form","No")</f>
        <v>No</v>
      </c>
      <c r="Y552" s="28"/>
      <c r="Z552" s="33"/>
      <c r="AA552" s="34"/>
      <c r="AB552" s="30"/>
      <c r="AC552" s="30"/>
      <c r="AD552" s="32"/>
      <c r="AE552" s="32"/>
      <c r="AF552" s="2"/>
      <c r="AG552" s="2"/>
      <c r="AH552" s="2"/>
      <c r="AI552" s="2"/>
      <c r="AK552" s="73" t="str">
        <f>IF(ISNA(MATCH($N552,[1]data!$A:$A,0)),"",INDEX([1]data!S:S,MATCH($N552,[1]data!$A:$A,0)))</f>
        <v/>
      </c>
      <c r="AL552" s="73" t="str">
        <f>IF(ISNA(MATCH($N552,[1]data!$A:$A,0)),"",INDEX([1]data!V:V,MATCH($N552,[1]data!$A:$A,0)))</f>
        <v/>
      </c>
      <c r="AM552" s="38" t="str">
        <f>IF(ISNA(MATCH($N552,data!$A:$A,0)),"",INDEX(data!B:B,MATCH($N552,data!$A:$A,0)))</f>
        <v/>
      </c>
      <c r="AN552" s="38" t="str">
        <f>IF(ISNA(MATCH($N552,data!$A:$A,0)),"",INDEX(data!C:C,MATCH($N552,data!$A:$A,0)))</f>
        <v/>
      </c>
      <c r="AO552" s="38" t="str">
        <f>IF(ISNA(MATCH($N552,data!$A:$A,0)),"",INDEX(data!D:D,MATCH($N552,data!$A:$A,0)))</f>
        <v/>
      </c>
      <c r="AP552" s="38" t="str">
        <f>IF(ISNA(MATCH($N552,data!$A:$A,0)),"",INDEX(data!E:E,MATCH($N552,data!$A:$A,0)))</f>
        <v/>
      </c>
      <c r="AQ552" s="38" t="str">
        <f>IF(ISNA(MATCH($N552,data!$A:$A,0)),"",INDEX(data!F:F,MATCH($N552,data!$A:$A,0)))</f>
        <v/>
      </c>
      <c r="AR552" s="38" t="str">
        <f>IF(ISNA(MATCH($N552,data!$A:$A,0)),"",INDEX(data!G:G,MATCH($N552,data!$A:$A,0)))</f>
        <v/>
      </c>
      <c r="AS552" s="38" t="str">
        <f>IF(ISNA(MATCH($N552,data!$A:$A,0)),"",INDEX(data!H:H,MATCH($N552,data!$A:$A,0)))</f>
        <v/>
      </c>
      <c r="AT552" s="38" t="str">
        <f>IF(ISNA(MATCH($N552,data!$A:$A,0)),"",INDEX(data!I:I,MATCH($N552,data!$A:$A,0)))</f>
        <v/>
      </c>
      <c r="AU552" s="38" t="str">
        <f>IF(ISNA(MATCH($N552,[1]data!$A:$A,0)),"",INDEX([1]data!L:L,MATCH($N552,[1]data!$A:$A,0)))</f>
        <v/>
      </c>
      <c r="AV552" s="38" t="str">
        <f>IF(ISNA(MATCH($N552,[1]data!$A:$A,0)),"",INDEX([1]data!M:M,MATCH($N552,[1]data!$A:$A,0)))</f>
        <v/>
      </c>
      <c r="AW552" s="38" t="str">
        <f>IF(ISNA(MATCH($N552,data!$A:$A,0)),"",INDEX(data!J:J,MATCH($N552,data!$A:$A,0)))</f>
        <v/>
      </c>
      <c r="AX552" s="38" t="str">
        <f>IF(ISNA(MATCH($N552,data!$A:$A,0)),"",INDEX(data!K:K,MATCH($N552,data!$A:$A,0)))</f>
        <v/>
      </c>
      <c r="AY552" s="38" t="str">
        <f>IF(ISNA(MATCH($N552,data!$A:$A,0)),"",INDEX(data!O:O,MATCH($N552,data!$A:$A,0)))</f>
        <v/>
      </c>
      <c r="AZ552" s="38" t="str">
        <f>IF(ISNA(MATCH($N552,data!$A:$A,0)),"",INDEX(data!N:N,MATCH($N552,data!$A:$A,0)))</f>
        <v/>
      </c>
      <c r="BA552" s="38" t="str">
        <f>IF(ISNA(MATCH($N552,data!$A:$A,0)),"",INDEX(data!P:P,MATCH($N552,data!$A:$A,0)))</f>
        <v/>
      </c>
      <c r="BB552" s="38" t="str">
        <f>IF(ISNA(MATCH($N552,data!$A:$A,0)),"",INDEX(data!Q:Q,MATCH($N552,data!$A:$A,0)))</f>
        <v/>
      </c>
      <c r="BC552" s="38" t="str">
        <f>IF(ISNA(MATCH($N552,data!$A:$A,0)),"",INDEX(data!R:R,MATCH($N552,data!$A:$A,0)))</f>
        <v/>
      </c>
      <c r="BD552" s="38" t="str">
        <f>IF(ISNA(MATCH($N552,[1]data!$A:$A,0)),"",INDEX([1]data!U:U,MATCH($N552,[1]data!$A:$A,0)))</f>
        <v/>
      </c>
      <c r="BE552" s="61" t="e">
        <f>IF(COUNTIF([1]data!A:A,[1]!Table1[[#This Row],[UPC]])&lt;2,"","DUP")</f>
        <v>#VALUE!</v>
      </c>
      <c r="BF552" s="38" t="str">
        <f>IF(ISNA(MATCH($N552,data!$A:$A,0)),"",INDEX(data!W:W,MATCH($N552,data!$A:$A,0)))</f>
        <v/>
      </c>
    </row>
    <row r="553" spans="1:58">
      <c r="A553" s="35"/>
      <c r="B553" s="35"/>
      <c r="C553" s="35"/>
      <c r="D553" s="35"/>
      <c r="E553" s="67"/>
      <c r="F553" s="67"/>
      <c r="G553" s="36"/>
      <c r="H553" s="29"/>
      <c r="I553" s="78" t="str">
        <f t="shared" si="12"/>
        <v/>
      </c>
      <c r="J553" s="29"/>
      <c r="K553" s="29"/>
      <c r="L553" s="33"/>
      <c r="M553" s="33"/>
      <c r="N553" s="60"/>
      <c r="O553" s="71"/>
      <c r="P553" s="71"/>
      <c r="Q553" s="33"/>
      <c r="R553" s="31"/>
      <c r="S553" s="31"/>
      <c r="T553" s="59"/>
      <c r="U553" s="59"/>
      <c r="V553" s="59"/>
      <c r="W553" s="57">
        <f t="shared" si="13"/>
        <v>0</v>
      </c>
      <c r="X553" s="126" t="str">
        <f>IF(Table1[[#This Row],[Shipping Weight Pounds]]&gt;150,"See LTL Form","No")</f>
        <v>No</v>
      </c>
      <c r="Y553" s="28"/>
      <c r="Z553" s="33"/>
      <c r="AA553" s="34"/>
      <c r="AB553" s="30"/>
      <c r="AC553" s="30"/>
      <c r="AD553" s="32"/>
      <c r="AE553" s="32"/>
      <c r="AF553" s="2"/>
      <c r="AG553" s="2"/>
      <c r="AH553" s="2"/>
      <c r="AI553" s="2"/>
      <c r="AK553" s="73" t="str">
        <f>IF(ISNA(MATCH($N553,[1]data!$A:$A,0)),"",INDEX([1]data!S:S,MATCH($N553,[1]data!$A:$A,0)))</f>
        <v/>
      </c>
      <c r="AL553" s="73" t="str">
        <f>IF(ISNA(MATCH($N553,[1]data!$A:$A,0)),"",INDEX([1]data!V:V,MATCH($N553,[1]data!$A:$A,0)))</f>
        <v/>
      </c>
      <c r="AM553" s="38" t="str">
        <f>IF(ISNA(MATCH($N553,data!$A:$A,0)),"",INDEX(data!B:B,MATCH($N553,data!$A:$A,0)))</f>
        <v/>
      </c>
      <c r="AN553" s="38" t="str">
        <f>IF(ISNA(MATCH($N553,data!$A:$A,0)),"",INDEX(data!C:C,MATCH($N553,data!$A:$A,0)))</f>
        <v/>
      </c>
      <c r="AO553" s="38" t="str">
        <f>IF(ISNA(MATCH($N553,data!$A:$A,0)),"",INDEX(data!D:D,MATCH($N553,data!$A:$A,0)))</f>
        <v/>
      </c>
      <c r="AP553" s="38" t="str">
        <f>IF(ISNA(MATCH($N553,data!$A:$A,0)),"",INDEX(data!E:E,MATCH($N553,data!$A:$A,0)))</f>
        <v/>
      </c>
      <c r="AQ553" s="38" t="str">
        <f>IF(ISNA(MATCH($N553,data!$A:$A,0)),"",INDEX(data!F:F,MATCH($N553,data!$A:$A,0)))</f>
        <v/>
      </c>
      <c r="AR553" s="38" t="str">
        <f>IF(ISNA(MATCH($N553,data!$A:$A,0)),"",INDEX(data!G:G,MATCH($N553,data!$A:$A,0)))</f>
        <v/>
      </c>
      <c r="AS553" s="38" t="str">
        <f>IF(ISNA(MATCH($N553,data!$A:$A,0)),"",INDEX(data!H:H,MATCH($N553,data!$A:$A,0)))</f>
        <v/>
      </c>
      <c r="AT553" s="38" t="str">
        <f>IF(ISNA(MATCH($N553,data!$A:$A,0)),"",INDEX(data!I:I,MATCH($N553,data!$A:$A,0)))</f>
        <v/>
      </c>
      <c r="AU553" s="38" t="str">
        <f>IF(ISNA(MATCH($N553,[1]data!$A:$A,0)),"",INDEX([1]data!L:L,MATCH($N553,[1]data!$A:$A,0)))</f>
        <v/>
      </c>
      <c r="AV553" s="38" t="str">
        <f>IF(ISNA(MATCH($N553,[1]data!$A:$A,0)),"",INDEX([1]data!M:M,MATCH($N553,[1]data!$A:$A,0)))</f>
        <v/>
      </c>
      <c r="AW553" s="38" t="str">
        <f>IF(ISNA(MATCH($N553,data!$A:$A,0)),"",INDEX(data!J:J,MATCH($N553,data!$A:$A,0)))</f>
        <v/>
      </c>
      <c r="AX553" s="38" t="str">
        <f>IF(ISNA(MATCH($N553,data!$A:$A,0)),"",INDEX(data!K:K,MATCH($N553,data!$A:$A,0)))</f>
        <v/>
      </c>
      <c r="AY553" s="38" t="str">
        <f>IF(ISNA(MATCH($N553,data!$A:$A,0)),"",INDEX(data!O:O,MATCH($N553,data!$A:$A,0)))</f>
        <v/>
      </c>
      <c r="AZ553" s="38" t="str">
        <f>IF(ISNA(MATCH($N553,data!$A:$A,0)),"",INDEX(data!N:N,MATCH($N553,data!$A:$A,0)))</f>
        <v/>
      </c>
      <c r="BA553" s="38" t="str">
        <f>IF(ISNA(MATCH($N553,data!$A:$A,0)),"",INDEX(data!P:P,MATCH($N553,data!$A:$A,0)))</f>
        <v/>
      </c>
      <c r="BB553" s="38" t="str">
        <f>IF(ISNA(MATCH($N553,data!$A:$A,0)),"",INDEX(data!Q:Q,MATCH($N553,data!$A:$A,0)))</f>
        <v/>
      </c>
      <c r="BC553" s="38" t="str">
        <f>IF(ISNA(MATCH($N553,data!$A:$A,0)),"",INDEX(data!R:R,MATCH($N553,data!$A:$A,0)))</f>
        <v/>
      </c>
      <c r="BD553" s="38" t="str">
        <f>IF(ISNA(MATCH($N553,[1]data!$A:$A,0)),"",INDEX([1]data!U:U,MATCH($N553,[1]data!$A:$A,0)))</f>
        <v/>
      </c>
      <c r="BE553" s="61" t="e">
        <f>IF(COUNTIF([1]data!A:A,[1]!Table1[[#This Row],[UPC]])&lt;2,"","DUP")</f>
        <v>#VALUE!</v>
      </c>
      <c r="BF553" s="38" t="str">
        <f>IF(ISNA(MATCH($N553,data!$A:$A,0)),"",INDEX(data!W:W,MATCH($N553,data!$A:$A,0)))</f>
        <v/>
      </c>
    </row>
    <row r="554" spans="1:58">
      <c r="A554" s="35"/>
      <c r="B554" s="35"/>
      <c r="C554" s="35"/>
      <c r="D554" s="35"/>
      <c r="E554" s="67"/>
      <c r="F554" s="67"/>
      <c r="G554" s="36"/>
      <c r="H554" s="29"/>
      <c r="I554" s="78" t="str">
        <f t="shared" si="12"/>
        <v/>
      </c>
      <c r="J554" s="29"/>
      <c r="K554" s="29"/>
      <c r="L554" s="33"/>
      <c r="M554" s="33"/>
      <c r="N554" s="60"/>
      <c r="O554" s="71"/>
      <c r="P554" s="71"/>
      <c r="Q554" s="33"/>
      <c r="R554" s="31"/>
      <c r="S554" s="31"/>
      <c r="T554" s="59"/>
      <c r="U554" s="59"/>
      <c r="V554" s="59"/>
      <c r="W554" s="57">
        <f t="shared" si="13"/>
        <v>0</v>
      </c>
      <c r="X554" s="126" t="str">
        <f>IF(Table1[[#This Row],[Shipping Weight Pounds]]&gt;150,"See LTL Form","No")</f>
        <v>No</v>
      </c>
      <c r="Y554" s="28"/>
      <c r="Z554" s="33"/>
      <c r="AA554" s="34"/>
      <c r="AB554" s="30"/>
      <c r="AC554" s="30"/>
      <c r="AD554" s="32"/>
      <c r="AE554" s="32"/>
      <c r="AF554" s="2"/>
      <c r="AG554" s="2"/>
      <c r="AH554" s="2"/>
      <c r="AI554" s="2"/>
      <c r="AK554" s="73" t="str">
        <f>IF(ISNA(MATCH($N554,[1]data!$A:$A,0)),"",INDEX([1]data!S:S,MATCH($N554,[1]data!$A:$A,0)))</f>
        <v/>
      </c>
      <c r="AL554" s="73" t="str">
        <f>IF(ISNA(MATCH($N554,[1]data!$A:$A,0)),"",INDEX([1]data!V:V,MATCH($N554,[1]data!$A:$A,0)))</f>
        <v/>
      </c>
      <c r="AM554" s="38" t="str">
        <f>IF(ISNA(MATCH($N554,data!$A:$A,0)),"",INDEX(data!B:B,MATCH($N554,data!$A:$A,0)))</f>
        <v/>
      </c>
      <c r="AN554" s="38" t="str">
        <f>IF(ISNA(MATCH($N554,data!$A:$A,0)),"",INDEX(data!C:C,MATCH($N554,data!$A:$A,0)))</f>
        <v/>
      </c>
      <c r="AO554" s="38" t="str">
        <f>IF(ISNA(MATCH($N554,data!$A:$A,0)),"",INDEX(data!D:D,MATCH($N554,data!$A:$A,0)))</f>
        <v/>
      </c>
      <c r="AP554" s="38" t="str">
        <f>IF(ISNA(MATCH($N554,data!$A:$A,0)),"",INDEX(data!E:E,MATCH($N554,data!$A:$A,0)))</f>
        <v/>
      </c>
      <c r="AQ554" s="38" t="str">
        <f>IF(ISNA(MATCH($N554,data!$A:$A,0)),"",INDEX(data!F:F,MATCH($N554,data!$A:$A,0)))</f>
        <v/>
      </c>
      <c r="AR554" s="38" t="str">
        <f>IF(ISNA(MATCH($N554,data!$A:$A,0)),"",INDEX(data!G:G,MATCH($N554,data!$A:$A,0)))</f>
        <v/>
      </c>
      <c r="AS554" s="38" t="str">
        <f>IF(ISNA(MATCH($N554,data!$A:$A,0)),"",INDEX(data!H:H,MATCH($N554,data!$A:$A,0)))</f>
        <v/>
      </c>
      <c r="AT554" s="38" t="str">
        <f>IF(ISNA(MATCH($N554,data!$A:$A,0)),"",INDEX(data!I:I,MATCH($N554,data!$A:$A,0)))</f>
        <v/>
      </c>
      <c r="AU554" s="38" t="str">
        <f>IF(ISNA(MATCH($N554,[1]data!$A:$A,0)),"",INDEX([1]data!L:L,MATCH($N554,[1]data!$A:$A,0)))</f>
        <v/>
      </c>
      <c r="AV554" s="38" t="str">
        <f>IF(ISNA(MATCH($N554,[1]data!$A:$A,0)),"",INDEX([1]data!M:M,MATCH($N554,[1]data!$A:$A,0)))</f>
        <v/>
      </c>
      <c r="AW554" s="38" t="str">
        <f>IF(ISNA(MATCH($N554,data!$A:$A,0)),"",INDEX(data!J:J,MATCH($N554,data!$A:$A,0)))</f>
        <v/>
      </c>
      <c r="AX554" s="38" t="str">
        <f>IF(ISNA(MATCH($N554,data!$A:$A,0)),"",INDEX(data!K:K,MATCH($N554,data!$A:$A,0)))</f>
        <v/>
      </c>
      <c r="AY554" s="38" t="str">
        <f>IF(ISNA(MATCH($N554,data!$A:$A,0)),"",INDEX(data!O:O,MATCH($N554,data!$A:$A,0)))</f>
        <v/>
      </c>
      <c r="AZ554" s="38" t="str">
        <f>IF(ISNA(MATCH($N554,data!$A:$A,0)),"",INDEX(data!N:N,MATCH($N554,data!$A:$A,0)))</f>
        <v/>
      </c>
      <c r="BA554" s="38" t="str">
        <f>IF(ISNA(MATCH($N554,data!$A:$A,0)),"",INDEX(data!P:P,MATCH($N554,data!$A:$A,0)))</f>
        <v/>
      </c>
      <c r="BB554" s="38" t="str">
        <f>IF(ISNA(MATCH($N554,data!$A:$A,0)),"",INDEX(data!Q:Q,MATCH($N554,data!$A:$A,0)))</f>
        <v/>
      </c>
      <c r="BC554" s="38" t="str">
        <f>IF(ISNA(MATCH($N554,data!$A:$A,0)),"",INDEX(data!R:R,MATCH($N554,data!$A:$A,0)))</f>
        <v/>
      </c>
      <c r="BD554" s="38" t="str">
        <f>IF(ISNA(MATCH($N554,[1]data!$A:$A,0)),"",INDEX([1]data!U:U,MATCH($N554,[1]data!$A:$A,0)))</f>
        <v/>
      </c>
      <c r="BE554" s="61" t="e">
        <f>IF(COUNTIF([1]data!A:A,[1]!Table1[[#This Row],[UPC]])&lt;2,"","DUP")</f>
        <v>#VALUE!</v>
      </c>
      <c r="BF554" s="38" t="str">
        <f>IF(ISNA(MATCH($N554,data!$A:$A,0)),"",INDEX(data!W:W,MATCH($N554,data!$A:$A,0)))</f>
        <v/>
      </c>
    </row>
    <row r="555" spans="1:58">
      <c r="A555" s="35"/>
      <c r="B555" s="35"/>
      <c r="C555" s="35"/>
      <c r="D555" s="35"/>
      <c r="E555" s="67"/>
      <c r="F555" s="67"/>
      <c r="G555" s="36"/>
      <c r="H555" s="29"/>
      <c r="I555" s="78" t="str">
        <f t="shared" si="12"/>
        <v/>
      </c>
      <c r="J555" s="29"/>
      <c r="K555" s="29"/>
      <c r="L555" s="33"/>
      <c r="M555" s="33"/>
      <c r="N555" s="60"/>
      <c r="O555" s="71"/>
      <c r="P555" s="71"/>
      <c r="Q555" s="33"/>
      <c r="R555" s="31"/>
      <c r="S555" s="31"/>
      <c r="T555" s="59"/>
      <c r="U555" s="59"/>
      <c r="V555" s="59"/>
      <c r="W555" s="57">
        <f t="shared" si="13"/>
        <v>0</v>
      </c>
      <c r="X555" s="126" t="str">
        <f>IF(Table1[[#This Row],[Shipping Weight Pounds]]&gt;150,"See LTL Form","No")</f>
        <v>No</v>
      </c>
      <c r="Y555" s="28"/>
      <c r="Z555" s="33"/>
      <c r="AA555" s="34"/>
      <c r="AB555" s="30"/>
      <c r="AC555" s="30"/>
      <c r="AD555" s="32"/>
      <c r="AE555" s="32"/>
      <c r="AF555" s="2"/>
      <c r="AG555" s="2"/>
      <c r="AH555" s="2"/>
      <c r="AI555" s="2"/>
      <c r="AK555" s="73" t="str">
        <f>IF(ISNA(MATCH($N555,[1]data!$A:$A,0)),"",INDEX([1]data!S:S,MATCH($N555,[1]data!$A:$A,0)))</f>
        <v/>
      </c>
      <c r="AL555" s="73" t="str">
        <f>IF(ISNA(MATCH($N555,[1]data!$A:$A,0)),"",INDEX([1]data!V:V,MATCH($N555,[1]data!$A:$A,0)))</f>
        <v/>
      </c>
      <c r="AM555" s="38" t="str">
        <f>IF(ISNA(MATCH($N555,data!$A:$A,0)),"",INDEX(data!B:B,MATCH($N555,data!$A:$A,0)))</f>
        <v/>
      </c>
      <c r="AN555" s="38" t="str">
        <f>IF(ISNA(MATCH($N555,data!$A:$A,0)),"",INDEX(data!C:C,MATCH($N555,data!$A:$A,0)))</f>
        <v/>
      </c>
      <c r="AO555" s="38" t="str">
        <f>IF(ISNA(MATCH($N555,data!$A:$A,0)),"",INDEX(data!D:D,MATCH($N555,data!$A:$A,0)))</f>
        <v/>
      </c>
      <c r="AP555" s="38" t="str">
        <f>IF(ISNA(MATCH($N555,data!$A:$A,0)),"",INDEX(data!E:E,MATCH($N555,data!$A:$A,0)))</f>
        <v/>
      </c>
      <c r="AQ555" s="38" t="str">
        <f>IF(ISNA(MATCH($N555,data!$A:$A,0)),"",INDEX(data!F:F,MATCH($N555,data!$A:$A,0)))</f>
        <v/>
      </c>
      <c r="AR555" s="38" t="str">
        <f>IF(ISNA(MATCH($N555,data!$A:$A,0)),"",INDEX(data!G:G,MATCH($N555,data!$A:$A,0)))</f>
        <v/>
      </c>
      <c r="AS555" s="38" t="str">
        <f>IF(ISNA(MATCH($N555,data!$A:$A,0)),"",INDEX(data!H:H,MATCH($N555,data!$A:$A,0)))</f>
        <v/>
      </c>
      <c r="AT555" s="38" t="str">
        <f>IF(ISNA(MATCH($N555,data!$A:$A,0)),"",INDEX(data!I:I,MATCH($N555,data!$A:$A,0)))</f>
        <v/>
      </c>
      <c r="AU555" s="38" t="str">
        <f>IF(ISNA(MATCH($N555,[1]data!$A:$A,0)),"",INDEX([1]data!L:L,MATCH($N555,[1]data!$A:$A,0)))</f>
        <v/>
      </c>
      <c r="AV555" s="38" t="str">
        <f>IF(ISNA(MATCH($N555,[1]data!$A:$A,0)),"",INDEX([1]data!M:M,MATCH($N555,[1]data!$A:$A,0)))</f>
        <v/>
      </c>
      <c r="AW555" s="38" t="str">
        <f>IF(ISNA(MATCH($N555,data!$A:$A,0)),"",INDEX(data!J:J,MATCH($N555,data!$A:$A,0)))</f>
        <v/>
      </c>
      <c r="AX555" s="38" t="str">
        <f>IF(ISNA(MATCH($N555,data!$A:$A,0)),"",INDEX(data!K:K,MATCH($N555,data!$A:$A,0)))</f>
        <v/>
      </c>
      <c r="AY555" s="38" t="str">
        <f>IF(ISNA(MATCH($N555,data!$A:$A,0)),"",INDEX(data!O:O,MATCH($N555,data!$A:$A,0)))</f>
        <v/>
      </c>
      <c r="AZ555" s="38" t="str">
        <f>IF(ISNA(MATCH($N555,data!$A:$A,0)),"",INDEX(data!N:N,MATCH($N555,data!$A:$A,0)))</f>
        <v/>
      </c>
      <c r="BA555" s="38" t="str">
        <f>IF(ISNA(MATCH($N555,data!$A:$A,0)),"",INDEX(data!P:P,MATCH($N555,data!$A:$A,0)))</f>
        <v/>
      </c>
      <c r="BB555" s="38" t="str">
        <f>IF(ISNA(MATCH($N555,data!$A:$A,0)),"",INDEX(data!Q:Q,MATCH($N555,data!$A:$A,0)))</f>
        <v/>
      </c>
      <c r="BC555" s="38" t="str">
        <f>IF(ISNA(MATCH($N555,data!$A:$A,0)),"",INDEX(data!R:R,MATCH($N555,data!$A:$A,0)))</f>
        <v/>
      </c>
      <c r="BD555" s="38" t="str">
        <f>IF(ISNA(MATCH($N555,[1]data!$A:$A,0)),"",INDEX([1]data!U:U,MATCH($N555,[1]data!$A:$A,0)))</f>
        <v/>
      </c>
      <c r="BE555" s="61" t="e">
        <f>IF(COUNTIF([1]data!A:A,[1]!Table1[[#This Row],[UPC]])&lt;2,"","DUP")</f>
        <v>#VALUE!</v>
      </c>
      <c r="BF555" s="38" t="str">
        <f>IF(ISNA(MATCH($N555,data!$A:$A,0)),"",INDEX(data!W:W,MATCH($N555,data!$A:$A,0)))</f>
        <v/>
      </c>
    </row>
    <row r="556" spans="1:58">
      <c r="A556" s="35"/>
      <c r="B556" s="35"/>
      <c r="C556" s="35"/>
      <c r="D556" s="35"/>
      <c r="E556" s="67"/>
      <c r="F556" s="67"/>
      <c r="G556" s="36"/>
      <c r="H556" s="29"/>
      <c r="I556" s="78" t="str">
        <f t="shared" si="12"/>
        <v/>
      </c>
      <c r="J556" s="29"/>
      <c r="K556" s="29"/>
      <c r="L556" s="33"/>
      <c r="M556" s="33"/>
      <c r="N556" s="60"/>
      <c r="O556" s="71"/>
      <c r="P556" s="71"/>
      <c r="Q556" s="33"/>
      <c r="R556" s="31"/>
      <c r="S556" s="31"/>
      <c r="T556" s="59"/>
      <c r="U556" s="59"/>
      <c r="V556" s="59"/>
      <c r="W556" s="57">
        <f t="shared" si="13"/>
        <v>0</v>
      </c>
      <c r="X556" s="126" t="str">
        <f>IF(Table1[[#This Row],[Shipping Weight Pounds]]&gt;150,"See LTL Form","No")</f>
        <v>No</v>
      </c>
      <c r="Y556" s="28"/>
      <c r="Z556" s="33"/>
      <c r="AA556" s="34"/>
      <c r="AB556" s="30"/>
      <c r="AC556" s="30"/>
      <c r="AD556" s="32"/>
      <c r="AE556" s="32"/>
      <c r="AF556" s="2"/>
      <c r="AG556" s="2"/>
      <c r="AH556" s="2"/>
      <c r="AI556" s="2"/>
      <c r="AK556" s="73" t="str">
        <f>IF(ISNA(MATCH($N556,[1]data!$A:$A,0)),"",INDEX([1]data!S:S,MATCH($N556,[1]data!$A:$A,0)))</f>
        <v/>
      </c>
      <c r="AL556" s="73" t="str">
        <f>IF(ISNA(MATCH($N556,[1]data!$A:$A,0)),"",INDEX([1]data!V:V,MATCH($N556,[1]data!$A:$A,0)))</f>
        <v/>
      </c>
      <c r="AM556" s="38" t="str">
        <f>IF(ISNA(MATCH($N556,data!$A:$A,0)),"",INDEX(data!B:B,MATCH($N556,data!$A:$A,0)))</f>
        <v/>
      </c>
      <c r="AN556" s="38" t="str">
        <f>IF(ISNA(MATCH($N556,data!$A:$A,0)),"",INDEX(data!C:C,MATCH($N556,data!$A:$A,0)))</f>
        <v/>
      </c>
      <c r="AO556" s="38" t="str">
        <f>IF(ISNA(MATCH($N556,data!$A:$A,0)),"",INDEX(data!D:D,MATCH($N556,data!$A:$A,0)))</f>
        <v/>
      </c>
      <c r="AP556" s="38" t="str">
        <f>IF(ISNA(MATCH($N556,data!$A:$A,0)),"",INDEX(data!E:E,MATCH($N556,data!$A:$A,0)))</f>
        <v/>
      </c>
      <c r="AQ556" s="38" t="str">
        <f>IF(ISNA(MATCH($N556,data!$A:$A,0)),"",INDEX(data!F:F,MATCH($N556,data!$A:$A,0)))</f>
        <v/>
      </c>
      <c r="AR556" s="38" t="str">
        <f>IF(ISNA(MATCH($N556,data!$A:$A,0)),"",INDEX(data!G:G,MATCH($N556,data!$A:$A,0)))</f>
        <v/>
      </c>
      <c r="AS556" s="38" t="str">
        <f>IF(ISNA(MATCH($N556,data!$A:$A,0)),"",INDEX(data!H:H,MATCH($N556,data!$A:$A,0)))</f>
        <v/>
      </c>
      <c r="AT556" s="38" t="str">
        <f>IF(ISNA(MATCH($N556,data!$A:$A,0)),"",INDEX(data!I:I,MATCH($N556,data!$A:$A,0)))</f>
        <v/>
      </c>
      <c r="AU556" s="38" t="str">
        <f>IF(ISNA(MATCH($N556,[1]data!$A:$A,0)),"",INDEX([1]data!L:L,MATCH($N556,[1]data!$A:$A,0)))</f>
        <v/>
      </c>
      <c r="AV556" s="38" t="str">
        <f>IF(ISNA(MATCH($N556,[1]data!$A:$A,0)),"",INDEX([1]data!M:M,MATCH($N556,[1]data!$A:$A,0)))</f>
        <v/>
      </c>
      <c r="AW556" s="38" t="str">
        <f>IF(ISNA(MATCH($N556,data!$A:$A,0)),"",INDEX(data!J:J,MATCH($N556,data!$A:$A,0)))</f>
        <v/>
      </c>
      <c r="AX556" s="38" t="str">
        <f>IF(ISNA(MATCH($N556,data!$A:$A,0)),"",INDEX(data!K:K,MATCH($N556,data!$A:$A,0)))</f>
        <v/>
      </c>
      <c r="AY556" s="38" t="str">
        <f>IF(ISNA(MATCH($N556,data!$A:$A,0)),"",INDEX(data!O:O,MATCH($N556,data!$A:$A,0)))</f>
        <v/>
      </c>
      <c r="AZ556" s="38" t="str">
        <f>IF(ISNA(MATCH($N556,data!$A:$A,0)),"",INDEX(data!N:N,MATCH($N556,data!$A:$A,0)))</f>
        <v/>
      </c>
      <c r="BA556" s="38" t="str">
        <f>IF(ISNA(MATCH($N556,data!$A:$A,0)),"",INDEX(data!P:P,MATCH($N556,data!$A:$A,0)))</f>
        <v/>
      </c>
      <c r="BB556" s="38" t="str">
        <f>IF(ISNA(MATCH($N556,data!$A:$A,0)),"",INDEX(data!Q:Q,MATCH($N556,data!$A:$A,0)))</f>
        <v/>
      </c>
      <c r="BC556" s="38" t="str">
        <f>IF(ISNA(MATCH($N556,data!$A:$A,0)),"",INDEX(data!R:R,MATCH($N556,data!$A:$A,0)))</f>
        <v/>
      </c>
      <c r="BD556" s="38" t="str">
        <f>IF(ISNA(MATCH($N556,[1]data!$A:$A,0)),"",INDEX([1]data!U:U,MATCH($N556,[1]data!$A:$A,0)))</f>
        <v/>
      </c>
      <c r="BE556" s="61" t="e">
        <f>IF(COUNTIF([1]data!A:A,[1]!Table1[[#This Row],[UPC]])&lt;2,"","DUP")</f>
        <v>#VALUE!</v>
      </c>
      <c r="BF556" s="38" t="str">
        <f>IF(ISNA(MATCH($N556,data!$A:$A,0)),"",INDEX(data!W:W,MATCH($N556,data!$A:$A,0)))</f>
        <v/>
      </c>
    </row>
    <row r="557" spans="1:58">
      <c r="A557" s="35"/>
      <c r="B557" s="35"/>
      <c r="C557" s="35"/>
      <c r="D557" s="35"/>
      <c r="E557" s="67"/>
      <c r="F557" s="67"/>
      <c r="G557" s="36"/>
      <c r="H557" s="29"/>
      <c r="I557" s="78" t="str">
        <f t="shared" si="12"/>
        <v/>
      </c>
      <c r="J557" s="29"/>
      <c r="K557" s="29"/>
      <c r="L557" s="33"/>
      <c r="M557" s="33"/>
      <c r="N557" s="60"/>
      <c r="O557" s="71"/>
      <c r="P557" s="71"/>
      <c r="Q557" s="33"/>
      <c r="R557" s="31"/>
      <c r="S557" s="31"/>
      <c r="T557" s="59"/>
      <c r="U557" s="59"/>
      <c r="V557" s="59"/>
      <c r="W557" s="57">
        <f t="shared" si="13"/>
        <v>0</v>
      </c>
      <c r="X557" s="126" t="str">
        <f>IF(Table1[[#This Row],[Shipping Weight Pounds]]&gt;150,"See LTL Form","No")</f>
        <v>No</v>
      </c>
      <c r="Y557" s="28"/>
      <c r="Z557" s="33"/>
      <c r="AA557" s="34"/>
      <c r="AB557" s="30"/>
      <c r="AC557" s="30"/>
      <c r="AD557" s="32"/>
      <c r="AE557" s="32"/>
      <c r="AF557" s="2"/>
      <c r="AG557" s="2"/>
      <c r="AH557" s="2"/>
      <c r="AI557" s="2"/>
      <c r="AK557" s="73" t="str">
        <f>IF(ISNA(MATCH($N557,[1]data!$A:$A,0)),"",INDEX([1]data!S:S,MATCH($N557,[1]data!$A:$A,0)))</f>
        <v/>
      </c>
      <c r="AL557" s="73" t="str">
        <f>IF(ISNA(MATCH($N557,[1]data!$A:$A,0)),"",INDEX([1]data!V:V,MATCH($N557,[1]data!$A:$A,0)))</f>
        <v/>
      </c>
      <c r="AM557" s="38" t="str">
        <f>IF(ISNA(MATCH($N557,data!$A:$A,0)),"",INDEX(data!B:B,MATCH($N557,data!$A:$A,0)))</f>
        <v/>
      </c>
      <c r="AN557" s="38" t="str">
        <f>IF(ISNA(MATCH($N557,data!$A:$A,0)),"",INDEX(data!C:C,MATCH($N557,data!$A:$A,0)))</f>
        <v/>
      </c>
      <c r="AO557" s="38" t="str">
        <f>IF(ISNA(MATCH($N557,data!$A:$A,0)),"",INDEX(data!D:D,MATCH($N557,data!$A:$A,0)))</f>
        <v/>
      </c>
      <c r="AP557" s="38" t="str">
        <f>IF(ISNA(MATCH($N557,data!$A:$A,0)),"",INDEX(data!E:E,MATCH($N557,data!$A:$A,0)))</f>
        <v/>
      </c>
      <c r="AQ557" s="38" t="str">
        <f>IF(ISNA(MATCH($N557,data!$A:$A,0)),"",INDEX(data!F:F,MATCH($N557,data!$A:$A,0)))</f>
        <v/>
      </c>
      <c r="AR557" s="38" t="str">
        <f>IF(ISNA(MATCH($N557,data!$A:$A,0)),"",INDEX(data!G:G,MATCH($N557,data!$A:$A,0)))</f>
        <v/>
      </c>
      <c r="AS557" s="38" t="str">
        <f>IF(ISNA(MATCH($N557,data!$A:$A,0)),"",INDEX(data!H:H,MATCH($N557,data!$A:$A,0)))</f>
        <v/>
      </c>
      <c r="AT557" s="38" t="str">
        <f>IF(ISNA(MATCH($N557,data!$A:$A,0)),"",INDEX(data!I:I,MATCH($N557,data!$A:$A,0)))</f>
        <v/>
      </c>
      <c r="AU557" s="38" t="str">
        <f>IF(ISNA(MATCH($N557,[1]data!$A:$A,0)),"",INDEX([1]data!L:L,MATCH($N557,[1]data!$A:$A,0)))</f>
        <v/>
      </c>
      <c r="AV557" s="38" t="str">
        <f>IF(ISNA(MATCH($N557,[1]data!$A:$A,0)),"",INDEX([1]data!M:M,MATCH($N557,[1]data!$A:$A,0)))</f>
        <v/>
      </c>
      <c r="AW557" s="38" t="str">
        <f>IF(ISNA(MATCH($N557,data!$A:$A,0)),"",INDEX(data!J:J,MATCH($N557,data!$A:$A,0)))</f>
        <v/>
      </c>
      <c r="AX557" s="38" t="str">
        <f>IF(ISNA(MATCH($N557,data!$A:$A,0)),"",INDEX(data!K:K,MATCH($N557,data!$A:$A,0)))</f>
        <v/>
      </c>
      <c r="AY557" s="38" t="str">
        <f>IF(ISNA(MATCH($N557,data!$A:$A,0)),"",INDEX(data!O:O,MATCH($N557,data!$A:$A,0)))</f>
        <v/>
      </c>
      <c r="AZ557" s="38" t="str">
        <f>IF(ISNA(MATCH($N557,data!$A:$A,0)),"",INDEX(data!N:N,MATCH($N557,data!$A:$A,0)))</f>
        <v/>
      </c>
      <c r="BA557" s="38" t="str">
        <f>IF(ISNA(MATCH($N557,data!$A:$A,0)),"",INDEX(data!P:P,MATCH($N557,data!$A:$A,0)))</f>
        <v/>
      </c>
      <c r="BB557" s="38" t="str">
        <f>IF(ISNA(MATCH($N557,data!$A:$A,0)),"",INDEX(data!Q:Q,MATCH($N557,data!$A:$A,0)))</f>
        <v/>
      </c>
      <c r="BC557" s="38" t="str">
        <f>IF(ISNA(MATCH($N557,data!$A:$A,0)),"",INDEX(data!R:R,MATCH($N557,data!$A:$A,0)))</f>
        <v/>
      </c>
      <c r="BD557" s="38" t="str">
        <f>IF(ISNA(MATCH($N557,[1]data!$A:$A,0)),"",INDEX([1]data!U:U,MATCH($N557,[1]data!$A:$A,0)))</f>
        <v/>
      </c>
      <c r="BE557" s="61" t="e">
        <f>IF(COUNTIF([1]data!A:A,[1]!Table1[[#This Row],[UPC]])&lt;2,"","DUP")</f>
        <v>#VALUE!</v>
      </c>
      <c r="BF557" s="38" t="str">
        <f>IF(ISNA(MATCH($N557,data!$A:$A,0)),"",INDEX(data!W:W,MATCH($N557,data!$A:$A,0)))</f>
        <v/>
      </c>
    </row>
    <row r="558" spans="1:58">
      <c r="A558" s="35"/>
      <c r="B558" s="35"/>
      <c r="C558" s="35"/>
      <c r="D558" s="35"/>
      <c r="E558" s="67"/>
      <c r="F558" s="67"/>
      <c r="G558" s="36"/>
      <c r="H558" s="29"/>
      <c r="I558" s="78" t="str">
        <f t="shared" si="12"/>
        <v/>
      </c>
      <c r="J558" s="29"/>
      <c r="K558" s="29"/>
      <c r="L558" s="33"/>
      <c r="M558" s="33"/>
      <c r="N558" s="60"/>
      <c r="O558" s="71"/>
      <c r="P558" s="71"/>
      <c r="Q558" s="33"/>
      <c r="R558" s="31"/>
      <c r="S558" s="31"/>
      <c r="T558" s="59"/>
      <c r="U558" s="59"/>
      <c r="V558" s="59"/>
      <c r="W558" s="57">
        <f t="shared" si="13"/>
        <v>0</v>
      </c>
      <c r="X558" s="126" t="str">
        <f>IF(Table1[[#This Row],[Shipping Weight Pounds]]&gt;150,"See LTL Form","No")</f>
        <v>No</v>
      </c>
      <c r="Y558" s="28"/>
      <c r="Z558" s="33"/>
      <c r="AA558" s="34"/>
      <c r="AB558" s="30"/>
      <c r="AC558" s="30"/>
      <c r="AD558" s="32"/>
      <c r="AE558" s="32"/>
      <c r="AF558" s="2"/>
      <c r="AG558" s="2"/>
      <c r="AH558" s="2"/>
      <c r="AI558" s="2"/>
      <c r="AK558" s="73" t="str">
        <f>IF(ISNA(MATCH($N558,[1]data!$A:$A,0)),"",INDEX([1]data!S:S,MATCH($N558,[1]data!$A:$A,0)))</f>
        <v/>
      </c>
      <c r="AL558" s="73" t="str">
        <f>IF(ISNA(MATCH($N558,[1]data!$A:$A,0)),"",INDEX([1]data!V:V,MATCH($N558,[1]data!$A:$A,0)))</f>
        <v/>
      </c>
      <c r="AM558" s="38" t="str">
        <f>IF(ISNA(MATCH($N558,data!$A:$A,0)),"",INDEX(data!B:B,MATCH($N558,data!$A:$A,0)))</f>
        <v/>
      </c>
      <c r="AN558" s="38" t="str">
        <f>IF(ISNA(MATCH($N558,data!$A:$A,0)),"",INDEX(data!C:C,MATCH($N558,data!$A:$A,0)))</f>
        <v/>
      </c>
      <c r="AO558" s="38" t="str">
        <f>IF(ISNA(MATCH($N558,data!$A:$A,0)),"",INDEX(data!D:D,MATCH($N558,data!$A:$A,0)))</f>
        <v/>
      </c>
      <c r="AP558" s="38" t="str">
        <f>IF(ISNA(MATCH($N558,data!$A:$A,0)),"",INDEX(data!E:E,MATCH($N558,data!$A:$A,0)))</f>
        <v/>
      </c>
      <c r="AQ558" s="38" t="str">
        <f>IF(ISNA(MATCH($N558,data!$A:$A,0)),"",INDEX(data!F:F,MATCH($N558,data!$A:$A,0)))</f>
        <v/>
      </c>
      <c r="AR558" s="38" t="str">
        <f>IF(ISNA(MATCH($N558,data!$A:$A,0)),"",INDEX(data!G:G,MATCH($N558,data!$A:$A,0)))</f>
        <v/>
      </c>
      <c r="AS558" s="38" t="str">
        <f>IF(ISNA(MATCH($N558,data!$A:$A,0)),"",INDEX(data!H:H,MATCH($N558,data!$A:$A,0)))</f>
        <v/>
      </c>
      <c r="AT558" s="38" t="str">
        <f>IF(ISNA(MATCH($N558,data!$A:$A,0)),"",INDEX(data!I:I,MATCH($N558,data!$A:$A,0)))</f>
        <v/>
      </c>
      <c r="AU558" s="38" t="str">
        <f>IF(ISNA(MATCH($N558,[1]data!$A:$A,0)),"",INDEX([1]data!L:L,MATCH($N558,[1]data!$A:$A,0)))</f>
        <v/>
      </c>
      <c r="AV558" s="38" t="str">
        <f>IF(ISNA(MATCH($N558,[1]data!$A:$A,0)),"",INDEX([1]data!M:M,MATCH($N558,[1]data!$A:$A,0)))</f>
        <v/>
      </c>
      <c r="AW558" s="38" t="str">
        <f>IF(ISNA(MATCH($N558,data!$A:$A,0)),"",INDEX(data!J:J,MATCH($N558,data!$A:$A,0)))</f>
        <v/>
      </c>
      <c r="AX558" s="38" t="str">
        <f>IF(ISNA(MATCH($N558,data!$A:$A,0)),"",INDEX(data!K:K,MATCH($N558,data!$A:$A,0)))</f>
        <v/>
      </c>
      <c r="AY558" s="38" t="str">
        <f>IF(ISNA(MATCH($N558,data!$A:$A,0)),"",INDEX(data!O:O,MATCH($N558,data!$A:$A,0)))</f>
        <v/>
      </c>
      <c r="AZ558" s="38" t="str">
        <f>IF(ISNA(MATCH($N558,data!$A:$A,0)),"",INDEX(data!N:N,MATCH($N558,data!$A:$A,0)))</f>
        <v/>
      </c>
      <c r="BA558" s="38" t="str">
        <f>IF(ISNA(MATCH($N558,data!$A:$A,0)),"",INDEX(data!P:P,MATCH($N558,data!$A:$A,0)))</f>
        <v/>
      </c>
      <c r="BB558" s="38" t="str">
        <f>IF(ISNA(MATCH($N558,data!$A:$A,0)),"",INDEX(data!Q:Q,MATCH($N558,data!$A:$A,0)))</f>
        <v/>
      </c>
      <c r="BC558" s="38" t="str">
        <f>IF(ISNA(MATCH($N558,data!$A:$A,0)),"",INDEX(data!R:R,MATCH($N558,data!$A:$A,0)))</f>
        <v/>
      </c>
      <c r="BD558" s="38" t="str">
        <f>IF(ISNA(MATCH($N558,[1]data!$A:$A,0)),"",INDEX([1]data!U:U,MATCH($N558,[1]data!$A:$A,0)))</f>
        <v/>
      </c>
      <c r="BE558" s="61" t="e">
        <f>IF(COUNTIF([1]data!A:A,[1]!Table1[[#This Row],[UPC]])&lt;2,"","DUP")</f>
        <v>#VALUE!</v>
      </c>
      <c r="BF558" s="38" t="str">
        <f>IF(ISNA(MATCH($N558,data!$A:$A,0)),"",INDEX(data!W:W,MATCH($N558,data!$A:$A,0)))</f>
        <v/>
      </c>
    </row>
    <row r="559" spans="1:58">
      <c r="A559" s="35"/>
      <c r="B559" s="35"/>
      <c r="C559" s="35"/>
      <c r="D559" s="35"/>
      <c r="E559" s="67"/>
      <c r="F559" s="67"/>
      <c r="G559" s="36"/>
      <c r="H559" s="29"/>
      <c r="I559" s="78" t="str">
        <f t="shared" si="12"/>
        <v/>
      </c>
      <c r="J559" s="29"/>
      <c r="K559" s="29"/>
      <c r="L559" s="33"/>
      <c r="M559" s="33"/>
      <c r="N559" s="60"/>
      <c r="O559" s="71"/>
      <c r="P559" s="71"/>
      <c r="Q559" s="33"/>
      <c r="R559" s="31"/>
      <c r="S559" s="31"/>
      <c r="T559" s="59"/>
      <c r="U559" s="59"/>
      <c r="V559" s="59"/>
      <c r="W559" s="57">
        <f t="shared" si="13"/>
        <v>0</v>
      </c>
      <c r="X559" s="126" t="str">
        <f>IF(Table1[[#This Row],[Shipping Weight Pounds]]&gt;150,"See LTL Form","No")</f>
        <v>No</v>
      </c>
      <c r="Y559" s="28"/>
      <c r="Z559" s="33"/>
      <c r="AA559" s="34"/>
      <c r="AB559" s="30"/>
      <c r="AC559" s="30"/>
      <c r="AD559" s="32"/>
      <c r="AE559" s="32"/>
      <c r="AF559" s="2"/>
      <c r="AG559" s="2"/>
      <c r="AH559" s="2"/>
      <c r="AI559" s="2"/>
      <c r="AK559" s="73" t="str">
        <f>IF(ISNA(MATCH($N559,[1]data!$A:$A,0)),"",INDEX([1]data!S:S,MATCH($N559,[1]data!$A:$A,0)))</f>
        <v/>
      </c>
      <c r="AL559" s="73" t="str">
        <f>IF(ISNA(MATCH($N559,[1]data!$A:$A,0)),"",INDEX([1]data!V:V,MATCH($N559,[1]data!$A:$A,0)))</f>
        <v/>
      </c>
      <c r="AM559" s="38" t="str">
        <f>IF(ISNA(MATCH($N559,data!$A:$A,0)),"",INDEX(data!B:B,MATCH($N559,data!$A:$A,0)))</f>
        <v/>
      </c>
      <c r="AN559" s="38" t="str">
        <f>IF(ISNA(MATCH($N559,data!$A:$A,0)),"",INDEX(data!C:C,MATCH($N559,data!$A:$A,0)))</f>
        <v/>
      </c>
      <c r="AO559" s="38" t="str">
        <f>IF(ISNA(MATCH($N559,data!$A:$A,0)),"",INDEX(data!D:D,MATCH($N559,data!$A:$A,0)))</f>
        <v/>
      </c>
      <c r="AP559" s="38" t="str">
        <f>IF(ISNA(MATCH($N559,data!$A:$A,0)),"",INDEX(data!E:E,MATCH($N559,data!$A:$A,0)))</f>
        <v/>
      </c>
      <c r="AQ559" s="38" t="str">
        <f>IF(ISNA(MATCH($N559,data!$A:$A,0)),"",INDEX(data!F:F,MATCH($N559,data!$A:$A,0)))</f>
        <v/>
      </c>
      <c r="AR559" s="38" t="str">
        <f>IF(ISNA(MATCH($N559,data!$A:$A,0)),"",INDEX(data!G:G,MATCH($N559,data!$A:$A,0)))</f>
        <v/>
      </c>
      <c r="AS559" s="38" t="str">
        <f>IF(ISNA(MATCH($N559,data!$A:$A,0)),"",INDEX(data!H:H,MATCH($N559,data!$A:$A,0)))</f>
        <v/>
      </c>
      <c r="AT559" s="38" t="str">
        <f>IF(ISNA(MATCH($N559,data!$A:$A,0)),"",INDEX(data!I:I,MATCH($N559,data!$A:$A,0)))</f>
        <v/>
      </c>
      <c r="AU559" s="38" t="str">
        <f>IF(ISNA(MATCH($N559,[1]data!$A:$A,0)),"",INDEX([1]data!L:L,MATCH($N559,[1]data!$A:$A,0)))</f>
        <v/>
      </c>
      <c r="AV559" s="38" t="str">
        <f>IF(ISNA(MATCH($N559,[1]data!$A:$A,0)),"",INDEX([1]data!M:M,MATCH($N559,[1]data!$A:$A,0)))</f>
        <v/>
      </c>
      <c r="AW559" s="38" t="str">
        <f>IF(ISNA(MATCH($N559,data!$A:$A,0)),"",INDEX(data!J:J,MATCH($N559,data!$A:$A,0)))</f>
        <v/>
      </c>
      <c r="AX559" s="38" t="str">
        <f>IF(ISNA(MATCH($N559,data!$A:$A,0)),"",INDEX(data!K:K,MATCH($N559,data!$A:$A,0)))</f>
        <v/>
      </c>
      <c r="AY559" s="38" t="str">
        <f>IF(ISNA(MATCH($N559,data!$A:$A,0)),"",INDEX(data!O:O,MATCH($N559,data!$A:$A,0)))</f>
        <v/>
      </c>
      <c r="AZ559" s="38" t="str">
        <f>IF(ISNA(MATCH($N559,data!$A:$A,0)),"",INDEX(data!N:N,MATCH($N559,data!$A:$A,0)))</f>
        <v/>
      </c>
      <c r="BA559" s="38" t="str">
        <f>IF(ISNA(MATCH($N559,data!$A:$A,0)),"",INDEX(data!P:P,MATCH($N559,data!$A:$A,0)))</f>
        <v/>
      </c>
      <c r="BB559" s="38" t="str">
        <f>IF(ISNA(MATCH($N559,data!$A:$A,0)),"",INDEX(data!Q:Q,MATCH($N559,data!$A:$A,0)))</f>
        <v/>
      </c>
      <c r="BC559" s="38" t="str">
        <f>IF(ISNA(MATCH($N559,data!$A:$A,0)),"",INDEX(data!R:R,MATCH($N559,data!$A:$A,0)))</f>
        <v/>
      </c>
      <c r="BD559" s="38" t="str">
        <f>IF(ISNA(MATCH($N559,[1]data!$A:$A,0)),"",INDEX([1]data!U:U,MATCH($N559,[1]data!$A:$A,0)))</f>
        <v/>
      </c>
      <c r="BE559" s="61" t="e">
        <f>IF(COUNTIF([1]data!A:A,[1]!Table1[[#This Row],[UPC]])&lt;2,"","DUP")</f>
        <v>#VALUE!</v>
      </c>
      <c r="BF559" s="38" t="str">
        <f>IF(ISNA(MATCH($N559,data!$A:$A,0)),"",INDEX(data!W:W,MATCH($N559,data!$A:$A,0)))</f>
        <v/>
      </c>
    </row>
    <row r="560" spans="1:58">
      <c r="A560" s="35"/>
      <c r="B560" s="35"/>
      <c r="C560" s="35"/>
      <c r="D560" s="35"/>
      <c r="E560" s="67"/>
      <c r="F560" s="67"/>
      <c r="G560" s="36"/>
      <c r="H560" s="29"/>
      <c r="I560" s="78" t="str">
        <f t="shared" si="12"/>
        <v/>
      </c>
      <c r="J560" s="29"/>
      <c r="K560" s="29"/>
      <c r="L560" s="33"/>
      <c r="M560" s="33"/>
      <c r="N560" s="60"/>
      <c r="O560" s="71"/>
      <c r="P560" s="71"/>
      <c r="Q560" s="33"/>
      <c r="R560" s="31"/>
      <c r="S560" s="31"/>
      <c r="T560" s="59"/>
      <c r="U560" s="59"/>
      <c r="V560" s="59"/>
      <c r="W560" s="57">
        <f t="shared" si="13"/>
        <v>0</v>
      </c>
      <c r="X560" s="126" t="str">
        <f>IF(Table1[[#This Row],[Shipping Weight Pounds]]&gt;150,"See LTL Form","No")</f>
        <v>No</v>
      </c>
      <c r="Y560" s="28"/>
      <c r="Z560" s="33"/>
      <c r="AA560" s="34"/>
      <c r="AB560" s="30"/>
      <c r="AC560" s="30"/>
      <c r="AD560" s="32"/>
      <c r="AE560" s="32"/>
      <c r="AF560" s="2"/>
      <c r="AG560" s="2"/>
      <c r="AH560" s="2"/>
      <c r="AI560" s="2"/>
      <c r="AK560" s="73" t="str">
        <f>IF(ISNA(MATCH($N560,[1]data!$A:$A,0)),"",INDEX([1]data!S:S,MATCH($N560,[1]data!$A:$A,0)))</f>
        <v/>
      </c>
      <c r="AL560" s="73" t="str">
        <f>IF(ISNA(MATCH($N560,[1]data!$A:$A,0)),"",INDEX([1]data!V:V,MATCH($N560,[1]data!$A:$A,0)))</f>
        <v/>
      </c>
      <c r="AM560" s="38" t="str">
        <f>IF(ISNA(MATCH($N560,data!$A:$A,0)),"",INDEX(data!B:B,MATCH($N560,data!$A:$A,0)))</f>
        <v/>
      </c>
      <c r="AN560" s="38" t="str">
        <f>IF(ISNA(MATCH($N560,data!$A:$A,0)),"",INDEX(data!C:C,MATCH($N560,data!$A:$A,0)))</f>
        <v/>
      </c>
      <c r="AO560" s="38" t="str">
        <f>IF(ISNA(MATCH($N560,data!$A:$A,0)),"",INDEX(data!D:D,MATCH($N560,data!$A:$A,0)))</f>
        <v/>
      </c>
      <c r="AP560" s="38" t="str">
        <f>IF(ISNA(MATCH($N560,data!$A:$A,0)),"",INDEX(data!E:E,MATCH($N560,data!$A:$A,0)))</f>
        <v/>
      </c>
      <c r="AQ560" s="38" t="str">
        <f>IF(ISNA(MATCH($N560,data!$A:$A,0)),"",INDEX(data!F:F,MATCH($N560,data!$A:$A,0)))</f>
        <v/>
      </c>
      <c r="AR560" s="38" t="str">
        <f>IF(ISNA(MATCH($N560,data!$A:$A,0)),"",INDEX(data!G:G,MATCH($N560,data!$A:$A,0)))</f>
        <v/>
      </c>
      <c r="AS560" s="38" t="str">
        <f>IF(ISNA(MATCH($N560,data!$A:$A,0)),"",INDEX(data!H:H,MATCH($N560,data!$A:$A,0)))</f>
        <v/>
      </c>
      <c r="AT560" s="38" t="str">
        <f>IF(ISNA(MATCH($N560,data!$A:$A,0)),"",INDEX(data!I:I,MATCH($N560,data!$A:$A,0)))</f>
        <v/>
      </c>
      <c r="AU560" s="38" t="str">
        <f>IF(ISNA(MATCH($N560,[1]data!$A:$A,0)),"",INDEX([1]data!L:L,MATCH($N560,[1]data!$A:$A,0)))</f>
        <v/>
      </c>
      <c r="AV560" s="38" t="str">
        <f>IF(ISNA(MATCH($N560,[1]data!$A:$A,0)),"",INDEX([1]data!M:M,MATCH($N560,[1]data!$A:$A,0)))</f>
        <v/>
      </c>
      <c r="AW560" s="38" t="str">
        <f>IF(ISNA(MATCH($N560,data!$A:$A,0)),"",INDEX(data!J:J,MATCH($N560,data!$A:$A,0)))</f>
        <v/>
      </c>
      <c r="AX560" s="38" t="str">
        <f>IF(ISNA(MATCH($N560,data!$A:$A,0)),"",INDEX(data!K:K,MATCH($N560,data!$A:$A,0)))</f>
        <v/>
      </c>
      <c r="AY560" s="38" t="str">
        <f>IF(ISNA(MATCH($N560,data!$A:$A,0)),"",INDEX(data!O:O,MATCH($N560,data!$A:$A,0)))</f>
        <v/>
      </c>
      <c r="AZ560" s="38" t="str">
        <f>IF(ISNA(MATCH($N560,data!$A:$A,0)),"",INDEX(data!N:N,MATCH($N560,data!$A:$A,0)))</f>
        <v/>
      </c>
      <c r="BA560" s="38" t="str">
        <f>IF(ISNA(MATCH($N560,data!$A:$A,0)),"",INDEX(data!P:P,MATCH($N560,data!$A:$A,0)))</f>
        <v/>
      </c>
      <c r="BB560" s="38" t="str">
        <f>IF(ISNA(MATCH($N560,data!$A:$A,0)),"",INDEX(data!Q:Q,MATCH($N560,data!$A:$A,0)))</f>
        <v/>
      </c>
      <c r="BC560" s="38" t="str">
        <f>IF(ISNA(MATCH($N560,data!$A:$A,0)),"",INDEX(data!R:R,MATCH($N560,data!$A:$A,0)))</f>
        <v/>
      </c>
      <c r="BD560" s="38" t="str">
        <f>IF(ISNA(MATCH($N560,[1]data!$A:$A,0)),"",INDEX([1]data!U:U,MATCH($N560,[1]data!$A:$A,0)))</f>
        <v/>
      </c>
      <c r="BE560" s="61" t="e">
        <f>IF(COUNTIF([1]data!A:A,[1]!Table1[[#This Row],[UPC]])&lt;2,"","DUP")</f>
        <v>#VALUE!</v>
      </c>
      <c r="BF560" s="38" t="str">
        <f>IF(ISNA(MATCH($N560,data!$A:$A,0)),"",INDEX(data!W:W,MATCH($N560,data!$A:$A,0)))</f>
        <v/>
      </c>
    </row>
    <row r="561" spans="1:58">
      <c r="A561" s="35"/>
      <c r="B561" s="35"/>
      <c r="C561" s="35"/>
      <c r="D561" s="35"/>
      <c r="E561" s="67"/>
      <c r="F561" s="67"/>
      <c r="G561" s="36"/>
      <c r="H561" s="29"/>
      <c r="I561" s="78" t="str">
        <f t="shared" si="12"/>
        <v/>
      </c>
      <c r="J561" s="29"/>
      <c r="K561" s="29"/>
      <c r="L561" s="33"/>
      <c r="M561" s="33"/>
      <c r="N561" s="60"/>
      <c r="O561" s="71"/>
      <c r="P561" s="71"/>
      <c r="Q561" s="33"/>
      <c r="R561" s="31"/>
      <c r="S561" s="31"/>
      <c r="T561" s="59"/>
      <c r="U561" s="59"/>
      <c r="V561" s="59"/>
      <c r="W561" s="57">
        <f t="shared" si="13"/>
        <v>0</v>
      </c>
      <c r="X561" s="126" t="str">
        <f>IF(Table1[[#This Row],[Shipping Weight Pounds]]&gt;150,"See LTL Form","No")</f>
        <v>No</v>
      </c>
      <c r="Y561" s="28"/>
      <c r="Z561" s="33"/>
      <c r="AA561" s="34"/>
      <c r="AB561" s="30"/>
      <c r="AC561" s="30"/>
      <c r="AD561" s="32"/>
      <c r="AE561" s="32"/>
      <c r="AF561" s="2"/>
      <c r="AG561" s="2"/>
      <c r="AH561" s="2"/>
      <c r="AI561" s="2"/>
      <c r="AK561" s="73" t="str">
        <f>IF(ISNA(MATCH($N561,[1]data!$A:$A,0)),"",INDEX([1]data!S:S,MATCH($N561,[1]data!$A:$A,0)))</f>
        <v/>
      </c>
      <c r="AL561" s="73" t="str">
        <f>IF(ISNA(MATCH($N561,[1]data!$A:$A,0)),"",INDEX([1]data!V:V,MATCH($N561,[1]data!$A:$A,0)))</f>
        <v/>
      </c>
      <c r="AM561" s="38" t="str">
        <f>IF(ISNA(MATCH($N561,data!$A:$A,0)),"",INDEX(data!B:B,MATCH($N561,data!$A:$A,0)))</f>
        <v/>
      </c>
      <c r="AN561" s="38" t="str">
        <f>IF(ISNA(MATCH($N561,data!$A:$A,0)),"",INDEX(data!C:C,MATCH($N561,data!$A:$A,0)))</f>
        <v/>
      </c>
      <c r="AO561" s="38" t="str">
        <f>IF(ISNA(MATCH($N561,data!$A:$A,0)),"",INDEX(data!D:D,MATCH($N561,data!$A:$A,0)))</f>
        <v/>
      </c>
      <c r="AP561" s="38" t="str">
        <f>IF(ISNA(MATCH($N561,data!$A:$A,0)),"",INDEX(data!E:E,MATCH($N561,data!$A:$A,0)))</f>
        <v/>
      </c>
      <c r="AQ561" s="38" t="str">
        <f>IF(ISNA(MATCH($N561,data!$A:$A,0)),"",INDEX(data!F:F,MATCH($N561,data!$A:$A,0)))</f>
        <v/>
      </c>
      <c r="AR561" s="38" t="str">
        <f>IF(ISNA(MATCH($N561,data!$A:$A,0)),"",INDEX(data!G:G,MATCH($N561,data!$A:$A,0)))</f>
        <v/>
      </c>
      <c r="AS561" s="38" t="str">
        <f>IF(ISNA(MATCH($N561,data!$A:$A,0)),"",INDEX(data!H:H,MATCH($N561,data!$A:$A,0)))</f>
        <v/>
      </c>
      <c r="AT561" s="38" t="str">
        <f>IF(ISNA(MATCH($N561,data!$A:$A,0)),"",INDEX(data!I:I,MATCH($N561,data!$A:$A,0)))</f>
        <v/>
      </c>
      <c r="AU561" s="38" t="str">
        <f>IF(ISNA(MATCH($N561,[1]data!$A:$A,0)),"",INDEX([1]data!L:L,MATCH($N561,[1]data!$A:$A,0)))</f>
        <v/>
      </c>
      <c r="AV561" s="38" t="str">
        <f>IF(ISNA(MATCH($N561,[1]data!$A:$A,0)),"",INDEX([1]data!M:M,MATCH($N561,[1]data!$A:$A,0)))</f>
        <v/>
      </c>
      <c r="AW561" s="38" t="str">
        <f>IF(ISNA(MATCH($N561,data!$A:$A,0)),"",INDEX(data!J:J,MATCH($N561,data!$A:$A,0)))</f>
        <v/>
      </c>
      <c r="AX561" s="38" t="str">
        <f>IF(ISNA(MATCH($N561,data!$A:$A,0)),"",INDEX(data!K:K,MATCH($N561,data!$A:$A,0)))</f>
        <v/>
      </c>
      <c r="AY561" s="38" t="str">
        <f>IF(ISNA(MATCH($N561,data!$A:$A,0)),"",INDEX(data!O:O,MATCH($N561,data!$A:$A,0)))</f>
        <v/>
      </c>
      <c r="AZ561" s="38" t="str">
        <f>IF(ISNA(MATCH($N561,data!$A:$A,0)),"",INDEX(data!N:N,MATCH($N561,data!$A:$A,0)))</f>
        <v/>
      </c>
      <c r="BA561" s="38" t="str">
        <f>IF(ISNA(MATCH($N561,data!$A:$A,0)),"",INDEX(data!P:P,MATCH($N561,data!$A:$A,0)))</f>
        <v/>
      </c>
      <c r="BB561" s="38" t="str">
        <f>IF(ISNA(MATCH($N561,data!$A:$A,0)),"",INDEX(data!Q:Q,MATCH($N561,data!$A:$A,0)))</f>
        <v/>
      </c>
      <c r="BC561" s="38" t="str">
        <f>IF(ISNA(MATCH($N561,data!$A:$A,0)),"",INDEX(data!R:R,MATCH($N561,data!$A:$A,0)))</f>
        <v/>
      </c>
      <c r="BD561" s="38" t="str">
        <f>IF(ISNA(MATCH($N561,[1]data!$A:$A,0)),"",INDEX([1]data!U:U,MATCH($N561,[1]data!$A:$A,0)))</f>
        <v/>
      </c>
      <c r="BE561" s="61" t="e">
        <f>IF(COUNTIF([1]data!A:A,[1]!Table1[[#This Row],[UPC]])&lt;2,"","DUP")</f>
        <v>#VALUE!</v>
      </c>
      <c r="BF561" s="38" t="str">
        <f>IF(ISNA(MATCH($N561,data!$A:$A,0)),"",INDEX(data!W:W,MATCH($N561,data!$A:$A,0)))</f>
        <v/>
      </c>
    </row>
    <row r="562" spans="1:58">
      <c r="A562" s="35"/>
      <c r="B562" s="35"/>
      <c r="C562" s="35"/>
      <c r="D562" s="35"/>
      <c r="E562" s="67"/>
      <c r="F562" s="67"/>
      <c r="G562" s="36"/>
      <c r="H562" s="29"/>
      <c r="I562" s="78" t="str">
        <f t="shared" si="12"/>
        <v/>
      </c>
      <c r="J562" s="29"/>
      <c r="K562" s="29"/>
      <c r="L562" s="33"/>
      <c r="M562" s="33"/>
      <c r="N562" s="60"/>
      <c r="O562" s="71"/>
      <c r="P562" s="71"/>
      <c r="Q562" s="33"/>
      <c r="R562" s="31"/>
      <c r="S562" s="31"/>
      <c r="T562" s="59"/>
      <c r="U562" s="59"/>
      <c r="V562" s="59"/>
      <c r="W562" s="57">
        <f t="shared" si="13"/>
        <v>0</v>
      </c>
      <c r="X562" s="126" t="str">
        <f>IF(Table1[[#This Row],[Shipping Weight Pounds]]&gt;150,"See LTL Form","No")</f>
        <v>No</v>
      </c>
      <c r="Y562" s="28"/>
      <c r="Z562" s="33"/>
      <c r="AA562" s="34"/>
      <c r="AB562" s="30"/>
      <c r="AC562" s="30"/>
      <c r="AD562" s="32"/>
      <c r="AE562" s="32"/>
      <c r="AF562" s="2"/>
      <c r="AG562" s="2"/>
      <c r="AH562" s="2"/>
      <c r="AI562" s="2"/>
      <c r="AK562" s="73" t="str">
        <f>IF(ISNA(MATCH($N562,[1]data!$A:$A,0)),"",INDEX([1]data!S:S,MATCH($N562,[1]data!$A:$A,0)))</f>
        <v/>
      </c>
      <c r="AL562" s="73" t="str">
        <f>IF(ISNA(MATCH($N562,[1]data!$A:$A,0)),"",INDEX([1]data!V:V,MATCH($N562,[1]data!$A:$A,0)))</f>
        <v/>
      </c>
      <c r="AM562" s="38" t="str">
        <f>IF(ISNA(MATCH($N562,data!$A:$A,0)),"",INDEX(data!B:B,MATCH($N562,data!$A:$A,0)))</f>
        <v/>
      </c>
      <c r="AN562" s="38" t="str">
        <f>IF(ISNA(MATCH($N562,data!$A:$A,0)),"",INDEX(data!C:C,MATCH($N562,data!$A:$A,0)))</f>
        <v/>
      </c>
      <c r="AO562" s="38" t="str">
        <f>IF(ISNA(MATCH($N562,data!$A:$A,0)),"",INDEX(data!D:D,MATCH($N562,data!$A:$A,0)))</f>
        <v/>
      </c>
      <c r="AP562" s="38" t="str">
        <f>IF(ISNA(MATCH($N562,data!$A:$A,0)),"",INDEX(data!E:E,MATCH($N562,data!$A:$A,0)))</f>
        <v/>
      </c>
      <c r="AQ562" s="38" t="str">
        <f>IF(ISNA(MATCH($N562,data!$A:$A,0)),"",INDEX(data!F:F,MATCH($N562,data!$A:$A,0)))</f>
        <v/>
      </c>
      <c r="AR562" s="38" t="str">
        <f>IF(ISNA(MATCH($N562,data!$A:$A,0)),"",INDEX(data!G:G,MATCH($N562,data!$A:$A,0)))</f>
        <v/>
      </c>
      <c r="AS562" s="38" t="str">
        <f>IF(ISNA(MATCH($N562,data!$A:$A,0)),"",INDEX(data!H:H,MATCH($N562,data!$A:$A,0)))</f>
        <v/>
      </c>
      <c r="AT562" s="38" t="str">
        <f>IF(ISNA(MATCH($N562,data!$A:$A,0)),"",INDEX(data!I:I,MATCH($N562,data!$A:$A,0)))</f>
        <v/>
      </c>
      <c r="AU562" s="38" t="str">
        <f>IF(ISNA(MATCH($N562,[1]data!$A:$A,0)),"",INDEX([1]data!L:L,MATCH($N562,[1]data!$A:$A,0)))</f>
        <v/>
      </c>
      <c r="AV562" s="38" t="str">
        <f>IF(ISNA(MATCH($N562,[1]data!$A:$A,0)),"",INDEX([1]data!M:M,MATCH($N562,[1]data!$A:$A,0)))</f>
        <v/>
      </c>
      <c r="AW562" s="38" t="str">
        <f>IF(ISNA(MATCH($N562,data!$A:$A,0)),"",INDEX(data!J:J,MATCH($N562,data!$A:$A,0)))</f>
        <v/>
      </c>
      <c r="AX562" s="38" t="str">
        <f>IF(ISNA(MATCH($N562,data!$A:$A,0)),"",INDEX(data!K:K,MATCH($N562,data!$A:$A,0)))</f>
        <v/>
      </c>
      <c r="AY562" s="38" t="str">
        <f>IF(ISNA(MATCH($N562,data!$A:$A,0)),"",INDEX(data!O:O,MATCH($N562,data!$A:$A,0)))</f>
        <v/>
      </c>
      <c r="AZ562" s="38" t="str">
        <f>IF(ISNA(MATCH($N562,data!$A:$A,0)),"",INDEX(data!N:N,MATCH($N562,data!$A:$A,0)))</f>
        <v/>
      </c>
      <c r="BA562" s="38" t="str">
        <f>IF(ISNA(MATCH($N562,data!$A:$A,0)),"",INDEX(data!P:P,MATCH($N562,data!$A:$A,0)))</f>
        <v/>
      </c>
      <c r="BB562" s="38" t="str">
        <f>IF(ISNA(MATCH($N562,data!$A:$A,0)),"",INDEX(data!Q:Q,MATCH($N562,data!$A:$A,0)))</f>
        <v/>
      </c>
      <c r="BC562" s="38" t="str">
        <f>IF(ISNA(MATCH($N562,data!$A:$A,0)),"",INDEX(data!R:R,MATCH($N562,data!$A:$A,0)))</f>
        <v/>
      </c>
      <c r="BD562" s="38" t="str">
        <f>IF(ISNA(MATCH($N562,[1]data!$A:$A,0)),"",INDEX([1]data!U:U,MATCH($N562,[1]data!$A:$A,0)))</f>
        <v/>
      </c>
      <c r="BE562" s="61" t="e">
        <f>IF(COUNTIF([1]data!A:A,[1]!Table1[[#This Row],[UPC]])&lt;2,"","DUP")</f>
        <v>#VALUE!</v>
      </c>
      <c r="BF562" s="38" t="str">
        <f>IF(ISNA(MATCH($N562,data!$A:$A,0)),"",INDEX(data!W:W,MATCH($N562,data!$A:$A,0)))</f>
        <v/>
      </c>
    </row>
    <row r="563" spans="1:58">
      <c r="A563" s="35"/>
      <c r="B563" s="35"/>
      <c r="C563" s="35"/>
      <c r="D563" s="35"/>
      <c r="E563" s="67"/>
      <c r="F563" s="67"/>
      <c r="G563" s="36"/>
      <c r="H563" s="29"/>
      <c r="I563" s="78" t="str">
        <f t="shared" si="12"/>
        <v/>
      </c>
      <c r="J563" s="29"/>
      <c r="K563" s="29"/>
      <c r="L563" s="33"/>
      <c r="M563" s="33"/>
      <c r="N563" s="60"/>
      <c r="O563" s="71"/>
      <c r="P563" s="71"/>
      <c r="Q563" s="33"/>
      <c r="R563" s="31"/>
      <c r="S563" s="31"/>
      <c r="T563" s="59"/>
      <c r="U563" s="59"/>
      <c r="V563" s="59"/>
      <c r="W563" s="57">
        <f t="shared" si="13"/>
        <v>0</v>
      </c>
      <c r="X563" s="126" t="str">
        <f>IF(Table1[[#This Row],[Shipping Weight Pounds]]&gt;150,"See LTL Form","No")</f>
        <v>No</v>
      </c>
      <c r="Y563" s="28"/>
      <c r="Z563" s="33"/>
      <c r="AA563" s="34"/>
      <c r="AB563" s="30"/>
      <c r="AC563" s="30"/>
      <c r="AD563" s="32"/>
      <c r="AE563" s="32"/>
      <c r="AF563" s="2"/>
      <c r="AG563" s="2"/>
      <c r="AH563" s="2"/>
      <c r="AI563" s="2"/>
      <c r="AK563" s="73" t="str">
        <f>IF(ISNA(MATCH($N563,[1]data!$A:$A,0)),"",INDEX([1]data!S:S,MATCH($N563,[1]data!$A:$A,0)))</f>
        <v/>
      </c>
      <c r="AL563" s="73" t="str">
        <f>IF(ISNA(MATCH($N563,[1]data!$A:$A,0)),"",INDEX([1]data!V:V,MATCH($N563,[1]data!$A:$A,0)))</f>
        <v/>
      </c>
      <c r="AM563" s="38" t="str">
        <f>IF(ISNA(MATCH($N563,data!$A:$A,0)),"",INDEX(data!B:B,MATCH($N563,data!$A:$A,0)))</f>
        <v/>
      </c>
      <c r="AN563" s="38" t="str">
        <f>IF(ISNA(MATCH($N563,data!$A:$A,0)),"",INDEX(data!C:C,MATCH($N563,data!$A:$A,0)))</f>
        <v/>
      </c>
      <c r="AO563" s="38" t="str">
        <f>IF(ISNA(MATCH($N563,data!$A:$A,0)),"",INDEX(data!D:D,MATCH($N563,data!$A:$A,0)))</f>
        <v/>
      </c>
      <c r="AP563" s="38" t="str">
        <f>IF(ISNA(MATCH($N563,data!$A:$A,0)),"",INDEX(data!E:E,MATCH($N563,data!$A:$A,0)))</f>
        <v/>
      </c>
      <c r="AQ563" s="38" t="str">
        <f>IF(ISNA(MATCH($N563,data!$A:$A,0)),"",INDEX(data!F:F,MATCH($N563,data!$A:$A,0)))</f>
        <v/>
      </c>
      <c r="AR563" s="38" t="str">
        <f>IF(ISNA(MATCH($N563,data!$A:$A,0)),"",INDEX(data!G:G,MATCH($N563,data!$A:$A,0)))</f>
        <v/>
      </c>
      <c r="AS563" s="38" t="str">
        <f>IF(ISNA(MATCH($N563,data!$A:$A,0)),"",INDEX(data!H:H,MATCH($N563,data!$A:$A,0)))</f>
        <v/>
      </c>
      <c r="AT563" s="38" t="str">
        <f>IF(ISNA(MATCH($N563,data!$A:$A,0)),"",INDEX(data!I:I,MATCH($N563,data!$A:$A,0)))</f>
        <v/>
      </c>
      <c r="AU563" s="38" t="str">
        <f>IF(ISNA(MATCH($N563,[1]data!$A:$A,0)),"",INDEX([1]data!L:L,MATCH($N563,[1]data!$A:$A,0)))</f>
        <v/>
      </c>
      <c r="AV563" s="38" t="str">
        <f>IF(ISNA(MATCH($N563,[1]data!$A:$A,0)),"",INDEX([1]data!M:M,MATCH($N563,[1]data!$A:$A,0)))</f>
        <v/>
      </c>
      <c r="AW563" s="38" t="str">
        <f>IF(ISNA(MATCH($N563,data!$A:$A,0)),"",INDEX(data!J:J,MATCH($N563,data!$A:$A,0)))</f>
        <v/>
      </c>
      <c r="AX563" s="38" t="str">
        <f>IF(ISNA(MATCH($N563,data!$A:$A,0)),"",INDEX(data!K:K,MATCH($N563,data!$A:$A,0)))</f>
        <v/>
      </c>
      <c r="AY563" s="38" t="str">
        <f>IF(ISNA(MATCH($N563,data!$A:$A,0)),"",INDEX(data!O:O,MATCH($N563,data!$A:$A,0)))</f>
        <v/>
      </c>
      <c r="AZ563" s="38" t="str">
        <f>IF(ISNA(MATCH($N563,data!$A:$A,0)),"",INDEX(data!N:N,MATCH($N563,data!$A:$A,0)))</f>
        <v/>
      </c>
      <c r="BA563" s="38" t="str">
        <f>IF(ISNA(MATCH($N563,data!$A:$A,0)),"",INDEX(data!P:P,MATCH($N563,data!$A:$A,0)))</f>
        <v/>
      </c>
      <c r="BB563" s="38" t="str">
        <f>IF(ISNA(MATCH($N563,data!$A:$A,0)),"",INDEX(data!Q:Q,MATCH($N563,data!$A:$A,0)))</f>
        <v/>
      </c>
      <c r="BC563" s="38" t="str">
        <f>IF(ISNA(MATCH($N563,data!$A:$A,0)),"",INDEX(data!R:R,MATCH($N563,data!$A:$A,0)))</f>
        <v/>
      </c>
      <c r="BD563" s="38" t="str">
        <f>IF(ISNA(MATCH($N563,[1]data!$A:$A,0)),"",INDEX([1]data!U:U,MATCH($N563,[1]data!$A:$A,0)))</f>
        <v/>
      </c>
      <c r="BE563" s="61" t="e">
        <f>IF(COUNTIF([1]data!A:A,[1]!Table1[[#This Row],[UPC]])&lt;2,"","DUP")</f>
        <v>#VALUE!</v>
      </c>
      <c r="BF563" s="38" t="str">
        <f>IF(ISNA(MATCH($N563,data!$A:$A,0)),"",INDEX(data!W:W,MATCH($N563,data!$A:$A,0)))</f>
        <v/>
      </c>
    </row>
    <row r="564" spans="1:58">
      <c r="A564" s="35"/>
      <c r="B564" s="35"/>
      <c r="C564" s="35"/>
      <c r="D564" s="35"/>
      <c r="E564" s="67"/>
      <c r="F564" s="67"/>
      <c r="G564" s="36"/>
      <c r="H564" s="29"/>
      <c r="I564" s="78" t="str">
        <f t="shared" si="12"/>
        <v/>
      </c>
      <c r="J564" s="29"/>
      <c r="K564" s="29"/>
      <c r="L564" s="33"/>
      <c r="M564" s="33"/>
      <c r="N564" s="60"/>
      <c r="O564" s="71"/>
      <c r="P564" s="71"/>
      <c r="Q564" s="33"/>
      <c r="R564" s="31"/>
      <c r="S564" s="31"/>
      <c r="T564" s="59"/>
      <c r="U564" s="59"/>
      <c r="V564" s="59"/>
      <c r="W564" s="57">
        <f t="shared" si="13"/>
        <v>0</v>
      </c>
      <c r="X564" s="126" t="str">
        <f>IF(Table1[[#This Row],[Shipping Weight Pounds]]&gt;150,"See LTL Form","No")</f>
        <v>No</v>
      </c>
      <c r="Y564" s="28"/>
      <c r="Z564" s="33"/>
      <c r="AA564" s="34"/>
      <c r="AB564" s="30"/>
      <c r="AC564" s="30"/>
      <c r="AD564" s="32"/>
      <c r="AE564" s="32"/>
      <c r="AF564" s="2"/>
      <c r="AG564" s="2"/>
      <c r="AH564" s="2"/>
      <c r="AI564" s="2"/>
      <c r="AK564" s="73" t="str">
        <f>IF(ISNA(MATCH($N564,[1]data!$A:$A,0)),"",INDEX([1]data!S:S,MATCH($N564,[1]data!$A:$A,0)))</f>
        <v/>
      </c>
      <c r="AL564" s="73" t="str">
        <f>IF(ISNA(MATCH($N564,[1]data!$A:$A,0)),"",INDEX([1]data!V:V,MATCH($N564,[1]data!$A:$A,0)))</f>
        <v/>
      </c>
      <c r="AM564" s="38" t="str">
        <f>IF(ISNA(MATCH($N564,data!$A:$A,0)),"",INDEX(data!B:B,MATCH($N564,data!$A:$A,0)))</f>
        <v/>
      </c>
      <c r="AN564" s="38" t="str">
        <f>IF(ISNA(MATCH($N564,data!$A:$A,0)),"",INDEX(data!C:C,MATCH($N564,data!$A:$A,0)))</f>
        <v/>
      </c>
      <c r="AO564" s="38" t="str">
        <f>IF(ISNA(MATCH($N564,data!$A:$A,0)),"",INDEX(data!D:D,MATCH($N564,data!$A:$A,0)))</f>
        <v/>
      </c>
      <c r="AP564" s="38" t="str">
        <f>IF(ISNA(MATCH($N564,data!$A:$A,0)),"",INDEX(data!E:E,MATCH($N564,data!$A:$A,0)))</f>
        <v/>
      </c>
      <c r="AQ564" s="38" t="str">
        <f>IF(ISNA(MATCH($N564,data!$A:$A,0)),"",INDEX(data!F:F,MATCH($N564,data!$A:$A,0)))</f>
        <v/>
      </c>
      <c r="AR564" s="38" t="str">
        <f>IF(ISNA(MATCH($N564,data!$A:$A,0)),"",INDEX(data!G:G,MATCH($N564,data!$A:$A,0)))</f>
        <v/>
      </c>
      <c r="AS564" s="38" t="str">
        <f>IF(ISNA(MATCH($N564,data!$A:$A,0)),"",INDEX(data!H:H,MATCH($N564,data!$A:$A,0)))</f>
        <v/>
      </c>
      <c r="AT564" s="38" t="str">
        <f>IF(ISNA(MATCH($N564,data!$A:$A,0)),"",INDEX(data!I:I,MATCH($N564,data!$A:$A,0)))</f>
        <v/>
      </c>
      <c r="AU564" s="38" t="str">
        <f>IF(ISNA(MATCH($N564,[1]data!$A:$A,0)),"",INDEX([1]data!L:L,MATCH($N564,[1]data!$A:$A,0)))</f>
        <v/>
      </c>
      <c r="AV564" s="38" t="str">
        <f>IF(ISNA(MATCH($N564,[1]data!$A:$A,0)),"",INDEX([1]data!M:M,MATCH($N564,[1]data!$A:$A,0)))</f>
        <v/>
      </c>
      <c r="AW564" s="38" t="str">
        <f>IF(ISNA(MATCH($N564,data!$A:$A,0)),"",INDEX(data!J:J,MATCH($N564,data!$A:$A,0)))</f>
        <v/>
      </c>
      <c r="AX564" s="38" t="str">
        <f>IF(ISNA(MATCH($N564,data!$A:$A,0)),"",INDEX(data!K:K,MATCH($N564,data!$A:$A,0)))</f>
        <v/>
      </c>
      <c r="AY564" s="38" t="str">
        <f>IF(ISNA(MATCH($N564,data!$A:$A,0)),"",INDEX(data!O:O,MATCH($N564,data!$A:$A,0)))</f>
        <v/>
      </c>
      <c r="AZ564" s="38" t="str">
        <f>IF(ISNA(MATCH($N564,data!$A:$A,0)),"",INDEX(data!N:N,MATCH($N564,data!$A:$A,0)))</f>
        <v/>
      </c>
      <c r="BA564" s="38" t="str">
        <f>IF(ISNA(MATCH($N564,data!$A:$A,0)),"",INDEX(data!P:P,MATCH($N564,data!$A:$A,0)))</f>
        <v/>
      </c>
      <c r="BB564" s="38" t="str">
        <f>IF(ISNA(MATCH($N564,data!$A:$A,0)),"",INDEX(data!Q:Q,MATCH($N564,data!$A:$A,0)))</f>
        <v/>
      </c>
      <c r="BC564" s="38" t="str">
        <f>IF(ISNA(MATCH($N564,data!$A:$A,0)),"",INDEX(data!R:R,MATCH($N564,data!$A:$A,0)))</f>
        <v/>
      </c>
      <c r="BD564" s="38" t="str">
        <f>IF(ISNA(MATCH($N564,[1]data!$A:$A,0)),"",INDEX([1]data!U:U,MATCH($N564,[1]data!$A:$A,0)))</f>
        <v/>
      </c>
      <c r="BE564" s="61" t="e">
        <f>IF(COUNTIF([1]data!A:A,[1]!Table1[[#This Row],[UPC]])&lt;2,"","DUP")</f>
        <v>#VALUE!</v>
      </c>
      <c r="BF564" s="38" t="str">
        <f>IF(ISNA(MATCH($N564,data!$A:$A,0)),"",INDEX(data!W:W,MATCH($N564,data!$A:$A,0)))</f>
        <v/>
      </c>
    </row>
    <row r="565" spans="1:58">
      <c r="A565" s="35"/>
      <c r="B565" s="35"/>
      <c r="C565" s="35"/>
      <c r="D565" s="35"/>
      <c r="E565" s="67"/>
      <c r="F565" s="67"/>
      <c r="G565" s="36"/>
      <c r="H565" s="29"/>
      <c r="I565" s="78" t="str">
        <f t="shared" si="12"/>
        <v/>
      </c>
      <c r="J565" s="29"/>
      <c r="K565" s="29"/>
      <c r="L565" s="33"/>
      <c r="M565" s="33"/>
      <c r="N565" s="60"/>
      <c r="O565" s="71"/>
      <c r="P565" s="71"/>
      <c r="Q565" s="33"/>
      <c r="R565" s="31"/>
      <c r="S565" s="31"/>
      <c r="T565" s="59"/>
      <c r="U565" s="59"/>
      <c r="V565" s="59"/>
      <c r="W565" s="57">
        <f t="shared" si="13"/>
        <v>0</v>
      </c>
      <c r="X565" s="126" t="str">
        <f>IF(Table1[[#This Row],[Shipping Weight Pounds]]&gt;150,"See LTL Form","No")</f>
        <v>No</v>
      </c>
      <c r="Y565" s="28"/>
      <c r="Z565" s="33"/>
      <c r="AA565" s="34"/>
      <c r="AB565" s="30"/>
      <c r="AC565" s="30"/>
      <c r="AD565" s="32"/>
      <c r="AE565" s="32"/>
      <c r="AF565" s="2"/>
      <c r="AG565" s="2"/>
      <c r="AH565" s="2"/>
      <c r="AI565" s="2"/>
      <c r="AK565" s="73" t="str">
        <f>IF(ISNA(MATCH($N565,[1]data!$A:$A,0)),"",INDEX([1]data!S:S,MATCH($N565,[1]data!$A:$A,0)))</f>
        <v/>
      </c>
      <c r="AL565" s="73" t="str">
        <f>IF(ISNA(MATCH($N565,[1]data!$A:$A,0)),"",INDEX([1]data!V:V,MATCH($N565,[1]data!$A:$A,0)))</f>
        <v/>
      </c>
      <c r="AM565" s="38" t="str">
        <f>IF(ISNA(MATCH($N565,data!$A:$A,0)),"",INDEX(data!B:B,MATCH($N565,data!$A:$A,0)))</f>
        <v/>
      </c>
      <c r="AN565" s="38" t="str">
        <f>IF(ISNA(MATCH($N565,data!$A:$A,0)),"",INDEX(data!C:C,MATCH($N565,data!$A:$A,0)))</f>
        <v/>
      </c>
      <c r="AO565" s="38" t="str">
        <f>IF(ISNA(MATCH($N565,data!$A:$A,0)),"",INDEX(data!D:D,MATCH($N565,data!$A:$A,0)))</f>
        <v/>
      </c>
      <c r="AP565" s="38" t="str">
        <f>IF(ISNA(MATCH($N565,data!$A:$A,0)),"",INDEX(data!E:E,MATCH($N565,data!$A:$A,0)))</f>
        <v/>
      </c>
      <c r="AQ565" s="38" t="str">
        <f>IF(ISNA(MATCH($N565,data!$A:$A,0)),"",INDEX(data!F:F,MATCH($N565,data!$A:$A,0)))</f>
        <v/>
      </c>
      <c r="AR565" s="38" t="str">
        <f>IF(ISNA(MATCH($N565,data!$A:$A,0)),"",INDEX(data!G:G,MATCH($N565,data!$A:$A,0)))</f>
        <v/>
      </c>
      <c r="AS565" s="38" t="str">
        <f>IF(ISNA(MATCH($N565,data!$A:$A,0)),"",INDEX(data!H:H,MATCH($N565,data!$A:$A,0)))</f>
        <v/>
      </c>
      <c r="AT565" s="38" t="str">
        <f>IF(ISNA(MATCH($N565,data!$A:$A,0)),"",INDEX(data!I:I,MATCH($N565,data!$A:$A,0)))</f>
        <v/>
      </c>
      <c r="AU565" s="38" t="str">
        <f>IF(ISNA(MATCH($N565,[1]data!$A:$A,0)),"",INDEX([1]data!L:L,MATCH($N565,[1]data!$A:$A,0)))</f>
        <v/>
      </c>
      <c r="AV565" s="38" t="str">
        <f>IF(ISNA(MATCH($N565,[1]data!$A:$A,0)),"",INDEX([1]data!M:M,MATCH($N565,[1]data!$A:$A,0)))</f>
        <v/>
      </c>
      <c r="AW565" s="38" t="str">
        <f>IF(ISNA(MATCH($N565,data!$A:$A,0)),"",INDEX(data!J:J,MATCH($N565,data!$A:$A,0)))</f>
        <v/>
      </c>
      <c r="AX565" s="38" t="str">
        <f>IF(ISNA(MATCH($N565,data!$A:$A,0)),"",INDEX(data!K:K,MATCH($N565,data!$A:$A,0)))</f>
        <v/>
      </c>
      <c r="AY565" s="38" t="str">
        <f>IF(ISNA(MATCH($N565,data!$A:$A,0)),"",INDEX(data!O:O,MATCH($N565,data!$A:$A,0)))</f>
        <v/>
      </c>
      <c r="AZ565" s="38" t="str">
        <f>IF(ISNA(MATCH($N565,data!$A:$A,0)),"",INDEX(data!N:N,MATCH($N565,data!$A:$A,0)))</f>
        <v/>
      </c>
      <c r="BA565" s="38" t="str">
        <f>IF(ISNA(MATCH($N565,data!$A:$A,0)),"",INDEX(data!P:P,MATCH($N565,data!$A:$A,0)))</f>
        <v/>
      </c>
      <c r="BB565" s="38" t="str">
        <f>IF(ISNA(MATCH($N565,data!$A:$A,0)),"",INDEX(data!Q:Q,MATCH($N565,data!$A:$A,0)))</f>
        <v/>
      </c>
      <c r="BC565" s="38" t="str">
        <f>IF(ISNA(MATCH($N565,data!$A:$A,0)),"",INDEX(data!R:R,MATCH($N565,data!$A:$A,0)))</f>
        <v/>
      </c>
      <c r="BD565" s="38" t="str">
        <f>IF(ISNA(MATCH($N565,[1]data!$A:$A,0)),"",INDEX([1]data!U:U,MATCH($N565,[1]data!$A:$A,0)))</f>
        <v/>
      </c>
      <c r="BE565" s="61" t="e">
        <f>IF(COUNTIF([1]data!A:A,[1]!Table1[[#This Row],[UPC]])&lt;2,"","DUP")</f>
        <v>#VALUE!</v>
      </c>
      <c r="BF565" s="38" t="str">
        <f>IF(ISNA(MATCH($N565,data!$A:$A,0)),"",INDEX(data!W:W,MATCH($N565,data!$A:$A,0)))</f>
        <v/>
      </c>
    </row>
    <row r="566" spans="1:58">
      <c r="A566" s="35"/>
      <c r="B566" s="35"/>
      <c r="C566" s="35"/>
      <c r="D566" s="35"/>
      <c r="E566" s="67"/>
      <c r="F566" s="67"/>
      <c r="G566" s="36"/>
      <c r="H566" s="29"/>
      <c r="I566" s="78" t="str">
        <f t="shared" si="12"/>
        <v/>
      </c>
      <c r="J566" s="29"/>
      <c r="K566" s="29"/>
      <c r="L566" s="33"/>
      <c r="M566" s="33"/>
      <c r="N566" s="60"/>
      <c r="O566" s="71"/>
      <c r="P566" s="71"/>
      <c r="Q566" s="33"/>
      <c r="R566" s="31"/>
      <c r="S566" s="31"/>
      <c r="T566" s="59"/>
      <c r="U566" s="59"/>
      <c r="V566" s="59"/>
      <c r="W566" s="57">
        <f t="shared" si="13"/>
        <v>0</v>
      </c>
      <c r="X566" s="126" t="str">
        <f>IF(Table1[[#This Row],[Shipping Weight Pounds]]&gt;150,"See LTL Form","No")</f>
        <v>No</v>
      </c>
      <c r="Y566" s="28"/>
      <c r="Z566" s="33"/>
      <c r="AA566" s="34"/>
      <c r="AB566" s="30"/>
      <c r="AC566" s="30"/>
      <c r="AD566" s="32"/>
      <c r="AE566" s="32"/>
      <c r="AF566" s="2"/>
      <c r="AG566" s="2"/>
      <c r="AH566" s="2"/>
      <c r="AI566" s="2"/>
      <c r="AK566" s="73" t="str">
        <f>IF(ISNA(MATCH($N566,[1]data!$A:$A,0)),"",INDEX([1]data!S:S,MATCH($N566,[1]data!$A:$A,0)))</f>
        <v/>
      </c>
      <c r="AL566" s="73" t="str">
        <f>IF(ISNA(MATCH($N566,[1]data!$A:$A,0)),"",INDEX([1]data!V:V,MATCH($N566,[1]data!$A:$A,0)))</f>
        <v/>
      </c>
      <c r="AM566" s="38" t="str">
        <f>IF(ISNA(MATCH($N566,data!$A:$A,0)),"",INDEX(data!B:B,MATCH($N566,data!$A:$A,0)))</f>
        <v/>
      </c>
      <c r="AN566" s="38" t="str">
        <f>IF(ISNA(MATCH($N566,data!$A:$A,0)),"",INDEX(data!C:C,MATCH($N566,data!$A:$A,0)))</f>
        <v/>
      </c>
      <c r="AO566" s="38" t="str">
        <f>IF(ISNA(MATCH($N566,data!$A:$A,0)),"",INDEX(data!D:D,MATCH($N566,data!$A:$A,0)))</f>
        <v/>
      </c>
      <c r="AP566" s="38" t="str">
        <f>IF(ISNA(MATCH($N566,data!$A:$A,0)),"",INDEX(data!E:E,MATCH($N566,data!$A:$A,0)))</f>
        <v/>
      </c>
      <c r="AQ566" s="38" t="str">
        <f>IF(ISNA(MATCH($N566,data!$A:$A,0)),"",INDEX(data!F:F,MATCH($N566,data!$A:$A,0)))</f>
        <v/>
      </c>
      <c r="AR566" s="38" t="str">
        <f>IF(ISNA(MATCH($N566,data!$A:$A,0)),"",INDEX(data!G:G,MATCH($N566,data!$A:$A,0)))</f>
        <v/>
      </c>
      <c r="AS566" s="38" t="str">
        <f>IF(ISNA(MATCH($N566,data!$A:$A,0)),"",INDEX(data!H:H,MATCH($N566,data!$A:$A,0)))</f>
        <v/>
      </c>
      <c r="AT566" s="38" t="str">
        <f>IF(ISNA(MATCH($N566,data!$A:$A,0)),"",INDEX(data!I:I,MATCH($N566,data!$A:$A,0)))</f>
        <v/>
      </c>
      <c r="AU566" s="38" t="str">
        <f>IF(ISNA(MATCH($N566,[1]data!$A:$A,0)),"",INDEX([1]data!L:L,MATCH($N566,[1]data!$A:$A,0)))</f>
        <v/>
      </c>
      <c r="AV566" s="38" t="str">
        <f>IF(ISNA(MATCH($N566,[1]data!$A:$A,0)),"",INDEX([1]data!M:M,MATCH($N566,[1]data!$A:$A,0)))</f>
        <v/>
      </c>
      <c r="AW566" s="38" t="str">
        <f>IF(ISNA(MATCH($N566,data!$A:$A,0)),"",INDEX(data!J:J,MATCH($N566,data!$A:$A,0)))</f>
        <v/>
      </c>
      <c r="AX566" s="38" t="str">
        <f>IF(ISNA(MATCH($N566,data!$A:$A,0)),"",INDEX(data!K:K,MATCH($N566,data!$A:$A,0)))</f>
        <v/>
      </c>
      <c r="AY566" s="38" t="str">
        <f>IF(ISNA(MATCH($N566,data!$A:$A,0)),"",INDEX(data!O:O,MATCH($N566,data!$A:$A,0)))</f>
        <v/>
      </c>
      <c r="AZ566" s="38" t="str">
        <f>IF(ISNA(MATCH($N566,data!$A:$A,0)),"",INDEX(data!N:N,MATCH($N566,data!$A:$A,0)))</f>
        <v/>
      </c>
      <c r="BA566" s="38" t="str">
        <f>IF(ISNA(MATCH($N566,data!$A:$A,0)),"",INDEX(data!P:P,MATCH($N566,data!$A:$A,0)))</f>
        <v/>
      </c>
      <c r="BB566" s="38" t="str">
        <f>IF(ISNA(MATCH($N566,data!$A:$A,0)),"",INDEX(data!Q:Q,MATCH($N566,data!$A:$A,0)))</f>
        <v/>
      </c>
      <c r="BC566" s="38" t="str">
        <f>IF(ISNA(MATCH($N566,data!$A:$A,0)),"",INDEX(data!R:R,MATCH($N566,data!$A:$A,0)))</f>
        <v/>
      </c>
      <c r="BD566" s="38" t="str">
        <f>IF(ISNA(MATCH($N566,[1]data!$A:$A,0)),"",INDEX([1]data!U:U,MATCH($N566,[1]data!$A:$A,0)))</f>
        <v/>
      </c>
      <c r="BE566" s="61" t="e">
        <f>IF(COUNTIF([1]data!A:A,[1]!Table1[[#This Row],[UPC]])&lt;2,"","DUP")</f>
        <v>#VALUE!</v>
      </c>
      <c r="BF566" s="38" t="str">
        <f>IF(ISNA(MATCH($N566,data!$A:$A,0)),"",INDEX(data!W:W,MATCH($N566,data!$A:$A,0)))</f>
        <v/>
      </c>
    </row>
    <row r="567" spans="1:58">
      <c r="A567" s="35"/>
      <c r="B567" s="35"/>
      <c r="C567" s="35"/>
      <c r="D567" s="35"/>
      <c r="E567" s="67"/>
      <c r="F567" s="67"/>
      <c r="G567" s="36"/>
      <c r="H567" s="29"/>
      <c r="I567" s="78" t="str">
        <f t="shared" si="12"/>
        <v/>
      </c>
      <c r="J567" s="29"/>
      <c r="K567" s="29"/>
      <c r="L567" s="33"/>
      <c r="M567" s="33"/>
      <c r="N567" s="60"/>
      <c r="O567" s="71"/>
      <c r="P567" s="71"/>
      <c r="Q567" s="33"/>
      <c r="R567" s="31"/>
      <c r="S567" s="31"/>
      <c r="T567" s="59"/>
      <c r="U567" s="59"/>
      <c r="V567" s="59"/>
      <c r="W567" s="57">
        <f t="shared" si="13"/>
        <v>0</v>
      </c>
      <c r="X567" s="126" t="str">
        <f>IF(Table1[[#This Row],[Shipping Weight Pounds]]&gt;150,"See LTL Form","No")</f>
        <v>No</v>
      </c>
      <c r="Y567" s="28"/>
      <c r="Z567" s="33"/>
      <c r="AA567" s="34"/>
      <c r="AB567" s="30"/>
      <c r="AC567" s="30"/>
      <c r="AD567" s="32"/>
      <c r="AE567" s="32"/>
      <c r="AF567" s="2"/>
      <c r="AG567" s="2"/>
      <c r="AH567" s="2"/>
      <c r="AI567" s="2"/>
      <c r="AK567" s="73" t="str">
        <f>IF(ISNA(MATCH($N567,[1]data!$A:$A,0)),"",INDEX([1]data!S:S,MATCH($N567,[1]data!$A:$A,0)))</f>
        <v/>
      </c>
      <c r="AL567" s="73" t="str">
        <f>IF(ISNA(MATCH($N567,[1]data!$A:$A,0)),"",INDEX([1]data!V:V,MATCH($N567,[1]data!$A:$A,0)))</f>
        <v/>
      </c>
      <c r="AM567" s="38" t="str">
        <f>IF(ISNA(MATCH($N567,data!$A:$A,0)),"",INDEX(data!B:B,MATCH($N567,data!$A:$A,0)))</f>
        <v/>
      </c>
      <c r="AN567" s="38" t="str">
        <f>IF(ISNA(MATCH($N567,data!$A:$A,0)),"",INDEX(data!C:C,MATCH($N567,data!$A:$A,0)))</f>
        <v/>
      </c>
      <c r="AO567" s="38" t="str">
        <f>IF(ISNA(MATCH($N567,data!$A:$A,0)),"",INDEX(data!D:D,MATCH($N567,data!$A:$A,0)))</f>
        <v/>
      </c>
      <c r="AP567" s="38" t="str">
        <f>IF(ISNA(MATCH($N567,data!$A:$A,0)),"",INDEX(data!E:E,MATCH($N567,data!$A:$A,0)))</f>
        <v/>
      </c>
      <c r="AQ567" s="38" t="str">
        <f>IF(ISNA(MATCH($N567,data!$A:$A,0)),"",INDEX(data!F:F,MATCH($N567,data!$A:$A,0)))</f>
        <v/>
      </c>
      <c r="AR567" s="38" t="str">
        <f>IF(ISNA(MATCH($N567,data!$A:$A,0)),"",INDEX(data!G:G,MATCH($N567,data!$A:$A,0)))</f>
        <v/>
      </c>
      <c r="AS567" s="38" t="str">
        <f>IF(ISNA(MATCH($N567,data!$A:$A,0)),"",INDEX(data!H:H,MATCH($N567,data!$A:$A,0)))</f>
        <v/>
      </c>
      <c r="AT567" s="38" t="str">
        <f>IF(ISNA(MATCH($N567,data!$A:$A,0)),"",INDEX(data!I:I,MATCH($N567,data!$A:$A,0)))</f>
        <v/>
      </c>
      <c r="AU567" s="38" t="str">
        <f>IF(ISNA(MATCH($N567,[1]data!$A:$A,0)),"",INDEX([1]data!L:L,MATCH($N567,[1]data!$A:$A,0)))</f>
        <v/>
      </c>
      <c r="AV567" s="38" t="str">
        <f>IF(ISNA(MATCH($N567,[1]data!$A:$A,0)),"",INDEX([1]data!M:M,MATCH($N567,[1]data!$A:$A,0)))</f>
        <v/>
      </c>
      <c r="AW567" s="38" t="str">
        <f>IF(ISNA(MATCH($N567,data!$A:$A,0)),"",INDEX(data!J:J,MATCH($N567,data!$A:$A,0)))</f>
        <v/>
      </c>
      <c r="AX567" s="38" t="str">
        <f>IF(ISNA(MATCH($N567,data!$A:$A,0)),"",INDEX(data!K:K,MATCH($N567,data!$A:$A,0)))</f>
        <v/>
      </c>
      <c r="AY567" s="38" t="str">
        <f>IF(ISNA(MATCH($N567,data!$A:$A,0)),"",INDEX(data!O:O,MATCH($N567,data!$A:$A,0)))</f>
        <v/>
      </c>
      <c r="AZ567" s="38" t="str">
        <f>IF(ISNA(MATCH($N567,data!$A:$A,0)),"",INDEX(data!N:N,MATCH($N567,data!$A:$A,0)))</f>
        <v/>
      </c>
      <c r="BA567" s="38" t="str">
        <f>IF(ISNA(MATCH($N567,data!$A:$A,0)),"",INDEX(data!P:P,MATCH($N567,data!$A:$A,0)))</f>
        <v/>
      </c>
      <c r="BB567" s="38" t="str">
        <f>IF(ISNA(MATCH($N567,data!$A:$A,0)),"",INDEX(data!Q:Q,MATCH($N567,data!$A:$A,0)))</f>
        <v/>
      </c>
      <c r="BC567" s="38" t="str">
        <f>IF(ISNA(MATCH($N567,data!$A:$A,0)),"",INDEX(data!R:R,MATCH($N567,data!$A:$A,0)))</f>
        <v/>
      </c>
      <c r="BD567" s="38" t="str">
        <f>IF(ISNA(MATCH($N567,[1]data!$A:$A,0)),"",INDEX([1]data!U:U,MATCH($N567,[1]data!$A:$A,0)))</f>
        <v/>
      </c>
      <c r="BE567" s="61" t="e">
        <f>IF(COUNTIF([1]data!A:A,[1]!Table1[[#This Row],[UPC]])&lt;2,"","DUP")</f>
        <v>#VALUE!</v>
      </c>
      <c r="BF567" s="38" t="str">
        <f>IF(ISNA(MATCH($N567,data!$A:$A,0)),"",INDEX(data!W:W,MATCH($N567,data!$A:$A,0)))</f>
        <v/>
      </c>
    </row>
    <row r="568" spans="1:58">
      <c r="A568" s="35"/>
      <c r="B568" s="35"/>
      <c r="C568" s="35"/>
      <c r="D568" s="35"/>
      <c r="E568" s="67"/>
      <c r="F568" s="67"/>
      <c r="G568" s="36"/>
      <c r="H568" s="29"/>
      <c r="I568" s="78" t="str">
        <f t="shared" si="12"/>
        <v/>
      </c>
      <c r="J568" s="29"/>
      <c r="K568" s="29"/>
      <c r="L568" s="33"/>
      <c r="M568" s="33"/>
      <c r="N568" s="60"/>
      <c r="O568" s="71"/>
      <c r="P568" s="71"/>
      <c r="Q568" s="33"/>
      <c r="R568" s="31"/>
      <c r="S568" s="31"/>
      <c r="T568" s="59"/>
      <c r="U568" s="59"/>
      <c r="V568" s="59"/>
      <c r="W568" s="57">
        <f t="shared" si="13"/>
        <v>0</v>
      </c>
      <c r="X568" s="126" t="str">
        <f>IF(Table1[[#This Row],[Shipping Weight Pounds]]&gt;150,"See LTL Form","No")</f>
        <v>No</v>
      </c>
      <c r="Y568" s="28"/>
      <c r="Z568" s="33"/>
      <c r="AA568" s="34"/>
      <c r="AB568" s="30"/>
      <c r="AC568" s="30"/>
      <c r="AD568" s="32"/>
      <c r="AE568" s="32"/>
      <c r="AF568" s="2"/>
      <c r="AG568" s="2"/>
      <c r="AH568" s="2"/>
      <c r="AI568" s="2"/>
      <c r="AK568" s="73" t="str">
        <f>IF(ISNA(MATCH($N568,[1]data!$A:$A,0)),"",INDEX([1]data!S:S,MATCH($N568,[1]data!$A:$A,0)))</f>
        <v/>
      </c>
      <c r="AL568" s="73" t="str">
        <f>IF(ISNA(MATCH($N568,[1]data!$A:$A,0)),"",INDEX([1]data!V:V,MATCH($N568,[1]data!$A:$A,0)))</f>
        <v/>
      </c>
      <c r="AM568" s="38" t="str">
        <f>IF(ISNA(MATCH($N568,data!$A:$A,0)),"",INDEX(data!B:B,MATCH($N568,data!$A:$A,0)))</f>
        <v/>
      </c>
      <c r="AN568" s="38" t="str">
        <f>IF(ISNA(MATCH($N568,data!$A:$A,0)),"",INDEX(data!C:C,MATCH($N568,data!$A:$A,0)))</f>
        <v/>
      </c>
      <c r="AO568" s="38" t="str">
        <f>IF(ISNA(MATCH($N568,data!$A:$A,0)),"",INDEX(data!D:D,MATCH($N568,data!$A:$A,0)))</f>
        <v/>
      </c>
      <c r="AP568" s="38" t="str">
        <f>IF(ISNA(MATCH($N568,data!$A:$A,0)),"",INDEX(data!E:E,MATCH($N568,data!$A:$A,0)))</f>
        <v/>
      </c>
      <c r="AQ568" s="38" t="str">
        <f>IF(ISNA(MATCH($N568,data!$A:$A,0)),"",INDEX(data!F:F,MATCH($N568,data!$A:$A,0)))</f>
        <v/>
      </c>
      <c r="AR568" s="38" t="str">
        <f>IF(ISNA(MATCH($N568,data!$A:$A,0)),"",INDEX(data!G:G,MATCH($N568,data!$A:$A,0)))</f>
        <v/>
      </c>
      <c r="AS568" s="38" t="str">
        <f>IF(ISNA(MATCH($N568,data!$A:$A,0)),"",INDEX(data!H:H,MATCH($N568,data!$A:$A,0)))</f>
        <v/>
      </c>
      <c r="AT568" s="38" t="str">
        <f>IF(ISNA(MATCH($N568,data!$A:$A,0)),"",INDEX(data!I:I,MATCH($N568,data!$A:$A,0)))</f>
        <v/>
      </c>
      <c r="AU568" s="38" t="str">
        <f>IF(ISNA(MATCH($N568,[1]data!$A:$A,0)),"",INDEX([1]data!L:L,MATCH($N568,[1]data!$A:$A,0)))</f>
        <v/>
      </c>
      <c r="AV568" s="38" t="str">
        <f>IF(ISNA(MATCH($N568,[1]data!$A:$A,0)),"",INDEX([1]data!M:M,MATCH($N568,[1]data!$A:$A,0)))</f>
        <v/>
      </c>
      <c r="AW568" s="38" t="str">
        <f>IF(ISNA(MATCH($N568,data!$A:$A,0)),"",INDEX(data!J:J,MATCH($N568,data!$A:$A,0)))</f>
        <v/>
      </c>
      <c r="AX568" s="38" t="str">
        <f>IF(ISNA(MATCH($N568,data!$A:$A,0)),"",INDEX(data!K:K,MATCH($N568,data!$A:$A,0)))</f>
        <v/>
      </c>
      <c r="AY568" s="38" t="str">
        <f>IF(ISNA(MATCH($N568,data!$A:$A,0)),"",INDEX(data!O:O,MATCH($N568,data!$A:$A,0)))</f>
        <v/>
      </c>
      <c r="AZ568" s="38" t="str">
        <f>IF(ISNA(MATCH($N568,data!$A:$A,0)),"",INDEX(data!N:N,MATCH($N568,data!$A:$A,0)))</f>
        <v/>
      </c>
      <c r="BA568" s="38" t="str">
        <f>IF(ISNA(MATCH($N568,data!$A:$A,0)),"",INDEX(data!P:P,MATCH($N568,data!$A:$A,0)))</f>
        <v/>
      </c>
      <c r="BB568" s="38" t="str">
        <f>IF(ISNA(MATCH($N568,data!$A:$A,0)),"",INDEX(data!Q:Q,MATCH($N568,data!$A:$A,0)))</f>
        <v/>
      </c>
      <c r="BC568" s="38" t="str">
        <f>IF(ISNA(MATCH($N568,data!$A:$A,0)),"",INDEX(data!R:R,MATCH($N568,data!$A:$A,0)))</f>
        <v/>
      </c>
      <c r="BD568" s="38" t="str">
        <f>IF(ISNA(MATCH($N568,[1]data!$A:$A,0)),"",INDEX([1]data!U:U,MATCH($N568,[1]data!$A:$A,0)))</f>
        <v/>
      </c>
      <c r="BE568" s="61" t="e">
        <f>IF(COUNTIF([1]data!A:A,[1]!Table1[[#This Row],[UPC]])&lt;2,"","DUP")</f>
        <v>#VALUE!</v>
      </c>
      <c r="BF568" s="38" t="str">
        <f>IF(ISNA(MATCH($N568,data!$A:$A,0)),"",INDEX(data!W:W,MATCH($N568,data!$A:$A,0)))</f>
        <v/>
      </c>
    </row>
    <row r="569" spans="1:58">
      <c r="A569" s="35"/>
      <c r="B569" s="35"/>
      <c r="C569" s="35"/>
      <c r="D569" s="35"/>
      <c r="E569" s="67"/>
      <c r="F569" s="67"/>
      <c r="G569" s="36"/>
      <c r="H569" s="29"/>
      <c r="I569" s="78" t="str">
        <f t="shared" si="12"/>
        <v/>
      </c>
      <c r="J569" s="29"/>
      <c r="K569" s="29"/>
      <c r="L569" s="33"/>
      <c r="M569" s="33"/>
      <c r="N569" s="60"/>
      <c r="O569" s="71"/>
      <c r="P569" s="71"/>
      <c r="Q569" s="33"/>
      <c r="R569" s="31"/>
      <c r="S569" s="31"/>
      <c r="T569" s="59"/>
      <c r="U569" s="59"/>
      <c r="V569" s="59"/>
      <c r="W569" s="57">
        <f t="shared" si="13"/>
        <v>0</v>
      </c>
      <c r="X569" s="126" t="str">
        <f>IF(Table1[[#This Row],[Shipping Weight Pounds]]&gt;150,"See LTL Form","No")</f>
        <v>No</v>
      </c>
      <c r="Y569" s="28"/>
      <c r="Z569" s="33"/>
      <c r="AA569" s="34"/>
      <c r="AB569" s="30"/>
      <c r="AC569" s="30"/>
      <c r="AD569" s="32"/>
      <c r="AE569" s="32"/>
      <c r="AF569" s="2"/>
      <c r="AG569" s="2"/>
      <c r="AH569" s="2"/>
      <c r="AI569" s="2"/>
      <c r="AK569" s="73" t="str">
        <f>IF(ISNA(MATCH($N569,[1]data!$A:$A,0)),"",INDEX([1]data!S:S,MATCH($N569,[1]data!$A:$A,0)))</f>
        <v/>
      </c>
      <c r="AL569" s="73" t="str">
        <f>IF(ISNA(MATCH($N569,[1]data!$A:$A,0)),"",INDEX([1]data!V:V,MATCH($N569,[1]data!$A:$A,0)))</f>
        <v/>
      </c>
      <c r="AM569" s="38" t="str">
        <f>IF(ISNA(MATCH($N569,data!$A:$A,0)),"",INDEX(data!B:B,MATCH($N569,data!$A:$A,0)))</f>
        <v/>
      </c>
      <c r="AN569" s="38" t="str">
        <f>IF(ISNA(MATCH($N569,data!$A:$A,0)),"",INDEX(data!C:C,MATCH($N569,data!$A:$A,0)))</f>
        <v/>
      </c>
      <c r="AO569" s="38" t="str">
        <f>IF(ISNA(MATCH($N569,data!$A:$A,0)),"",INDEX(data!D:D,MATCH($N569,data!$A:$A,0)))</f>
        <v/>
      </c>
      <c r="AP569" s="38" t="str">
        <f>IF(ISNA(MATCH($N569,data!$A:$A,0)),"",INDEX(data!E:E,MATCH($N569,data!$A:$A,0)))</f>
        <v/>
      </c>
      <c r="AQ569" s="38" t="str">
        <f>IF(ISNA(MATCH($N569,data!$A:$A,0)),"",INDEX(data!F:F,MATCH($N569,data!$A:$A,0)))</f>
        <v/>
      </c>
      <c r="AR569" s="38" t="str">
        <f>IF(ISNA(MATCH($N569,data!$A:$A,0)),"",INDEX(data!G:G,MATCH($N569,data!$A:$A,0)))</f>
        <v/>
      </c>
      <c r="AS569" s="38" t="str">
        <f>IF(ISNA(MATCH($N569,data!$A:$A,0)),"",INDEX(data!H:H,MATCH($N569,data!$A:$A,0)))</f>
        <v/>
      </c>
      <c r="AT569" s="38" t="str">
        <f>IF(ISNA(MATCH($N569,data!$A:$A,0)),"",INDEX(data!I:I,MATCH($N569,data!$A:$A,0)))</f>
        <v/>
      </c>
      <c r="AU569" s="38" t="str">
        <f>IF(ISNA(MATCH($N569,[1]data!$A:$A,0)),"",INDEX([1]data!L:L,MATCH($N569,[1]data!$A:$A,0)))</f>
        <v/>
      </c>
      <c r="AV569" s="38" t="str">
        <f>IF(ISNA(MATCH($N569,[1]data!$A:$A,0)),"",INDEX([1]data!M:M,MATCH($N569,[1]data!$A:$A,0)))</f>
        <v/>
      </c>
      <c r="AW569" s="38" t="str">
        <f>IF(ISNA(MATCH($N569,data!$A:$A,0)),"",INDEX(data!J:J,MATCH($N569,data!$A:$A,0)))</f>
        <v/>
      </c>
      <c r="AX569" s="38" t="str">
        <f>IF(ISNA(MATCH($N569,data!$A:$A,0)),"",INDEX(data!K:K,MATCH($N569,data!$A:$A,0)))</f>
        <v/>
      </c>
      <c r="AY569" s="38" t="str">
        <f>IF(ISNA(MATCH($N569,data!$A:$A,0)),"",INDEX(data!O:O,MATCH($N569,data!$A:$A,0)))</f>
        <v/>
      </c>
      <c r="AZ569" s="38" t="str">
        <f>IF(ISNA(MATCH($N569,data!$A:$A,0)),"",INDEX(data!N:N,MATCH($N569,data!$A:$A,0)))</f>
        <v/>
      </c>
      <c r="BA569" s="38" t="str">
        <f>IF(ISNA(MATCH($N569,data!$A:$A,0)),"",INDEX(data!P:P,MATCH($N569,data!$A:$A,0)))</f>
        <v/>
      </c>
      <c r="BB569" s="38" t="str">
        <f>IF(ISNA(MATCH($N569,data!$A:$A,0)),"",INDEX(data!Q:Q,MATCH($N569,data!$A:$A,0)))</f>
        <v/>
      </c>
      <c r="BC569" s="38" t="str">
        <f>IF(ISNA(MATCH($N569,data!$A:$A,0)),"",INDEX(data!R:R,MATCH($N569,data!$A:$A,0)))</f>
        <v/>
      </c>
      <c r="BD569" s="38" t="str">
        <f>IF(ISNA(MATCH($N569,[1]data!$A:$A,0)),"",INDEX([1]data!U:U,MATCH($N569,[1]data!$A:$A,0)))</f>
        <v/>
      </c>
      <c r="BE569" s="61" t="e">
        <f>IF(COUNTIF([1]data!A:A,[1]!Table1[[#This Row],[UPC]])&lt;2,"","DUP")</f>
        <v>#VALUE!</v>
      </c>
      <c r="BF569" s="38" t="str">
        <f>IF(ISNA(MATCH($N569,data!$A:$A,0)),"",INDEX(data!W:W,MATCH($N569,data!$A:$A,0)))</f>
        <v/>
      </c>
    </row>
    <row r="570" spans="1:58">
      <c r="A570" s="35"/>
      <c r="B570" s="35"/>
      <c r="C570" s="35"/>
      <c r="D570" s="35"/>
      <c r="E570" s="67"/>
      <c r="F570" s="67"/>
      <c r="G570" s="36"/>
      <c r="H570" s="29"/>
      <c r="I570" s="78" t="str">
        <f t="shared" si="12"/>
        <v/>
      </c>
      <c r="J570" s="29"/>
      <c r="K570" s="29"/>
      <c r="L570" s="33"/>
      <c r="M570" s="33"/>
      <c r="N570" s="60"/>
      <c r="O570" s="71"/>
      <c r="P570" s="71"/>
      <c r="Q570" s="33"/>
      <c r="R570" s="31"/>
      <c r="S570" s="31"/>
      <c r="T570" s="59"/>
      <c r="U570" s="59"/>
      <c r="V570" s="59"/>
      <c r="W570" s="57">
        <f t="shared" si="13"/>
        <v>0</v>
      </c>
      <c r="X570" s="126" t="str">
        <f>IF(Table1[[#This Row],[Shipping Weight Pounds]]&gt;150,"See LTL Form","No")</f>
        <v>No</v>
      </c>
      <c r="Y570" s="28"/>
      <c r="Z570" s="33"/>
      <c r="AA570" s="34"/>
      <c r="AB570" s="30"/>
      <c r="AC570" s="30"/>
      <c r="AD570" s="32"/>
      <c r="AE570" s="32"/>
      <c r="AF570" s="2"/>
      <c r="AG570" s="2"/>
      <c r="AH570" s="2"/>
      <c r="AI570" s="2"/>
      <c r="AK570" s="73" t="str">
        <f>IF(ISNA(MATCH($N570,[1]data!$A:$A,0)),"",INDEX([1]data!S:S,MATCH($N570,[1]data!$A:$A,0)))</f>
        <v/>
      </c>
      <c r="AL570" s="73" t="str">
        <f>IF(ISNA(MATCH($N570,[1]data!$A:$A,0)),"",INDEX([1]data!V:V,MATCH($N570,[1]data!$A:$A,0)))</f>
        <v/>
      </c>
      <c r="AM570" s="38" t="str">
        <f>IF(ISNA(MATCH($N570,data!$A:$A,0)),"",INDEX(data!B:B,MATCH($N570,data!$A:$A,0)))</f>
        <v/>
      </c>
      <c r="AN570" s="38" t="str">
        <f>IF(ISNA(MATCH($N570,data!$A:$A,0)),"",INDEX(data!C:C,MATCH($N570,data!$A:$A,0)))</f>
        <v/>
      </c>
      <c r="AO570" s="38" t="str">
        <f>IF(ISNA(MATCH($N570,data!$A:$A,0)),"",INDEX(data!D:D,MATCH($N570,data!$A:$A,0)))</f>
        <v/>
      </c>
      <c r="AP570" s="38" t="str">
        <f>IF(ISNA(MATCH($N570,data!$A:$A,0)),"",INDEX(data!E:E,MATCH($N570,data!$A:$A,0)))</f>
        <v/>
      </c>
      <c r="AQ570" s="38" t="str">
        <f>IF(ISNA(MATCH($N570,data!$A:$A,0)),"",INDEX(data!F:F,MATCH($N570,data!$A:$A,0)))</f>
        <v/>
      </c>
      <c r="AR570" s="38" t="str">
        <f>IF(ISNA(MATCH($N570,data!$A:$A,0)),"",INDEX(data!G:G,MATCH($N570,data!$A:$A,0)))</f>
        <v/>
      </c>
      <c r="AS570" s="38" t="str">
        <f>IF(ISNA(MATCH($N570,data!$A:$A,0)),"",INDEX(data!H:H,MATCH($N570,data!$A:$A,0)))</f>
        <v/>
      </c>
      <c r="AT570" s="38" t="str">
        <f>IF(ISNA(MATCH($N570,data!$A:$A,0)),"",INDEX(data!I:I,MATCH($N570,data!$A:$A,0)))</f>
        <v/>
      </c>
      <c r="AU570" s="38" t="str">
        <f>IF(ISNA(MATCH($N570,[1]data!$A:$A,0)),"",INDEX([1]data!L:L,MATCH($N570,[1]data!$A:$A,0)))</f>
        <v/>
      </c>
      <c r="AV570" s="38" t="str">
        <f>IF(ISNA(MATCH($N570,[1]data!$A:$A,0)),"",INDEX([1]data!M:M,MATCH($N570,[1]data!$A:$A,0)))</f>
        <v/>
      </c>
      <c r="AW570" s="38" t="str">
        <f>IF(ISNA(MATCH($N570,data!$A:$A,0)),"",INDEX(data!J:J,MATCH($N570,data!$A:$A,0)))</f>
        <v/>
      </c>
      <c r="AX570" s="38" t="str">
        <f>IF(ISNA(MATCH($N570,data!$A:$A,0)),"",INDEX(data!K:K,MATCH($N570,data!$A:$A,0)))</f>
        <v/>
      </c>
      <c r="AY570" s="38" t="str">
        <f>IF(ISNA(MATCH($N570,data!$A:$A,0)),"",INDEX(data!O:O,MATCH($N570,data!$A:$A,0)))</f>
        <v/>
      </c>
      <c r="AZ570" s="38" t="str">
        <f>IF(ISNA(MATCH($N570,data!$A:$A,0)),"",INDEX(data!N:N,MATCH($N570,data!$A:$A,0)))</f>
        <v/>
      </c>
      <c r="BA570" s="38" t="str">
        <f>IF(ISNA(MATCH($N570,data!$A:$A,0)),"",INDEX(data!P:P,MATCH($N570,data!$A:$A,0)))</f>
        <v/>
      </c>
      <c r="BB570" s="38" t="str">
        <f>IF(ISNA(MATCH($N570,data!$A:$A,0)),"",INDEX(data!Q:Q,MATCH($N570,data!$A:$A,0)))</f>
        <v/>
      </c>
      <c r="BC570" s="38" t="str">
        <f>IF(ISNA(MATCH($N570,data!$A:$A,0)),"",INDEX(data!R:R,MATCH($N570,data!$A:$A,0)))</f>
        <v/>
      </c>
      <c r="BD570" s="38" t="str">
        <f>IF(ISNA(MATCH($N570,[1]data!$A:$A,0)),"",INDEX([1]data!U:U,MATCH($N570,[1]data!$A:$A,0)))</f>
        <v/>
      </c>
      <c r="BE570" s="61" t="e">
        <f>IF(COUNTIF([1]data!A:A,[1]!Table1[[#This Row],[UPC]])&lt;2,"","DUP")</f>
        <v>#VALUE!</v>
      </c>
      <c r="BF570" s="38" t="str">
        <f>IF(ISNA(MATCH($N570,data!$A:$A,0)),"",INDEX(data!W:W,MATCH($N570,data!$A:$A,0)))</f>
        <v/>
      </c>
    </row>
    <row r="571" spans="1:58">
      <c r="A571" s="35"/>
      <c r="B571" s="35"/>
      <c r="C571" s="35"/>
      <c r="D571" s="35"/>
      <c r="E571" s="67"/>
      <c r="F571" s="67"/>
      <c r="G571" s="36"/>
      <c r="H571" s="29"/>
      <c r="I571" s="78" t="str">
        <f t="shared" si="12"/>
        <v/>
      </c>
      <c r="J571" s="29"/>
      <c r="K571" s="29"/>
      <c r="L571" s="33"/>
      <c r="M571" s="33"/>
      <c r="N571" s="60"/>
      <c r="O571" s="71"/>
      <c r="P571" s="71"/>
      <c r="Q571" s="33"/>
      <c r="R571" s="31"/>
      <c r="S571" s="31"/>
      <c r="T571" s="59"/>
      <c r="U571" s="59"/>
      <c r="V571" s="59"/>
      <c r="W571" s="57">
        <f t="shared" si="13"/>
        <v>0</v>
      </c>
      <c r="X571" s="126" t="str">
        <f>IF(Table1[[#This Row],[Shipping Weight Pounds]]&gt;150,"See LTL Form","No")</f>
        <v>No</v>
      </c>
      <c r="Y571" s="28"/>
      <c r="Z571" s="33"/>
      <c r="AA571" s="34"/>
      <c r="AB571" s="30"/>
      <c r="AC571" s="30"/>
      <c r="AD571" s="32"/>
      <c r="AE571" s="32"/>
      <c r="AF571" s="2"/>
      <c r="AG571" s="2"/>
      <c r="AH571" s="2"/>
      <c r="AI571" s="2"/>
      <c r="AK571" s="73" t="str">
        <f>IF(ISNA(MATCH($N571,[1]data!$A:$A,0)),"",INDEX([1]data!S:S,MATCH($N571,[1]data!$A:$A,0)))</f>
        <v/>
      </c>
      <c r="AL571" s="73" t="str">
        <f>IF(ISNA(MATCH($N571,[1]data!$A:$A,0)),"",INDEX([1]data!V:V,MATCH($N571,[1]data!$A:$A,0)))</f>
        <v/>
      </c>
      <c r="AM571" s="38" t="str">
        <f>IF(ISNA(MATCH($N571,data!$A:$A,0)),"",INDEX(data!B:B,MATCH($N571,data!$A:$A,0)))</f>
        <v/>
      </c>
      <c r="AN571" s="38" t="str">
        <f>IF(ISNA(MATCH($N571,data!$A:$A,0)),"",INDEX(data!C:C,MATCH($N571,data!$A:$A,0)))</f>
        <v/>
      </c>
      <c r="AO571" s="38" t="str">
        <f>IF(ISNA(MATCH($N571,data!$A:$A,0)),"",INDEX(data!D:D,MATCH($N571,data!$A:$A,0)))</f>
        <v/>
      </c>
      <c r="AP571" s="38" t="str">
        <f>IF(ISNA(MATCH($N571,data!$A:$A,0)),"",INDEX(data!E:E,MATCH($N571,data!$A:$A,0)))</f>
        <v/>
      </c>
      <c r="AQ571" s="38" t="str">
        <f>IF(ISNA(MATCH($N571,data!$A:$A,0)),"",INDEX(data!F:F,MATCH($N571,data!$A:$A,0)))</f>
        <v/>
      </c>
      <c r="AR571" s="38" t="str">
        <f>IF(ISNA(MATCH($N571,data!$A:$A,0)),"",INDEX(data!G:G,MATCH($N571,data!$A:$A,0)))</f>
        <v/>
      </c>
      <c r="AS571" s="38" t="str">
        <f>IF(ISNA(MATCH($N571,data!$A:$A,0)),"",INDEX(data!H:H,MATCH($N571,data!$A:$A,0)))</f>
        <v/>
      </c>
      <c r="AT571" s="38" t="str">
        <f>IF(ISNA(MATCH($N571,data!$A:$A,0)),"",INDEX(data!I:I,MATCH($N571,data!$A:$A,0)))</f>
        <v/>
      </c>
      <c r="AU571" s="38" t="str">
        <f>IF(ISNA(MATCH($N571,[1]data!$A:$A,0)),"",INDEX([1]data!L:L,MATCH($N571,[1]data!$A:$A,0)))</f>
        <v/>
      </c>
      <c r="AV571" s="38" t="str">
        <f>IF(ISNA(MATCH($N571,[1]data!$A:$A,0)),"",INDEX([1]data!M:M,MATCH($N571,[1]data!$A:$A,0)))</f>
        <v/>
      </c>
      <c r="AW571" s="38" t="str">
        <f>IF(ISNA(MATCH($N571,data!$A:$A,0)),"",INDEX(data!J:J,MATCH($N571,data!$A:$A,0)))</f>
        <v/>
      </c>
      <c r="AX571" s="38" t="str">
        <f>IF(ISNA(MATCH($N571,data!$A:$A,0)),"",INDEX(data!K:K,MATCH($N571,data!$A:$A,0)))</f>
        <v/>
      </c>
      <c r="AY571" s="38" t="str">
        <f>IF(ISNA(MATCH($N571,data!$A:$A,0)),"",INDEX(data!O:O,MATCH($N571,data!$A:$A,0)))</f>
        <v/>
      </c>
      <c r="AZ571" s="38" t="str">
        <f>IF(ISNA(MATCH($N571,data!$A:$A,0)),"",INDEX(data!N:N,MATCH($N571,data!$A:$A,0)))</f>
        <v/>
      </c>
      <c r="BA571" s="38" t="str">
        <f>IF(ISNA(MATCH($N571,data!$A:$A,0)),"",INDEX(data!P:P,MATCH($N571,data!$A:$A,0)))</f>
        <v/>
      </c>
      <c r="BB571" s="38" t="str">
        <f>IF(ISNA(MATCH($N571,data!$A:$A,0)),"",INDEX(data!Q:Q,MATCH($N571,data!$A:$A,0)))</f>
        <v/>
      </c>
      <c r="BC571" s="38" t="str">
        <f>IF(ISNA(MATCH($N571,data!$A:$A,0)),"",INDEX(data!R:R,MATCH($N571,data!$A:$A,0)))</f>
        <v/>
      </c>
      <c r="BD571" s="38" t="str">
        <f>IF(ISNA(MATCH($N571,[1]data!$A:$A,0)),"",INDEX([1]data!U:U,MATCH($N571,[1]data!$A:$A,0)))</f>
        <v/>
      </c>
      <c r="BE571" s="61" t="e">
        <f>IF(COUNTIF([1]data!A:A,[1]!Table1[[#This Row],[UPC]])&lt;2,"","DUP")</f>
        <v>#VALUE!</v>
      </c>
      <c r="BF571" s="38" t="str">
        <f>IF(ISNA(MATCH($N571,data!$A:$A,0)),"",INDEX(data!W:W,MATCH($N571,data!$A:$A,0)))</f>
        <v/>
      </c>
    </row>
    <row r="572" spans="1:58">
      <c r="A572" s="35"/>
      <c r="B572" s="35"/>
      <c r="C572" s="35"/>
      <c r="D572" s="35"/>
      <c r="E572" s="67"/>
      <c r="F572" s="67"/>
      <c r="G572" s="36"/>
      <c r="H572" s="29"/>
      <c r="I572" s="78" t="str">
        <f t="shared" si="12"/>
        <v/>
      </c>
      <c r="J572" s="29"/>
      <c r="K572" s="29"/>
      <c r="L572" s="33"/>
      <c r="M572" s="33"/>
      <c r="N572" s="60"/>
      <c r="O572" s="71"/>
      <c r="P572" s="71"/>
      <c r="Q572" s="33"/>
      <c r="R572" s="31"/>
      <c r="S572" s="31"/>
      <c r="T572" s="59"/>
      <c r="U572" s="59"/>
      <c r="V572" s="59"/>
      <c r="W572" s="57">
        <f t="shared" si="13"/>
        <v>0</v>
      </c>
      <c r="X572" s="126" t="str">
        <f>IF(Table1[[#This Row],[Shipping Weight Pounds]]&gt;150,"See LTL Form","No")</f>
        <v>No</v>
      </c>
      <c r="Y572" s="28"/>
      <c r="Z572" s="33"/>
      <c r="AA572" s="34"/>
      <c r="AB572" s="30"/>
      <c r="AC572" s="30"/>
      <c r="AD572" s="32"/>
      <c r="AE572" s="32"/>
      <c r="AF572" s="2"/>
      <c r="AG572" s="2"/>
      <c r="AH572" s="2"/>
      <c r="AI572" s="2"/>
      <c r="AK572" s="73" t="str">
        <f>IF(ISNA(MATCH($N572,[1]data!$A:$A,0)),"",INDEX([1]data!S:S,MATCH($N572,[1]data!$A:$A,0)))</f>
        <v/>
      </c>
      <c r="AL572" s="73" t="str">
        <f>IF(ISNA(MATCH($N572,[1]data!$A:$A,0)),"",INDEX([1]data!V:V,MATCH($N572,[1]data!$A:$A,0)))</f>
        <v/>
      </c>
      <c r="AM572" s="38" t="str">
        <f>IF(ISNA(MATCH($N572,data!$A:$A,0)),"",INDEX(data!B:B,MATCH($N572,data!$A:$A,0)))</f>
        <v/>
      </c>
      <c r="AN572" s="38" t="str">
        <f>IF(ISNA(MATCH($N572,data!$A:$A,0)),"",INDEX(data!C:C,MATCH($N572,data!$A:$A,0)))</f>
        <v/>
      </c>
      <c r="AO572" s="38" t="str">
        <f>IF(ISNA(MATCH($N572,data!$A:$A,0)),"",INDEX(data!D:D,MATCH($N572,data!$A:$A,0)))</f>
        <v/>
      </c>
      <c r="AP572" s="38" t="str">
        <f>IF(ISNA(MATCH($N572,data!$A:$A,0)),"",INDEX(data!E:E,MATCH($N572,data!$A:$A,0)))</f>
        <v/>
      </c>
      <c r="AQ572" s="38" t="str">
        <f>IF(ISNA(MATCH($N572,data!$A:$A,0)),"",INDEX(data!F:F,MATCH($N572,data!$A:$A,0)))</f>
        <v/>
      </c>
      <c r="AR572" s="38" t="str">
        <f>IF(ISNA(MATCH($N572,data!$A:$A,0)),"",INDEX(data!G:G,MATCH($N572,data!$A:$A,0)))</f>
        <v/>
      </c>
      <c r="AS572" s="38" t="str">
        <f>IF(ISNA(MATCH($N572,data!$A:$A,0)),"",INDEX(data!H:H,MATCH($N572,data!$A:$A,0)))</f>
        <v/>
      </c>
      <c r="AT572" s="38" t="str">
        <f>IF(ISNA(MATCH($N572,data!$A:$A,0)),"",INDEX(data!I:I,MATCH($N572,data!$A:$A,0)))</f>
        <v/>
      </c>
      <c r="AU572" s="38" t="str">
        <f>IF(ISNA(MATCH($N572,[1]data!$A:$A,0)),"",INDEX([1]data!L:L,MATCH($N572,[1]data!$A:$A,0)))</f>
        <v/>
      </c>
      <c r="AV572" s="38" t="str">
        <f>IF(ISNA(MATCH($N572,[1]data!$A:$A,0)),"",INDEX([1]data!M:M,MATCH($N572,[1]data!$A:$A,0)))</f>
        <v/>
      </c>
      <c r="AW572" s="38" t="str">
        <f>IF(ISNA(MATCH($N572,data!$A:$A,0)),"",INDEX(data!J:J,MATCH($N572,data!$A:$A,0)))</f>
        <v/>
      </c>
      <c r="AX572" s="38" t="str">
        <f>IF(ISNA(MATCH($N572,data!$A:$A,0)),"",INDEX(data!K:K,MATCH($N572,data!$A:$A,0)))</f>
        <v/>
      </c>
      <c r="AY572" s="38" t="str">
        <f>IF(ISNA(MATCH($N572,data!$A:$A,0)),"",INDEX(data!O:O,MATCH($N572,data!$A:$A,0)))</f>
        <v/>
      </c>
      <c r="AZ572" s="38" t="str">
        <f>IF(ISNA(MATCH($N572,data!$A:$A,0)),"",INDEX(data!N:N,MATCH($N572,data!$A:$A,0)))</f>
        <v/>
      </c>
      <c r="BA572" s="38" t="str">
        <f>IF(ISNA(MATCH($N572,data!$A:$A,0)),"",INDEX(data!P:P,MATCH($N572,data!$A:$A,0)))</f>
        <v/>
      </c>
      <c r="BB572" s="38" t="str">
        <f>IF(ISNA(MATCH($N572,data!$A:$A,0)),"",INDEX(data!Q:Q,MATCH($N572,data!$A:$A,0)))</f>
        <v/>
      </c>
      <c r="BC572" s="38" t="str">
        <f>IF(ISNA(MATCH($N572,data!$A:$A,0)),"",INDEX(data!R:R,MATCH($N572,data!$A:$A,0)))</f>
        <v/>
      </c>
      <c r="BD572" s="38" t="str">
        <f>IF(ISNA(MATCH($N572,[1]data!$A:$A,0)),"",INDEX([1]data!U:U,MATCH($N572,[1]data!$A:$A,0)))</f>
        <v/>
      </c>
      <c r="BE572" s="61" t="e">
        <f>IF(COUNTIF([1]data!A:A,[1]!Table1[[#This Row],[UPC]])&lt;2,"","DUP")</f>
        <v>#VALUE!</v>
      </c>
      <c r="BF572" s="38" t="str">
        <f>IF(ISNA(MATCH($N572,data!$A:$A,0)),"",INDEX(data!W:W,MATCH($N572,data!$A:$A,0)))</f>
        <v/>
      </c>
    </row>
    <row r="573" spans="1:58">
      <c r="A573" s="35"/>
      <c r="B573" s="35"/>
      <c r="C573" s="35"/>
      <c r="D573" s="35"/>
      <c r="E573" s="67"/>
      <c r="F573" s="67"/>
      <c r="G573" s="36"/>
      <c r="H573" s="29"/>
      <c r="I573" s="78" t="str">
        <f t="shared" si="12"/>
        <v/>
      </c>
      <c r="J573" s="29"/>
      <c r="K573" s="29"/>
      <c r="L573" s="33"/>
      <c r="M573" s="33"/>
      <c r="N573" s="60"/>
      <c r="O573" s="71"/>
      <c r="P573" s="71"/>
      <c r="Q573" s="33"/>
      <c r="R573" s="31"/>
      <c r="S573" s="31"/>
      <c r="T573" s="59"/>
      <c r="U573" s="59"/>
      <c r="V573" s="59"/>
      <c r="W573" s="57">
        <f t="shared" si="13"/>
        <v>0</v>
      </c>
      <c r="X573" s="126" t="str">
        <f>IF(Table1[[#This Row],[Shipping Weight Pounds]]&gt;150,"See LTL Form","No")</f>
        <v>No</v>
      </c>
      <c r="Y573" s="28"/>
      <c r="Z573" s="33"/>
      <c r="AA573" s="34"/>
      <c r="AB573" s="30"/>
      <c r="AC573" s="30"/>
      <c r="AD573" s="32"/>
      <c r="AE573" s="32"/>
      <c r="AF573" s="2"/>
      <c r="AG573" s="2"/>
      <c r="AH573" s="2"/>
      <c r="AI573" s="2"/>
      <c r="AK573" s="73" t="str">
        <f>IF(ISNA(MATCH($N573,[1]data!$A:$A,0)),"",INDEX([1]data!S:S,MATCH($N573,[1]data!$A:$A,0)))</f>
        <v/>
      </c>
      <c r="AL573" s="73" t="str">
        <f>IF(ISNA(MATCH($N573,[1]data!$A:$A,0)),"",INDEX([1]data!V:V,MATCH($N573,[1]data!$A:$A,0)))</f>
        <v/>
      </c>
      <c r="AM573" s="38" t="str">
        <f>IF(ISNA(MATCH($N573,data!$A:$A,0)),"",INDEX(data!B:B,MATCH($N573,data!$A:$A,0)))</f>
        <v/>
      </c>
      <c r="AN573" s="38" t="str">
        <f>IF(ISNA(MATCH($N573,data!$A:$A,0)),"",INDEX(data!C:C,MATCH($N573,data!$A:$A,0)))</f>
        <v/>
      </c>
      <c r="AO573" s="38" t="str">
        <f>IF(ISNA(MATCH($N573,data!$A:$A,0)),"",INDEX(data!D:D,MATCH($N573,data!$A:$A,0)))</f>
        <v/>
      </c>
      <c r="AP573" s="38" t="str">
        <f>IF(ISNA(MATCH($N573,data!$A:$A,0)),"",INDEX(data!E:E,MATCH($N573,data!$A:$A,0)))</f>
        <v/>
      </c>
      <c r="AQ573" s="38" t="str">
        <f>IF(ISNA(MATCH($N573,data!$A:$A,0)),"",INDEX(data!F:F,MATCH($N573,data!$A:$A,0)))</f>
        <v/>
      </c>
      <c r="AR573" s="38" t="str">
        <f>IF(ISNA(MATCH($N573,data!$A:$A,0)),"",INDEX(data!G:G,MATCH($N573,data!$A:$A,0)))</f>
        <v/>
      </c>
      <c r="AS573" s="38" t="str">
        <f>IF(ISNA(MATCH($N573,data!$A:$A,0)),"",INDEX(data!H:H,MATCH($N573,data!$A:$A,0)))</f>
        <v/>
      </c>
      <c r="AT573" s="38" t="str">
        <f>IF(ISNA(MATCH($N573,data!$A:$A,0)),"",INDEX(data!I:I,MATCH($N573,data!$A:$A,0)))</f>
        <v/>
      </c>
      <c r="AU573" s="38" t="str">
        <f>IF(ISNA(MATCH($N573,[1]data!$A:$A,0)),"",INDEX([1]data!L:L,MATCH($N573,[1]data!$A:$A,0)))</f>
        <v/>
      </c>
      <c r="AV573" s="38" t="str">
        <f>IF(ISNA(MATCH($N573,[1]data!$A:$A,0)),"",INDEX([1]data!M:M,MATCH($N573,[1]data!$A:$A,0)))</f>
        <v/>
      </c>
      <c r="AW573" s="38" t="str">
        <f>IF(ISNA(MATCH($N573,data!$A:$A,0)),"",INDEX(data!J:J,MATCH($N573,data!$A:$A,0)))</f>
        <v/>
      </c>
      <c r="AX573" s="38" t="str">
        <f>IF(ISNA(MATCH($N573,data!$A:$A,0)),"",INDEX(data!K:K,MATCH($N573,data!$A:$A,0)))</f>
        <v/>
      </c>
      <c r="AY573" s="38" t="str">
        <f>IF(ISNA(MATCH($N573,data!$A:$A,0)),"",INDEX(data!O:O,MATCH($N573,data!$A:$A,0)))</f>
        <v/>
      </c>
      <c r="AZ573" s="38" t="str">
        <f>IF(ISNA(MATCH($N573,data!$A:$A,0)),"",INDEX(data!N:N,MATCH($N573,data!$A:$A,0)))</f>
        <v/>
      </c>
      <c r="BA573" s="38" t="str">
        <f>IF(ISNA(MATCH($N573,data!$A:$A,0)),"",INDEX(data!P:P,MATCH($N573,data!$A:$A,0)))</f>
        <v/>
      </c>
      <c r="BB573" s="38" t="str">
        <f>IF(ISNA(MATCH($N573,data!$A:$A,0)),"",INDEX(data!Q:Q,MATCH($N573,data!$A:$A,0)))</f>
        <v/>
      </c>
      <c r="BC573" s="38" t="str">
        <f>IF(ISNA(MATCH($N573,data!$A:$A,0)),"",INDEX(data!R:R,MATCH($N573,data!$A:$A,0)))</f>
        <v/>
      </c>
      <c r="BD573" s="38" t="str">
        <f>IF(ISNA(MATCH($N573,[1]data!$A:$A,0)),"",INDEX([1]data!U:U,MATCH($N573,[1]data!$A:$A,0)))</f>
        <v/>
      </c>
      <c r="BE573" s="61" t="e">
        <f>IF(COUNTIF([1]data!A:A,[1]!Table1[[#This Row],[UPC]])&lt;2,"","DUP")</f>
        <v>#VALUE!</v>
      </c>
      <c r="BF573" s="38" t="str">
        <f>IF(ISNA(MATCH($N573,data!$A:$A,0)),"",INDEX(data!W:W,MATCH($N573,data!$A:$A,0)))</f>
        <v/>
      </c>
    </row>
    <row r="574" spans="1:58">
      <c r="A574" s="35"/>
      <c r="B574" s="35"/>
      <c r="C574" s="35"/>
      <c r="D574" s="35"/>
      <c r="E574" s="67"/>
      <c r="F574" s="67"/>
      <c r="G574" s="36"/>
      <c r="H574" s="29"/>
      <c r="I574" s="78" t="str">
        <f t="shared" si="12"/>
        <v/>
      </c>
      <c r="J574" s="29"/>
      <c r="K574" s="29"/>
      <c r="L574" s="33"/>
      <c r="M574" s="33"/>
      <c r="N574" s="60"/>
      <c r="O574" s="71"/>
      <c r="P574" s="71"/>
      <c r="Q574" s="33"/>
      <c r="R574" s="31"/>
      <c r="S574" s="31"/>
      <c r="T574" s="59"/>
      <c r="U574" s="59"/>
      <c r="V574" s="59"/>
      <c r="W574" s="57">
        <f t="shared" si="13"/>
        <v>0</v>
      </c>
      <c r="X574" s="126" t="str">
        <f>IF(Table1[[#This Row],[Shipping Weight Pounds]]&gt;150,"See LTL Form","No")</f>
        <v>No</v>
      </c>
      <c r="Y574" s="28"/>
      <c r="Z574" s="33"/>
      <c r="AA574" s="34"/>
      <c r="AB574" s="30"/>
      <c r="AC574" s="30"/>
      <c r="AD574" s="32"/>
      <c r="AE574" s="32"/>
      <c r="AF574" s="2"/>
      <c r="AG574" s="2"/>
      <c r="AH574" s="2"/>
      <c r="AI574" s="2"/>
      <c r="AK574" s="73" t="str">
        <f>IF(ISNA(MATCH($N574,[1]data!$A:$A,0)),"",INDEX([1]data!S:S,MATCH($N574,[1]data!$A:$A,0)))</f>
        <v/>
      </c>
      <c r="AL574" s="73" t="str">
        <f>IF(ISNA(MATCH($N574,[1]data!$A:$A,0)),"",INDEX([1]data!V:V,MATCH($N574,[1]data!$A:$A,0)))</f>
        <v/>
      </c>
      <c r="AM574" s="38" t="str">
        <f>IF(ISNA(MATCH($N574,data!$A:$A,0)),"",INDEX(data!B:B,MATCH($N574,data!$A:$A,0)))</f>
        <v/>
      </c>
      <c r="AN574" s="38" t="str">
        <f>IF(ISNA(MATCH($N574,data!$A:$A,0)),"",INDEX(data!C:C,MATCH($N574,data!$A:$A,0)))</f>
        <v/>
      </c>
      <c r="AO574" s="38" t="str">
        <f>IF(ISNA(MATCH($N574,data!$A:$A,0)),"",INDEX(data!D:D,MATCH($N574,data!$A:$A,0)))</f>
        <v/>
      </c>
      <c r="AP574" s="38" t="str">
        <f>IF(ISNA(MATCH($N574,data!$A:$A,0)),"",INDEX(data!E:E,MATCH($N574,data!$A:$A,0)))</f>
        <v/>
      </c>
      <c r="AQ574" s="38" t="str">
        <f>IF(ISNA(MATCH($N574,data!$A:$A,0)),"",INDEX(data!F:F,MATCH($N574,data!$A:$A,0)))</f>
        <v/>
      </c>
      <c r="AR574" s="38" t="str">
        <f>IF(ISNA(MATCH($N574,data!$A:$A,0)),"",INDEX(data!G:G,MATCH($N574,data!$A:$A,0)))</f>
        <v/>
      </c>
      <c r="AS574" s="38" t="str">
        <f>IF(ISNA(MATCH($N574,data!$A:$A,0)),"",INDEX(data!H:H,MATCH($N574,data!$A:$A,0)))</f>
        <v/>
      </c>
      <c r="AT574" s="38" t="str">
        <f>IF(ISNA(MATCH($N574,data!$A:$A,0)),"",INDEX(data!I:I,MATCH($N574,data!$A:$A,0)))</f>
        <v/>
      </c>
      <c r="AU574" s="38" t="str">
        <f>IF(ISNA(MATCH($N574,[1]data!$A:$A,0)),"",INDEX([1]data!L:L,MATCH($N574,[1]data!$A:$A,0)))</f>
        <v/>
      </c>
      <c r="AV574" s="38" t="str">
        <f>IF(ISNA(MATCH($N574,[1]data!$A:$A,0)),"",INDEX([1]data!M:M,MATCH($N574,[1]data!$A:$A,0)))</f>
        <v/>
      </c>
      <c r="AW574" s="38" t="str">
        <f>IF(ISNA(MATCH($N574,data!$A:$A,0)),"",INDEX(data!J:J,MATCH($N574,data!$A:$A,0)))</f>
        <v/>
      </c>
      <c r="AX574" s="38" t="str">
        <f>IF(ISNA(MATCH($N574,data!$A:$A,0)),"",INDEX(data!K:K,MATCH($N574,data!$A:$A,0)))</f>
        <v/>
      </c>
      <c r="AY574" s="38" t="str">
        <f>IF(ISNA(MATCH($N574,data!$A:$A,0)),"",INDEX(data!O:O,MATCH($N574,data!$A:$A,0)))</f>
        <v/>
      </c>
      <c r="AZ574" s="38" t="str">
        <f>IF(ISNA(MATCH($N574,data!$A:$A,0)),"",INDEX(data!N:N,MATCH($N574,data!$A:$A,0)))</f>
        <v/>
      </c>
      <c r="BA574" s="38" t="str">
        <f>IF(ISNA(MATCH($N574,data!$A:$A,0)),"",INDEX(data!P:P,MATCH($N574,data!$A:$A,0)))</f>
        <v/>
      </c>
      <c r="BB574" s="38" t="str">
        <f>IF(ISNA(MATCH($N574,data!$A:$A,0)),"",INDEX(data!Q:Q,MATCH($N574,data!$A:$A,0)))</f>
        <v/>
      </c>
      <c r="BC574" s="38" t="str">
        <f>IF(ISNA(MATCH($N574,data!$A:$A,0)),"",INDEX(data!R:R,MATCH($N574,data!$A:$A,0)))</f>
        <v/>
      </c>
      <c r="BD574" s="38" t="str">
        <f>IF(ISNA(MATCH($N574,[1]data!$A:$A,0)),"",INDEX([1]data!U:U,MATCH($N574,[1]data!$A:$A,0)))</f>
        <v/>
      </c>
      <c r="BE574" s="61" t="e">
        <f>IF(COUNTIF([1]data!A:A,[1]!Table1[[#This Row],[UPC]])&lt;2,"","DUP")</f>
        <v>#VALUE!</v>
      </c>
      <c r="BF574" s="38" t="str">
        <f>IF(ISNA(MATCH($N574,data!$A:$A,0)),"",INDEX(data!W:W,MATCH($N574,data!$A:$A,0)))</f>
        <v/>
      </c>
    </row>
    <row r="575" spans="1:58">
      <c r="A575" s="35"/>
      <c r="B575" s="35"/>
      <c r="C575" s="35"/>
      <c r="D575" s="35"/>
      <c r="E575" s="67"/>
      <c r="F575" s="67"/>
      <c r="G575" s="36"/>
      <c r="H575" s="29"/>
      <c r="I575" s="78" t="str">
        <f t="shared" si="12"/>
        <v/>
      </c>
      <c r="J575" s="29"/>
      <c r="K575" s="29"/>
      <c r="L575" s="33"/>
      <c r="M575" s="33"/>
      <c r="N575" s="60"/>
      <c r="O575" s="71"/>
      <c r="P575" s="71"/>
      <c r="Q575" s="33"/>
      <c r="R575" s="31"/>
      <c r="S575" s="31"/>
      <c r="T575" s="59"/>
      <c r="U575" s="59"/>
      <c r="V575" s="59"/>
      <c r="W575" s="57">
        <f t="shared" si="13"/>
        <v>0</v>
      </c>
      <c r="X575" s="126" t="str">
        <f>IF(Table1[[#This Row],[Shipping Weight Pounds]]&gt;150,"See LTL Form","No")</f>
        <v>No</v>
      </c>
      <c r="Y575" s="28"/>
      <c r="Z575" s="33"/>
      <c r="AA575" s="34"/>
      <c r="AB575" s="30"/>
      <c r="AC575" s="30"/>
      <c r="AD575" s="32"/>
      <c r="AE575" s="32"/>
      <c r="AF575" s="2"/>
      <c r="AG575" s="2"/>
      <c r="AH575" s="2"/>
      <c r="AI575" s="2"/>
      <c r="AK575" s="73" t="str">
        <f>IF(ISNA(MATCH($N575,[1]data!$A:$A,0)),"",INDEX([1]data!S:S,MATCH($N575,[1]data!$A:$A,0)))</f>
        <v/>
      </c>
      <c r="AL575" s="73" t="str">
        <f>IF(ISNA(MATCH($N575,[1]data!$A:$A,0)),"",INDEX([1]data!V:V,MATCH($N575,[1]data!$A:$A,0)))</f>
        <v/>
      </c>
      <c r="AM575" s="38" t="str">
        <f>IF(ISNA(MATCH($N575,data!$A:$A,0)),"",INDEX(data!B:B,MATCH($N575,data!$A:$A,0)))</f>
        <v/>
      </c>
      <c r="AN575" s="38" t="str">
        <f>IF(ISNA(MATCH($N575,data!$A:$A,0)),"",INDEX(data!C:C,MATCH($N575,data!$A:$A,0)))</f>
        <v/>
      </c>
      <c r="AO575" s="38" t="str">
        <f>IF(ISNA(MATCH($N575,data!$A:$A,0)),"",INDEX(data!D:D,MATCH($N575,data!$A:$A,0)))</f>
        <v/>
      </c>
      <c r="AP575" s="38" t="str">
        <f>IF(ISNA(MATCH($N575,data!$A:$A,0)),"",INDEX(data!E:E,MATCH($N575,data!$A:$A,0)))</f>
        <v/>
      </c>
      <c r="AQ575" s="38" t="str">
        <f>IF(ISNA(MATCH($N575,data!$A:$A,0)),"",INDEX(data!F:F,MATCH($N575,data!$A:$A,0)))</f>
        <v/>
      </c>
      <c r="AR575" s="38" t="str">
        <f>IF(ISNA(MATCH($N575,data!$A:$A,0)),"",INDEX(data!G:G,MATCH($N575,data!$A:$A,0)))</f>
        <v/>
      </c>
      <c r="AS575" s="38" t="str">
        <f>IF(ISNA(MATCH($N575,data!$A:$A,0)),"",INDEX(data!H:H,MATCH($N575,data!$A:$A,0)))</f>
        <v/>
      </c>
      <c r="AT575" s="38" t="str">
        <f>IF(ISNA(MATCH($N575,data!$A:$A,0)),"",INDEX(data!I:I,MATCH($N575,data!$A:$A,0)))</f>
        <v/>
      </c>
      <c r="AU575" s="38" t="str">
        <f>IF(ISNA(MATCH($N575,[1]data!$A:$A,0)),"",INDEX([1]data!L:L,MATCH($N575,[1]data!$A:$A,0)))</f>
        <v/>
      </c>
      <c r="AV575" s="38" t="str">
        <f>IF(ISNA(MATCH($N575,[1]data!$A:$A,0)),"",INDEX([1]data!M:M,MATCH($N575,[1]data!$A:$A,0)))</f>
        <v/>
      </c>
      <c r="AW575" s="38" t="str">
        <f>IF(ISNA(MATCH($N575,data!$A:$A,0)),"",INDEX(data!J:J,MATCH($N575,data!$A:$A,0)))</f>
        <v/>
      </c>
      <c r="AX575" s="38" t="str">
        <f>IF(ISNA(MATCH($N575,data!$A:$A,0)),"",INDEX(data!K:K,MATCH($N575,data!$A:$A,0)))</f>
        <v/>
      </c>
      <c r="AY575" s="38" t="str">
        <f>IF(ISNA(MATCH($N575,data!$A:$A,0)),"",INDEX(data!O:O,MATCH($N575,data!$A:$A,0)))</f>
        <v/>
      </c>
      <c r="AZ575" s="38" t="str">
        <f>IF(ISNA(MATCH($N575,data!$A:$A,0)),"",INDEX(data!N:N,MATCH($N575,data!$A:$A,0)))</f>
        <v/>
      </c>
      <c r="BA575" s="38" t="str">
        <f>IF(ISNA(MATCH($N575,data!$A:$A,0)),"",INDEX(data!P:P,MATCH($N575,data!$A:$A,0)))</f>
        <v/>
      </c>
      <c r="BB575" s="38" t="str">
        <f>IF(ISNA(MATCH($N575,data!$A:$A,0)),"",INDEX(data!Q:Q,MATCH($N575,data!$A:$A,0)))</f>
        <v/>
      </c>
      <c r="BC575" s="38" t="str">
        <f>IF(ISNA(MATCH($N575,data!$A:$A,0)),"",INDEX(data!R:R,MATCH($N575,data!$A:$A,0)))</f>
        <v/>
      </c>
      <c r="BD575" s="38" t="str">
        <f>IF(ISNA(MATCH($N575,[1]data!$A:$A,0)),"",INDEX([1]data!U:U,MATCH($N575,[1]data!$A:$A,0)))</f>
        <v/>
      </c>
      <c r="BE575" s="61" t="e">
        <f>IF(COUNTIF([1]data!A:A,[1]!Table1[[#This Row],[UPC]])&lt;2,"","DUP")</f>
        <v>#VALUE!</v>
      </c>
      <c r="BF575" s="38" t="str">
        <f>IF(ISNA(MATCH($N575,data!$A:$A,0)),"",INDEX(data!W:W,MATCH($N575,data!$A:$A,0)))</f>
        <v/>
      </c>
    </row>
    <row r="576" spans="1:58">
      <c r="A576" s="35"/>
      <c r="B576" s="35"/>
      <c r="C576" s="35"/>
      <c r="D576" s="35"/>
      <c r="E576" s="67"/>
      <c r="F576" s="67"/>
      <c r="G576" s="36"/>
      <c r="H576" s="29"/>
      <c r="I576" s="78" t="str">
        <f t="shared" si="12"/>
        <v/>
      </c>
      <c r="J576" s="29"/>
      <c r="K576" s="29"/>
      <c r="L576" s="33"/>
      <c r="M576" s="33"/>
      <c r="N576" s="60"/>
      <c r="O576" s="71"/>
      <c r="P576" s="71"/>
      <c r="Q576" s="33"/>
      <c r="R576" s="31"/>
      <c r="S576" s="31"/>
      <c r="T576" s="59"/>
      <c r="U576" s="59"/>
      <c r="V576" s="59"/>
      <c r="W576" s="57">
        <f t="shared" si="13"/>
        <v>0</v>
      </c>
      <c r="X576" s="126" t="str">
        <f>IF(Table1[[#This Row],[Shipping Weight Pounds]]&gt;150,"See LTL Form","No")</f>
        <v>No</v>
      </c>
      <c r="Y576" s="28"/>
      <c r="Z576" s="33"/>
      <c r="AA576" s="34"/>
      <c r="AB576" s="30"/>
      <c r="AC576" s="30"/>
      <c r="AD576" s="32"/>
      <c r="AE576" s="32"/>
      <c r="AF576" s="2"/>
      <c r="AG576" s="2"/>
      <c r="AH576" s="2"/>
      <c r="AI576" s="2"/>
      <c r="AK576" s="73" t="str">
        <f>IF(ISNA(MATCH($N576,[1]data!$A:$A,0)),"",INDEX([1]data!S:S,MATCH($N576,[1]data!$A:$A,0)))</f>
        <v/>
      </c>
      <c r="AL576" s="73" t="str">
        <f>IF(ISNA(MATCH($N576,[1]data!$A:$A,0)),"",INDEX([1]data!V:V,MATCH($N576,[1]data!$A:$A,0)))</f>
        <v/>
      </c>
      <c r="AM576" s="38" t="str">
        <f>IF(ISNA(MATCH($N576,data!$A:$A,0)),"",INDEX(data!B:B,MATCH($N576,data!$A:$A,0)))</f>
        <v/>
      </c>
      <c r="AN576" s="38" t="str">
        <f>IF(ISNA(MATCH($N576,data!$A:$A,0)),"",INDEX(data!C:C,MATCH($N576,data!$A:$A,0)))</f>
        <v/>
      </c>
      <c r="AO576" s="38" t="str">
        <f>IF(ISNA(MATCH($N576,data!$A:$A,0)),"",INDEX(data!D:D,MATCH($N576,data!$A:$A,0)))</f>
        <v/>
      </c>
      <c r="AP576" s="38" t="str">
        <f>IF(ISNA(MATCH($N576,data!$A:$A,0)),"",INDEX(data!E:E,MATCH($N576,data!$A:$A,0)))</f>
        <v/>
      </c>
      <c r="AQ576" s="38" t="str">
        <f>IF(ISNA(MATCH($N576,data!$A:$A,0)),"",INDEX(data!F:F,MATCH($N576,data!$A:$A,0)))</f>
        <v/>
      </c>
      <c r="AR576" s="38" t="str">
        <f>IF(ISNA(MATCH($N576,data!$A:$A,0)),"",INDEX(data!G:G,MATCH($N576,data!$A:$A,0)))</f>
        <v/>
      </c>
      <c r="AS576" s="38" t="str">
        <f>IF(ISNA(MATCH($N576,data!$A:$A,0)),"",INDEX(data!H:H,MATCH($N576,data!$A:$A,0)))</f>
        <v/>
      </c>
      <c r="AT576" s="38" t="str">
        <f>IF(ISNA(MATCH($N576,data!$A:$A,0)),"",INDEX(data!I:I,MATCH($N576,data!$A:$A,0)))</f>
        <v/>
      </c>
      <c r="AU576" s="38" t="str">
        <f>IF(ISNA(MATCH($N576,[1]data!$A:$A,0)),"",INDEX([1]data!L:L,MATCH($N576,[1]data!$A:$A,0)))</f>
        <v/>
      </c>
      <c r="AV576" s="38" t="str">
        <f>IF(ISNA(MATCH($N576,[1]data!$A:$A,0)),"",INDEX([1]data!M:M,MATCH($N576,[1]data!$A:$A,0)))</f>
        <v/>
      </c>
      <c r="AW576" s="38" t="str">
        <f>IF(ISNA(MATCH($N576,data!$A:$A,0)),"",INDEX(data!J:J,MATCH($N576,data!$A:$A,0)))</f>
        <v/>
      </c>
      <c r="AX576" s="38" t="str">
        <f>IF(ISNA(MATCH($N576,data!$A:$A,0)),"",INDEX(data!K:K,MATCH($N576,data!$A:$A,0)))</f>
        <v/>
      </c>
      <c r="AY576" s="38" t="str">
        <f>IF(ISNA(MATCH($N576,data!$A:$A,0)),"",INDEX(data!O:O,MATCH($N576,data!$A:$A,0)))</f>
        <v/>
      </c>
      <c r="AZ576" s="38" t="str">
        <f>IF(ISNA(MATCH($N576,data!$A:$A,0)),"",INDEX(data!N:N,MATCH($N576,data!$A:$A,0)))</f>
        <v/>
      </c>
      <c r="BA576" s="38" t="str">
        <f>IF(ISNA(MATCH($N576,data!$A:$A,0)),"",INDEX(data!P:P,MATCH($N576,data!$A:$A,0)))</f>
        <v/>
      </c>
      <c r="BB576" s="38" t="str">
        <f>IF(ISNA(MATCH($N576,data!$A:$A,0)),"",INDEX(data!Q:Q,MATCH($N576,data!$A:$A,0)))</f>
        <v/>
      </c>
      <c r="BC576" s="38" t="str">
        <f>IF(ISNA(MATCH($N576,data!$A:$A,0)),"",INDEX(data!R:R,MATCH($N576,data!$A:$A,0)))</f>
        <v/>
      </c>
      <c r="BD576" s="38" t="str">
        <f>IF(ISNA(MATCH($N576,[1]data!$A:$A,0)),"",INDEX([1]data!U:U,MATCH($N576,[1]data!$A:$A,0)))</f>
        <v/>
      </c>
      <c r="BE576" s="61" t="e">
        <f>IF(COUNTIF([1]data!A:A,[1]!Table1[[#This Row],[UPC]])&lt;2,"","DUP")</f>
        <v>#VALUE!</v>
      </c>
      <c r="BF576" s="38" t="str">
        <f>IF(ISNA(MATCH($N576,data!$A:$A,0)),"",INDEX(data!W:W,MATCH($N576,data!$A:$A,0)))</f>
        <v/>
      </c>
    </row>
    <row r="577" spans="1:58">
      <c r="A577" s="35"/>
      <c r="B577" s="35"/>
      <c r="C577" s="35"/>
      <c r="D577" s="35"/>
      <c r="E577" s="67"/>
      <c r="F577" s="67"/>
      <c r="G577" s="36"/>
      <c r="H577" s="29"/>
      <c r="I577" s="78" t="str">
        <f t="shared" si="12"/>
        <v/>
      </c>
      <c r="J577" s="29"/>
      <c r="K577" s="29"/>
      <c r="L577" s="33"/>
      <c r="M577" s="33"/>
      <c r="N577" s="60"/>
      <c r="O577" s="71"/>
      <c r="P577" s="71"/>
      <c r="Q577" s="33"/>
      <c r="R577" s="31"/>
      <c r="S577" s="31"/>
      <c r="T577" s="59"/>
      <c r="U577" s="59"/>
      <c r="V577" s="59"/>
      <c r="W577" s="57">
        <f t="shared" si="13"/>
        <v>0</v>
      </c>
      <c r="X577" s="126" t="str">
        <f>IF(Table1[[#This Row],[Shipping Weight Pounds]]&gt;150,"See LTL Form","No")</f>
        <v>No</v>
      </c>
      <c r="Y577" s="28"/>
      <c r="Z577" s="33"/>
      <c r="AA577" s="34"/>
      <c r="AB577" s="30"/>
      <c r="AC577" s="30"/>
      <c r="AD577" s="32"/>
      <c r="AE577" s="32"/>
      <c r="AF577" s="2"/>
      <c r="AG577" s="2"/>
      <c r="AH577" s="2"/>
      <c r="AI577" s="2"/>
      <c r="AK577" s="73" t="str">
        <f>IF(ISNA(MATCH($N577,[1]data!$A:$A,0)),"",INDEX([1]data!S:S,MATCH($N577,[1]data!$A:$A,0)))</f>
        <v/>
      </c>
      <c r="AL577" s="73" t="str">
        <f>IF(ISNA(MATCH($N577,[1]data!$A:$A,0)),"",INDEX([1]data!V:V,MATCH($N577,[1]data!$A:$A,0)))</f>
        <v/>
      </c>
      <c r="AM577" s="38" t="str">
        <f>IF(ISNA(MATCH($N577,data!$A:$A,0)),"",INDEX(data!B:B,MATCH($N577,data!$A:$A,0)))</f>
        <v/>
      </c>
      <c r="AN577" s="38" t="str">
        <f>IF(ISNA(MATCH($N577,data!$A:$A,0)),"",INDEX(data!C:C,MATCH($N577,data!$A:$A,0)))</f>
        <v/>
      </c>
      <c r="AO577" s="38" t="str">
        <f>IF(ISNA(MATCH($N577,data!$A:$A,0)),"",INDEX(data!D:D,MATCH($N577,data!$A:$A,0)))</f>
        <v/>
      </c>
      <c r="AP577" s="38" t="str">
        <f>IF(ISNA(MATCH($N577,data!$A:$A,0)),"",INDEX(data!E:E,MATCH($N577,data!$A:$A,0)))</f>
        <v/>
      </c>
      <c r="AQ577" s="38" t="str">
        <f>IF(ISNA(MATCH($N577,data!$A:$A,0)),"",INDEX(data!F:F,MATCH($N577,data!$A:$A,0)))</f>
        <v/>
      </c>
      <c r="AR577" s="38" t="str">
        <f>IF(ISNA(MATCH($N577,data!$A:$A,0)),"",INDEX(data!G:G,MATCH($N577,data!$A:$A,0)))</f>
        <v/>
      </c>
      <c r="AS577" s="38" t="str">
        <f>IF(ISNA(MATCH($N577,data!$A:$A,0)),"",INDEX(data!H:H,MATCH($N577,data!$A:$A,0)))</f>
        <v/>
      </c>
      <c r="AT577" s="38" t="str">
        <f>IF(ISNA(MATCH($N577,data!$A:$A,0)),"",INDEX(data!I:I,MATCH($N577,data!$A:$A,0)))</f>
        <v/>
      </c>
      <c r="AU577" s="38" t="str">
        <f>IF(ISNA(MATCH($N577,[1]data!$A:$A,0)),"",INDEX([1]data!L:L,MATCH($N577,[1]data!$A:$A,0)))</f>
        <v/>
      </c>
      <c r="AV577" s="38" t="str">
        <f>IF(ISNA(MATCH($N577,[1]data!$A:$A,0)),"",INDEX([1]data!M:M,MATCH($N577,[1]data!$A:$A,0)))</f>
        <v/>
      </c>
      <c r="AW577" s="38" t="str">
        <f>IF(ISNA(MATCH($N577,data!$A:$A,0)),"",INDEX(data!J:J,MATCH($N577,data!$A:$A,0)))</f>
        <v/>
      </c>
      <c r="AX577" s="38" t="str">
        <f>IF(ISNA(MATCH($N577,data!$A:$A,0)),"",INDEX(data!K:K,MATCH($N577,data!$A:$A,0)))</f>
        <v/>
      </c>
      <c r="AY577" s="38" t="str">
        <f>IF(ISNA(MATCH($N577,data!$A:$A,0)),"",INDEX(data!O:O,MATCH($N577,data!$A:$A,0)))</f>
        <v/>
      </c>
      <c r="AZ577" s="38" t="str">
        <f>IF(ISNA(MATCH($N577,data!$A:$A,0)),"",INDEX(data!N:N,MATCH($N577,data!$A:$A,0)))</f>
        <v/>
      </c>
      <c r="BA577" s="38" t="str">
        <f>IF(ISNA(MATCH($N577,data!$A:$A,0)),"",INDEX(data!P:P,MATCH($N577,data!$A:$A,0)))</f>
        <v/>
      </c>
      <c r="BB577" s="38" t="str">
        <f>IF(ISNA(MATCH($N577,data!$A:$A,0)),"",INDEX(data!Q:Q,MATCH($N577,data!$A:$A,0)))</f>
        <v/>
      </c>
      <c r="BC577" s="38" t="str">
        <f>IF(ISNA(MATCH($N577,data!$A:$A,0)),"",INDEX(data!R:R,MATCH($N577,data!$A:$A,0)))</f>
        <v/>
      </c>
      <c r="BD577" s="38" t="str">
        <f>IF(ISNA(MATCH($N577,[1]data!$A:$A,0)),"",INDEX([1]data!U:U,MATCH($N577,[1]data!$A:$A,0)))</f>
        <v/>
      </c>
      <c r="BE577" s="61" t="e">
        <f>IF(COUNTIF([1]data!A:A,[1]!Table1[[#This Row],[UPC]])&lt;2,"","DUP")</f>
        <v>#VALUE!</v>
      </c>
      <c r="BF577" s="38" t="str">
        <f>IF(ISNA(MATCH($N577,data!$A:$A,0)),"",INDEX(data!W:W,MATCH($N577,data!$A:$A,0)))</f>
        <v/>
      </c>
    </row>
    <row r="578" spans="1:58">
      <c r="A578" s="35"/>
      <c r="B578" s="35"/>
      <c r="C578" s="35"/>
      <c r="D578" s="35"/>
      <c r="E578" s="67"/>
      <c r="F578" s="67"/>
      <c r="G578" s="36"/>
      <c r="H578" s="29"/>
      <c r="I578" s="78" t="str">
        <f t="shared" si="12"/>
        <v/>
      </c>
      <c r="J578" s="29"/>
      <c r="K578" s="29"/>
      <c r="L578" s="33"/>
      <c r="M578" s="33"/>
      <c r="N578" s="60"/>
      <c r="O578" s="71"/>
      <c r="P578" s="71"/>
      <c r="Q578" s="33"/>
      <c r="R578" s="31"/>
      <c r="S578" s="31"/>
      <c r="T578" s="59"/>
      <c r="U578" s="59"/>
      <c r="V578" s="59"/>
      <c r="W578" s="57">
        <f t="shared" si="13"/>
        <v>0</v>
      </c>
      <c r="X578" s="126" t="str">
        <f>IF(Table1[[#This Row],[Shipping Weight Pounds]]&gt;150,"See LTL Form","No")</f>
        <v>No</v>
      </c>
      <c r="Y578" s="28"/>
      <c r="Z578" s="33"/>
      <c r="AA578" s="34"/>
      <c r="AB578" s="30"/>
      <c r="AC578" s="30"/>
      <c r="AD578" s="32"/>
      <c r="AE578" s="32"/>
      <c r="AF578" s="2"/>
      <c r="AG578" s="2"/>
      <c r="AH578" s="2"/>
      <c r="AI578" s="2"/>
      <c r="AK578" s="73" t="str">
        <f>IF(ISNA(MATCH($N578,[1]data!$A:$A,0)),"",INDEX([1]data!S:S,MATCH($N578,[1]data!$A:$A,0)))</f>
        <v/>
      </c>
      <c r="AL578" s="73" t="str">
        <f>IF(ISNA(MATCH($N578,[1]data!$A:$A,0)),"",INDEX([1]data!V:V,MATCH($N578,[1]data!$A:$A,0)))</f>
        <v/>
      </c>
      <c r="AM578" s="38" t="str">
        <f>IF(ISNA(MATCH($N578,data!$A:$A,0)),"",INDEX(data!B:B,MATCH($N578,data!$A:$A,0)))</f>
        <v/>
      </c>
      <c r="AN578" s="38" t="str">
        <f>IF(ISNA(MATCH($N578,data!$A:$A,0)),"",INDEX(data!C:C,MATCH($N578,data!$A:$A,0)))</f>
        <v/>
      </c>
      <c r="AO578" s="38" t="str">
        <f>IF(ISNA(MATCH($N578,data!$A:$A,0)),"",INDEX(data!D:D,MATCH($N578,data!$A:$A,0)))</f>
        <v/>
      </c>
      <c r="AP578" s="38" t="str">
        <f>IF(ISNA(MATCH($N578,data!$A:$A,0)),"",INDEX(data!E:E,MATCH($N578,data!$A:$A,0)))</f>
        <v/>
      </c>
      <c r="AQ578" s="38" t="str">
        <f>IF(ISNA(MATCH($N578,data!$A:$A,0)),"",INDEX(data!F:F,MATCH($N578,data!$A:$A,0)))</f>
        <v/>
      </c>
      <c r="AR578" s="38" t="str">
        <f>IF(ISNA(MATCH($N578,data!$A:$A,0)),"",INDEX(data!G:G,MATCH($N578,data!$A:$A,0)))</f>
        <v/>
      </c>
      <c r="AS578" s="38" t="str">
        <f>IF(ISNA(MATCH($N578,data!$A:$A,0)),"",INDEX(data!H:H,MATCH($N578,data!$A:$A,0)))</f>
        <v/>
      </c>
      <c r="AT578" s="38" t="str">
        <f>IF(ISNA(MATCH($N578,data!$A:$A,0)),"",INDEX(data!I:I,MATCH($N578,data!$A:$A,0)))</f>
        <v/>
      </c>
      <c r="AU578" s="38" t="str">
        <f>IF(ISNA(MATCH($N578,[1]data!$A:$A,0)),"",INDEX([1]data!L:L,MATCH($N578,[1]data!$A:$A,0)))</f>
        <v/>
      </c>
      <c r="AV578" s="38" t="str">
        <f>IF(ISNA(MATCH($N578,[1]data!$A:$A,0)),"",INDEX([1]data!M:M,MATCH($N578,[1]data!$A:$A,0)))</f>
        <v/>
      </c>
      <c r="AW578" s="38" t="str">
        <f>IF(ISNA(MATCH($N578,data!$A:$A,0)),"",INDEX(data!J:J,MATCH($N578,data!$A:$A,0)))</f>
        <v/>
      </c>
      <c r="AX578" s="38" t="str">
        <f>IF(ISNA(MATCH($N578,data!$A:$A,0)),"",INDEX(data!K:K,MATCH($N578,data!$A:$A,0)))</f>
        <v/>
      </c>
      <c r="AY578" s="38" t="str">
        <f>IF(ISNA(MATCH($N578,data!$A:$A,0)),"",INDEX(data!O:O,MATCH($N578,data!$A:$A,0)))</f>
        <v/>
      </c>
      <c r="AZ578" s="38" t="str">
        <f>IF(ISNA(MATCH($N578,data!$A:$A,0)),"",INDEX(data!N:N,MATCH($N578,data!$A:$A,0)))</f>
        <v/>
      </c>
      <c r="BA578" s="38" t="str">
        <f>IF(ISNA(MATCH($N578,data!$A:$A,0)),"",INDEX(data!P:P,MATCH($N578,data!$A:$A,0)))</f>
        <v/>
      </c>
      <c r="BB578" s="38" t="str">
        <f>IF(ISNA(MATCH($N578,data!$A:$A,0)),"",INDEX(data!Q:Q,MATCH($N578,data!$A:$A,0)))</f>
        <v/>
      </c>
      <c r="BC578" s="38" t="str">
        <f>IF(ISNA(MATCH($N578,data!$A:$A,0)),"",INDEX(data!R:R,MATCH($N578,data!$A:$A,0)))</f>
        <v/>
      </c>
      <c r="BD578" s="38" t="str">
        <f>IF(ISNA(MATCH($N578,[1]data!$A:$A,0)),"",INDEX([1]data!U:U,MATCH($N578,[1]data!$A:$A,0)))</f>
        <v/>
      </c>
      <c r="BE578" s="61" t="e">
        <f>IF(COUNTIF([1]data!A:A,[1]!Table1[[#This Row],[UPC]])&lt;2,"","DUP")</f>
        <v>#VALUE!</v>
      </c>
      <c r="BF578" s="38" t="str">
        <f>IF(ISNA(MATCH($N578,data!$A:$A,0)),"",INDEX(data!W:W,MATCH($N578,data!$A:$A,0)))</f>
        <v/>
      </c>
    </row>
    <row r="579" spans="1:58">
      <c r="A579" s="35"/>
      <c r="B579" s="35"/>
      <c r="C579" s="35"/>
      <c r="D579" s="35"/>
      <c r="E579" s="67"/>
      <c r="F579" s="67"/>
      <c r="G579" s="36"/>
      <c r="H579" s="29"/>
      <c r="I579" s="78" t="str">
        <f t="shared" si="12"/>
        <v/>
      </c>
      <c r="J579" s="29"/>
      <c r="K579" s="29"/>
      <c r="L579" s="33"/>
      <c r="M579" s="33"/>
      <c r="N579" s="60"/>
      <c r="O579" s="71"/>
      <c r="P579" s="71"/>
      <c r="Q579" s="33"/>
      <c r="R579" s="31"/>
      <c r="S579" s="31"/>
      <c r="T579" s="59"/>
      <c r="U579" s="59"/>
      <c r="V579" s="59"/>
      <c r="W579" s="57">
        <f t="shared" si="13"/>
        <v>0</v>
      </c>
      <c r="X579" s="126" t="str">
        <f>IF(Table1[[#This Row],[Shipping Weight Pounds]]&gt;150,"See LTL Form","No")</f>
        <v>No</v>
      </c>
      <c r="Y579" s="28"/>
      <c r="Z579" s="33"/>
      <c r="AA579" s="34"/>
      <c r="AB579" s="30"/>
      <c r="AC579" s="30"/>
      <c r="AD579" s="32"/>
      <c r="AE579" s="32"/>
      <c r="AF579" s="2"/>
      <c r="AG579" s="2"/>
      <c r="AH579" s="2"/>
      <c r="AI579" s="2"/>
      <c r="AK579" s="73" t="str">
        <f>IF(ISNA(MATCH($N579,[1]data!$A:$A,0)),"",INDEX([1]data!S:S,MATCH($N579,[1]data!$A:$A,0)))</f>
        <v/>
      </c>
      <c r="AL579" s="73" t="str">
        <f>IF(ISNA(MATCH($N579,[1]data!$A:$A,0)),"",INDEX([1]data!V:V,MATCH($N579,[1]data!$A:$A,0)))</f>
        <v/>
      </c>
      <c r="AM579" s="38" t="str">
        <f>IF(ISNA(MATCH($N579,data!$A:$A,0)),"",INDEX(data!B:B,MATCH($N579,data!$A:$A,0)))</f>
        <v/>
      </c>
      <c r="AN579" s="38" t="str">
        <f>IF(ISNA(MATCH($N579,data!$A:$A,0)),"",INDEX(data!C:C,MATCH($N579,data!$A:$A,0)))</f>
        <v/>
      </c>
      <c r="AO579" s="38" t="str">
        <f>IF(ISNA(MATCH($N579,data!$A:$A,0)),"",INDEX(data!D:D,MATCH($N579,data!$A:$A,0)))</f>
        <v/>
      </c>
      <c r="AP579" s="38" t="str">
        <f>IF(ISNA(MATCH($N579,data!$A:$A,0)),"",INDEX(data!E:E,MATCH($N579,data!$A:$A,0)))</f>
        <v/>
      </c>
      <c r="AQ579" s="38" t="str">
        <f>IF(ISNA(MATCH($N579,data!$A:$A,0)),"",INDEX(data!F:F,MATCH($N579,data!$A:$A,0)))</f>
        <v/>
      </c>
      <c r="AR579" s="38" t="str">
        <f>IF(ISNA(MATCH($N579,data!$A:$A,0)),"",INDEX(data!G:G,MATCH($N579,data!$A:$A,0)))</f>
        <v/>
      </c>
      <c r="AS579" s="38" t="str">
        <f>IF(ISNA(MATCH($N579,data!$A:$A,0)),"",INDEX(data!H:H,MATCH($N579,data!$A:$A,0)))</f>
        <v/>
      </c>
      <c r="AT579" s="38" t="str">
        <f>IF(ISNA(MATCH($N579,data!$A:$A,0)),"",INDEX(data!I:I,MATCH($N579,data!$A:$A,0)))</f>
        <v/>
      </c>
      <c r="AU579" s="38" t="str">
        <f>IF(ISNA(MATCH($N579,[1]data!$A:$A,0)),"",INDEX([1]data!L:L,MATCH($N579,[1]data!$A:$A,0)))</f>
        <v/>
      </c>
      <c r="AV579" s="38" t="str">
        <f>IF(ISNA(MATCH($N579,[1]data!$A:$A,0)),"",INDEX([1]data!M:M,MATCH($N579,[1]data!$A:$A,0)))</f>
        <v/>
      </c>
      <c r="AW579" s="38" t="str">
        <f>IF(ISNA(MATCH($N579,data!$A:$A,0)),"",INDEX(data!J:J,MATCH($N579,data!$A:$A,0)))</f>
        <v/>
      </c>
      <c r="AX579" s="38" t="str">
        <f>IF(ISNA(MATCH($N579,data!$A:$A,0)),"",INDEX(data!K:K,MATCH($N579,data!$A:$A,0)))</f>
        <v/>
      </c>
      <c r="AY579" s="38" t="str">
        <f>IF(ISNA(MATCH($N579,data!$A:$A,0)),"",INDEX(data!O:O,MATCH($N579,data!$A:$A,0)))</f>
        <v/>
      </c>
      <c r="AZ579" s="38" t="str">
        <f>IF(ISNA(MATCH($N579,data!$A:$A,0)),"",INDEX(data!N:N,MATCH($N579,data!$A:$A,0)))</f>
        <v/>
      </c>
      <c r="BA579" s="38" t="str">
        <f>IF(ISNA(MATCH($N579,data!$A:$A,0)),"",INDEX(data!P:P,MATCH($N579,data!$A:$A,0)))</f>
        <v/>
      </c>
      <c r="BB579" s="38" t="str">
        <f>IF(ISNA(MATCH($N579,data!$A:$A,0)),"",INDEX(data!Q:Q,MATCH($N579,data!$A:$A,0)))</f>
        <v/>
      </c>
      <c r="BC579" s="38" t="str">
        <f>IF(ISNA(MATCH($N579,data!$A:$A,0)),"",INDEX(data!R:R,MATCH($N579,data!$A:$A,0)))</f>
        <v/>
      </c>
      <c r="BD579" s="38" t="str">
        <f>IF(ISNA(MATCH($N579,[1]data!$A:$A,0)),"",INDEX([1]data!U:U,MATCH($N579,[1]data!$A:$A,0)))</f>
        <v/>
      </c>
      <c r="BE579" s="61" t="e">
        <f>IF(COUNTIF([1]data!A:A,[1]!Table1[[#This Row],[UPC]])&lt;2,"","DUP")</f>
        <v>#VALUE!</v>
      </c>
      <c r="BF579" s="38" t="str">
        <f>IF(ISNA(MATCH($N579,data!$A:$A,0)),"",INDEX(data!W:W,MATCH($N579,data!$A:$A,0)))</f>
        <v/>
      </c>
    </row>
    <row r="580" spans="1:58">
      <c r="A580" s="35"/>
      <c r="B580" s="35"/>
      <c r="C580" s="35"/>
      <c r="D580" s="35"/>
      <c r="E580" s="67"/>
      <c r="F580" s="67"/>
      <c r="G580" s="36"/>
      <c r="H580" s="29"/>
      <c r="I580" s="78" t="str">
        <f t="shared" si="12"/>
        <v/>
      </c>
      <c r="J580" s="29"/>
      <c r="K580" s="29"/>
      <c r="L580" s="33"/>
      <c r="M580" s="33"/>
      <c r="N580" s="60"/>
      <c r="O580" s="71"/>
      <c r="P580" s="71"/>
      <c r="Q580" s="33"/>
      <c r="R580" s="31"/>
      <c r="S580" s="31"/>
      <c r="T580" s="59"/>
      <c r="U580" s="59"/>
      <c r="V580" s="59"/>
      <c r="W580" s="57">
        <f t="shared" si="13"/>
        <v>0</v>
      </c>
      <c r="X580" s="126" t="str">
        <f>IF(Table1[[#This Row],[Shipping Weight Pounds]]&gt;150,"See LTL Form","No")</f>
        <v>No</v>
      </c>
      <c r="Y580" s="28"/>
      <c r="Z580" s="33"/>
      <c r="AA580" s="34"/>
      <c r="AB580" s="30"/>
      <c r="AC580" s="30"/>
      <c r="AD580" s="32"/>
      <c r="AE580" s="32"/>
      <c r="AF580" s="2"/>
      <c r="AG580" s="2"/>
      <c r="AH580" s="2"/>
      <c r="AI580" s="2"/>
      <c r="AK580" s="73" t="str">
        <f>IF(ISNA(MATCH($N580,[1]data!$A:$A,0)),"",INDEX([1]data!S:S,MATCH($N580,[1]data!$A:$A,0)))</f>
        <v/>
      </c>
      <c r="AL580" s="73" t="str">
        <f>IF(ISNA(MATCH($N580,[1]data!$A:$A,0)),"",INDEX([1]data!V:V,MATCH($N580,[1]data!$A:$A,0)))</f>
        <v/>
      </c>
      <c r="AM580" s="38" t="str">
        <f>IF(ISNA(MATCH($N580,data!$A:$A,0)),"",INDEX(data!B:B,MATCH($N580,data!$A:$A,0)))</f>
        <v/>
      </c>
      <c r="AN580" s="38" t="str">
        <f>IF(ISNA(MATCH($N580,data!$A:$A,0)),"",INDEX(data!C:C,MATCH($N580,data!$A:$A,0)))</f>
        <v/>
      </c>
      <c r="AO580" s="38" t="str">
        <f>IF(ISNA(MATCH($N580,data!$A:$A,0)),"",INDEX(data!D:D,MATCH($N580,data!$A:$A,0)))</f>
        <v/>
      </c>
      <c r="AP580" s="38" t="str">
        <f>IF(ISNA(MATCH($N580,data!$A:$A,0)),"",INDEX(data!E:E,MATCH($N580,data!$A:$A,0)))</f>
        <v/>
      </c>
      <c r="AQ580" s="38" t="str">
        <f>IF(ISNA(MATCH($N580,data!$A:$A,0)),"",INDEX(data!F:F,MATCH($N580,data!$A:$A,0)))</f>
        <v/>
      </c>
      <c r="AR580" s="38" t="str">
        <f>IF(ISNA(MATCH($N580,data!$A:$A,0)),"",INDEX(data!G:G,MATCH($N580,data!$A:$A,0)))</f>
        <v/>
      </c>
      <c r="AS580" s="38" t="str">
        <f>IF(ISNA(MATCH($N580,data!$A:$A,0)),"",INDEX(data!H:H,MATCH($N580,data!$A:$A,0)))</f>
        <v/>
      </c>
      <c r="AT580" s="38" t="str">
        <f>IF(ISNA(MATCH($N580,data!$A:$A,0)),"",INDEX(data!I:I,MATCH($N580,data!$A:$A,0)))</f>
        <v/>
      </c>
      <c r="AU580" s="38" t="str">
        <f>IF(ISNA(MATCH($N580,[1]data!$A:$A,0)),"",INDEX([1]data!L:L,MATCH($N580,[1]data!$A:$A,0)))</f>
        <v/>
      </c>
      <c r="AV580" s="38" t="str">
        <f>IF(ISNA(MATCH($N580,[1]data!$A:$A,0)),"",INDEX([1]data!M:M,MATCH($N580,[1]data!$A:$A,0)))</f>
        <v/>
      </c>
      <c r="AW580" s="38" t="str">
        <f>IF(ISNA(MATCH($N580,data!$A:$A,0)),"",INDEX(data!J:J,MATCH($N580,data!$A:$A,0)))</f>
        <v/>
      </c>
      <c r="AX580" s="38" t="str">
        <f>IF(ISNA(MATCH($N580,data!$A:$A,0)),"",INDEX(data!K:K,MATCH($N580,data!$A:$A,0)))</f>
        <v/>
      </c>
      <c r="AY580" s="38" t="str">
        <f>IF(ISNA(MATCH($N580,data!$A:$A,0)),"",INDEX(data!O:O,MATCH($N580,data!$A:$A,0)))</f>
        <v/>
      </c>
      <c r="AZ580" s="38" t="str">
        <f>IF(ISNA(MATCH($N580,data!$A:$A,0)),"",INDEX(data!N:N,MATCH($N580,data!$A:$A,0)))</f>
        <v/>
      </c>
      <c r="BA580" s="38" t="str">
        <f>IF(ISNA(MATCH($N580,data!$A:$A,0)),"",INDEX(data!P:P,MATCH($N580,data!$A:$A,0)))</f>
        <v/>
      </c>
      <c r="BB580" s="38" t="str">
        <f>IF(ISNA(MATCH($N580,data!$A:$A,0)),"",INDEX(data!Q:Q,MATCH($N580,data!$A:$A,0)))</f>
        <v/>
      </c>
      <c r="BC580" s="38" t="str">
        <f>IF(ISNA(MATCH($N580,data!$A:$A,0)),"",INDEX(data!R:R,MATCH($N580,data!$A:$A,0)))</f>
        <v/>
      </c>
      <c r="BD580" s="38" t="str">
        <f>IF(ISNA(MATCH($N580,[1]data!$A:$A,0)),"",INDEX([1]data!U:U,MATCH($N580,[1]data!$A:$A,0)))</f>
        <v/>
      </c>
      <c r="BE580" s="61" t="e">
        <f>IF(COUNTIF([1]data!A:A,[1]!Table1[[#This Row],[UPC]])&lt;2,"","DUP")</f>
        <v>#VALUE!</v>
      </c>
      <c r="BF580" s="38" t="str">
        <f>IF(ISNA(MATCH($N580,data!$A:$A,0)),"",INDEX(data!W:W,MATCH($N580,data!$A:$A,0)))</f>
        <v/>
      </c>
    </row>
    <row r="581" spans="1:58">
      <c r="A581" s="35"/>
      <c r="B581" s="35"/>
      <c r="C581" s="35"/>
      <c r="D581" s="35"/>
      <c r="E581" s="67"/>
      <c r="F581" s="67"/>
      <c r="G581" s="36"/>
      <c r="H581" s="29"/>
      <c r="I581" s="78" t="str">
        <f t="shared" si="12"/>
        <v/>
      </c>
      <c r="J581" s="29"/>
      <c r="K581" s="29"/>
      <c r="L581" s="33"/>
      <c r="M581" s="33"/>
      <c r="N581" s="60"/>
      <c r="O581" s="71"/>
      <c r="P581" s="71"/>
      <c r="Q581" s="33"/>
      <c r="R581" s="31"/>
      <c r="S581" s="31"/>
      <c r="T581" s="59"/>
      <c r="U581" s="59"/>
      <c r="V581" s="59"/>
      <c r="W581" s="57">
        <f t="shared" si="13"/>
        <v>0</v>
      </c>
      <c r="X581" s="126" t="str">
        <f>IF(Table1[[#This Row],[Shipping Weight Pounds]]&gt;150,"See LTL Form","No")</f>
        <v>No</v>
      </c>
      <c r="Y581" s="28"/>
      <c r="Z581" s="33"/>
      <c r="AA581" s="34"/>
      <c r="AB581" s="30"/>
      <c r="AC581" s="30"/>
      <c r="AD581" s="32"/>
      <c r="AE581" s="32"/>
      <c r="AF581" s="2"/>
      <c r="AG581" s="2"/>
      <c r="AH581" s="2"/>
      <c r="AI581" s="2"/>
      <c r="AK581" s="73" t="str">
        <f>IF(ISNA(MATCH($N581,[1]data!$A:$A,0)),"",INDEX([1]data!S:S,MATCH($N581,[1]data!$A:$A,0)))</f>
        <v/>
      </c>
      <c r="AL581" s="73" t="str">
        <f>IF(ISNA(MATCH($N581,[1]data!$A:$A,0)),"",INDEX([1]data!V:V,MATCH($N581,[1]data!$A:$A,0)))</f>
        <v/>
      </c>
      <c r="AM581" s="38" t="str">
        <f>IF(ISNA(MATCH($N581,data!$A:$A,0)),"",INDEX(data!B:B,MATCH($N581,data!$A:$A,0)))</f>
        <v/>
      </c>
      <c r="AN581" s="38" t="str">
        <f>IF(ISNA(MATCH($N581,data!$A:$A,0)),"",INDEX(data!C:C,MATCH($N581,data!$A:$A,0)))</f>
        <v/>
      </c>
      <c r="AO581" s="38" t="str">
        <f>IF(ISNA(MATCH($N581,data!$A:$A,0)),"",INDEX(data!D:D,MATCH($N581,data!$A:$A,0)))</f>
        <v/>
      </c>
      <c r="AP581" s="38" t="str">
        <f>IF(ISNA(MATCH($N581,data!$A:$A,0)),"",INDEX(data!E:E,MATCH($N581,data!$A:$A,0)))</f>
        <v/>
      </c>
      <c r="AQ581" s="38" t="str">
        <f>IF(ISNA(MATCH($N581,data!$A:$A,0)),"",INDEX(data!F:F,MATCH($N581,data!$A:$A,0)))</f>
        <v/>
      </c>
      <c r="AR581" s="38" t="str">
        <f>IF(ISNA(MATCH($N581,data!$A:$A,0)),"",INDEX(data!G:G,MATCH($N581,data!$A:$A,0)))</f>
        <v/>
      </c>
      <c r="AS581" s="38" t="str">
        <f>IF(ISNA(MATCH($N581,data!$A:$A,0)),"",INDEX(data!H:H,MATCH($N581,data!$A:$A,0)))</f>
        <v/>
      </c>
      <c r="AT581" s="38" t="str">
        <f>IF(ISNA(MATCH($N581,data!$A:$A,0)),"",INDEX(data!I:I,MATCH($N581,data!$A:$A,0)))</f>
        <v/>
      </c>
      <c r="AU581" s="38" t="str">
        <f>IF(ISNA(MATCH($N581,[1]data!$A:$A,0)),"",INDEX([1]data!L:L,MATCH($N581,[1]data!$A:$A,0)))</f>
        <v/>
      </c>
      <c r="AV581" s="38" t="str">
        <f>IF(ISNA(MATCH($N581,[1]data!$A:$A,0)),"",INDEX([1]data!M:M,MATCH($N581,[1]data!$A:$A,0)))</f>
        <v/>
      </c>
      <c r="AW581" s="38" t="str">
        <f>IF(ISNA(MATCH($N581,data!$A:$A,0)),"",INDEX(data!J:J,MATCH($N581,data!$A:$A,0)))</f>
        <v/>
      </c>
      <c r="AX581" s="38" t="str">
        <f>IF(ISNA(MATCH($N581,data!$A:$A,0)),"",INDEX(data!K:K,MATCH($N581,data!$A:$A,0)))</f>
        <v/>
      </c>
      <c r="AY581" s="38" t="str">
        <f>IF(ISNA(MATCH($N581,data!$A:$A,0)),"",INDEX(data!O:O,MATCH($N581,data!$A:$A,0)))</f>
        <v/>
      </c>
      <c r="AZ581" s="38" t="str">
        <f>IF(ISNA(MATCH($N581,data!$A:$A,0)),"",INDEX(data!N:N,MATCH($N581,data!$A:$A,0)))</f>
        <v/>
      </c>
      <c r="BA581" s="38" t="str">
        <f>IF(ISNA(MATCH($N581,data!$A:$A,0)),"",INDEX(data!P:P,MATCH($N581,data!$A:$A,0)))</f>
        <v/>
      </c>
      <c r="BB581" s="38" t="str">
        <f>IF(ISNA(MATCH($N581,data!$A:$A,0)),"",INDEX(data!Q:Q,MATCH($N581,data!$A:$A,0)))</f>
        <v/>
      </c>
      <c r="BC581" s="38" t="str">
        <f>IF(ISNA(MATCH($N581,data!$A:$A,0)),"",INDEX(data!R:R,MATCH($N581,data!$A:$A,0)))</f>
        <v/>
      </c>
      <c r="BD581" s="38" t="str">
        <f>IF(ISNA(MATCH($N581,[1]data!$A:$A,0)),"",INDEX([1]data!U:U,MATCH($N581,[1]data!$A:$A,0)))</f>
        <v/>
      </c>
      <c r="BE581" s="61" t="e">
        <f>IF(COUNTIF([1]data!A:A,[1]!Table1[[#This Row],[UPC]])&lt;2,"","DUP")</f>
        <v>#VALUE!</v>
      </c>
      <c r="BF581" s="38" t="str">
        <f>IF(ISNA(MATCH($N581,data!$A:$A,0)),"",INDEX(data!W:W,MATCH($N581,data!$A:$A,0)))</f>
        <v/>
      </c>
    </row>
    <row r="582" spans="1:58">
      <c r="A582" s="35"/>
      <c r="B582" s="35"/>
      <c r="C582" s="35"/>
      <c r="D582" s="35"/>
      <c r="E582" s="67"/>
      <c r="F582" s="67"/>
      <c r="G582" s="36"/>
      <c r="H582" s="29"/>
      <c r="I582" s="78" t="str">
        <f t="shared" si="12"/>
        <v/>
      </c>
      <c r="J582" s="29"/>
      <c r="K582" s="29"/>
      <c r="L582" s="33"/>
      <c r="M582" s="33"/>
      <c r="N582" s="60"/>
      <c r="O582" s="71"/>
      <c r="P582" s="71"/>
      <c r="Q582" s="33"/>
      <c r="R582" s="31"/>
      <c r="S582" s="31"/>
      <c r="T582" s="59"/>
      <c r="U582" s="59"/>
      <c r="V582" s="59"/>
      <c r="W582" s="57">
        <f t="shared" si="13"/>
        <v>0</v>
      </c>
      <c r="X582" s="126" t="str">
        <f>IF(Table1[[#This Row],[Shipping Weight Pounds]]&gt;150,"See LTL Form","No")</f>
        <v>No</v>
      </c>
      <c r="Y582" s="28"/>
      <c r="Z582" s="33"/>
      <c r="AA582" s="34"/>
      <c r="AB582" s="30"/>
      <c r="AC582" s="30"/>
      <c r="AD582" s="32"/>
      <c r="AE582" s="32"/>
      <c r="AF582" s="2"/>
      <c r="AG582" s="2"/>
      <c r="AH582" s="2"/>
      <c r="AI582" s="2"/>
      <c r="AK582" s="73" t="str">
        <f>IF(ISNA(MATCH($N582,[1]data!$A:$A,0)),"",INDEX([1]data!S:S,MATCH($N582,[1]data!$A:$A,0)))</f>
        <v/>
      </c>
      <c r="AL582" s="73" t="str">
        <f>IF(ISNA(MATCH($N582,[1]data!$A:$A,0)),"",INDEX([1]data!V:V,MATCH($N582,[1]data!$A:$A,0)))</f>
        <v/>
      </c>
      <c r="AM582" s="38" t="str">
        <f>IF(ISNA(MATCH($N582,data!$A:$A,0)),"",INDEX(data!B:B,MATCH($N582,data!$A:$A,0)))</f>
        <v/>
      </c>
      <c r="AN582" s="38" t="str">
        <f>IF(ISNA(MATCH($N582,data!$A:$A,0)),"",INDEX(data!C:C,MATCH($N582,data!$A:$A,0)))</f>
        <v/>
      </c>
      <c r="AO582" s="38" t="str">
        <f>IF(ISNA(MATCH($N582,data!$A:$A,0)),"",INDEX(data!D:D,MATCH($N582,data!$A:$A,0)))</f>
        <v/>
      </c>
      <c r="AP582" s="38" t="str">
        <f>IF(ISNA(MATCH($N582,data!$A:$A,0)),"",INDEX(data!E:E,MATCH($N582,data!$A:$A,0)))</f>
        <v/>
      </c>
      <c r="AQ582" s="38" t="str">
        <f>IF(ISNA(MATCH($N582,data!$A:$A,0)),"",INDEX(data!F:F,MATCH($N582,data!$A:$A,0)))</f>
        <v/>
      </c>
      <c r="AR582" s="38" t="str">
        <f>IF(ISNA(MATCH($N582,data!$A:$A,0)),"",INDEX(data!G:G,MATCH($N582,data!$A:$A,0)))</f>
        <v/>
      </c>
      <c r="AS582" s="38" t="str">
        <f>IF(ISNA(MATCH($N582,data!$A:$A,0)),"",INDEX(data!H:H,MATCH($N582,data!$A:$A,0)))</f>
        <v/>
      </c>
      <c r="AT582" s="38" t="str">
        <f>IF(ISNA(MATCH($N582,data!$A:$A,0)),"",INDEX(data!I:I,MATCH($N582,data!$A:$A,0)))</f>
        <v/>
      </c>
      <c r="AU582" s="38" t="str">
        <f>IF(ISNA(MATCH($N582,[1]data!$A:$A,0)),"",INDEX([1]data!L:L,MATCH($N582,[1]data!$A:$A,0)))</f>
        <v/>
      </c>
      <c r="AV582" s="38" t="str">
        <f>IF(ISNA(MATCH($N582,[1]data!$A:$A,0)),"",INDEX([1]data!M:M,MATCH($N582,[1]data!$A:$A,0)))</f>
        <v/>
      </c>
      <c r="AW582" s="38" t="str">
        <f>IF(ISNA(MATCH($N582,data!$A:$A,0)),"",INDEX(data!J:J,MATCH($N582,data!$A:$A,0)))</f>
        <v/>
      </c>
      <c r="AX582" s="38" t="str">
        <f>IF(ISNA(MATCH($N582,data!$A:$A,0)),"",INDEX(data!K:K,MATCH($N582,data!$A:$A,0)))</f>
        <v/>
      </c>
      <c r="AY582" s="38" t="str">
        <f>IF(ISNA(MATCH($N582,data!$A:$A,0)),"",INDEX(data!O:O,MATCH($N582,data!$A:$A,0)))</f>
        <v/>
      </c>
      <c r="AZ582" s="38" t="str">
        <f>IF(ISNA(MATCH($N582,data!$A:$A,0)),"",INDEX(data!N:N,MATCH($N582,data!$A:$A,0)))</f>
        <v/>
      </c>
      <c r="BA582" s="38" t="str">
        <f>IF(ISNA(MATCH($N582,data!$A:$A,0)),"",INDEX(data!P:P,MATCH($N582,data!$A:$A,0)))</f>
        <v/>
      </c>
      <c r="BB582" s="38" t="str">
        <f>IF(ISNA(MATCH($N582,data!$A:$A,0)),"",INDEX(data!Q:Q,MATCH($N582,data!$A:$A,0)))</f>
        <v/>
      </c>
      <c r="BC582" s="38" t="str">
        <f>IF(ISNA(MATCH($N582,data!$A:$A,0)),"",INDEX(data!R:R,MATCH($N582,data!$A:$A,0)))</f>
        <v/>
      </c>
      <c r="BD582" s="38" t="str">
        <f>IF(ISNA(MATCH($N582,[1]data!$A:$A,0)),"",INDEX([1]data!U:U,MATCH($N582,[1]data!$A:$A,0)))</f>
        <v/>
      </c>
      <c r="BE582" s="61" t="e">
        <f>IF(COUNTIF([1]data!A:A,[1]!Table1[[#This Row],[UPC]])&lt;2,"","DUP")</f>
        <v>#VALUE!</v>
      </c>
      <c r="BF582" s="38" t="str">
        <f>IF(ISNA(MATCH($N582,data!$A:$A,0)),"",INDEX(data!W:W,MATCH($N582,data!$A:$A,0)))</f>
        <v/>
      </c>
    </row>
    <row r="583" spans="1:58">
      <c r="A583" s="35"/>
      <c r="B583" s="35"/>
      <c r="C583" s="35"/>
      <c r="D583" s="35"/>
      <c r="E583" s="67"/>
      <c r="F583" s="67"/>
      <c r="G583" s="36"/>
      <c r="H583" s="29"/>
      <c r="I583" s="78" t="str">
        <f t="shared" si="12"/>
        <v/>
      </c>
      <c r="J583" s="29"/>
      <c r="K583" s="29"/>
      <c r="L583" s="33"/>
      <c r="M583" s="33"/>
      <c r="N583" s="60"/>
      <c r="O583" s="71"/>
      <c r="P583" s="71"/>
      <c r="Q583" s="33"/>
      <c r="R583" s="31"/>
      <c r="S583" s="31"/>
      <c r="T583" s="59"/>
      <c r="U583" s="59"/>
      <c r="V583" s="59"/>
      <c r="W583" s="57">
        <f t="shared" si="13"/>
        <v>0</v>
      </c>
      <c r="X583" s="126" t="str">
        <f>IF(Table1[[#This Row],[Shipping Weight Pounds]]&gt;150,"See LTL Form","No")</f>
        <v>No</v>
      </c>
      <c r="Y583" s="28"/>
      <c r="Z583" s="33"/>
      <c r="AA583" s="34"/>
      <c r="AB583" s="30"/>
      <c r="AC583" s="30"/>
      <c r="AD583" s="32"/>
      <c r="AE583" s="32"/>
      <c r="AF583" s="2"/>
      <c r="AG583" s="2"/>
      <c r="AH583" s="2"/>
      <c r="AI583" s="2"/>
      <c r="AK583" s="73" t="str">
        <f>IF(ISNA(MATCH($N583,[1]data!$A:$A,0)),"",INDEX([1]data!S:S,MATCH($N583,[1]data!$A:$A,0)))</f>
        <v/>
      </c>
      <c r="AL583" s="73" t="str">
        <f>IF(ISNA(MATCH($N583,[1]data!$A:$A,0)),"",INDEX([1]data!V:V,MATCH($N583,[1]data!$A:$A,0)))</f>
        <v/>
      </c>
      <c r="AM583" s="38" t="str">
        <f>IF(ISNA(MATCH($N583,data!$A:$A,0)),"",INDEX(data!B:B,MATCH($N583,data!$A:$A,0)))</f>
        <v/>
      </c>
      <c r="AN583" s="38" t="str">
        <f>IF(ISNA(MATCH($N583,data!$A:$A,0)),"",INDEX(data!C:C,MATCH($N583,data!$A:$A,0)))</f>
        <v/>
      </c>
      <c r="AO583" s="38" t="str">
        <f>IF(ISNA(MATCH($N583,data!$A:$A,0)),"",INDEX(data!D:D,MATCH($N583,data!$A:$A,0)))</f>
        <v/>
      </c>
      <c r="AP583" s="38" t="str">
        <f>IF(ISNA(MATCH($N583,data!$A:$A,0)),"",INDEX(data!E:E,MATCH($N583,data!$A:$A,0)))</f>
        <v/>
      </c>
      <c r="AQ583" s="38" t="str">
        <f>IF(ISNA(MATCH($N583,data!$A:$A,0)),"",INDEX(data!F:F,MATCH($N583,data!$A:$A,0)))</f>
        <v/>
      </c>
      <c r="AR583" s="38" t="str">
        <f>IF(ISNA(MATCH($N583,data!$A:$A,0)),"",INDEX(data!G:G,MATCH($N583,data!$A:$A,0)))</f>
        <v/>
      </c>
      <c r="AS583" s="38" t="str">
        <f>IF(ISNA(MATCH($N583,data!$A:$A,0)),"",INDEX(data!H:H,MATCH($N583,data!$A:$A,0)))</f>
        <v/>
      </c>
      <c r="AT583" s="38" t="str">
        <f>IF(ISNA(MATCH($N583,data!$A:$A,0)),"",INDEX(data!I:I,MATCH($N583,data!$A:$A,0)))</f>
        <v/>
      </c>
      <c r="AU583" s="38" t="str">
        <f>IF(ISNA(MATCH($N583,[1]data!$A:$A,0)),"",INDEX([1]data!L:L,MATCH($N583,[1]data!$A:$A,0)))</f>
        <v/>
      </c>
      <c r="AV583" s="38" t="str">
        <f>IF(ISNA(MATCH($N583,[1]data!$A:$A,0)),"",INDEX([1]data!M:M,MATCH($N583,[1]data!$A:$A,0)))</f>
        <v/>
      </c>
      <c r="AW583" s="38" t="str">
        <f>IF(ISNA(MATCH($N583,data!$A:$A,0)),"",INDEX(data!J:J,MATCH($N583,data!$A:$A,0)))</f>
        <v/>
      </c>
      <c r="AX583" s="38" t="str">
        <f>IF(ISNA(MATCH($N583,data!$A:$A,0)),"",INDEX(data!K:K,MATCH($N583,data!$A:$A,0)))</f>
        <v/>
      </c>
      <c r="AY583" s="38" t="str">
        <f>IF(ISNA(MATCH($N583,data!$A:$A,0)),"",INDEX(data!O:O,MATCH($N583,data!$A:$A,0)))</f>
        <v/>
      </c>
      <c r="AZ583" s="38" t="str">
        <f>IF(ISNA(MATCH($N583,data!$A:$A,0)),"",INDEX(data!N:N,MATCH($N583,data!$A:$A,0)))</f>
        <v/>
      </c>
      <c r="BA583" s="38" t="str">
        <f>IF(ISNA(MATCH($N583,data!$A:$A,0)),"",INDEX(data!P:P,MATCH($N583,data!$A:$A,0)))</f>
        <v/>
      </c>
      <c r="BB583" s="38" t="str">
        <f>IF(ISNA(MATCH($N583,data!$A:$A,0)),"",INDEX(data!Q:Q,MATCH($N583,data!$A:$A,0)))</f>
        <v/>
      </c>
      <c r="BC583" s="38" t="str">
        <f>IF(ISNA(MATCH($N583,data!$A:$A,0)),"",INDEX(data!R:R,MATCH($N583,data!$A:$A,0)))</f>
        <v/>
      </c>
      <c r="BD583" s="38" t="str">
        <f>IF(ISNA(MATCH($N583,[1]data!$A:$A,0)),"",INDEX([1]data!U:U,MATCH($N583,[1]data!$A:$A,0)))</f>
        <v/>
      </c>
      <c r="BE583" s="61" t="e">
        <f>IF(COUNTIF([1]data!A:A,[1]!Table1[[#This Row],[UPC]])&lt;2,"","DUP")</f>
        <v>#VALUE!</v>
      </c>
      <c r="BF583" s="38" t="str">
        <f>IF(ISNA(MATCH($N583,data!$A:$A,0)),"",INDEX(data!W:W,MATCH($N583,data!$A:$A,0)))</f>
        <v/>
      </c>
    </row>
    <row r="584" spans="1:58">
      <c r="A584" s="35"/>
      <c r="B584" s="35"/>
      <c r="C584" s="35"/>
      <c r="D584" s="35"/>
      <c r="E584" s="67"/>
      <c r="F584" s="67"/>
      <c r="G584" s="36"/>
      <c r="H584" s="29"/>
      <c r="I584" s="78" t="str">
        <f t="shared" ref="I584:I647" si="14">IF(H584&lt;&gt;0,(H584-G584)/H584,"")</f>
        <v/>
      </c>
      <c r="J584" s="29"/>
      <c r="K584" s="29"/>
      <c r="L584" s="33"/>
      <c r="M584" s="33"/>
      <c r="N584" s="60"/>
      <c r="O584" s="71"/>
      <c r="P584" s="71"/>
      <c r="Q584" s="33"/>
      <c r="R584" s="31"/>
      <c r="S584" s="31"/>
      <c r="T584" s="59"/>
      <c r="U584" s="59"/>
      <c r="V584" s="59"/>
      <c r="W584" s="57">
        <f t="shared" ref="W584:W647" si="15">IF(ISERR(Q584*R584*S584),"",(Q584*R584*S584))</f>
        <v>0</v>
      </c>
      <c r="X584" s="126" t="str">
        <f>IF(Table1[[#This Row],[Shipping Weight Pounds]]&gt;150,"See LTL Form","No")</f>
        <v>No</v>
      </c>
      <c r="Y584" s="28"/>
      <c r="Z584" s="33"/>
      <c r="AA584" s="34"/>
      <c r="AB584" s="30"/>
      <c r="AC584" s="30"/>
      <c r="AD584" s="32"/>
      <c r="AE584" s="32"/>
      <c r="AF584" s="2"/>
      <c r="AG584" s="2"/>
      <c r="AH584" s="2"/>
      <c r="AI584" s="2"/>
      <c r="AK584" s="73" t="str">
        <f>IF(ISNA(MATCH($N584,[1]data!$A:$A,0)),"",INDEX([1]data!S:S,MATCH($N584,[1]data!$A:$A,0)))</f>
        <v/>
      </c>
      <c r="AL584" s="73" t="str">
        <f>IF(ISNA(MATCH($N584,[1]data!$A:$A,0)),"",INDEX([1]data!V:V,MATCH($N584,[1]data!$A:$A,0)))</f>
        <v/>
      </c>
      <c r="AM584" s="38" t="str">
        <f>IF(ISNA(MATCH($N584,data!$A:$A,0)),"",INDEX(data!B:B,MATCH($N584,data!$A:$A,0)))</f>
        <v/>
      </c>
      <c r="AN584" s="38" t="str">
        <f>IF(ISNA(MATCH($N584,data!$A:$A,0)),"",INDEX(data!C:C,MATCH($N584,data!$A:$A,0)))</f>
        <v/>
      </c>
      <c r="AO584" s="38" t="str">
        <f>IF(ISNA(MATCH($N584,data!$A:$A,0)),"",INDEX(data!D:D,MATCH($N584,data!$A:$A,0)))</f>
        <v/>
      </c>
      <c r="AP584" s="38" t="str">
        <f>IF(ISNA(MATCH($N584,data!$A:$A,0)),"",INDEX(data!E:E,MATCH($N584,data!$A:$A,0)))</f>
        <v/>
      </c>
      <c r="AQ584" s="38" t="str">
        <f>IF(ISNA(MATCH($N584,data!$A:$A,0)),"",INDEX(data!F:F,MATCH($N584,data!$A:$A,0)))</f>
        <v/>
      </c>
      <c r="AR584" s="38" t="str">
        <f>IF(ISNA(MATCH($N584,data!$A:$A,0)),"",INDEX(data!G:G,MATCH($N584,data!$A:$A,0)))</f>
        <v/>
      </c>
      <c r="AS584" s="38" t="str">
        <f>IF(ISNA(MATCH($N584,data!$A:$A,0)),"",INDEX(data!H:H,MATCH($N584,data!$A:$A,0)))</f>
        <v/>
      </c>
      <c r="AT584" s="38" t="str">
        <f>IF(ISNA(MATCH($N584,data!$A:$A,0)),"",INDEX(data!I:I,MATCH($N584,data!$A:$A,0)))</f>
        <v/>
      </c>
      <c r="AU584" s="38" t="str">
        <f>IF(ISNA(MATCH($N584,[1]data!$A:$A,0)),"",INDEX([1]data!L:L,MATCH($N584,[1]data!$A:$A,0)))</f>
        <v/>
      </c>
      <c r="AV584" s="38" t="str">
        <f>IF(ISNA(MATCH($N584,[1]data!$A:$A,0)),"",INDEX([1]data!M:M,MATCH($N584,[1]data!$A:$A,0)))</f>
        <v/>
      </c>
      <c r="AW584" s="38" t="str">
        <f>IF(ISNA(MATCH($N584,data!$A:$A,0)),"",INDEX(data!J:J,MATCH($N584,data!$A:$A,0)))</f>
        <v/>
      </c>
      <c r="AX584" s="38" t="str">
        <f>IF(ISNA(MATCH($N584,data!$A:$A,0)),"",INDEX(data!K:K,MATCH($N584,data!$A:$A,0)))</f>
        <v/>
      </c>
      <c r="AY584" s="38" t="str">
        <f>IF(ISNA(MATCH($N584,data!$A:$A,0)),"",INDEX(data!O:O,MATCH($N584,data!$A:$A,0)))</f>
        <v/>
      </c>
      <c r="AZ584" s="38" t="str">
        <f>IF(ISNA(MATCH($N584,data!$A:$A,0)),"",INDEX(data!N:N,MATCH($N584,data!$A:$A,0)))</f>
        <v/>
      </c>
      <c r="BA584" s="38" t="str">
        <f>IF(ISNA(MATCH($N584,data!$A:$A,0)),"",INDEX(data!P:P,MATCH($N584,data!$A:$A,0)))</f>
        <v/>
      </c>
      <c r="BB584" s="38" t="str">
        <f>IF(ISNA(MATCH($N584,data!$A:$A,0)),"",INDEX(data!Q:Q,MATCH($N584,data!$A:$A,0)))</f>
        <v/>
      </c>
      <c r="BC584" s="38" t="str">
        <f>IF(ISNA(MATCH($N584,data!$A:$A,0)),"",INDEX(data!R:R,MATCH($N584,data!$A:$A,0)))</f>
        <v/>
      </c>
      <c r="BD584" s="38" t="str">
        <f>IF(ISNA(MATCH($N584,[1]data!$A:$A,0)),"",INDEX([1]data!U:U,MATCH($N584,[1]data!$A:$A,0)))</f>
        <v/>
      </c>
      <c r="BE584" s="61" t="e">
        <f>IF(COUNTIF([1]data!A:A,[1]!Table1[[#This Row],[UPC]])&lt;2,"","DUP")</f>
        <v>#VALUE!</v>
      </c>
      <c r="BF584" s="38" t="str">
        <f>IF(ISNA(MATCH($N584,data!$A:$A,0)),"",INDEX(data!W:W,MATCH($N584,data!$A:$A,0)))</f>
        <v/>
      </c>
    </row>
    <row r="585" spans="1:58">
      <c r="A585" s="35"/>
      <c r="B585" s="35"/>
      <c r="C585" s="35"/>
      <c r="D585" s="35"/>
      <c r="E585" s="67"/>
      <c r="F585" s="67"/>
      <c r="G585" s="36"/>
      <c r="H585" s="29"/>
      <c r="I585" s="78" t="str">
        <f t="shared" si="14"/>
        <v/>
      </c>
      <c r="J585" s="29"/>
      <c r="K585" s="29"/>
      <c r="L585" s="33"/>
      <c r="M585" s="33"/>
      <c r="N585" s="60"/>
      <c r="O585" s="71"/>
      <c r="P585" s="71"/>
      <c r="Q585" s="33"/>
      <c r="R585" s="31"/>
      <c r="S585" s="31"/>
      <c r="T585" s="59"/>
      <c r="U585" s="59"/>
      <c r="V585" s="59"/>
      <c r="W585" s="57">
        <f t="shared" si="15"/>
        <v>0</v>
      </c>
      <c r="X585" s="126" t="str">
        <f>IF(Table1[[#This Row],[Shipping Weight Pounds]]&gt;150,"See LTL Form","No")</f>
        <v>No</v>
      </c>
      <c r="Y585" s="28"/>
      <c r="Z585" s="33"/>
      <c r="AA585" s="34"/>
      <c r="AB585" s="30"/>
      <c r="AC585" s="30"/>
      <c r="AD585" s="32"/>
      <c r="AE585" s="32"/>
      <c r="AF585" s="2"/>
      <c r="AG585" s="2"/>
      <c r="AH585" s="2"/>
      <c r="AI585" s="2"/>
      <c r="AK585" s="73" t="str">
        <f>IF(ISNA(MATCH($N585,[1]data!$A:$A,0)),"",INDEX([1]data!S:S,MATCH($N585,[1]data!$A:$A,0)))</f>
        <v/>
      </c>
      <c r="AL585" s="73" t="str">
        <f>IF(ISNA(MATCH($N585,[1]data!$A:$A,0)),"",INDEX([1]data!V:V,MATCH($N585,[1]data!$A:$A,0)))</f>
        <v/>
      </c>
      <c r="AM585" s="38" t="str">
        <f>IF(ISNA(MATCH($N585,data!$A:$A,0)),"",INDEX(data!B:B,MATCH($N585,data!$A:$A,0)))</f>
        <v/>
      </c>
      <c r="AN585" s="38" t="str">
        <f>IF(ISNA(MATCH($N585,data!$A:$A,0)),"",INDEX(data!C:C,MATCH($N585,data!$A:$A,0)))</f>
        <v/>
      </c>
      <c r="AO585" s="38" t="str">
        <f>IF(ISNA(MATCH($N585,data!$A:$A,0)),"",INDEX(data!D:D,MATCH($N585,data!$A:$A,0)))</f>
        <v/>
      </c>
      <c r="AP585" s="38" t="str">
        <f>IF(ISNA(MATCH($N585,data!$A:$A,0)),"",INDEX(data!E:E,MATCH($N585,data!$A:$A,0)))</f>
        <v/>
      </c>
      <c r="AQ585" s="38" t="str">
        <f>IF(ISNA(MATCH($N585,data!$A:$A,0)),"",INDEX(data!F:F,MATCH($N585,data!$A:$A,0)))</f>
        <v/>
      </c>
      <c r="AR585" s="38" t="str">
        <f>IF(ISNA(MATCH($N585,data!$A:$A,0)),"",INDEX(data!G:G,MATCH($N585,data!$A:$A,0)))</f>
        <v/>
      </c>
      <c r="AS585" s="38" t="str">
        <f>IF(ISNA(MATCH($N585,data!$A:$A,0)),"",INDEX(data!H:H,MATCH($N585,data!$A:$A,0)))</f>
        <v/>
      </c>
      <c r="AT585" s="38" t="str">
        <f>IF(ISNA(MATCH($N585,data!$A:$A,0)),"",INDEX(data!I:I,MATCH($N585,data!$A:$A,0)))</f>
        <v/>
      </c>
      <c r="AU585" s="38" t="str">
        <f>IF(ISNA(MATCH($N585,[1]data!$A:$A,0)),"",INDEX([1]data!L:L,MATCH($N585,[1]data!$A:$A,0)))</f>
        <v/>
      </c>
      <c r="AV585" s="38" t="str">
        <f>IF(ISNA(MATCH($N585,[1]data!$A:$A,0)),"",INDEX([1]data!M:M,MATCH($N585,[1]data!$A:$A,0)))</f>
        <v/>
      </c>
      <c r="AW585" s="38" t="str">
        <f>IF(ISNA(MATCH($N585,data!$A:$A,0)),"",INDEX(data!J:J,MATCH($N585,data!$A:$A,0)))</f>
        <v/>
      </c>
      <c r="AX585" s="38" t="str">
        <f>IF(ISNA(MATCH($N585,data!$A:$A,0)),"",INDEX(data!K:K,MATCH($N585,data!$A:$A,0)))</f>
        <v/>
      </c>
      <c r="AY585" s="38" t="str">
        <f>IF(ISNA(MATCH($N585,data!$A:$A,0)),"",INDEX(data!O:O,MATCH($N585,data!$A:$A,0)))</f>
        <v/>
      </c>
      <c r="AZ585" s="38" t="str">
        <f>IF(ISNA(MATCH($N585,data!$A:$A,0)),"",INDEX(data!N:N,MATCH($N585,data!$A:$A,0)))</f>
        <v/>
      </c>
      <c r="BA585" s="38" t="str">
        <f>IF(ISNA(MATCH($N585,data!$A:$A,0)),"",INDEX(data!P:P,MATCH($N585,data!$A:$A,0)))</f>
        <v/>
      </c>
      <c r="BB585" s="38" t="str">
        <f>IF(ISNA(MATCH($N585,data!$A:$A,0)),"",INDEX(data!Q:Q,MATCH($N585,data!$A:$A,0)))</f>
        <v/>
      </c>
      <c r="BC585" s="38" t="str">
        <f>IF(ISNA(MATCH($N585,data!$A:$A,0)),"",INDEX(data!R:R,MATCH($N585,data!$A:$A,0)))</f>
        <v/>
      </c>
      <c r="BD585" s="38" t="str">
        <f>IF(ISNA(MATCH($N585,[1]data!$A:$A,0)),"",INDEX([1]data!U:U,MATCH($N585,[1]data!$A:$A,0)))</f>
        <v/>
      </c>
      <c r="BE585" s="61" t="e">
        <f>IF(COUNTIF([1]data!A:A,[1]!Table1[[#This Row],[UPC]])&lt;2,"","DUP")</f>
        <v>#VALUE!</v>
      </c>
      <c r="BF585" s="38" t="str">
        <f>IF(ISNA(MATCH($N585,data!$A:$A,0)),"",INDEX(data!W:W,MATCH($N585,data!$A:$A,0)))</f>
        <v/>
      </c>
    </row>
    <row r="586" spans="1:58">
      <c r="A586" s="35"/>
      <c r="B586" s="35"/>
      <c r="C586" s="35"/>
      <c r="D586" s="35"/>
      <c r="E586" s="67"/>
      <c r="F586" s="67"/>
      <c r="G586" s="36"/>
      <c r="H586" s="29"/>
      <c r="I586" s="78" t="str">
        <f t="shared" si="14"/>
        <v/>
      </c>
      <c r="J586" s="29"/>
      <c r="K586" s="29"/>
      <c r="L586" s="33"/>
      <c r="M586" s="33"/>
      <c r="N586" s="60"/>
      <c r="O586" s="71"/>
      <c r="P586" s="71"/>
      <c r="Q586" s="33"/>
      <c r="R586" s="31"/>
      <c r="S586" s="31"/>
      <c r="T586" s="59"/>
      <c r="U586" s="59"/>
      <c r="V586" s="59"/>
      <c r="W586" s="57">
        <f t="shared" si="15"/>
        <v>0</v>
      </c>
      <c r="X586" s="126" t="str">
        <f>IF(Table1[[#This Row],[Shipping Weight Pounds]]&gt;150,"See LTL Form","No")</f>
        <v>No</v>
      </c>
      <c r="Y586" s="28"/>
      <c r="Z586" s="33"/>
      <c r="AA586" s="34"/>
      <c r="AB586" s="30"/>
      <c r="AC586" s="30"/>
      <c r="AD586" s="32"/>
      <c r="AE586" s="32"/>
      <c r="AF586" s="2"/>
      <c r="AG586" s="2"/>
      <c r="AH586" s="2"/>
      <c r="AI586" s="2"/>
      <c r="AK586" s="73" t="str">
        <f>IF(ISNA(MATCH($N586,[1]data!$A:$A,0)),"",INDEX([1]data!S:S,MATCH($N586,[1]data!$A:$A,0)))</f>
        <v/>
      </c>
      <c r="AL586" s="73" t="str">
        <f>IF(ISNA(MATCH($N586,[1]data!$A:$A,0)),"",INDEX([1]data!V:V,MATCH($N586,[1]data!$A:$A,0)))</f>
        <v/>
      </c>
      <c r="AM586" s="38" t="str">
        <f>IF(ISNA(MATCH($N586,data!$A:$A,0)),"",INDEX(data!B:B,MATCH($N586,data!$A:$A,0)))</f>
        <v/>
      </c>
      <c r="AN586" s="38" t="str">
        <f>IF(ISNA(MATCH($N586,data!$A:$A,0)),"",INDEX(data!C:C,MATCH($N586,data!$A:$A,0)))</f>
        <v/>
      </c>
      <c r="AO586" s="38" t="str">
        <f>IF(ISNA(MATCH($N586,data!$A:$A,0)),"",INDEX(data!D:D,MATCH($N586,data!$A:$A,0)))</f>
        <v/>
      </c>
      <c r="AP586" s="38" t="str">
        <f>IF(ISNA(MATCH($N586,data!$A:$A,0)),"",INDEX(data!E:E,MATCH($N586,data!$A:$A,0)))</f>
        <v/>
      </c>
      <c r="AQ586" s="38" t="str">
        <f>IF(ISNA(MATCH($N586,data!$A:$A,0)),"",INDEX(data!F:F,MATCH($N586,data!$A:$A,0)))</f>
        <v/>
      </c>
      <c r="AR586" s="38" t="str">
        <f>IF(ISNA(MATCH($N586,data!$A:$A,0)),"",INDEX(data!G:G,MATCH($N586,data!$A:$A,0)))</f>
        <v/>
      </c>
      <c r="AS586" s="38" t="str">
        <f>IF(ISNA(MATCH($N586,data!$A:$A,0)),"",INDEX(data!H:H,MATCH($N586,data!$A:$A,0)))</f>
        <v/>
      </c>
      <c r="AT586" s="38" t="str">
        <f>IF(ISNA(MATCH($N586,data!$A:$A,0)),"",INDEX(data!I:I,MATCH($N586,data!$A:$A,0)))</f>
        <v/>
      </c>
      <c r="AU586" s="38" t="str">
        <f>IF(ISNA(MATCH($N586,[1]data!$A:$A,0)),"",INDEX([1]data!L:L,MATCH($N586,[1]data!$A:$A,0)))</f>
        <v/>
      </c>
      <c r="AV586" s="38" t="str">
        <f>IF(ISNA(MATCH($N586,[1]data!$A:$A,0)),"",INDEX([1]data!M:M,MATCH($N586,[1]data!$A:$A,0)))</f>
        <v/>
      </c>
      <c r="AW586" s="38" t="str">
        <f>IF(ISNA(MATCH($N586,data!$A:$A,0)),"",INDEX(data!J:J,MATCH($N586,data!$A:$A,0)))</f>
        <v/>
      </c>
      <c r="AX586" s="38" t="str">
        <f>IF(ISNA(MATCH($N586,data!$A:$A,0)),"",INDEX(data!K:K,MATCH($N586,data!$A:$A,0)))</f>
        <v/>
      </c>
      <c r="AY586" s="38" t="str">
        <f>IF(ISNA(MATCH($N586,data!$A:$A,0)),"",INDEX(data!O:O,MATCH($N586,data!$A:$A,0)))</f>
        <v/>
      </c>
      <c r="AZ586" s="38" t="str">
        <f>IF(ISNA(MATCH($N586,data!$A:$A,0)),"",INDEX(data!N:N,MATCH($N586,data!$A:$A,0)))</f>
        <v/>
      </c>
      <c r="BA586" s="38" t="str">
        <f>IF(ISNA(MATCH($N586,data!$A:$A,0)),"",INDEX(data!P:P,MATCH($N586,data!$A:$A,0)))</f>
        <v/>
      </c>
      <c r="BB586" s="38" t="str">
        <f>IF(ISNA(MATCH($N586,data!$A:$A,0)),"",INDEX(data!Q:Q,MATCH($N586,data!$A:$A,0)))</f>
        <v/>
      </c>
      <c r="BC586" s="38" t="str">
        <f>IF(ISNA(MATCH($N586,data!$A:$A,0)),"",INDEX(data!R:R,MATCH($N586,data!$A:$A,0)))</f>
        <v/>
      </c>
      <c r="BD586" s="38" t="str">
        <f>IF(ISNA(MATCH($N586,[1]data!$A:$A,0)),"",INDEX([1]data!U:U,MATCH($N586,[1]data!$A:$A,0)))</f>
        <v/>
      </c>
      <c r="BE586" s="61" t="e">
        <f>IF(COUNTIF([1]data!A:A,[1]!Table1[[#This Row],[UPC]])&lt;2,"","DUP")</f>
        <v>#VALUE!</v>
      </c>
      <c r="BF586" s="38" t="str">
        <f>IF(ISNA(MATCH($N586,data!$A:$A,0)),"",INDEX(data!W:W,MATCH($N586,data!$A:$A,0)))</f>
        <v/>
      </c>
    </row>
    <row r="587" spans="1:58">
      <c r="A587" s="35"/>
      <c r="B587" s="35"/>
      <c r="C587" s="35"/>
      <c r="D587" s="35"/>
      <c r="E587" s="67"/>
      <c r="F587" s="67"/>
      <c r="G587" s="36"/>
      <c r="H587" s="29"/>
      <c r="I587" s="78" t="str">
        <f t="shared" si="14"/>
        <v/>
      </c>
      <c r="J587" s="29"/>
      <c r="K587" s="29"/>
      <c r="L587" s="33"/>
      <c r="M587" s="33"/>
      <c r="N587" s="60"/>
      <c r="O587" s="71"/>
      <c r="P587" s="71"/>
      <c r="Q587" s="33"/>
      <c r="R587" s="31"/>
      <c r="S587" s="31"/>
      <c r="T587" s="59"/>
      <c r="U587" s="59"/>
      <c r="V587" s="59"/>
      <c r="W587" s="57">
        <f t="shared" si="15"/>
        <v>0</v>
      </c>
      <c r="X587" s="126" t="str">
        <f>IF(Table1[[#This Row],[Shipping Weight Pounds]]&gt;150,"See LTL Form","No")</f>
        <v>No</v>
      </c>
      <c r="Y587" s="28"/>
      <c r="Z587" s="33"/>
      <c r="AA587" s="34"/>
      <c r="AB587" s="30"/>
      <c r="AC587" s="30"/>
      <c r="AD587" s="32"/>
      <c r="AE587" s="32"/>
      <c r="AF587" s="2"/>
      <c r="AG587" s="2"/>
      <c r="AH587" s="2"/>
      <c r="AI587" s="2"/>
      <c r="AK587" s="73" t="str">
        <f>IF(ISNA(MATCH($N587,[1]data!$A:$A,0)),"",INDEX([1]data!S:S,MATCH($N587,[1]data!$A:$A,0)))</f>
        <v/>
      </c>
      <c r="AL587" s="73" t="str">
        <f>IF(ISNA(MATCH($N587,[1]data!$A:$A,0)),"",INDEX([1]data!V:V,MATCH($N587,[1]data!$A:$A,0)))</f>
        <v/>
      </c>
      <c r="AM587" s="38" t="str">
        <f>IF(ISNA(MATCH($N587,data!$A:$A,0)),"",INDEX(data!B:B,MATCH($N587,data!$A:$A,0)))</f>
        <v/>
      </c>
      <c r="AN587" s="38" t="str">
        <f>IF(ISNA(MATCH($N587,data!$A:$A,0)),"",INDEX(data!C:C,MATCH($N587,data!$A:$A,0)))</f>
        <v/>
      </c>
      <c r="AO587" s="38" t="str">
        <f>IF(ISNA(MATCH($N587,data!$A:$A,0)),"",INDEX(data!D:D,MATCH($N587,data!$A:$A,0)))</f>
        <v/>
      </c>
      <c r="AP587" s="38" t="str">
        <f>IF(ISNA(MATCH($N587,data!$A:$A,0)),"",INDEX(data!E:E,MATCH($N587,data!$A:$A,0)))</f>
        <v/>
      </c>
      <c r="AQ587" s="38" t="str">
        <f>IF(ISNA(MATCH($N587,data!$A:$A,0)),"",INDEX(data!F:F,MATCH($N587,data!$A:$A,0)))</f>
        <v/>
      </c>
      <c r="AR587" s="38" t="str">
        <f>IF(ISNA(MATCH($N587,data!$A:$A,0)),"",INDEX(data!G:G,MATCH($N587,data!$A:$A,0)))</f>
        <v/>
      </c>
      <c r="AS587" s="38" t="str">
        <f>IF(ISNA(MATCH($N587,data!$A:$A,0)),"",INDEX(data!H:H,MATCH($N587,data!$A:$A,0)))</f>
        <v/>
      </c>
      <c r="AT587" s="38" t="str">
        <f>IF(ISNA(MATCH($N587,data!$A:$A,0)),"",INDEX(data!I:I,MATCH($N587,data!$A:$A,0)))</f>
        <v/>
      </c>
      <c r="AU587" s="38" t="str">
        <f>IF(ISNA(MATCH($N587,[1]data!$A:$A,0)),"",INDEX([1]data!L:L,MATCH($N587,[1]data!$A:$A,0)))</f>
        <v/>
      </c>
      <c r="AV587" s="38" t="str">
        <f>IF(ISNA(MATCH($N587,[1]data!$A:$A,0)),"",INDEX([1]data!M:M,MATCH($N587,[1]data!$A:$A,0)))</f>
        <v/>
      </c>
      <c r="AW587" s="38" t="str">
        <f>IF(ISNA(MATCH($N587,data!$A:$A,0)),"",INDEX(data!J:J,MATCH($N587,data!$A:$A,0)))</f>
        <v/>
      </c>
      <c r="AX587" s="38" t="str">
        <f>IF(ISNA(MATCH($N587,data!$A:$A,0)),"",INDEX(data!K:K,MATCH($N587,data!$A:$A,0)))</f>
        <v/>
      </c>
      <c r="AY587" s="38" t="str">
        <f>IF(ISNA(MATCH($N587,data!$A:$A,0)),"",INDEX(data!O:O,MATCH($N587,data!$A:$A,0)))</f>
        <v/>
      </c>
      <c r="AZ587" s="38" t="str">
        <f>IF(ISNA(MATCH($N587,data!$A:$A,0)),"",INDEX(data!N:N,MATCH($N587,data!$A:$A,0)))</f>
        <v/>
      </c>
      <c r="BA587" s="38" t="str">
        <f>IF(ISNA(MATCH($N587,data!$A:$A,0)),"",INDEX(data!P:P,MATCH($N587,data!$A:$A,0)))</f>
        <v/>
      </c>
      <c r="BB587" s="38" t="str">
        <f>IF(ISNA(MATCH($N587,data!$A:$A,0)),"",INDEX(data!Q:Q,MATCH($N587,data!$A:$A,0)))</f>
        <v/>
      </c>
      <c r="BC587" s="38" t="str">
        <f>IF(ISNA(MATCH($N587,data!$A:$A,0)),"",INDEX(data!R:R,MATCH($N587,data!$A:$A,0)))</f>
        <v/>
      </c>
      <c r="BD587" s="38" t="str">
        <f>IF(ISNA(MATCH($N587,[1]data!$A:$A,0)),"",INDEX([1]data!U:U,MATCH($N587,[1]data!$A:$A,0)))</f>
        <v/>
      </c>
      <c r="BE587" s="61" t="e">
        <f>IF(COUNTIF([1]data!A:A,[1]!Table1[[#This Row],[UPC]])&lt;2,"","DUP")</f>
        <v>#VALUE!</v>
      </c>
      <c r="BF587" s="38" t="str">
        <f>IF(ISNA(MATCH($N587,data!$A:$A,0)),"",INDEX(data!W:W,MATCH($N587,data!$A:$A,0)))</f>
        <v/>
      </c>
    </row>
    <row r="588" spans="1:58">
      <c r="A588" s="35"/>
      <c r="B588" s="35"/>
      <c r="C588" s="35"/>
      <c r="D588" s="35"/>
      <c r="E588" s="67"/>
      <c r="F588" s="67"/>
      <c r="G588" s="36"/>
      <c r="H588" s="29"/>
      <c r="I588" s="78" t="str">
        <f t="shared" si="14"/>
        <v/>
      </c>
      <c r="J588" s="29"/>
      <c r="K588" s="29"/>
      <c r="L588" s="33"/>
      <c r="M588" s="33"/>
      <c r="N588" s="60"/>
      <c r="O588" s="71"/>
      <c r="P588" s="71"/>
      <c r="Q588" s="33"/>
      <c r="R588" s="31"/>
      <c r="S588" s="31"/>
      <c r="T588" s="59"/>
      <c r="U588" s="59"/>
      <c r="V588" s="59"/>
      <c r="W588" s="57">
        <f t="shared" si="15"/>
        <v>0</v>
      </c>
      <c r="X588" s="126" t="str">
        <f>IF(Table1[[#This Row],[Shipping Weight Pounds]]&gt;150,"See LTL Form","No")</f>
        <v>No</v>
      </c>
      <c r="Y588" s="28"/>
      <c r="Z588" s="33"/>
      <c r="AA588" s="34"/>
      <c r="AB588" s="30"/>
      <c r="AC588" s="30"/>
      <c r="AD588" s="32"/>
      <c r="AE588" s="32"/>
      <c r="AF588" s="2"/>
      <c r="AG588" s="2"/>
      <c r="AH588" s="2"/>
      <c r="AI588" s="2"/>
      <c r="AK588" s="73" t="str">
        <f>IF(ISNA(MATCH($N588,[1]data!$A:$A,0)),"",INDEX([1]data!S:S,MATCH($N588,[1]data!$A:$A,0)))</f>
        <v/>
      </c>
      <c r="AL588" s="73" t="str">
        <f>IF(ISNA(MATCH($N588,[1]data!$A:$A,0)),"",INDEX([1]data!V:V,MATCH($N588,[1]data!$A:$A,0)))</f>
        <v/>
      </c>
      <c r="AM588" s="38" t="str">
        <f>IF(ISNA(MATCH($N588,data!$A:$A,0)),"",INDEX(data!B:B,MATCH($N588,data!$A:$A,0)))</f>
        <v/>
      </c>
      <c r="AN588" s="38" t="str">
        <f>IF(ISNA(MATCH($N588,data!$A:$A,0)),"",INDEX(data!C:C,MATCH($N588,data!$A:$A,0)))</f>
        <v/>
      </c>
      <c r="AO588" s="38" t="str">
        <f>IF(ISNA(MATCH($N588,data!$A:$A,0)),"",INDEX(data!D:D,MATCH($N588,data!$A:$A,0)))</f>
        <v/>
      </c>
      <c r="AP588" s="38" t="str">
        <f>IF(ISNA(MATCH($N588,data!$A:$A,0)),"",INDEX(data!E:E,MATCH($N588,data!$A:$A,0)))</f>
        <v/>
      </c>
      <c r="AQ588" s="38" t="str">
        <f>IF(ISNA(MATCH($N588,data!$A:$A,0)),"",INDEX(data!F:F,MATCH($N588,data!$A:$A,0)))</f>
        <v/>
      </c>
      <c r="AR588" s="38" t="str">
        <f>IF(ISNA(MATCH($N588,data!$A:$A,0)),"",INDEX(data!G:G,MATCH($N588,data!$A:$A,0)))</f>
        <v/>
      </c>
      <c r="AS588" s="38" t="str">
        <f>IF(ISNA(MATCH($N588,data!$A:$A,0)),"",INDEX(data!H:H,MATCH($N588,data!$A:$A,0)))</f>
        <v/>
      </c>
      <c r="AT588" s="38" t="str">
        <f>IF(ISNA(MATCH($N588,data!$A:$A,0)),"",INDEX(data!I:I,MATCH($N588,data!$A:$A,0)))</f>
        <v/>
      </c>
      <c r="AU588" s="38" t="str">
        <f>IF(ISNA(MATCH($N588,[1]data!$A:$A,0)),"",INDEX([1]data!L:L,MATCH($N588,[1]data!$A:$A,0)))</f>
        <v/>
      </c>
      <c r="AV588" s="38" t="str">
        <f>IF(ISNA(MATCH($N588,[1]data!$A:$A,0)),"",INDEX([1]data!M:M,MATCH($N588,[1]data!$A:$A,0)))</f>
        <v/>
      </c>
      <c r="AW588" s="38" t="str">
        <f>IF(ISNA(MATCH($N588,data!$A:$A,0)),"",INDEX(data!J:J,MATCH($N588,data!$A:$A,0)))</f>
        <v/>
      </c>
      <c r="AX588" s="38" t="str">
        <f>IF(ISNA(MATCH($N588,data!$A:$A,0)),"",INDEX(data!K:K,MATCH($N588,data!$A:$A,0)))</f>
        <v/>
      </c>
      <c r="AY588" s="38" t="str">
        <f>IF(ISNA(MATCH($N588,data!$A:$A,0)),"",INDEX(data!O:O,MATCH($N588,data!$A:$A,0)))</f>
        <v/>
      </c>
      <c r="AZ588" s="38" t="str">
        <f>IF(ISNA(MATCH($N588,data!$A:$A,0)),"",INDEX(data!N:N,MATCH($N588,data!$A:$A,0)))</f>
        <v/>
      </c>
      <c r="BA588" s="38" t="str">
        <f>IF(ISNA(MATCH($N588,data!$A:$A,0)),"",INDEX(data!P:P,MATCH($N588,data!$A:$A,0)))</f>
        <v/>
      </c>
      <c r="BB588" s="38" t="str">
        <f>IF(ISNA(MATCH($N588,data!$A:$A,0)),"",INDEX(data!Q:Q,MATCH($N588,data!$A:$A,0)))</f>
        <v/>
      </c>
      <c r="BC588" s="38" t="str">
        <f>IF(ISNA(MATCH($N588,data!$A:$A,0)),"",INDEX(data!R:R,MATCH($N588,data!$A:$A,0)))</f>
        <v/>
      </c>
      <c r="BD588" s="38" t="str">
        <f>IF(ISNA(MATCH($N588,[1]data!$A:$A,0)),"",INDEX([1]data!U:U,MATCH($N588,[1]data!$A:$A,0)))</f>
        <v/>
      </c>
      <c r="BE588" s="61" t="e">
        <f>IF(COUNTIF([1]data!A:A,[1]!Table1[[#This Row],[UPC]])&lt;2,"","DUP")</f>
        <v>#VALUE!</v>
      </c>
      <c r="BF588" s="38" t="str">
        <f>IF(ISNA(MATCH($N588,data!$A:$A,0)),"",INDEX(data!W:W,MATCH($N588,data!$A:$A,0)))</f>
        <v/>
      </c>
    </row>
    <row r="589" spans="1:58">
      <c r="A589" s="35"/>
      <c r="B589" s="35"/>
      <c r="C589" s="35"/>
      <c r="D589" s="35"/>
      <c r="E589" s="67"/>
      <c r="F589" s="67"/>
      <c r="G589" s="36"/>
      <c r="H589" s="29"/>
      <c r="I589" s="78" t="str">
        <f t="shared" si="14"/>
        <v/>
      </c>
      <c r="J589" s="29"/>
      <c r="K589" s="29"/>
      <c r="L589" s="33"/>
      <c r="M589" s="33"/>
      <c r="N589" s="60"/>
      <c r="O589" s="71"/>
      <c r="P589" s="71"/>
      <c r="Q589" s="33"/>
      <c r="R589" s="31"/>
      <c r="S589" s="31"/>
      <c r="T589" s="59"/>
      <c r="U589" s="59"/>
      <c r="V589" s="59"/>
      <c r="W589" s="57">
        <f t="shared" si="15"/>
        <v>0</v>
      </c>
      <c r="X589" s="126" t="str">
        <f>IF(Table1[[#This Row],[Shipping Weight Pounds]]&gt;150,"See LTL Form","No")</f>
        <v>No</v>
      </c>
      <c r="Y589" s="28"/>
      <c r="Z589" s="33"/>
      <c r="AA589" s="34"/>
      <c r="AB589" s="30"/>
      <c r="AC589" s="30"/>
      <c r="AD589" s="32"/>
      <c r="AE589" s="32"/>
      <c r="AF589" s="2"/>
      <c r="AG589" s="2"/>
      <c r="AH589" s="2"/>
      <c r="AI589" s="2"/>
      <c r="AK589" s="73" t="str">
        <f>IF(ISNA(MATCH($N589,[1]data!$A:$A,0)),"",INDEX([1]data!S:S,MATCH($N589,[1]data!$A:$A,0)))</f>
        <v/>
      </c>
      <c r="AL589" s="73" t="str">
        <f>IF(ISNA(MATCH($N589,[1]data!$A:$A,0)),"",INDEX([1]data!V:V,MATCH($N589,[1]data!$A:$A,0)))</f>
        <v/>
      </c>
      <c r="AM589" s="38" t="str">
        <f>IF(ISNA(MATCH($N589,data!$A:$A,0)),"",INDEX(data!B:B,MATCH($N589,data!$A:$A,0)))</f>
        <v/>
      </c>
      <c r="AN589" s="38" t="str">
        <f>IF(ISNA(MATCH($N589,data!$A:$A,0)),"",INDEX(data!C:C,MATCH($N589,data!$A:$A,0)))</f>
        <v/>
      </c>
      <c r="AO589" s="38" t="str">
        <f>IF(ISNA(MATCH($N589,data!$A:$A,0)),"",INDEX(data!D:D,MATCH($N589,data!$A:$A,0)))</f>
        <v/>
      </c>
      <c r="AP589" s="38" t="str">
        <f>IF(ISNA(MATCH($N589,data!$A:$A,0)),"",INDEX(data!E:E,MATCH($N589,data!$A:$A,0)))</f>
        <v/>
      </c>
      <c r="AQ589" s="38" t="str">
        <f>IF(ISNA(MATCH($N589,data!$A:$A,0)),"",INDEX(data!F:F,MATCH($N589,data!$A:$A,0)))</f>
        <v/>
      </c>
      <c r="AR589" s="38" t="str">
        <f>IF(ISNA(MATCH($N589,data!$A:$A,0)),"",INDEX(data!G:G,MATCH($N589,data!$A:$A,0)))</f>
        <v/>
      </c>
      <c r="AS589" s="38" t="str">
        <f>IF(ISNA(MATCH($N589,data!$A:$A,0)),"",INDEX(data!H:H,MATCH($N589,data!$A:$A,0)))</f>
        <v/>
      </c>
      <c r="AT589" s="38" t="str">
        <f>IF(ISNA(MATCH($N589,data!$A:$A,0)),"",INDEX(data!I:I,MATCH($N589,data!$A:$A,0)))</f>
        <v/>
      </c>
      <c r="AU589" s="38" t="str">
        <f>IF(ISNA(MATCH($N589,[1]data!$A:$A,0)),"",INDEX([1]data!L:L,MATCH($N589,[1]data!$A:$A,0)))</f>
        <v/>
      </c>
      <c r="AV589" s="38" t="str">
        <f>IF(ISNA(MATCH($N589,[1]data!$A:$A,0)),"",INDEX([1]data!M:M,MATCH($N589,[1]data!$A:$A,0)))</f>
        <v/>
      </c>
      <c r="AW589" s="38" t="str">
        <f>IF(ISNA(MATCH($N589,data!$A:$A,0)),"",INDEX(data!J:J,MATCH($N589,data!$A:$A,0)))</f>
        <v/>
      </c>
      <c r="AX589" s="38" t="str">
        <f>IF(ISNA(MATCH($N589,data!$A:$A,0)),"",INDEX(data!K:K,MATCH($N589,data!$A:$A,0)))</f>
        <v/>
      </c>
      <c r="AY589" s="38" t="str">
        <f>IF(ISNA(MATCH($N589,data!$A:$A,0)),"",INDEX(data!O:O,MATCH($N589,data!$A:$A,0)))</f>
        <v/>
      </c>
      <c r="AZ589" s="38" t="str">
        <f>IF(ISNA(MATCH($N589,data!$A:$A,0)),"",INDEX(data!N:N,MATCH($N589,data!$A:$A,0)))</f>
        <v/>
      </c>
      <c r="BA589" s="38" t="str">
        <f>IF(ISNA(MATCH($N589,data!$A:$A,0)),"",INDEX(data!P:P,MATCH($N589,data!$A:$A,0)))</f>
        <v/>
      </c>
      <c r="BB589" s="38" t="str">
        <f>IF(ISNA(MATCH($N589,data!$A:$A,0)),"",INDEX(data!Q:Q,MATCH($N589,data!$A:$A,0)))</f>
        <v/>
      </c>
      <c r="BC589" s="38" t="str">
        <f>IF(ISNA(MATCH($N589,data!$A:$A,0)),"",INDEX(data!R:R,MATCH($N589,data!$A:$A,0)))</f>
        <v/>
      </c>
      <c r="BD589" s="38" t="str">
        <f>IF(ISNA(MATCH($N589,[1]data!$A:$A,0)),"",INDEX([1]data!U:U,MATCH($N589,[1]data!$A:$A,0)))</f>
        <v/>
      </c>
      <c r="BE589" s="61" t="e">
        <f>IF(COUNTIF([1]data!A:A,[1]!Table1[[#This Row],[UPC]])&lt;2,"","DUP")</f>
        <v>#VALUE!</v>
      </c>
      <c r="BF589" s="38" t="str">
        <f>IF(ISNA(MATCH($N589,data!$A:$A,0)),"",INDEX(data!W:W,MATCH($N589,data!$A:$A,0)))</f>
        <v/>
      </c>
    </row>
    <row r="590" spans="1:58">
      <c r="A590" s="35"/>
      <c r="B590" s="35"/>
      <c r="C590" s="35"/>
      <c r="D590" s="35"/>
      <c r="E590" s="67"/>
      <c r="F590" s="67"/>
      <c r="G590" s="36"/>
      <c r="H590" s="29"/>
      <c r="I590" s="78" t="str">
        <f t="shared" si="14"/>
        <v/>
      </c>
      <c r="J590" s="29"/>
      <c r="K590" s="29"/>
      <c r="L590" s="33"/>
      <c r="M590" s="33"/>
      <c r="N590" s="60"/>
      <c r="O590" s="71"/>
      <c r="P590" s="71"/>
      <c r="Q590" s="33"/>
      <c r="R590" s="31"/>
      <c r="S590" s="31"/>
      <c r="T590" s="59"/>
      <c r="U590" s="59"/>
      <c r="V590" s="59"/>
      <c r="W590" s="57">
        <f t="shared" si="15"/>
        <v>0</v>
      </c>
      <c r="X590" s="126" t="str">
        <f>IF(Table1[[#This Row],[Shipping Weight Pounds]]&gt;150,"See LTL Form","No")</f>
        <v>No</v>
      </c>
      <c r="Y590" s="28"/>
      <c r="Z590" s="33"/>
      <c r="AA590" s="34"/>
      <c r="AB590" s="30"/>
      <c r="AC590" s="30"/>
      <c r="AD590" s="32"/>
      <c r="AE590" s="32"/>
      <c r="AF590" s="2"/>
      <c r="AG590" s="2"/>
      <c r="AH590" s="2"/>
      <c r="AI590" s="2"/>
      <c r="AK590" s="73" t="str">
        <f>IF(ISNA(MATCH($N590,[1]data!$A:$A,0)),"",INDEX([1]data!S:S,MATCH($N590,[1]data!$A:$A,0)))</f>
        <v/>
      </c>
      <c r="AL590" s="73" t="str">
        <f>IF(ISNA(MATCH($N590,[1]data!$A:$A,0)),"",INDEX([1]data!V:V,MATCH($N590,[1]data!$A:$A,0)))</f>
        <v/>
      </c>
      <c r="AM590" s="38" t="str">
        <f>IF(ISNA(MATCH($N590,data!$A:$A,0)),"",INDEX(data!B:B,MATCH($N590,data!$A:$A,0)))</f>
        <v/>
      </c>
      <c r="AN590" s="38" t="str">
        <f>IF(ISNA(MATCH($N590,data!$A:$A,0)),"",INDEX(data!C:C,MATCH($N590,data!$A:$A,0)))</f>
        <v/>
      </c>
      <c r="AO590" s="38" t="str">
        <f>IF(ISNA(MATCH($N590,data!$A:$A,0)),"",INDEX(data!D:D,MATCH($N590,data!$A:$A,0)))</f>
        <v/>
      </c>
      <c r="AP590" s="38" t="str">
        <f>IF(ISNA(MATCH($N590,data!$A:$A,0)),"",INDEX(data!E:E,MATCH($N590,data!$A:$A,0)))</f>
        <v/>
      </c>
      <c r="AQ590" s="38" t="str">
        <f>IF(ISNA(MATCH($N590,data!$A:$A,0)),"",INDEX(data!F:F,MATCH($N590,data!$A:$A,0)))</f>
        <v/>
      </c>
      <c r="AR590" s="38" t="str">
        <f>IF(ISNA(MATCH($N590,data!$A:$A,0)),"",INDEX(data!G:G,MATCH($N590,data!$A:$A,0)))</f>
        <v/>
      </c>
      <c r="AS590" s="38" t="str">
        <f>IF(ISNA(MATCH($N590,data!$A:$A,0)),"",INDEX(data!H:H,MATCH($N590,data!$A:$A,0)))</f>
        <v/>
      </c>
      <c r="AT590" s="38" t="str">
        <f>IF(ISNA(MATCH($N590,data!$A:$A,0)),"",INDEX(data!I:I,MATCH($N590,data!$A:$A,0)))</f>
        <v/>
      </c>
      <c r="AU590" s="38" t="str">
        <f>IF(ISNA(MATCH($N590,[1]data!$A:$A,0)),"",INDEX([1]data!L:L,MATCH($N590,[1]data!$A:$A,0)))</f>
        <v/>
      </c>
      <c r="AV590" s="38" t="str">
        <f>IF(ISNA(MATCH($N590,[1]data!$A:$A,0)),"",INDEX([1]data!M:M,MATCH($N590,[1]data!$A:$A,0)))</f>
        <v/>
      </c>
      <c r="AW590" s="38" t="str">
        <f>IF(ISNA(MATCH($N590,data!$A:$A,0)),"",INDEX(data!J:J,MATCH($N590,data!$A:$A,0)))</f>
        <v/>
      </c>
      <c r="AX590" s="38" t="str">
        <f>IF(ISNA(MATCH($N590,data!$A:$A,0)),"",INDEX(data!K:K,MATCH($N590,data!$A:$A,0)))</f>
        <v/>
      </c>
      <c r="AY590" s="38" t="str">
        <f>IF(ISNA(MATCH($N590,data!$A:$A,0)),"",INDEX(data!O:O,MATCH($N590,data!$A:$A,0)))</f>
        <v/>
      </c>
      <c r="AZ590" s="38" t="str">
        <f>IF(ISNA(MATCH($N590,data!$A:$A,0)),"",INDEX(data!N:N,MATCH($N590,data!$A:$A,0)))</f>
        <v/>
      </c>
      <c r="BA590" s="38" t="str">
        <f>IF(ISNA(MATCH($N590,data!$A:$A,0)),"",INDEX(data!P:P,MATCH($N590,data!$A:$A,0)))</f>
        <v/>
      </c>
      <c r="BB590" s="38" t="str">
        <f>IF(ISNA(MATCH($N590,data!$A:$A,0)),"",INDEX(data!Q:Q,MATCH($N590,data!$A:$A,0)))</f>
        <v/>
      </c>
      <c r="BC590" s="38" t="str">
        <f>IF(ISNA(MATCH($N590,data!$A:$A,0)),"",INDEX(data!R:R,MATCH($N590,data!$A:$A,0)))</f>
        <v/>
      </c>
      <c r="BD590" s="38" t="str">
        <f>IF(ISNA(MATCH($N590,[1]data!$A:$A,0)),"",INDEX([1]data!U:U,MATCH($N590,[1]data!$A:$A,0)))</f>
        <v/>
      </c>
      <c r="BE590" s="61" t="e">
        <f>IF(COUNTIF([1]data!A:A,[1]!Table1[[#This Row],[UPC]])&lt;2,"","DUP")</f>
        <v>#VALUE!</v>
      </c>
      <c r="BF590" s="38" t="str">
        <f>IF(ISNA(MATCH($N590,data!$A:$A,0)),"",INDEX(data!W:W,MATCH($N590,data!$A:$A,0)))</f>
        <v/>
      </c>
    </row>
    <row r="591" spans="1:58">
      <c r="A591" s="35"/>
      <c r="B591" s="35"/>
      <c r="C591" s="35"/>
      <c r="D591" s="35"/>
      <c r="E591" s="67"/>
      <c r="F591" s="67"/>
      <c r="G591" s="36"/>
      <c r="H591" s="29"/>
      <c r="I591" s="78" t="str">
        <f t="shared" si="14"/>
        <v/>
      </c>
      <c r="J591" s="29"/>
      <c r="K591" s="29"/>
      <c r="L591" s="33"/>
      <c r="M591" s="33"/>
      <c r="N591" s="60"/>
      <c r="O591" s="71"/>
      <c r="P591" s="71"/>
      <c r="Q591" s="33"/>
      <c r="R591" s="31"/>
      <c r="S591" s="31"/>
      <c r="T591" s="59"/>
      <c r="U591" s="59"/>
      <c r="V591" s="59"/>
      <c r="W591" s="57">
        <f t="shared" si="15"/>
        <v>0</v>
      </c>
      <c r="X591" s="126" t="str">
        <f>IF(Table1[[#This Row],[Shipping Weight Pounds]]&gt;150,"See LTL Form","No")</f>
        <v>No</v>
      </c>
      <c r="Y591" s="28"/>
      <c r="Z591" s="33"/>
      <c r="AA591" s="34"/>
      <c r="AB591" s="30"/>
      <c r="AC591" s="30"/>
      <c r="AD591" s="32"/>
      <c r="AE591" s="32"/>
      <c r="AF591" s="2"/>
      <c r="AG591" s="2"/>
      <c r="AH591" s="2"/>
      <c r="AI591" s="2"/>
      <c r="AK591" s="73" t="str">
        <f>IF(ISNA(MATCH($N591,[1]data!$A:$A,0)),"",INDEX([1]data!S:S,MATCH($N591,[1]data!$A:$A,0)))</f>
        <v/>
      </c>
      <c r="AL591" s="73" t="str">
        <f>IF(ISNA(MATCH($N591,[1]data!$A:$A,0)),"",INDEX([1]data!V:V,MATCH($N591,[1]data!$A:$A,0)))</f>
        <v/>
      </c>
      <c r="AM591" s="38" t="str">
        <f>IF(ISNA(MATCH($N591,data!$A:$A,0)),"",INDEX(data!B:B,MATCH($N591,data!$A:$A,0)))</f>
        <v/>
      </c>
      <c r="AN591" s="38" t="str">
        <f>IF(ISNA(MATCH($N591,data!$A:$A,0)),"",INDEX(data!C:C,MATCH($N591,data!$A:$A,0)))</f>
        <v/>
      </c>
      <c r="AO591" s="38" t="str">
        <f>IF(ISNA(MATCH($N591,data!$A:$A,0)),"",INDEX(data!D:D,MATCH($N591,data!$A:$A,0)))</f>
        <v/>
      </c>
      <c r="AP591" s="38" t="str">
        <f>IF(ISNA(MATCH($N591,data!$A:$A,0)),"",INDEX(data!E:E,MATCH($N591,data!$A:$A,0)))</f>
        <v/>
      </c>
      <c r="AQ591" s="38" t="str">
        <f>IF(ISNA(MATCH($N591,data!$A:$A,0)),"",INDEX(data!F:F,MATCH($N591,data!$A:$A,0)))</f>
        <v/>
      </c>
      <c r="AR591" s="38" t="str">
        <f>IF(ISNA(MATCH($N591,data!$A:$A,0)),"",INDEX(data!G:G,MATCH($N591,data!$A:$A,0)))</f>
        <v/>
      </c>
      <c r="AS591" s="38" t="str">
        <f>IF(ISNA(MATCH($N591,data!$A:$A,0)),"",INDEX(data!H:H,MATCH($N591,data!$A:$A,0)))</f>
        <v/>
      </c>
      <c r="AT591" s="38" t="str">
        <f>IF(ISNA(MATCH($N591,data!$A:$A,0)),"",INDEX(data!I:I,MATCH($N591,data!$A:$A,0)))</f>
        <v/>
      </c>
      <c r="AU591" s="38" t="str">
        <f>IF(ISNA(MATCH($N591,[1]data!$A:$A,0)),"",INDEX([1]data!L:L,MATCH($N591,[1]data!$A:$A,0)))</f>
        <v/>
      </c>
      <c r="AV591" s="38" t="str">
        <f>IF(ISNA(MATCH($N591,[1]data!$A:$A,0)),"",INDEX([1]data!M:M,MATCH($N591,[1]data!$A:$A,0)))</f>
        <v/>
      </c>
      <c r="AW591" s="38" t="str">
        <f>IF(ISNA(MATCH($N591,data!$A:$A,0)),"",INDEX(data!J:J,MATCH($N591,data!$A:$A,0)))</f>
        <v/>
      </c>
      <c r="AX591" s="38" t="str">
        <f>IF(ISNA(MATCH($N591,data!$A:$A,0)),"",INDEX(data!K:K,MATCH($N591,data!$A:$A,0)))</f>
        <v/>
      </c>
      <c r="AY591" s="38" t="str">
        <f>IF(ISNA(MATCH($N591,data!$A:$A,0)),"",INDEX(data!O:O,MATCH($N591,data!$A:$A,0)))</f>
        <v/>
      </c>
      <c r="AZ591" s="38" t="str">
        <f>IF(ISNA(MATCH($N591,data!$A:$A,0)),"",INDEX(data!N:N,MATCH($N591,data!$A:$A,0)))</f>
        <v/>
      </c>
      <c r="BA591" s="38" t="str">
        <f>IF(ISNA(MATCH($N591,data!$A:$A,0)),"",INDEX(data!P:P,MATCH($N591,data!$A:$A,0)))</f>
        <v/>
      </c>
      <c r="BB591" s="38" t="str">
        <f>IF(ISNA(MATCH($N591,data!$A:$A,0)),"",INDEX(data!Q:Q,MATCH($N591,data!$A:$A,0)))</f>
        <v/>
      </c>
      <c r="BC591" s="38" t="str">
        <f>IF(ISNA(MATCH($N591,data!$A:$A,0)),"",INDEX(data!R:R,MATCH($N591,data!$A:$A,0)))</f>
        <v/>
      </c>
      <c r="BD591" s="38" t="str">
        <f>IF(ISNA(MATCH($N591,[1]data!$A:$A,0)),"",INDEX([1]data!U:U,MATCH($N591,[1]data!$A:$A,0)))</f>
        <v/>
      </c>
      <c r="BE591" s="61" t="e">
        <f>IF(COUNTIF([1]data!A:A,[1]!Table1[[#This Row],[UPC]])&lt;2,"","DUP")</f>
        <v>#VALUE!</v>
      </c>
      <c r="BF591" s="38" t="str">
        <f>IF(ISNA(MATCH($N591,data!$A:$A,0)),"",INDEX(data!W:W,MATCH($N591,data!$A:$A,0)))</f>
        <v/>
      </c>
    </row>
    <row r="592" spans="1:58">
      <c r="A592" s="35"/>
      <c r="B592" s="35"/>
      <c r="C592" s="35"/>
      <c r="D592" s="35"/>
      <c r="E592" s="67"/>
      <c r="F592" s="67"/>
      <c r="G592" s="36"/>
      <c r="H592" s="29"/>
      <c r="I592" s="78" t="str">
        <f t="shared" si="14"/>
        <v/>
      </c>
      <c r="J592" s="29"/>
      <c r="K592" s="29"/>
      <c r="L592" s="33"/>
      <c r="M592" s="33"/>
      <c r="N592" s="60"/>
      <c r="O592" s="71"/>
      <c r="P592" s="71"/>
      <c r="Q592" s="33"/>
      <c r="R592" s="31"/>
      <c r="S592" s="31"/>
      <c r="T592" s="59"/>
      <c r="U592" s="59"/>
      <c r="V592" s="59"/>
      <c r="W592" s="57">
        <f t="shared" si="15"/>
        <v>0</v>
      </c>
      <c r="X592" s="126" t="str">
        <f>IF(Table1[[#This Row],[Shipping Weight Pounds]]&gt;150,"See LTL Form","No")</f>
        <v>No</v>
      </c>
      <c r="Y592" s="28"/>
      <c r="Z592" s="33"/>
      <c r="AA592" s="34"/>
      <c r="AB592" s="30"/>
      <c r="AC592" s="30"/>
      <c r="AD592" s="32"/>
      <c r="AE592" s="32"/>
      <c r="AF592" s="2"/>
      <c r="AG592" s="2"/>
      <c r="AH592" s="2"/>
      <c r="AI592" s="2"/>
      <c r="AK592" s="73" t="str">
        <f>IF(ISNA(MATCH($N592,[1]data!$A:$A,0)),"",INDEX([1]data!S:S,MATCH($N592,[1]data!$A:$A,0)))</f>
        <v/>
      </c>
      <c r="AL592" s="73" t="str">
        <f>IF(ISNA(MATCH($N592,[1]data!$A:$A,0)),"",INDEX([1]data!V:V,MATCH($N592,[1]data!$A:$A,0)))</f>
        <v/>
      </c>
      <c r="AM592" s="38" t="str">
        <f>IF(ISNA(MATCH($N592,data!$A:$A,0)),"",INDEX(data!B:B,MATCH($N592,data!$A:$A,0)))</f>
        <v/>
      </c>
      <c r="AN592" s="38" t="str">
        <f>IF(ISNA(MATCH($N592,data!$A:$A,0)),"",INDEX(data!C:C,MATCH($N592,data!$A:$A,0)))</f>
        <v/>
      </c>
      <c r="AO592" s="38" t="str">
        <f>IF(ISNA(MATCH($N592,data!$A:$A,0)),"",INDEX(data!D:D,MATCH($N592,data!$A:$A,0)))</f>
        <v/>
      </c>
      <c r="AP592" s="38" t="str">
        <f>IF(ISNA(MATCH($N592,data!$A:$A,0)),"",INDEX(data!E:E,MATCH($N592,data!$A:$A,0)))</f>
        <v/>
      </c>
      <c r="AQ592" s="38" t="str">
        <f>IF(ISNA(MATCH($N592,data!$A:$A,0)),"",INDEX(data!F:F,MATCH($N592,data!$A:$A,0)))</f>
        <v/>
      </c>
      <c r="AR592" s="38" t="str">
        <f>IF(ISNA(MATCH($N592,data!$A:$A,0)),"",INDEX(data!G:G,MATCH($N592,data!$A:$A,0)))</f>
        <v/>
      </c>
      <c r="AS592" s="38" t="str">
        <f>IF(ISNA(MATCH($N592,data!$A:$A,0)),"",INDEX(data!H:H,MATCH($N592,data!$A:$A,0)))</f>
        <v/>
      </c>
      <c r="AT592" s="38" t="str">
        <f>IF(ISNA(MATCH($N592,data!$A:$A,0)),"",INDEX(data!I:I,MATCH($N592,data!$A:$A,0)))</f>
        <v/>
      </c>
      <c r="AU592" s="38" t="str">
        <f>IF(ISNA(MATCH($N592,[1]data!$A:$A,0)),"",INDEX([1]data!L:L,MATCH($N592,[1]data!$A:$A,0)))</f>
        <v/>
      </c>
      <c r="AV592" s="38" t="str">
        <f>IF(ISNA(MATCH($N592,[1]data!$A:$A,0)),"",INDEX([1]data!M:M,MATCH($N592,[1]data!$A:$A,0)))</f>
        <v/>
      </c>
      <c r="AW592" s="38" t="str">
        <f>IF(ISNA(MATCH($N592,data!$A:$A,0)),"",INDEX(data!J:J,MATCH($N592,data!$A:$A,0)))</f>
        <v/>
      </c>
      <c r="AX592" s="38" t="str">
        <f>IF(ISNA(MATCH($N592,data!$A:$A,0)),"",INDEX(data!K:K,MATCH($N592,data!$A:$A,0)))</f>
        <v/>
      </c>
      <c r="AY592" s="38" t="str">
        <f>IF(ISNA(MATCH($N592,data!$A:$A,0)),"",INDEX(data!O:O,MATCH($N592,data!$A:$A,0)))</f>
        <v/>
      </c>
      <c r="AZ592" s="38" t="str">
        <f>IF(ISNA(MATCH($N592,data!$A:$A,0)),"",INDEX(data!N:N,MATCH($N592,data!$A:$A,0)))</f>
        <v/>
      </c>
      <c r="BA592" s="38" t="str">
        <f>IF(ISNA(MATCH($N592,data!$A:$A,0)),"",INDEX(data!P:P,MATCH($N592,data!$A:$A,0)))</f>
        <v/>
      </c>
      <c r="BB592" s="38" t="str">
        <f>IF(ISNA(MATCH($N592,data!$A:$A,0)),"",INDEX(data!Q:Q,MATCH($N592,data!$A:$A,0)))</f>
        <v/>
      </c>
      <c r="BC592" s="38" t="str">
        <f>IF(ISNA(MATCH($N592,data!$A:$A,0)),"",INDEX(data!R:R,MATCH($N592,data!$A:$A,0)))</f>
        <v/>
      </c>
      <c r="BD592" s="38" t="str">
        <f>IF(ISNA(MATCH($N592,[1]data!$A:$A,0)),"",INDEX([1]data!U:U,MATCH($N592,[1]data!$A:$A,0)))</f>
        <v/>
      </c>
      <c r="BE592" s="61" t="e">
        <f>IF(COUNTIF([1]data!A:A,[1]!Table1[[#This Row],[UPC]])&lt;2,"","DUP")</f>
        <v>#VALUE!</v>
      </c>
      <c r="BF592" s="38" t="str">
        <f>IF(ISNA(MATCH($N592,data!$A:$A,0)),"",INDEX(data!W:W,MATCH($N592,data!$A:$A,0)))</f>
        <v/>
      </c>
    </row>
    <row r="593" spans="1:58">
      <c r="A593" s="35"/>
      <c r="B593" s="35"/>
      <c r="C593" s="35"/>
      <c r="D593" s="35"/>
      <c r="E593" s="67"/>
      <c r="F593" s="67"/>
      <c r="G593" s="36"/>
      <c r="H593" s="29"/>
      <c r="I593" s="78" t="str">
        <f t="shared" si="14"/>
        <v/>
      </c>
      <c r="J593" s="29"/>
      <c r="K593" s="29"/>
      <c r="L593" s="33"/>
      <c r="M593" s="33"/>
      <c r="N593" s="60"/>
      <c r="O593" s="71"/>
      <c r="P593" s="71"/>
      <c r="Q593" s="33"/>
      <c r="R593" s="31"/>
      <c r="S593" s="31"/>
      <c r="T593" s="59"/>
      <c r="U593" s="59"/>
      <c r="V593" s="59"/>
      <c r="W593" s="57">
        <f t="shared" si="15"/>
        <v>0</v>
      </c>
      <c r="X593" s="126" t="str">
        <f>IF(Table1[[#This Row],[Shipping Weight Pounds]]&gt;150,"See LTL Form","No")</f>
        <v>No</v>
      </c>
      <c r="Y593" s="28"/>
      <c r="Z593" s="33"/>
      <c r="AA593" s="34"/>
      <c r="AB593" s="30"/>
      <c r="AC593" s="30"/>
      <c r="AD593" s="32"/>
      <c r="AE593" s="32"/>
      <c r="AF593" s="2"/>
      <c r="AG593" s="2"/>
      <c r="AH593" s="2"/>
      <c r="AI593" s="2"/>
      <c r="AK593" s="73" t="str">
        <f>IF(ISNA(MATCH($N593,[1]data!$A:$A,0)),"",INDEX([1]data!S:S,MATCH($N593,[1]data!$A:$A,0)))</f>
        <v/>
      </c>
      <c r="AL593" s="73" t="str">
        <f>IF(ISNA(MATCH($N593,[1]data!$A:$A,0)),"",INDEX([1]data!V:V,MATCH($N593,[1]data!$A:$A,0)))</f>
        <v/>
      </c>
      <c r="AM593" s="38" t="str">
        <f>IF(ISNA(MATCH($N593,data!$A:$A,0)),"",INDEX(data!B:B,MATCH($N593,data!$A:$A,0)))</f>
        <v/>
      </c>
      <c r="AN593" s="38" t="str">
        <f>IF(ISNA(MATCH($N593,data!$A:$A,0)),"",INDEX(data!C:C,MATCH($N593,data!$A:$A,0)))</f>
        <v/>
      </c>
      <c r="AO593" s="38" t="str">
        <f>IF(ISNA(MATCH($N593,data!$A:$A,0)),"",INDEX(data!D:D,MATCH($N593,data!$A:$A,0)))</f>
        <v/>
      </c>
      <c r="AP593" s="38" t="str">
        <f>IF(ISNA(MATCH($N593,data!$A:$A,0)),"",INDEX(data!E:E,MATCH($N593,data!$A:$A,0)))</f>
        <v/>
      </c>
      <c r="AQ593" s="38" t="str">
        <f>IF(ISNA(MATCH($N593,data!$A:$A,0)),"",INDEX(data!F:F,MATCH($N593,data!$A:$A,0)))</f>
        <v/>
      </c>
      <c r="AR593" s="38" t="str">
        <f>IF(ISNA(MATCH($N593,data!$A:$A,0)),"",INDEX(data!G:G,MATCH($N593,data!$A:$A,0)))</f>
        <v/>
      </c>
      <c r="AS593" s="38" t="str">
        <f>IF(ISNA(MATCH($N593,data!$A:$A,0)),"",INDEX(data!H:H,MATCH($N593,data!$A:$A,0)))</f>
        <v/>
      </c>
      <c r="AT593" s="38" t="str">
        <f>IF(ISNA(MATCH($N593,data!$A:$A,0)),"",INDEX(data!I:I,MATCH($N593,data!$A:$A,0)))</f>
        <v/>
      </c>
      <c r="AU593" s="38" t="str">
        <f>IF(ISNA(MATCH($N593,[1]data!$A:$A,0)),"",INDEX([1]data!L:L,MATCH($N593,[1]data!$A:$A,0)))</f>
        <v/>
      </c>
      <c r="AV593" s="38" t="str">
        <f>IF(ISNA(MATCH($N593,[1]data!$A:$A,0)),"",INDEX([1]data!M:M,MATCH($N593,[1]data!$A:$A,0)))</f>
        <v/>
      </c>
      <c r="AW593" s="38" t="str">
        <f>IF(ISNA(MATCH($N593,data!$A:$A,0)),"",INDEX(data!J:J,MATCH($N593,data!$A:$A,0)))</f>
        <v/>
      </c>
      <c r="AX593" s="38" t="str">
        <f>IF(ISNA(MATCH($N593,data!$A:$A,0)),"",INDEX(data!K:K,MATCH($N593,data!$A:$A,0)))</f>
        <v/>
      </c>
      <c r="AY593" s="38" t="str">
        <f>IF(ISNA(MATCH($N593,data!$A:$A,0)),"",INDEX(data!O:O,MATCH($N593,data!$A:$A,0)))</f>
        <v/>
      </c>
      <c r="AZ593" s="38" t="str">
        <f>IF(ISNA(MATCH($N593,data!$A:$A,0)),"",INDEX(data!N:N,MATCH($N593,data!$A:$A,0)))</f>
        <v/>
      </c>
      <c r="BA593" s="38" t="str">
        <f>IF(ISNA(MATCH($N593,data!$A:$A,0)),"",INDEX(data!P:P,MATCH($N593,data!$A:$A,0)))</f>
        <v/>
      </c>
      <c r="BB593" s="38" t="str">
        <f>IF(ISNA(MATCH($N593,data!$A:$A,0)),"",INDEX(data!Q:Q,MATCH($N593,data!$A:$A,0)))</f>
        <v/>
      </c>
      <c r="BC593" s="38" t="str">
        <f>IF(ISNA(MATCH($N593,data!$A:$A,0)),"",INDEX(data!R:R,MATCH($N593,data!$A:$A,0)))</f>
        <v/>
      </c>
      <c r="BD593" s="38" t="str">
        <f>IF(ISNA(MATCH($N593,[1]data!$A:$A,0)),"",INDEX([1]data!U:U,MATCH($N593,[1]data!$A:$A,0)))</f>
        <v/>
      </c>
      <c r="BE593" s="61" t="e">
        <f>IF(COUNTIF([1]data!A:A,[1]!Table1[[#This Row],[UPC]])&lt;2,"","DUP")</f>
        <v>#VALUE!</v>
      </c>
      <c r="BF593" s="38" t="str">
        <f>IF(ISNA(MATCH($N593,data!$A:$A,0)),"",INDEX(data!W:W,MATCH($N593,data!$A:$A,0)))</f>
        <v/>
      </c>
    </row>
    <row r="594" spans="1:58">
      <c r="A594" s="35"/>
      <c r="B594" s="35"/>
      <c r="C594" s="35"/>
      <c r="D594" s="35"/>
      <c r="E594" s="67"/>
      <c r="F594" s="67"/>
      <c r="G594" s="36"/>
      <c r="H594" s="29"/>
      <c r="I594" s="78" t="str">
        <f t="shared" si="14"/>
        <v/>
      </c>
      <c r="J594" s="29"/>
      <c r="K594" s="29"/>
      <c r="L594" s="33"/>
      <c r="M594" s="33"/>
      <c r="N594" s="60"/>
      <c r="O594" s="71"/>
      <c r="P594" s="71"/>
      <c r="Q594" s="33"/>
      <c r="R594" s="31"/>
      <c r="S594" s="31"/>
      <c r="T594" s="59"/>
      <c r="U594" s="59"/>
      <c r="V594" s="59"/>
      <c r="W594" s="57">
        <f t="shared" si="15"/>
        <v>0</v>
      </c>
      <c r="X594" s="126" t="str">
        <f>IF(Table1[[#This Row],[Shipping Weight Pounds]]&gt;150,"See LTL Form","No")</f>
        <v>No</v>
      </c>
      <c r="Y594" s="28"/>
      <c r="Z594" s="33"/>
      <c r="AA594" s="34"/>
      <c r="AB594" s="30"/>
      <c r="AC594" s="30"/>
      <c r="AD594" s="32"/>
      <c r="AE594" s="32"/>
      <c r="AF594" s="2"/>
      <c r="AG594" s="2"/>
      <c r="AH594" s="2"/>
      <c r="AI594" s="2"/>
      <c r="AK594" s="73" t="str">
        <f>IF(ISNA(MATCH($N594,[1]data!$A:$A,0)),"",INDEX([1]data!S:S,MATCH($N594,[1]data!$A:$A,0)))</f>
        <v/>
      </c>
      <c r="AL594" s="73" t="str">
        <f>IF(ISNA(MATCH($N594,[1]data!$A:$A,0)),"",INDEX([1]data!V:V,MATCH($N594,[1]data!$A:$A,0)))</f>
        <v/>
      </c>
      <c r="AM594" s="38" t="str">
        <f>IF(ISNA(MATCH($N594,data!$A:$A,0)),"",INDEX(data!B:B,MATCH($N594,data!$A:$A,0)))</f>
        <v/>
      </c>
      <c r="AN594" s="38" t="str">
        <f>IF(ISNA(MATCH($N594,data!$A:$A,0)),"",INDEX(data!C:C,MATCH($N594,data!$A:$A,0)))</f>
        <v/>
      </c>
      <c r="AO594" s="38" t="str">
        <f>IF(ISNA(MATCH($N594,data!$A:$A,0)),"",INDEX(data!D:D,MATCH($N594,data!$A:$A,0)))</f>
        <v/>
      </c>
      <c r="AP594" s="38" t="str">
        <f>IF(ISNA(MATCH($N594,data!$A:$A,0)),"",INDEX(data!E:E,MATCH($N594,data!$A:$A,0)))</f>
        <v/>
      </c>
      <c r="AQ594" s="38" t="str">
        <f>IF(ISNA(MATCH($N594,data!$A:$A,0)),"",INDEX(data!F:F,MATCH($N594,data!$A:$A,0)))</f>
        <v/>
      </c>
      <c r="AR594" s="38" t="str">
        <f>IF(ISNA(MATCH($N594,data!$A:$A,0)),"",INDEX(data!G:G,MATCH($N594,data!$A:$A,0)))</f>
        <v/>
      </c>
      <c r="AS594" s="38" t="str">
        <f>IF(ISNA(MATCH($N594,data!$A:$A,0)),"",INDEX(data!H:H,MATCH($N594,data!$A:$A,0)))</f>
        <v/>
      </c>
      <c r="AT594" s="38" t="str">
        <f>IF(ISNA(MATCH($N594,data!$A:$A,0)),"",INDEX(data!I:I,MATCH($N594,data!$A:$A,0)))</f>
        <v/>
      </c>
      <c r="AU594" s="38" t="str">
        <f>IF(ISNA(MATCH($N594,[1]data!$A:$A,0)),"",INDEX([1]data!L:L,MATCH($N594,[1]data!$A:$A,0)))</f>
        <v/>
      </c>
      <c r="AV594" s="38" t="str">
        <f>IF(ISNA(MATCH($N594,[1]data!$A:$A,0)),"",INDEX([1]data!M:M,MATCH($N594,[1]data!$A:$A,0)))</f>
        <v/>
      </c>
      <c r="AW594" s="38" t="str">
        <f>IF(ISNA(MATCH($N594,data!$A:$A,0)),"",INDEX(data!J:J,MATCH($N594,data!$A:$A,0)))</f>
        <v/>
      </c>
      <c r="AX594" s="38" t="str">
        <f>IF(ISNA(MATCH($N594,data!$A:$A,0)),"",INDEX(data!K:K,MATCH($N594,data!$A:$A,0)))</f>
        <v/>
      </c>
      <c r="AY594" s="38" t="str">
        <f>IF(ISNA(MATCH($N594,data!$A:$A,0)),"",INDEX(data!O:O,MATCH($N594,data!$A:$A,0)))</f>
        <v/>
      </c>
      <c r="AZ594" s="38" t="str">
        <f>IF(ISNA(MATCH($N594,data!$A:$A,0)),"",INDEX(data!N:N,MATCH($N594,data!$A:$A,0)))</f>
        <v/>
      </c>
      <c r="BA594" s="38" t="str">
        <f>IF(ISNA(MATCH($N594,data!$A:$A,0)),"",INDEX(data!P:P,MATCH($N594,data!$A:$A,0)))</f>
        <v/>
      </c>
      <c r="BB594" s="38" t="str">
        <f>IF(ISNA(MATCH($N594,data!$A:$A,0)),"",INDEX(data!Q:Q,MATCH($N594,data!$A:$A,0)))</f>
        <v/>
      </c>
      <c r="BC594" s="38" t="str">
        <f>IF(ISNA(MATCH($N594,data!$A:$A,0)),"",INDEX(data!R:R,MATCH($N594,data!$A:$A,0)))</f>
        <v/>
      </c>
      <c r="BD594" s="38" t="str">
        <f>IF(ISNA(MATCH($N594,[1]data!$A:$A,0)),"",INDEX([1]data!U:U,MATCH($N594,[1]data!$A:$A,0)))</f>
        <v/>
      </c>
      <c r="BE594" s="61" t="e">
        <f>IF(COUNTIF([1]data!A:A,[1]!Table1[[#This Row],[UPC]])&lt;2,"","DUP")</f>
        <v>#VALUE!</v>
      </c>
      <c r="BF594" s="38" t="str">
        <f>IF(ISNA(MATCH($N594,data!$A:$A,0)),"",INDEX(data!W:W,MATCH($N594,data!$A:$A,0)))</f>
        <v/>
      </c>
    </row>
    <row r="595" spans="1:58">
      <c r="A595" s="35"/>
      <c r="B595" s="35"/>
      <c r="C595" s="35"/>
      <c r="D595" s="35"/>
      <c r="E595" s="67"/>
      <c r="F595" s="67"/>
      <c r="G595" s="36"/>
      <c r="H595" s="29"/>
      <c r="I595" s="78" t="str">
        <f t="shared" si="14"/>
        <v/>
      </c>
      <c r="J595" s="29"/>
      <c r="K595" s="29"/>
      <c r="L595" s="33"/>
      <c r="M595" s="33"/>
      <c r="N595" s="60"/>
      <c r="O595" s="71"/>
      <c r="P595" s="71"/>
      <c r="Q595" s="33"/>
      <c r="R595" s="31"/>
      <c r="S595" s="31"/>
      <c r="T595" s="59"/>
      <c r="U595" s="59"/>
      <c r="V595" s="59"/>
      <c r="W595" s="57">
        <f t="shared" si="15"/>
        <v>0</v>
      </c>
      <c r="X595" s="126" t="str">
        <f>IF(Table1[[#This Row],[Shipping Weight Pounds]]&gt;150,"See LTL Form","No")</f>
        <v>No</v>
      </c>
      <c r="Y595" s="28"/>
      <c r="Z595" s="33"/>
      <c r="AA595" s="34"/>
      <c r="AB595" s="30"/>
      <c r="AC595" s="30"/>
      <c r="AD595" s="32"/>
      <c r="AE595" s="32"/>
      <c r="AF595" s="2"/>
      <c r="AG595" s="2"/>
      <c r="AH595" s="2"/>
      <c r="AI595" s="2"/>
      <c r="AK595" s="73" t="str">
        <f>IF(ISNA(MATCH($N595,[1]data!$A:$A,0)),"",INDEX([1]data!S:S,MATCH($N595,[1]data!$A:$A,0)))</f>
        <v/>
      </c>
      <c r="AL595" s="73" t="str">
        <f>IF(ISNA(MATCH($N595,[1]data!$A:$A,0)),"",INDEX([1]data!V:V,MATCH($N595,[1]data!$A:$A,0)))</f>
        <v/>
      </c>
      <c r="AM595" s="38" t="str">
        <f>IF(ISNA(MATCH($N595,data!$A:$A,0)),"",INDEX(data!B:B,MATCH($N595,data!$A:$A,0)))</f>
        <v/>
      </c>
      <c r="AN595" s="38" t="str">
        <f>IF(ISNA(MATCH($N595,data!$A:$A,0)),"",INDEX(data!C:C,MATCH($N595,data!$A:$A,0)))</f>
        <v/>
      </c>
      <c r="AO595" s="38" t="str">
        <f>IF(ISNA(MATCH($N595,data!$A:$A,0)),"",INDEX(data!D:D,MATCH($N595,data!$A:$A,0)))</f>
        <v/>
      </c>
      <c r="AP595" s="38" t="str">
        <f>IF(ISNA(MATCH($N595,data!$A:$A,0)),"",INDEX(data!E:E,MATCH($N595,data!$A:$A,0)))</f>
        <v/>
      </c>
      <c r="AQ595" s="38" t="str">
        <f>IF(ISNA(MATCH($N595,data!$A:$A,0)),"",INDEX(data!F:F,MATCH($N595,data!$A:$A,0)))</f>
        <v/>
      </c>
      <c r="AR595" s="38" t="str">
        <f>IF(ISNA(MATCH($N595,data!$A:$A,0)),"",INDEX(data!G:G,MATCH($N595,data!$A:$A,0)))</f>
        <v/>
      </c>
      <c r="AS595" s="38" t="str">
        <f>IF(ISNA(MATCH($N595,data!$A:$A,0)),"",INDEX(data!H:H,MATCH($N595,data!$A:$A,0)))</f>
        <v/>
      </c>
      <c r="AT595" s="38" t="str">
        <f>IF(ISNA(MATCH($N595,data!$A:$A,0)),"",INDEX(data!I:I,MATCH($N595,data!$A:$A,0)))</f>
        <v/>
      </c>
      <c r="AU595" s="38" t="str">
        <f>IF(ISNA(MATCH($N595,[1]data!$A:$A,0)),"",INDEX([1]data!L:L,MATCH($N595,[1]data!$A:$A,0)))</f>
        <v/>
      </c>
      <c r="AV595" s="38" t="str">
        <f>IF(ISNA(MATCH($N595,[1]data!$A:$A,0)),"",INDEX([1]data!M:M,MATCH($N595,[1]data!$A:$A,0)))</f>
        <v/>
      </c>
      <c r="AW595" s="38" t="str">
        <f>IF(ISNA(MATCH($N595,data!$A:$A,0)),"",INDEX(data!J:J,MATCH($N595,data!$A:$A,0)))</f>
        <v/>
      </c>
      <c r="AX595" s="38" t="str">
        <f>IF(ISNA(MATCH($N595,data!$A:$A,0)),"",INDEX(data!K:K,MATCH($N595,data!$A:$A,0)))</f>
        <v/>
      </c>
      <c r="AY595" s="38" t="str">
        <f>IF(ISNA(MATCH($N595,data!$A:$A,0)),"",INDEX(data!O:O,MATCH($N595,data!$A:$A,0)))</f>
        <v/>
      </c>
      <c r="AZ595" s="38" t="str">
        <f>IF(ISNA(MATCH($N595,data!$A:$A,0)),"",INDEX(data!N:N,MATCH($N595,data!$A:$A,0)))</f>
        <v/>
      </c>
      <c r="BA595" s="38" t="str">
        <f>IF(ISNA(MATCH($N595,data!$A:$A,0)),"",INDEX(data!P:P,MATCH($N595,data!$A:$A,0)))</f>
        <v/>
      </c>
      <c r="BB595" s="38" t="str">
        <f>IF(ISNA(MATCH($N595,data!$A:$A,0)),"",INDEX(data!Q:Q,MATCH($N595,data!$A:$A,0)))</f>
        <v/>
      </c>
      <c r="BC595" s="38" t="str">
        <f>IF(ISNA(MATCH($N595,data!$A:$A,0)),"",INDEX(data!R:R,MATCH($N595,data!$A:$A,0)))</f>
        <v/>
      </c>
      <c r="BD595" s="38" t="str">
        <f>IF(ISNA(MATCH($N595,[1]data!$A:$A,0)),"",INDEX([1]data!U:U,MATCH($N595,[1]data!$A:$A,0)))</f>
        <v/>
      </c>
      <c r="BE595" s="61" t="e">
        <f>IF(COUNTIF([1]data!A:A,[1]!Table1[[#This Row],[UPC]])&lt;2,"","DUP")</f>
        <v>#VALUE!</v>
      </c>
      <c r="BF595" s="38" t="str">
        <f>IF(ISNA(MATCH($N595,data!$A:$A,0)),"",INDEX(data!W:W,MATCH($N595,data!$A:$A,0)))</f>
        <v/>
      </c>
    </row>
    <row r="596" spans="1:58">
      <c r="A596" s="35"/>
      <c r="B596" s="35"/>
      <c r="C596" s="35"/>
      <c r="D596" s="35"/>
      <c r="E596" s="67"/>
      <c r="F596" s="67"/>
      <c r="G596" s="36"/>
      <c r="H596" s="29"/>
      <c r="I596" s="78" t="str">
        <f t="shared" si="14"/>
        <v/>
      </c>
      <c r="J596" s="29"/>
      <c r="K596" s="29"/>
      <c r="L596" s="33"/>
      <c r="M596" s="33"/>
      <c r="N596" s="60"/>
      <c r="O596" s="71"/>
      <c r="P596" s="71"/>
      <c r="Q596" s="33"/>
      <c r="R596" s="31"/>
      <c r="S596" s="31"/>
      <c r="T596" s="59"/>
      <c r="U596" s="59"/>
      <c r="V596" s="59"/>
      <c r="W596" s="57">
        <f t="shared" si="15"/>
        <v>0</v>
      </c>
      <c r="X596" s="126" t="str">
        <f>IF(Table1[[#This Row],[Shipping Weight Pounds]]&gt;150,"See LTL Form","No")</f>
        <v>No</v>
      </c>
      <c r="Y596" s="28"/>
      <c r="Z596" s="33"/>
      <c r="AA596" s="34"/>
      <c r="AB596" s="30"/>
      <c r="AC596" s="30"/>
      <c r="AD596" s="32"/>
      <c r="AE596" s="32"/>
      <c r="AF596" s="2"/>
      <c r="AG596" s="2"/>
      <c r="AH596" s="2"/>
      <c r="AI596" s="2"/>
      <c r="AK596" s="73" t="str">
        <f>IF(ISNA(MATCH($N596,[1]data!$A:$A,0)),"",INDEX([1]data!S:S,MATCH($N596,[1]data!$A:$A,0)))</f>
        <v/>
      </c>
      <c r="AL596" s="73" t="str">
        <f>IF(ISNA(MATCH($N596,[1]data!$A:$A,0)),"",INDEX([1]data!V:V,MATCH($N596,[1]data!$A:$A,0)))</f>
        <v/>
      </c>
      <c r="AM596" s="38" t="str">
        <f>IF(ISNA(MATCH($N596,data!$A:$A,0)),"",INDEX(data!B:B,MATCH($N596,data!$A:$A,0)))</f>
        <v/>
      </c>
      <c r="AN596" s="38" t="str">
        <f>IF(ISNA(MATCH($N596,data!$A:$A,0)),"",INDEX(data!C:C,MATCH($N596,data!$A:$A,0)))</f>
        <v/>
      </c>
      <c r="AO596" s="38" t="str">
        <f>IF(ISNA(MATCH($N596,data!$A:$A,0)),"",INDEX(data!D:D,MATCH($N596,data!$A:$A,0)))</f>
        <v/>
      </c>
      <c r="AP596" s="38" t="str">
        <f>IF(ISNA(MATCH($N596,data!$A:$A,0)),"",INDEX(data!E:E,MATCH($N596,data!$A:$A,0)))</f>
        <v/>
      </c>
      <c r="AQ596" s="38" t="str">
        <f>IF(ISNA(MATCH($N596,data!$A:$A,0)),"",INDEX(data!F:F,MATCH($N596,data!$A:$A,0)))</f>
        <v/>
      </c>
      <c r="AR596" s="38" t="str">
        <f>IF(ISNA(MATCH($N596,data!$A:$A,0)),"",INDEX(data!G:G,MATCH($N596,data!$A:$A,0)))</f>
        <v/>
      </c>
      <c r="AS596" s="38" t="str">
        <f>IF(ISNA(MATCH($N596,data!$A:$A,0)),"",INDEX(data!H:H,MATCH($N596,data!$A:$A,0)))</f>
        <v/>
      </c>
      <c r="AT596" s="38" t="str">
        <f>IF(ISNA(MATCH($N596,data!$A:$A,0)),"",INDEX(data!I:I,MATCH($N596,data!$A:$A,0)))</f>
        <v/>
      </c>
      <c r="AU596" s="38" t="str">
        <f>IF(ISNA(MATCH($N596,[1]data!$A:$A,0)),"",INDEX([1]data!L:L,MATCH($N596,[1]data!$A:$A,0)))</f>
        <v/>
      </c>
      <c r="AV596" s="38" t="str">
        <f>IF(ISNA(MATCH($N596,[1]data!$A:$A,0)),"",INDEX([1]data!M:M,MATCH($N596,[1]data!$A:$A,0)))</f>
        <v/>
      </c>
      <c r="AW596" s="38" t="str">
        <f>IF(ISNA(MATCH($N596,data!$A:$A,0)),"",INDEX(data!J:J,MATCH($N596,data!$A:$A,0)))</f>
        <v/>
      </c>
      <c r="AX596" s="38" t="str">
        <f>IF(ISNA(MATCH($N596,data!$A:$A,0)),"",INDEX(data!K:K,MATCH($N596,data!$A:$A,0)))</f>
        <v/>
      </c>
      <c r="AY596" s="38" t="str">
        <f>IF(ISNA(MATCH($N596,data!$A:$A,0)),"",INDEX(data!O:O,MATCH($N596,data!$A:$A,0)))</f>
        <v/>
      </c>
      <c r="AZ596" s="38" t="str">
        <f>IF(ISNA(MATCH($N596,data!$A:$A,0)),"",INDEX(data!N:N,MATCH($N596,data!$A:$A,0)))</f>
        <v/>
      </c>
      <c r="BA596" s="38" t="str">
        <f>IF(ISNA(MATCH($N596,data!$A:$A,0)),"",INDEX(data!P:P,MATCH($N596,data!$A:$A,0)))</f>
        <v/>
      </c>
      <c r="BB596" s="38" t="str">
        <f>IF(ISNA(MATCH($N596,data!$A:$A,0)),"",INDEX(data!Q:Q,MATCH($N596,data!$A:$A,0)))</f>
        <v/>
      </c>
      <c r="BC596" s="38" t="str">
        <f>IF(ISNA(MATCH($N596,data!$A:$A,0)),"",INDEX(data!R:R,MATCH($N596,data!$A:$A,0)))</f>
        <v/>
      </c>
      <c r="BD596" s="38" t="str">
        <f>IF(ISNA(MATCH($N596,[1]data!$A:$A,0)),"",INDEX([1]data!U:U,MATCH($N596,[1]data!$A:$A,0)))</f>
        <v/>
      </c>
      <c r="BE596" s="61" t="e">
        <f>IF(COUNTIF([1]data!A:A,[1]!Table1[[#This Row],[UPC]])&lt;2,"","DUP")</f>
        <v>#VALUE!</v>
      </c>
      <c r="BF596" s="38" t="str">
        <f>IF(ISNA(MATCH($N596,data!$A:$A,0)),"",INDEX(data!W:W,MATCH($N596,data!$A:$A,0)))</f>
        <v/>
      </c>
    </row>
    <row r="597" spans="1:58">
      <c r="A597" s="35"/>
      <c r="B597" s="35"/>
      <c r="C597" s="35"/>
      <c r="D597" s="35"/>
      <c r="E597" s="67"/>
      <c r="F597" s="67"/>
      <c r="G597" s="36"/>
      <c r="H597" s="29"/>
      <c r="I597" s="78" t="str">
        <f t="shared" si="14"/>
        <v/>
      </c>
      <c r="J597" s="29"/>
      <c r="K597" s="29"/>
      <c r="L597" s="33"/>
      <c r="M597" s="33"/>
      <c r="N597" s="60"/>
      <c r="O597" s="71"/>
      <c r="P597" s="71"/>
      <c r="Q597" s="33"/>
      <c r="R597" s="31"/>
      <c r="S597" s="31"/>
      <c r="T597" s="59"/>
      <c r="U597" s="59"/>
      <c r="V597" s="59"/>
      <c r="W597" s="57">
        <f t="shared" si="15"/>
        <v>0</v>
      </c>
      <c r="X597" s="126" t="str">
        <f>IF(Table1[[#This Row],[Shipping Weight Pounds]]&gt;150,"See LTL Form","No")</f>
        <v>No</v>
      </c>
      <c r="Y597" s="28"/>
      <c r="Z597" s="33"/>
      <c r="AA597" s="34"/>
      <c r="AB597" s="30"/>
      <c r="AC597" s="30"/>
      <c r="AD597" s="32"/>
      <c r="AE597" s="32"/>
      <c r="AF597" s="2"/>
      <c r="AG597" s="2"/>
      <c r="AH597" s="2"/>
      <c r="AI597" s="2"/>
      <c r="AK597" s="73" t="str">
        <f>IF(ISNA(MATCH($N597,[1]data!$A:$A,0)),"",INDEX([1]data!S:S,MATCH($N597,[1]data!$A:$A,0)))</f>
        <v/>
      </c>
      <c r="AL597" s="73" t="str">
        <f>IF(ISNA(MATCH($N597,[1]data!$A:$A,0)),"",INDEX([1]data!V:V,MATCH($N597,[1]data!$A:$A,0)))</f>
        <v/>
      </c>
      <c r="AM597" s="38" t="str">
        <f>IF(ISNA(MATCH($N597,data!$A:$A,0)),"",INDEX(data!B:B,MATCH($N597,data!$A:$A,0)))</f>
        <v/>
      </c>
      <c r="AN597" s="38" t="str">
        <f>IF(ISNA(MATCH($N597,data!$A:$A,0)),"",INDEX(data!C:C,MATCH($N597,data!$A:$A,0)))</f>
        <v/>
      </c>
      <c r="AO597" s="38" t="str">
        <f>IF(ISNA(MATCH($N597,data!$A:$A,0)),"",INDEX(data!D:D,MATCH($N597,data!$A:$A,0)))</f>
        <v/>
      </c>
      <c r="AP597" s="38" t="str">
        <f>IF(ISNA(MATCH($N597,data!$A:$A,0)),"",INDEX(data!E:E,MATCH($N597,data!$A:$A,0)))</f>
        <v/>
      </c>
      <c r="AQ597" s="38" t="str">
        <f>IF(ISNA(MATCH($N597,data!$A:$A,0)),"",INDEX(data!F:F,MATCH($N597,data!$A:$A,0)))</f>
        <v/>
      </c>
      <c r="AR597" s="38" t="str">
        <f>IF(ISNA(MATCH($N597,data!$A:$A,0)),"",INDEX(data!G:G,MATCH($N597,data!$A:$A,0)))</f>
        <v/>
      </c>
      <c r="AS597" s="38" t="str">
        <f>IF(ISNA(MATCH($N597,data!$A:$A,0)),"",INDEX(data!H:H,MATCH($N597,data!$A:$A,0)))</f>
        <v/>
      </c>
      <c r="AT597" s="38" t="str">
        <f>IF(ISNA(MATCH($N597,data!$A:$A,0)),"",INDEX(data!I:I,MATCH($N597,data!$A:$A,0)))</f>
        <v/>
      </c>
      <c r="AU597" s="38" t="str">
        <f>IF(ISNA(MATCH($N597,[1]data!$A:$A,0)),"",INDEX([1]data!L:L,MATCH($N597,[1]data!$A:$A,0)))</f>
        <v/>
      </c>
      <c r="AV597" s="38" t="str">
        <f>IF(ISNA(MATCH($N597,[1]data!$A:$A,0)),"",INDEX([1]data!M:M,MATCH($N597,[1]data!$A:$A,0)))</f>
        <v/>
      </c>
      <c r="AW597" s="38" t="str">
        <f>IF(ISNA(MATCH($N597,data!$A:$A,0)),"",INDEX(data!J:J,MATCH($N597,data!$A:$A,0)))</f>
        <v/>
      </c>
      <c r="AX597" s="38" t="str">
        <f>IF(ISNA(MATCH($N597,data!$A:$A,0)),"",INDEX(data!K:K,MATCH($N597,data!$A:$A,0)))</f>
        <v/>
      </c>
      <c r="AY597" s="38" t="str">
        <f>IF(ISNA(MATCH($N597,data!$A:$A,0)),"",INDEX(data!O:O,MATCH($N597,data!$A:$A,0)))</f>
        <v/>
      </c>
      <c r="AZ597" s="38" t="str">
        <f>IF(ISNA(MATCH($N597,data!$A:$A,0)),"",INDEX(data!N:N,MATCH($N597,data!$A:$A,0)))</f>
        <v/>
      </c>
      <c r="BA597" s="38" t="str">
        <f>IF(ISNA(MATCH($N597,data!$A:$A,0)),"",INDEX(data!P:P,MATCH($N597,data!$A:$A,0)))</f>
        <v/>
      </c>
      <c r="BB597" s="38" t="str">
        <f>IF(ISNA(MATCH($N597,data!$A:$A,0)),"",INDEX(data!Q:Q,MATCH($N597,data!$A:$A,0)))</f>
        <v/>
      </c>
      <c r="BC597" s="38" t="str">
        <f>IF(ISNA(MATCH($N597,data!$A:$A,0)),"",INDEX(data!R:R,MATCH($N597,data!$A:$A,0)))</f>
        <v/>
      </c>
      <c r="BD597" s="38" t="str">
        <f>IF(ISNA(MATCH($N597,[1]data!$A:$A,0)),"",INDEX([1]data!U:U,MATCH($N597,[1]data!$A:$A,0)))</f>
        <v/>
      </c>
      <c r="BE597" s="61" t="e">
        <f>IF(COUNTIF([1]data!A:A,[1]!Table1[[#This Row],[UPC]])&lt;2,"","DUP")</f>
        <v>#VALUE!</v>
      </c>
      <c r="BF597" s="38" t="str">
        <f>IF(ISNA(MATCH($N597,data!$A:$A,0)),"",INDEX(data!W:W,MATCH($N597,data!$A:$A,0)))</f>
        <v/>
      </c>
    </row>
    <row r="598" spans="1:58">
      <c r="A598" s="35"/>
      <c r="B598" s="35"/>
      <c r="C598" s="35"/>
      <c r="D598" s="35"/>
      <c r="E598" s="67"/>
      <c r="F598" s="67"/>
      <c r="G598" s="36"/>
      <c r="H598" s="29"/>
      <c r="I598" s="78" t="str">
        <f t="shared" si="14"/>
        <v/>
      </c>
      <c r="J598" s="29"/>
      <c r="K598" s="29"/>
      <c r="L598" s="33"/>
      <c r="M598" s="33"/>
      <c r="N598" s="60"/>
      <c r="O598" s="71"/>
      <c r="P598" s="71"/>
      <c r="Q598" s="33"/>
      <c r="R598" s="31"/>
      <c r="S598" s="31"/>
      <c r="T598" s="59"/>
      <c r="U598" s="59"/>
      <c r="V598" s="59"/>
      <c r="W598" s="57">
        <f t="shared" si="15"/>
        <v>0</v>
      </c>
      <c r="X598" s="126" t="str">
        <f>IF(Table1[[#This Row],[Shipping Weight Pounds]]&gt;150,"See LTL Form","No")</f>
        <v>No</v>
      </c>
      <c r="Y598" s="28"/>
      <c r="Z598" s="33"/>
      <c r="AA598" s="34"/>
      <c r="AB598" s="30"/>
      <c r="AC598" s="30"/>
      <c r="AD598" s="32"/>
      <c r="AE598" s="32"/>
      <c r="AF598" s="2"/>
      <c r="AG598" s="2"/>
      <c r="AH598" s="2"/>
      <c r="AI598" s="2"/>
      <c r="AK598" s="73" t="str">
        <f>IF(ISNA(MATCH($N598,[1]data!$A:$A,0)),"",INDEX([1]data!S:S,MATCH($N598,[1]data!$A:$A,0)))</f>
        <v/>
      </c>
      <c r="AL598" s="73" t="str">
        <f>IF(ISNA(MATCH($N598,[1]data!$A:$A,0)),"",INDEX([1]data!V:V,MATCH($N598,[1]data!$A:$A,0)))</f>
        <v/>
      </c>
      <c r="AM598" s="38" t="str">
        <f>IF(ISNA(MATCH($N598,data!$A:$A,0)),"",INDEX(data!B:B,MATCH($N598,data!$A:$A,0)))</f>
        <v/>
      </c>
      <c r="AN598" s="38" t="str">
        <f>IF(ISNA(MATCH($N598,data!$A:$A,0)),"",INDEX(data!C:C,MATCH($N598,data!$A:$A,0)))</f>
        <v/>
      </c>
      <c r="AO598" s="38" t="str">
        <f>IF(ISNA(MATCH($N598,data!$A:$A,0)),"",INDEX(data!D:D,MATCH($N598,data!$A:$A,0)))</f>
        <v/>
      </c>
      <c r="AP598" s="38" t="str">
        <f>IF(ISNA(MATCH($N598,data!$A:$A,0)),"",INDEX(data!E:E,MATCH($N598,data!$A:$A,0)))</f>
        <v/>
      </c>
      <c r="AQ598" s="38" t="str">
        <f>IF(ISNA(MATCH($N598,data!$A:$A,0)),"",INDEX(data!F:F,MATCH($N598,data!$A:$A,0)))</f>
        <v/>
      </c>
      <c r="AR598" s="38" t="str">
        <f>IF(ISNA(MATCH($N598,data!$A:$A,0)),"",INDEX(data!G:G,MATCH($N598,data!$A:$A,0)))</f>
        <v/>
      </c>
      <c r="AS598" s="38" t="str">
        <f>IF(ISNA(MATCH($N598,data!$A:$A,0)),"",INDEX(data!H:H,MATCH($N598,data!$A:$A,0)))</f>
        <v/>
      </c>
      <c r="AT598" s="38" t="str">
        <f>IF(ISNA(MATCH($N598,data!$A:$A,0)),"",INDEX(data!I:I,MATCH($N598,data!$A:$A,0)))</f>
        <v/>
      </c>
      <c r="AU598" s="38" t="str">
        <f>IF(ISNA(MATCH($N598,[1]data!$A:$A,0)),"",INDEX([1]data!L:L,MATCH($N598,[1]data!$A:$A,0)))</f>
        <v/>
      </c>
      <c r="AV598" s="38" t="str">
        <f>IF(ISNA(MATCH($N598,[1]data!$A:$A,0)),"",INDEX([1]data!M:M,MATCH($N598,[1]data!$A:$A,0)))</f>
        <v/>
      </c>
      <c r="AW598" s="38" t="str">
        <f>IF(ISNA(MATCH($N598,data!$A:$A,0)),"",INDEX(data!J:J,MATCH($N598,data!$A:$A,0)))</f>
        <v/>
      </c>
      <c r="AX598" s="38" t="str">
        <f>IF(ISNA(MATCH($N598,data!$A:$A,0)),"",INDEX(data!K:K,MATCH($N598,data!$A:$A,0)))</f>
        <v/>
      </c>
      <c r="AY598" s="38" t="str">
        <f>IF(ISNA(MATCH($N598,data!$A:$A,0)),"",INDEX(data!O:O,MATCH($N598,data!$A:$A,0)))</f>
        <v/>
      </c>
      <c r="AZ598" s="38" t="str">
        <f>IF(ISNA(MATCH($N598,data!$A:$A,0)),"",INDEX(data!N:N,MATCH($N598,data!$A:$A,0)))</f>
        <v/>
      </c>
      <c r="BA598" s="38" t="str">
        <f>IF(ISNA(MATCH($N598,data!$A:$A,0)),"",INDEX(data!P:P,MATCH($N598,data!$A:$A,0)))</f>
        <v/>
      </c>
      <c r="BB598" s="38" t="str">
        <f>IF(ISNA(MATCH($N598,data!$A:$A,0)),"",INDEX(data!Q:Q,MATCH($N598,data!$A:$A,0)))</f>
        <v/>
      </c>
      <c r="BC598" s="38" t="str">
        <f>IF(ISNA(MATCH($N598,data!$A:$A,0)),"",INDEX(data!R:R,MATCH($N598,data!$A:$A,0)))</f>
        <v/>
      </c>
      <c r="BD598" s="38" t="str">
        <f>IF(ISNA(MATCH($N598,[1]data!$A:$A,0)),"",INDEX([1]data!U:U,MATCH($N598,[1]data!$A:$A,0)))</f>
        <v/>
      </c>
      <c r="BE598" s="61" t="e">
        <f>IF(COUNTIF([1]data!A:A,[1]!Table1[[#This Row],[UPC]])&lt;2,"","DUP")</f>
        <v>#VALUE!</v>
      </c>
      <c r="BF598" s="38" t="str">
        <f>IF(ISNA(MATCH($N598,data!$A:$A,0)),"",INDEX(data!W:W,MATCH($N598,data!$A:$A,0)))</f>
        <v/>
      </c>
    </row>
    <row r="599" spans="1:58">
      <c r="A599" s="35"/>
      <c r="B599" s="35"/>
      <c r="C599" s="35"/>
      <c r="D599" s="35"/>
      <c r="E599" s="67"/>
      <c r="F599" s="67"/>
      <c r="G599" s="36"/>
      <c r="H599" s="29"/>
      <c r="I599" s="78" t="str">
        <f t="shared" si="14"/>
        <v/>
      </c>
      <c r="J599" s="29"/>
      <c r="K599" s="29"/>
      <c r="L599" s="33"/>
      <c r="M599" s="33"/>
      <c r="N599" s="60"/>
      <c r="O599" s="71"/>
      <c r="P599" s="71"/>
      <c r="Q599" s="33"/>
      <c r="R599" s="31"/>
      <c r="S599" s="31"/>
      <c r="T599" s="59"/>
      <c r="U599" s="59"/>
      <c r="V599" s="59"/>
      <c r="W599" s="57">
        <f t="shared" si="15"/>
        <v>0</v>
      </c>
      <c r="X599" s="126" t="str">
        <f>IF(Table1[[#This Row],[Shipping Weight Pounds]]&gt;150,"See LTL Form","No")</f>
        <v>No</v>
      </c>
      <c r="Y599" s="28"/>
      <c r="Z599" s="33"/>
      <c r="AA599" s="34"/>
      <c r="AB599" s="30"/>
      <c r="AC599" s="30"/>
      <c r="AD599" s="32"/>
      <c r="AE599" s="32"/>
      <c r="AF599" s="2"/>
      <c r="AG599" s="2"/>
      <c r="AH599" s="2"/>
      <c r="AI599" s="2"/>
      <c r="AK599" s="73" t="str">
        <f>IF(ISNA(MATCH($N599,[1]data!$A:$A,0)),"",INDEX([1]data!S:S,MATCH($N599,[1]data!$A:$A,0)))</f>
        <v/>
      </c>
      <c r="AL599" s="73" t="str">
        <f>IF(ISNA(MATCH($N599,[1]data!$A:$A,0)),"",INDEX([1]data!V:V,MATCH($N599,[1]data!$A:$A,0)))</f>
        <v/>
      </c>
      <c r="AM599" s="38" t="str">
        <f>IF(ISNA(MATCH($N599,data!$A:$A,0)),"",INDEX(data!B:B,MATCH($N599,data!$A:$A,0)))</f>
        <v/>
      </c>
      <c r="AN599" s="38" t="str">
        <f>IF(ISNA(MATCH($N599,data!$A:$A,0)),"",INDEX(data!C:C,MATCH($N599,data!$A:$A,0)))</f>
        <v/>
      </c>
      <c r="AO599" s="38" t="str">
        <f>IF(ISNA(MATCH($N599,data!$A:$A,0)),"",INDEX(data!D:D,MATCH($N599,data!$A:$A,0)))</f>
        <v/>
      </c>
      <c r="AP599" s="38" t="str">
        <f>IF(ISNA(MATCH($N599,data!$A:$A,0)),"",INDEX(data!E:E,MATCH($N599,data!$A:$A,0)))</f>
        <v/>
      </c>
      <c r="AQ599" s="38" t="str">
        <f>IF(ISNA(MATCH($N599,data!$A:$A,0)),"",INDEX(data!F:F,MATCH($N599,data!$A:$A,0)))</f>
        <v/>
      </c>
      <c r="AR599" s="38" t="str">
        <f>IF(ISNA(MATCH($N599,data!$A:$A,0)),"",INDEX(data!G:G,MATCH($N599,data!$A:$A,0)))</f>
        <v/>
      </c>
      <c r="AS599" s="38" t="str">
        <f>IF(ISNA(MATCH($N599,data!$A:$A,0)),"",INDEX(data!H:H,MATCH($N599,data!$A:$A,0)))</f>
        <v/>
      </c>
      <c r="AT599" s="38" t="str">
        <f>IF(ISNA(MATCH($N599,data!$A:$A,0)),"",INDEX(data!I:I,MATCH($N599,data!$A:$A,0)))</f>
        <v/>
      </c>
      <c r="AU599" s="38" t="str">
        <f>IF(ISNA(MATCH($N599,[1]data!$A:$A,0)),"",INDEX([1]data!L:L,MATCH($N599,[1]data!$A:$A,0)))</f>
        <v/>
      </c>
      <c r="AV599" s="38" t="str">
        <f>IF(ISNA(MATCH($N599,[1]data!$A:$A,0)),"",INDEX([1]data!M:M,MATCH($N599,[1]data!$A:$A,0)))</f>
        <v/>
      </c>
      <c r="AW599" s="38" t="str">
        <f>IF(ISNA(MATCH($N599,data!$A:$A,0)),"",INDEX(data!J:J,MATCH($N599,data!$A:$A,0)))</f>
        <v/>
      </c>
      <c r="AX599" s="38" t="str">
        <f>IF(ISNA(MATCH($N599,data!$A:$A,0)),"",INDEX(data!K:K,MATCH($N599,data!$A:$A,0)))</f>
        <v/>
      </c>
      <c r="AY599" s="38" t="str">
        <f>IF(ISNA(MATCH($N599,data!$A:$A,0)),"",INDEX(data!O:O,MATCH($N599,data!$A:$A,0)))</f>
        <v/>
      </c>
      <c r="AZ599" s="38" t="str">
        <f>IF(ISNA(MATCH($N599,data!$A:$A,0)),"",INDEX(data!N:N,MATCH($N599,data!$A:$A,0)))</f>
        <v/>
      </c>
      <c r="BA599" s="38" t="str">
        <f>IF(ISNA(MATCH($N599,data!$A:$A,0)),"",INDEX(data!P:P,MATCH($N599,data!$A:$A,0)))</f>
        <v/>
      </c>
      <c r="BB599" s="38" t="str">
        <f>IF(ISNA(MATCH($N599,data!$A:$A,0)),"",INDEX(data!Q:Q,MATCH($N599,data!$A:$A,0)))</f>
        <v/>
      </c>
      <c r="BC599" s="38" t="str">
        <f>IF(ISNA(MATCH($N599,data!$A:$A,0)),"",INDEX(data!R:R,MATCH($N599,data!$A:$A,0)))</f>
        <v/>
      </c>
      <c r="BD599" s="38" t="str">
        <f>IF(ISNA(MATCH($N599,[1]data!$A:$A,0)),"",INDEX([1]data!U:U,MATCH($N599,[1]data!$A:$A,0)))</f>
        <v/>
      </c>
      <c r="BE599" s="61" t="e">
        <f>IF(COUNTIF([1]data!A:A,[1]!Table1[[#This Row],[UPC]])&lt;2,"","DUP")</f>
        <v>#VALUE!</v>
      </c>
      <c r="BF599" s="38" t="str">
        <f>IF(ISNA(MATCH($N599,data!$A:$A,0)),"",INDEX(data!W:W,MATCH($N599,data!$A:$A,0)))</f>
        <v/>
      </c>
    </row>
    <row r="600" spans="1:58">
      <c r="A600" s="35"/>
      <c r="B600" s="35"/>
      <c r="C600" s="35"/>
      <c r="D600" s="35"/>
      <c r="E600" s="67"/>
      <c r="F600" s="67"/>
      <c r="G600" s="36"/>
      <c r="H600" s="29"/>
      <c r="I600" s="78" t="str">
        <f t="shared" si="14"/>
        <v/>
      </c>
      <c r="J600" s="29"/>
      <c r="K600" s="29"/>
      <c r="L600" s="33"/>
      <c r="M600" s="33"/>
      <c r="N600" s="60"/>
      <c r="O600" s="71"/>
      <c r="P600" s="71"/>
      <c r="Q600" s="33"/>
      <c r="R600" s="31"/>
      <c r="S600" s="31"/>
      <c r="T600" s="59"/>
      <c r="U600" s="59"/>
      <c r="V600" s="59"/>
      <c r="W600" s="57">
        <f t="shared" si="15"/>
        <v>0</v>
      </c>
      <c r="X600" s="126" t="str">
        <f>IF(Table1[[#This Row],[Shipping Weight Pounds]]&gt;150,"See LTL Form","No")</f>
        <v>No</v>
      </c>
      <c r="Y600" s="28"/>
      <c r="Z600" s="33"/>
      <c r="AA600" s="34"/>
      <c r="AB600" s="30"/>
      <c r="AC600" s="30"/>
      <c r="AD600" s="32"/>
      <c r="AE600" s="32"/>
      <c r="AF600" s="2"/>
      <c r="AG600" s="2"/>
      <c r="AH600" s="2"/>
      <c r="AI600" s="2"/>
      <c r="AK600" s="73" t="str">
        <f>IF(ISNA(MATCH($N600,[1]data!$A:$A,0)),"",INDEX([1]data!S:S,MATCH($N600,[1]data!$A:$A,0)))</f>
        <v/>
      </c>
      <c r="AL600" s="73" t="str">
        <f>IF(ISNA(MATCH($N600,[1]data!$A:$A,0)),"",INDEX([1]data!V:V,MATCH($N600,[1]data!$A:$A,0)))</f>
        <v/>
      </c>
      <c r="AM600" s="38" t="str">
        <f>IF(ISNA(MATCH($N600,data!$A:$A,0)),"",INDEX(data!B:B,MATCH($N600,data!$A:$A,0)))</f>
        <v/>
      </c>
      <c r="AN600" s="38" t="str">
        <f>IF(ISNA(MATCH($N600,data!$A:$A,0)),"",INDEX(data!C:C,MATCH($N600,data!$A:$A,0)))</f>
        <v/>
      </c>
      <c r="AO600" s="38" t="str">
        <f>IF(ISNA(MATCH($N600,data!$A:$A,0)),"",INDEX(data!D:D,MATCH($N600,data!$A:$A,0)))</f>
        <v/>
      </c>
      <c r="AP600" s="38" t="str">
        <f>IF(ISNA(MATCH($N600,data!$A:$A,0)),"",INDEX(data!E:E,MATCH($N600,data!$A:$A,0)))</f>
        <v/>
      </c>
      <c r="AQ600" s="38" t="str">
        <f>IF(ISNA(MATCH($N600,data!$A:$A,0)),"",INDEX(data!F:F,MATCH($N600,data!$A:$A,0)))</f>
        <v/>
      </c>
      <c r="AR600" s="38" t="str">
        <f>IF(ISNA(MATCH($N600,data!$A:$A,0)),"",INDEX(data!G:G,MATCH($N600,data!$A:$A,0)))</f>
        <v/>
      </c>
      <c r="AS600" s="38" t="str">
        <f>IF(ISNA(MATCH($N600,data!$A:$A,0)),"",INDEX(data!H:H,MATCH($N600,data!$A:$A,0)))</f>
        <v/>
      </c>
      <c r="AT600" s="38" t="str">
        <f>IF(ISNA(MATCH($N600,data!$A:$A,0)),"",INDEX(data!I:I,MATCH($N600,data!$A:$A,0)))</f>
        <v/>
      </c>
      <c r="AU600" s="38" t="str">
        <f>IF(ISNA(MATCH($N600,[1]data!$A:$A,0)),"",INDEX([1]data!L:L,MATCH($N600,[1]data!$A:$A,0)))</f>
        <v/>
      </c>
      <c r="AV600" s="38" t="str">
        <f>IF(ISNA(MATCH($N600,[1]data!$A:$A,0)),"",INDEX([1]data!M:M,MATCH($N600,[1]data!$A:$A,0)))</f>
        <v/>
      </c>
      <c r="AW600" s="38" t="str">
        <f>IF(ISNA(MATCH($N600,data!$A:$A,0)),"",INDEX(data!J:J,MATCH($N600,data!$A:$A,0)))</f>
        <v/>
      </c>
      <c r="AX600" s="38" t="str">
        <f>IF(ISNA(MATCH($N600,data!$A:$A,0)),"",INDEX(data!K:K,MATCH($N600,data!$A:$A,0)))</f>
        <v/>
      </c>
      <c r="AY600" s="38" t="str">
        <f>IF(ISNA(MATCH($N600,data!$A:$A,0)),"",INDEX(data!O:O,MATCH($N600,data!$A:$A,0)))</f>
        <v/>
      </c>
      <c r="AZ600" s="38" t="str">
        <f>IF(ISNA(MATCH($N600,data!$A:$A,0)),"",INDEX(data!N:N,MATCH($N600,data!$A:$A,0)))</f>
        <v/>
      </c>
      <c r="BA600" s="38" t="str">
        <f>IF(ISNA(MATCH($N600,data!$A:$A,0)),"",INDEX(data!P:P,MATCH($N600,data!$A:$A,0)))</f>
        <v/>
      </c>
      <c r="BB600" s="38" t="str">
        <f>IF(ISNA(MATCH($N600,data!$A:$A,0)),"",INDEX(data!Q:Q,MATCH($N600,data!$A:$A,0)))</f>
        <v/>
      </c>
      <c r="BC600" s="38" t="str">
        <f>IF(ISNA(MATCH($N600,data!$A:$A,0)),"",INDEX(data!R:R,MATCH($N600,data!$A:$A,0)))</f>
        <v/>
      </c>
      <c r="BD600" s="38" t="str">
        <f>IF(ISNA(MATCH($N600,[1]data!$A:$A,0)),"",INDEX([1]data!U:U,MATCH($N600,[1]data!$A:$A,0)))</f>
        <v/>
      </c>
      <c r="BE600" s="61" t="e">
        <f>IF(COUNTIF([1]data!A:A,[1]!Table1[[#This Row],[UPC]])&lt;2,"","DUP")</f>
        <v>#VALUE!</v>
      </c>
      <c r="BF600" s="38" t="str">
        <f>IF(ISNA(MATCH($N600,data!$A:$A,0)),"",INDEX(data!W:W,MATCH($N600,data!$A:$A,0)))</f>
        <v/>
      </c>
    </row>
    <row r="601" spans="1:58">
      <c r="A601" s="35"/>
      <c r="B601" s="35"/>
      <c r="C601" s="35"/>
      <c r="D601" s="35"/>
      <c r="E601" s="67"/>
      <c r="F601" s="67"/>
      <c r="G601" s="36"/>
      <c r="H601" s="29"/>
      <c r="I601" s="78" t="str">
        <f t="shared" si="14"/>
        <v/>
      </c>
      <c r="J601" s="29"/>
      <c r="K601" s="29"/>
      <c r="L601" s="33"/>
      <c r="M601" s="33"/>
      <c r="N601" s="60"/>
      <c r="O601" s="71"/>
      <c r="P601" s="71"/>
      <c r="Q601" s="33"/>
      <c r="R601" s="31"/>
      <c r="S601" s="31"/>
      <c r="T601" s="59"/>
      <c r="U601" s="59"/>
      <c r="V601" s="59"/>
      <c r="W601" s="57">
        <f t="shared" si="15"/>
        <v>0</v>
      </c>
      <c r="X601" s="126" t="str">
        <f>IF(Table1[[#This Row],[Shipping Weight Pounds]]&gt;150,"See LTL Form","No")</f>
        <v>No</v>
      </c>
      <c r="Y601" s="28"/>
      <c r="Z601" s="33"/>
      <c r="AA601" s="34"/>
      <c r="AB601" s="30"/>
      <c r="AC601" s="30"/>
      <c r="AD601" s="32"/>
      <c r="AE601" s="32"/>
      <c r="AF601" s="2"/>
      <c r="AG601" s="2"/>
      <c r="AH601" s="2"/>
      <c r="AI601" s="2"/>
      <c r="AK601" s="73" t="str">
        <f>IF(ISNA(MATCH($N601,[1]data!$A:$A,0)),"",INDEX([1]data!S:S,MATCH($N601,[1]data!$A:$A,0)))</f>
        <v/>
      </c>
      <c r="AL601" s="73" t="str">
        <f>IF(ISNA(MATCH($N601,[1]data!$A:$A,0)),"",INDEX([1]data!V:V,MATCH($N601,[1]data!$A:$A,0)))</f>
        <v/>
      </c>
      <c r="AM601" s="38" t="str">
        <f>IF(ISNA(MATCH($N601,data!$A:$A,0)),"",INDEX(data!B:B,MATCH($N601,data!$A:$A,0)))</f>
        <v/>
      </c>
      <c r="AN601" s="38" t="str">
        <f>IF(ISNA(MATCH($N601,data!$A:$A,0)),"",INDEX(data!C:C,MATCH($N601,data!$A:$A,0)))</f>
        <v/>
      </c>
      <c r="AO601" s="38" t="str">
        <f>IF(ISNA(MATCH($N601,data!$A:$A,0)),"",INDEX(data!D:D,MATCH($N601,data!$A:$A,0)))</f>
        <v/>
      </c>
      <c r="AP601" s="38" t="str">
        <f>IF(ISNA(MATCH($N601,data!$A:$A,0)),"",INDEX(data!E:E,MATCH($N601,data!$A:$A,0)))</f>
        <v/>
      </c>
      <c r="AQ601" s="38" t="str">
        <f>IF(ISNA(MATCH($N601,data!$A:$A,0)),"",INDEX(data!F:F,MATCH($N601,data!$A:$A,0)))</f>
        <v/>
      </c>
      <c r="AR601" s="38" t="str">
        <f>IF(ISNA(MATCH($N601,data!$A:$A,0)),"",INDEX(data!G:G,MATCH($N601,data!$A:$A,0)))</f>
        <v/>
      </c>
      <c r="AS601" s="38" t="str">
        <f>IF(ISNA(MATCH($N601,data!$A:$A,0)),"",INDEX(data!H:H,MATCH($N601,data!$A:$A,0)))</f>
        <v/>
      </c>
      <c r="AT601" s="38" t="str">
        <f>IF(ISNA(MATCH($N601,data!$A:$A,0)),"",INDEX(data!I:I,MATCH($N601,data!$A:$A,0)))</f>
        <v/>
      </c>
      <c r="AU601" s="38" t="str">
        <f>IF(ISNA(MATCH($N601,[1]data!$A:$A,0)),"",INDEX([1]data!L:L,MATCH($N601,[1]data!$A:$A,0)))</f>
        <v/>
      </c>
      <c r="AV601" s="38" t="str">
        <f>IF(ISNA(MATCH($N601,[1]data!$A:$A,0)),"",INDEX([1]data!M:M,MATCH($N601,[1]data!$A:$A,0)))</f>
        <v/>
      </c>
      <c r="AW601" s="38" t="str">
        <f>IF(ISNA(MATCH($N601,data!$A:$A,0)),"",INDEX(data!J:J,MATCH($N601,data!$A:$A,0)))</f>
        <v/>
      </c>
      <c r="AX601" s="38" t="str">
        <f>IF(ISNA(MATCH($N601,data!$A:$A,0)),"",INDEX(data!K:K,MATCH($N601,data!$A:$A,0)))</f>
        <v/>
      </c>
      <c r="AY601" s="38" t="str">
        <f>IF(ISNA(MATCH($N601,data!$A:$A,0)),"",INDEX(data!O:O,MATCH($N601,data!$A:$A,0)))</f>
        <v/>
      </c>
      <c r="AZ601" s="38" t="str">
        <f>IF(ISNA(MATCH($N601,data!$A:$A,0)),"",INDEX(data!N:N,MATCH($N601,data!$A:$A,0)))</f>
        <v/>
      </c>
      <c r="BA601" s="38" t="str">
        <f>IF(ISNA(MATCH($N601,data!$A:$A,0)),"",INDEX(data!P:P,MATCH($N601,data!$A:$A,0)))</f>
        <v/>
      </c>
      <c r="BB601" s="38" t="str">
        <f>IF(ISNA(MATCH($N601,data!$A:$A,0)),"",INDEX(data!Q:Q,MATCH($N601,data!$A:$A,0)))</f>
        <v/>
      </c>
      <c r="BC601" s="38" t="str">
        <f>IF(ISNA(MATCH($N601,data!$A:$A,0)),"",INDEX(data!R:R,MATCH($N601,data!$A:$A,0)))</f>
        <v/>
      </c>
      <c r="BD601" s="38" t="str">
        <f>IF(ISNA(MATCH($N601,[1]data!$A:$A,0)),"",INDEX([1]data!U:U,MATCH($N601,[1]data!$A:$A,0)))</f>
        <v/>
      </c>
      <c r="BE601" s="61" t="e">
        <f>IF(COUNTIF([1]data!A:A,[1]!Table1[[#This Row],[UPC]])&lt;2,"","DUP")</f>
        <v>#VALUE!</v>
      </c>
      <c r="BF601" s="38" t="str">
        <f>IF(ISNA(MATCH($N601,data!$A:$A,0)),"",INDEX(data!W:W,MATCH($N601,data!$A:$A,0)))</f>
        <v/>
      </c>
    </row>
    <row r="602" spans="1:58">
      <c r="A602" s="35"/>
      <c r="B602" s="35"/>
      <c r="C602" s="35"/>
      <c r="D602" s="35"/>
      <c r="E602" s="67"/>
      <c r="F602" s="67"/>
      <c r="G602" s="36"/>
      <c r="H602" s="29"/>
      <c r="I602" s="78" t="str">
        <f t="shared" si="14"/>
        <v/>
      </c>
      <c r="J602" s="29"/>
      <c r="K602" s="29"/>
      <c r="L602" s="33"/>
      <c r="M602" s="33"/>
      <c r="N602" s="60"/>
      <c r="O602" s="71"/>
      <c r="P602" s="71"/>
      <c r="Q602" s="33"/>
      <c r="R602" s="31"/>
      <c r="S602" s="31"/>
      <c r="T602" s="59"/>
      <c r="U602" s="59"/>
      <c r="V602" s="59"/>
      <c r="W602" s="57">
        <f t="shared" si="15"/>
        <v>0</v>
      </c>
      <c r="X602" s="126" t="str">
        <f>IF(Table1[[#This Row],[Shipping Weight Pounds]]&gt;150,"See LTL Form","No")</f>
        <v>No</v>
      </c>
      <c r="Y602" s="28"/>
      <c r="Z602" s="33"/>
      <c r="AA602" s="34"/>
      <c r="AB602" s="30"/>
      <c r="AC602" s="30"/>
      <c r="AD602" s="32"/>
      <c r="AE602" s="32"/>
      <c r="AF602" s="2"/>
      <c r="AG602" s="2"/>
      <c r="AH602" s="2"/>
      <c r="AI602" s="2"/>
      <c r="AK602" s="73" t="str">
        <f>IF(ISNA(MATCH($N602,[1]data!$A:$A,0)),"",INDEX([1]data!S:S,MATCH($N602,[1]data!$A:$A,0)))</f>
        <v/>
      </c>
      <c r="AL602" s="73" t="str">
        <f>IF(ISNA(MATCH($N602,[1]data!$A:$A,0)),"",INDEX([1]data!V:V,MATCH($N602,[1]data!$A:$A,0)))</f>
        <v/>
      </c>
      <c r="AM602" s="38" t="str">
        <f>IF(ISNA(MATCH($N602,data!$A:$A,0)),"",INDEX(data!B:B,MATCH($N602,data!$A:$A,0)))</f>
        <v/>
      </c>
      <c r="AN602" s="38" t="str">
        <f>IF(ISNA(MATCH($N602,data!$A:$A,0)),"",INDEX(data!C:C,MATCH($N602,data!$A:$A,0)))</f>
        <v/>
      </c>
      <c r="AO602" s="38" t="str">
        <f>IF(ISNA(MATCH($N602,data!$A:$A,0)),"",INDEX(data!D:D,MATCH($N602,data!$A:$A,0)))</f>
        <v/>
      </c>
      <c r="AP602" s="38" t="str">
        <f>IF(ISNA(MATCH($N602,data!$A:$A,0)),"",INDEX(data!E:E,MATCH($N602,data!$A:$A,0)))</f>
        <v/>
      </c>
      <c r="AQ602" s="38" t="str">
        <f>IF(ISNA(MATCH($N602,data!$A:$A,0)),"",INDEX(data!F:F,MATCH($N602,data!$A:$A,0)))</f>
        <v/>
      </c>
      <c r="AR602" s="38" t="str">
        <f>IF(ISNA(MATCH($N602,data!$A:$A,0)),"",INDEX(data!G:G,MATCH($N602,data!$A:$A,0)))</f>
        <v/>
      </c>
      <c r="AS602" s="38" t="str">
        <f>IF(ISNA(MATCH($N602,data!$A:$A,0)),"",INDEX(data!H:H,MATCH($N602,data!$A:$A,0)))</f>
        <v/>
      </c>
      <c r="AT602" s="38" t="str">
        <f>IF(ISNA(MATCH($N602,data!$A:$A,0)),"",INDEX(data!I:I,MATCH($N602,data!$A:$A,0)))</f>
        <v/>
      </c>
      <c r="AU602" s="38" t="str">
        <f>IF(ISNA(MATCH($N602,[1]data!$A:$A,0)),"",INDEX([1]data!L:L,MATCH($N602,[1]data!$A:$A,0)))</f>
        <v/>
      </c>
      <c r="AV602" s="38" t="str">
        <f>IF(ISNA(MATCH($N602,[1]data!$A:$A,0)),"",INDEX([1]data!M:M,MATCH($N602,[1]data!$A:$A,0)))</f>
        <v/>
      </c>
      <c r="AW602" s="38" t="str">
        <f>IF(ISNA(MATCH($N602,data!$A:$A,0)),"",INDEX(data!J:J,MATCH($N602,data!$A:$A,0)))</f>
        <v/>
      </c>
      <c r="AX602" s="38" t="str">
        <f>IF(ISNA(MATCH($N602,data!$A:$A,0)),"",INDEX(data!K:K,MATCH($N602,data!$A:$A,0)))</f>
        <v/>
      </c>
      <c r="AY602" s="38" t="str">
        <f>IF(ISNA(MATCH($N602,data!$A:$A,0)),"",INDEX(data!O:O,MATCH($N602,data!$A:$A,0)))</f>
        <v/>
      </c>
      <c r="AZ602" s="38" t="str">
        <f>IF(ISNA(MATCH($N602,data!$A:$A,0)),"",INDEX(data!N:N,MATCH($N602,data!$A:$A,0)))</f>
        <v/>
      </c>
      <c r="BA602" s="38" t="str">
        <f>IF(ISNA(MATCH($N602,data!$A:$A,0)),"",INDEX(data!P:P,MATCH($N602,data!$A:$A,0)))</f>
        <v/>
      </c>
      <c r="BB602" s="38" t="str">
        <f>IF(ISNA(MATCH($N602,data!$A:$A,0)),"",INDEX(data!Q:Q,MATCH($N602,data!$A:$A,0)))</f>
        <v/>
      </c>
      <c r="BC602" s="38" t="str">
        <f>IF(ISNA(MATCH($N602,data!$A:$A,0)),"",INDEX(data!R:R,MATCH($N602,data!$A:$A,0)))</f>
        <v/>
      </c>
      <c r="BD602" s="38" t="str">
        <f>IF(ISNA(MATCH($N602,[1]data!$A:$A,0)),"",INDEX([1]data!U:U,MATCH($N602,[1]data!$A:$A,0)))</f>
        <v/>
      </c>
      <c r="BE602" s="61" t="e">
        <f>IF(COUNTIF([1]data!A:A,[1]!Table1[[#This Row],[UPC]])&lt;2,"","DUP")</f>
        <v>#VALUE!</v>
      </c>
      <c r="BF602" s="38" t="str">
        <f>IF(ISNA(MATCH($N602,data!$A:$A,0)),"",INDEX(data!W:W,MATCH($N602,data!$A:$A,0)))</f>
        <v/>
      </c>
    </row>
    <row r="603" spans="1:58">
      <c r="A603" s="35"/>
      <c r="B603" s="35"/>
      <c r="C603" s="35"/>
      <c r="D603" s="35"/>
      <c r="E603" s="67"/>
      <c r="F603" s="67"/>
      <c r="G603" s="36"/>
      <c r="H603" s="29"/>
      <c r="I603" s="78" t="str">
        <f t="shared" si="14"/>
        <v/>
      </c>
      <c r="J603" s="29"/>
      <c r="K603" s="29"/>
      <c r="L603" s="33"/>
      <c r="M603" s="33"/>
      <c r="N603" s="60"/>
      <c r="O603" s="71"/>
      <c r="P603" s="71"/>
      <c r="Q603" s="33"/>
      <c r="R603" s="31"/>
      <c r="S603" s="31"/>
      <c r="T603" s="59"/>
      <c r="U603" s="59"/>
      <c r="V603" s="59"/>
      <c r="W603" s="57">
        <f t="shared" si="15"/>
        <v>0</v>
      </c>
      <c r="X603" s="126" t="str">
        <f>IF(Table1[[#This Row],[Shipping Weight Pounds]]&gt;150,"See LTL Form","No")</f>
        <v>No</v>
      </c>
      <c r="Y603" s="28"/>
      <c r="Z603" s="33"/>
      <c r="AA603" s="34"/>
      <c r="AB603" s="30"/>
      <c r="AC603" s="30"/>
      <c r="AD603" s="32"/>
      <c r="AE603" s="32"/>
      <c r="AF603" s="2"/>
      <c r="AG603" s="2"/>
      <c r="AH603" s="2"/>
      <c r="AI603" s="2"/>
      <c r="AK603" s="73" t="str">
        <f>IF(ISNA(MATCH($N603,[1]data!$A:$A,0)),"",INDEX([1]data!S:S,MATCH($N603,[1]data!$A:$A,0)))</f>
        <v/>
      </c>
      <c r="AL603" s="73" t="str">
        <f>IF(ISNA(MATCH($N603,[1]data!$A:$A,0)),"",INDEX([1]data!V:V,MATCH($N603,[1]data!$A:$A,0)))</f>
        <v/>
      </c>
      <c r="AM603" s="38" t="str">
        <f>IF(ISNA(MATCH($N603,data!$A:$A,0)),"",INDEX(data!B:B,MATCH($N603,data!$A:$A,0)))</f>
        <v/>
      </c>
      <c r="AN603" s="38" t="str">
        <f>IF(ISNA(MATCH($N603,data!$A:$A,0)),"",INDEX(data!C:C,MATCH($N603,data!$A:$A,0)))</f>
        <v/>
      </c>
      <c r="AO603" s="38" t="str">
        <f>IF(ISNA(MATCH($N603,data!$A:$A,0)),"",INDEX(data!D:D,MATCH($N603,data!$A:$A,0)))</f>
        <v/>
      </c>
      <c r="AP603" s="38" t="str">
        <f>IF(ISNA(MATCH($N603,data!$A:$A,0)),"",INDEX(data!E:E,MATCH($N603,data!$A:$A,0)))</f>
        <v/>
      </c>
      <c r="AQ603" s="38" t="str">
        <f>IF(ISNA(MATCH($N603,data!$A:$A,0)),"",INDEX(data!F:F,MATCH($N603,data!$A:$A,0)))</f>
        <v/>
      </c>
      <c r="AR603" s="38" t="str">
        <f>IF(ISNA(MATCH($N603,data!$A:$A,0)),"",INDEX(data!G:G,MATCH($N603,data!$A:$A,0)))</f>
        <v/>
      </c>
      <c r="AS603" s="38" t="str">
        <f>IF(ISNA(MATCH($N603,data!$A:$A,0)),"",INDEX(data!H:H,MATCH($N603,data!$A:$A,0)))</f>
        <v/>
      </c>
      <c r="AT603" s="38" t="str">
        <f>IF(ISNA(MATCH($N603,data!$A:$A,0)),"",INDEX(data!I:I,MATCH($N603,data!$A:$A,0)))</f>
        <v/>
      </c>
      <c r="AU603" s="38" t="str">
        <f>IF(ISNA(MATCH($N603,[1]data!$A:$A,0)),"",INDEX([1]data!L:L,MATCH($N603,[1]data!$A:$A,0)))</f>
        <v/>
      </c>
      <c r="AV603" s="38" t="str">
        <f>IF(ISNA(MATCH($N603,[1]data!$A:$A,0)),"",INDEX([1]data!M:M,MATCH($N603,[1]data!$A:$A,0)))</f>
        <v/>
      </c>
      <c r="AW603" s="38" t="str">
        <f>IF(ISNA(MATCH($N603,data!$A:$A,0)),"",INDEX(data!J:J,MATCH($N603,data!$A:$A,0)))</f>
        <v/>
      </c>
      <c r="AX603" s="38" t="str">
        <f>IF(ISNA(MATCH($N603,data!$A:$A,0)),"",INDEX(data!K:K,MATCH($N603,data!$A:$A,0)))</f>
        <v/>
      </c>
      <c r="AY603" s="38" t="str">
        <f>IF(ISNA(MATCH($N603,data!$A:$A,0)),"",INDEX(data!O:O,MATCH($N603,data!$A:$A,0)))</f>
        <v/>
      </c>
      <c r="AZ603" s="38" t="str">
        <f>IF(ISNA(MATCH($N603,data!$A:$A,0)),"",INDEX(data!N:N,MATCH($N603,data!$A:$A,0)))</f>
        <v/>
      </c>
      <c r="BA603" s="38" t="str">
        <f>IF(ISNA(MATCH($N603,data!$A:$A,0)),"",INDEX(data!P:P,MATCH($N603,data!$A:$A,0)))</f>
        <v/>
      </c>
      <c r="BB603" s="38" t="str">
        <f>IF(ISNA(MATCH($N603,data!$A:$A,0)),"",INDEX(data!Q:Q,MATCH($N603,data!$A:$A,0)))</f>
        <v/>
      </c>
      <c r="BC603" s="38" t="str">
        <f>IF(ISNA(MATCH($N603,data!$A:$A,0)),"",INDEX(data!R:R,MATCH($N603,data!$A:$A,0)))</f>
        <v/>
      </c>
      <c r="BD603" s="38" t="str">
        <f>IF(ISNA(MATCH($N603,[1]data!$A:$A,0)),"",INDEX([1]data!U:U,MATCH($N603,[1]data!$A:$A,0)))</f>
        <v/>
      </c>
      <c r="BE603" s="61" t="e">
        <f>IF(COUNTIF([1]data!A:A,[1]!Table1[[#This Row],[UPC]])&lt;2,"","DUP")</f>
        <v>#VALUE!</v>
      </c>
      <c r="BF603" s="38" t="str">
        <f>IF(ISNA(MATCH($N603,data!$A:$A,0)),"",INDEX(data!W:W,MATCH($N603,data!$A:$A,0)))</f>
        <v/>
      </c>
    </row>
    <row r="604" spans="1:58">
      <c r="A604" s="35"/>
      <c r="B604" s="35"/>
      <c r="C604" s="35"/>
      <c r="D604" s="35"/>
      <c r="E604" s="67"/>
      <c r="F604" s="67"/>
      <c r="G604" s="36"/>
      <c r="H604" s="29"/>
      <c r="I604" s="78" t="str">
        <f t="shared" si="14"/>
        <v/>
      </c>
      <c r="J604" s="29"/>
      <c r="K604" s="29"/>
      <c r="L604" s="33"/>
      <c r="M604" s="33"/>
      <c r="N604" s="60"/>
      <c r="O604" s="71"/>
      <c r="P604" s="71"/>
      <c r="Q604" s="33"/>
      <c r="R604" s="31"/>
      <c r="S604" s="31"/>
      <c r="T604" s="59"/>
      <c r="U604" s="59"/>
      <c r="V604" s="59"/>
      <c r="W604" s="57">
        <f t="shared" si="15"/>
        <v>0</v>
      </c>
      <c r="X604" s="126" t="str">
        <f>IF(Table1[[#This Row],[Shipping Weight Pounds]]&gt;150,"See LTL Form","No")</f>
        <v>No</v>
      </c>
      <c r="Y604" s="28"/>
      <c r="Z604" s="33"/>
      <c r="AA604" s="34"/>
      <c r="AB604" s="30"/>
      <c r="AC604" s="30"/>
      <c r="AD604" s="32"/>
      <c r="AE604" s="32"/>
      <c r="AF604" s="2"/>
      <c r="AG604" s="2"/>
      <c r="AH604" s="2"/>
      <c r="AI604" s="2"/>
      <c r="AK604" s="73" t="str">
        <f>IF(ISNA(MATCH($N604,[1]data!$A:$A,0)),"",INDEX([1]data!S:S,MATCH($N604,[1]data!$A:$A,0)))</f>
        <v/>
      </c>
      <c r="AL604" s="73" t="str">
        <f>IF(ISNA(MATCH($N604,[1]data!$A:$A,0)),"",INDEX([1]data!V:V,MATCH($N604,[1]data!$A:$A,0)))</f>
        <v/>
      </c>
      <c r="AM604" s="38" t="str">
        <f>IF(ISNA(MATCH($N604,data!$A:$A,0)),"",INDEX(data!B:B,MATCH($N604,data!$A:$A,0)))</f>
        <v/>
      </c>
      <c r="AN604" s="38" t="str">
        <f>IF(ISNA(MATCH($N604,data!$A:$A,0)),"",INDEX(data!C:C,MATCH($N604,data!$A:$A,0)))</f>
        <v/>
      </c>
      <c r="AO604" s="38" t="str">
        <f>IF(ISNA(MATCH($N604,data!$A:$A,0)),"",INDEX(data!D:D,MATCH($N604,data!$A:$A,0)))</f>
        <v/>
      </c>
      <c r="AP604" s="38" t="str">
        <f>IF(ISNA(MATCH($N604,data!$A:$A,0)),"",INDEX(data!E:E,MATCH($N604,data!$A:$A,0)))</f>
        <v/>
      </c>
      <c r="AQ604" s="38" t="str">
        <f>IF(ISNA(MATCH($N604,data!$A:$A,0)),"",INDEX(data!F:F,MATCH($N604,data!$A:$A,0)))</f>
        <v/>
      </c>
      <c r="AR604" s="38" t="str">
        <f>IF(ISNA(MATCH($N604,data!$A:$A,0)),"",INDEX(data!G:G,MATCH($N604,data!$A:$A,0)))</f>
        <v/>
      </c>
      <c r="AS604" s="38" t="str">
        <f>IF(ISNA(MATCH($N604,data!$A:$A,0)),"",INDEX(data!H:H,MATCH($N604,data!$A:$A,0)))</f>
        <v/>
      </c>
      <c r="AT604" s="38" t="str">
        <f>IF(ISNA(MATCH($N604,data!$A:$A,0)),"",INDEX(data!I:I,MATCH($N604,data!$A:$A,0)))</f>
        <v/>
      </c>
      <c r="AU604" s="38" t="str">
        <f>IF(ISNA(MATCH($N604,[1]data!$A:$A,0)),"",INDEX([1]data!L:L,MATCH($N604,[1]data!$A:$A,0)))</f>
        <v/>
      </c>
      <c r="AV604" s="38" t="str">
        <f>IF(ISNA(MATCH($N604,[1]data!$A:$A,0)),"",INDEX([1]data!M:M,MATCH($N604,[1]data!$A:$A,0)))</f>
        <v/>
      </c>
      <c r="AW604" s="38" t="str">
        <f>IF(ISNA(MATCH($N604,data!$A:$A,0)),"",INDEX(data!J:J,MATCH($N604,data!$A:$A,0)))</f>
        <v/>
      </c>
      <c r="AX604" s="38" t="str">
        <f>IF(ISNA(MATCH($N604,data!$A:$A,0)),"",INDEX(data!K:K,MATCH($N604,data!$A:$A,0)))</f>
        <v/>
      </c>
      <c r="AY604" s="38" t="str">
        <f>IF(ISNA(MATCH($N604,data!$A:$A,0)),"",INDEX(data!O:O,MATCH($N604,data!$A:$A,0)))</f>
        <v/>
      </c>
      <c r="AZ604" s="38" t="str">
        <f>IF(ISNA(MATCH($N604,data!$A:$A,0)),"",INDEX(data!N:N,MATCH($N604,data!$A:$A,0)))</f>
        <v/>
      </c>
      <c r="BA604" s="38" t="str">
        <f>IF(ISNA(MATCH($N604,data!$A:$A,0)),"",INDEX(data!P:P,MATCH($N604,data!$A:$A,0)))</f>
        <v/>
      </c>
      <c r="BB604" s="38" t="str">
        <f>IF(ISNA(MATCH($N604,data!$A:$A,0)),"",INDEX(data!Q:Q,MATCH($N604,data!$A:$A,0)))</f>
        <v/>
      </c>
      <c r="BC604" s="38" t="str">
        <f>IF(ISNA(MATCH($N604,data!$A:$A,0)),"",INDEX(data!R:R,MATCH($N604,data!$A:$A,0)))</f>
        <v/>
      </c>
      <c r="BD604" s="38" t="str">
        <f>IF(ISNA(MATCH($N604,[1]data!$A:$A,0)),"",INDEX([1]data!U:U,MATCH($N604,[1]data!$A:$A,0)))</f>
        <v/>
      </c>
      <c r="BE604" s="61" t="e">
        <f>IF(COUNTIF([1]data!A:A,[1]!Table1[[#This Row],[UPC]])&lt;2,"","DUP")</f>
        <v>#VALUE!</v>
      </c>
      <c r="BF604" s="38" t="str">
        <f>IF(ISNA(MATCH($N604,data!$A:$A,0)),"",INDEX(data!W:W,MATCH($N604,data!$A:$A,0)))</f>
        <v/>
      </c>
    </row>
    <row r="605" spans="1:58">
      <c r="A605" s="35"/>
      <c r="B605" s="35"/>
      <c r="C605" s="35"/>
      <c r="D605" s="35"/>
      <c r="E605" s="67"/>
      <c r="F605" s="67"/>
      <c r="G605" s="36"/>
      <c r="H605" s="29"/>
      <c r="I605" s="78" t="str">
        <f t="shared" si="14"/>
        <v/>
      </c>
      <c r="J605" s="29"/>
      <c r="K605" s="29"/>
      <c r="L605" s="33"/>
      <c r="M605" s="33"/>
      <c r="N605" s="60"/>
      <c r="O605" s="71"/>
      <c r="P605" s="71"/>
      <c r="Q605" s="33"/>
      <c r="R605" s="31"/>
      <c r="S605" s="31"/>
      <c r="T605" s="59"/>
      <c r="U605" s="59"/>
      <c r="V605" s="59"/>
      <c r="W605" s="57">
        <f t="shared" si="15"/>
        <v>0</v>
      </c>
      <c r="X605" s="126" t="str">
        <f>IF(Table1[[#This Row],[Shipping Weight Pounds]]&gt;150,"See LTL Form","No")</f>
        <v>No</v>
      </c>
      <c r="Y605" s="28"/>
      <c r="Z605" s="33"/>
      <c r="AA605" s="34"/>
      <c r="AB605" s="30"/>
      <c r="AC605" s="30"/>
      <c r="AD605" s="32"/>
      <c r="AE605" s="32"/>
      <c r="AF605" s="2"/>
      <c r="AG605" s="2"/>
      <c r="AH605" s="2"/>
      <c r="AI605" s="2"/>
      <c r="AK605" s="73" t="str">
        <f>IF(ISNA(MATCH($N605,[1]data!$A:$A,0)),"",INDEX([1]data!S:S,MATCH($N605,[1]data!$A:$A,0)))</f>
        <v/>
      </c>
      <c r="AL605" s="73" t="str">
        <f>IF(ISNA(MATCH($N605,[1]data!$A:$A,0)),"",INDEX([1]data!V:V,MATCH($N605,[1]data!$A:$A,0)))</f>
        <v/>
      </c>
      <c r="AM605" s="38" t="str">
        <f>IF(ISNA(MATCH($N605,data!$A:$A,0)),"",INDEX(data!B:B,MATCH($N605,data!$A:$A,0)))</f>
        <v/>
      </c>
      <c r="AN605" s="38" t="str">
        <f>IF(ISNA(MATCH($N605,data!$A:$A,0)),"",INDEX(data!C:C,MATCH($N605,data!$A:$A,0)))</f>
        <v/>
      </c>
      <c r="AO605" s="38" t="str">
        <f>IF(ISNA(MATCH($N605,data!$A:$A,0)),"",INDEX(data!D:D,MATCH($N605,data!$A:$A,0)))</f>
        <v/>
      </c>
      <c r="AP605" s="38" t="str">
        <f>IF(ISNA(MATCH($N605,data!$A:$A,0)),"",INDEX(data!E:E,MATCH($N605,data!$A:$A,0)))</f>
        <v/>
      </c>
      <c r="AQ605" s="38" t="str">
        <f>IF(ISNA(MATCH($N605,data!$A:$A,0)),"",INDEX(data!F:F,MATCH($N605,data!$A:$A,0)))</f>
        <v/>
      </c>
      <c r="AR605" s="38" t="str">
        <f>IF(ISNA(MATCH($N605,data!$A:$A,0)),"",INDEX(data!G:G,MATCH($N605,data!$A:$A,0)))</f>
        <v/>
      </c>
      <c r="AS605" s="38" t="str">
        <f>IF(ISNA(MATCH($N605,data!$A:$A,0)),"",INDEX(data!H:H,MATCH($N605,data!$A:$A,0)))</f>
        <v/>
      </c>
      <c r="AT605" s="38" t="str">
        <f>IF(ISNA(MATCH($N605,data!$A:$A,0)),"",INDEX(data!I:I,MATCH($N605,data!$A:$A,0)))</f>
        <v/>
      </c>
      <c r="AU605" s="38" t="str">
        <f>IF(ISNA(MATCH($N605,[1]data!$A:$A,0)),"",INDEX([1]data!L:L,MATCH($N605,[1]data!$A:$A,0)))</f>
        <v/>
      </c>
      <c r="AV605" s="38" t="str">
        <f>IF(ISNA(MATCH($N605,[1]data!$A:$A,0)),"",INDEX([1]data!M:M,MATCH($N605,[1]data!$A:$A,0)))</f>
        <v/>
      </c>
      <c r="AW605" s="38" t="str">
        <f>IF(ISNA(MATCH($N605,data!$A:$A,0)),"",INDEX(data!J:J,MATCH($N605,data!$A:$A,0)))</f>
        <v/>
      </c>
      <c r="AX605" s="38" t="str">
        <f>IF(ISNA(MATCH($N605,data!$A:$A,0)),"",INDEX(data!K:K,MATCH($N605,data!$A:$A,0)))</f>
        <v/>
      </c>
      <c r="AY605" s="38" t="str">
        <f>IF(ISNA(MATCH($N605,data!$A:$A,0)),"",INDEX(data!O:O,MATCH($N605,data!$A:$A,0)))</f>
        <v/>
      </c>
      <c r="AZ605" s="38" t="str">
        <f>IF(ISNA(MATCH($N605,data!$A:$A,0)),"",INDEX(data!N:N,MATCH($N605,data!$A:$A,0)))</f>
        <v/>
      </c>
      <c r="BA605" s="38" t="str">
        <f>IF(ISNA(MATCH($N605,data!$A:$A,0)),"",INDEX(data!P:P,MATCH($N605,data!$A:$A,0)))</f>
        <v/>
      </c>
      <c r="BB605" s="38" t="str">
        <f>IF(ISNA(MATCH($N605,data!$A:$A,0)),"",INDEX(data!Q:Q,MATCH($N605,data!$A:$A,0)))</f>
        <v/>
      </c>
      <c r="BC605" s="38" t="str">
        <f>IF(ISNA(MATCH($N605,data!$A:$A,0)),"",INDEX(data!R:R,MATCH($N605,data!$A:$A,0)))</f>
        <v/>
      </c>
      <c r="BD605" s="38" t="str">
        <f>IF(ISNA(MATCH($N605,[1]data!$A:$A,0)),"",INDEX([1]data!U:U,MATCH($N605,[1]data!$A:$A,0)))</f>
        <v/>
      </c>
      <c r="BE605" s="61" t="e">
        <f>IF(COUNTIF([1]data!A:A,[1]!Table1[[#This Row],[UPC]])&lt;2,"","DUP")</f>
        <v>#VALUE!</v>
      </c>
      <c r="BF605" s="38" t="str">
        <f>IF(ISNA(MATCH($N605,data!$A:$A,0)),"",INDEX(data!W:W,MATCH($N605,data!$A:$A,0)))</f>
        <v/>
      </c>
    </row>
    <row r="606" spans="1:58">
      <c r="A606" s="35"/>
      <c r="B606" s="35"/>
      <c r="C606" s="35"/>
      <c r="D606" s="35"/>
      <c r="E606" s="67"/>
      <c r="F606" s="67"/>
      <c r="G606" s="36"/>
      <c r="H606" s="29"/>
      <c r="I606" s="78" t="str">
        <f t="shared" si="14"/>
        <v/>
      </c>
      <c r="J606" s="29"/>
      <c r="K606" s="29"/>
      <c r="L606" s="33"/>
      <c r="M606" s="33"/>
      <c r="N606" s="60"/>
      <c r="O606" s="71"/>
      <c r="P606" s="71"/>
      <c r="Q606" s="33"/>
      <c r="R606" s="31"/>
      <c r="S606" s="31"/>
      <c r="T606" s="59"/>
      <c r="U606" s="59"/>
      <c r="V606" s="59"/>
      <c r="W606" s="57">
        <f t="shared" si="15"/>
        <v>0</v>
      </c>
      <c r="X606" s="126" t="str">
        <f>IF(Table1[[#This Row],[Shipping Weight Pounds]]&gt;150,"See LTL Form","No")</f>
        <v>No</v>
      </c>
      <c r="Y606" s="28"/>
      <c r="Z606" s="33"/>
      <c r="AA606" s="34"/>
      <c r="AB606" s="30"/>
      <c r="AC606" s="30"/>
      <c r="AD606" s="32"/>
      <c r="AE606" s="32"/>
      <c r="AF606" s="2"/>
      <c r="AG606" s="2"/>
      <c r="AH606" s="2"/>
      <c r="AI606" s="2"/>
      <c r="AK606" s="73" t="str">
        <f>IF(ISNA(MATCH($N606,[1]data!$A:$A,0)),"",INDEX([1]data!S:S,MATCH($N606,[1]data!$A:$A,0)))</f>
        <v/>
      </c>
      <c r="AL606" s="73" t="str">
        <f>IF(ISNA(MATCH($N606,[1]data!$A:$A,0)),"",INDEX([1]data!V:V,MATCH($N606,[1]data!$A:$A,0)))</f>
        <v/>
      </c>
      <c r="AM606" s="38" t="str">
        <f>IF(ISNA(MATCH($N606,data!$A:$A,0)),"",INDEX(data!B:B,MATCH($N606,data!$A:$A,0)))</f>
        <v/>
      </c>
      <c r="AN606" s="38" t="str">
        <f>IF(ISNA(MATCH($N606,data!$A:$A,0)),"",INDEX(data!C:C,MATCH($N606,data!$A:$A,0)))</f>
        <v/>
      </c>
      <c r="AO606" s="38" t="str">
        <f>IF(ISNA(MATCH($N606,data!$A:$A,0)),"",INDEX(data!D:D,MATCH($N606,data!$A:$A,0)))</f>
        <v/>
      </c>
      <c r="AP606" s="38" t="str">
        <f>IF(ISNA(MATCH($N606,data!$A:$A,0)),"",INDEX(data!E:E,MATCH($N606,data!$A:$A,0)))</f>
        <v/>
      </c>
      <c r="AQ606" s="38" t="str">
        <f>IF(ISNA(MATCH($N606,data!$A:$A,0)),"",INDEX(data!F:F,MATCH($N606,data!$A:$A,0)))</f>
        <v/>
      </c>
      <c r="AR606" s="38" t="str">
        <f>IF(ISNA(MATCH($N606,data!$A:$A,0)),"",INDEX(data!G:G,MATCH($N606,data!$A:$A,0)))</f>
        <v/>
      </c>
      <c r="AS606" s="38" t="str">
        <f>IF(ISNA(MATCH($N606,data!$A:$A,0)),"",INDEX(data!H:H,MATCH($N606,data!$A:$A,0)))</f>
        <v/>
      </c>
      <c r="AT606" s="38" t="str">
        <f>IF(ISNA(MATCH($N606,data!$A:$A,0)),"",INDEX(data!I:I,MATCH($N606,data!$A:$A,0)))</f>
        <v/>
      </c>
      <c r="AU606" s="38" t="str">
        <f>IF(ISNA(MATCH($N606,[1]data!$A:$A,0)),"",INDEX([1]data!L:L,MATCH($N606,[1]data!$A:$A,0)))</f>
        <v/>
      </c>
      <c r="AV606" s="38" t="str">
        <f>IF(ISNA(MATCH($N606,[1]data!$A:$A,0)),"",INDEX([1]data!M:M,MATCH($N606,[1]data!$A:$A,0)))</f>
        <v/>
      </c>
      <c r="AW606" s="38" t="str">
        <f>IF(ISNA(MATCH($N606,data!$A:$A,0)),"",INDEX(data!J:J,MATCH($N606,data!$A:$A,0)))</f>
        <v/>
      </c>
      <c r="AX606" s="38" t="str">
        <f>IF(ISNA(MATCH($N606,data!$A:$A,0)),"",INDEX(data!K:K,MATCH($N606,data!$A:$A,0)))</f>
        <v/>
      </c>
      <c r="AY606" s="38" t="str">
        <f>IF(ISNA(MATCH($N606,data!$A:$A,0)),"",INDEX(data!O:O,MATCH($N606,data!$A:$A,0)))</f>
        <v/>
      </c>
      <c r="AZ606" s="38" t="str">
        <f>IF(ISNA(MATCH($N606,data!$A:$A,0)),"",INDEX(data!N:N,MATCH($N606,data!$A:$A,0)))</f>
        <v/>
      </c>
      <c r="BA606" s="38" t="str">
        <f>IF(ISNA(MATCH($N606,data!$A:$A,0)),"",INDEX(data!P:P,MATCH($N606,data!$A:$A,0)))</f>
        <v/>
      </c>
      <c r="BB606" s="38" t="str">
        <f>IF(ISNA(MATCH($N606,data!$A:$A,0)),"",INDEX(data!Q:Q,MATCH($N606,data!$A:$A,0)))</f>
        <v/>
      </c>
      <c r="BC606" s="38" t="str">
        <f>IF(ISNA(MATCH($N606,data!$A:$A,0)),"",INDEX(data!R:R,MATCH($N606,data!$A:$A,0)))</f>
        <v/>
      </c>
      <c r="BD606" s="38" t="str">
        <f>IF(ISNA(MATCH($N606,[1]data!$A:$A,0)),"",INDEX([1]data!U:U,MATCH($N606,[1]data!$A:$A,0)))</f>
        <v/>
      </c>
      <c r="BE606" s="61" t="e">
        <f>IF(COUNTIF([1]data!A:A,[1]!Table1[[#This Row],[UPC]])&lt;2,"","DUP")</f>
        <v>#VALUE!</v>
      </c>
      <c r="BF606" s="38" t="str">
        <f>IF(ISNA(MATCH($N606,data!$A:$A,0)),"",INDEX(data!W:W,MATCH($N606,data!$A:$A,0)))</f>
        <v/>
      </c>
    </row>
    <row r="607" spans="1:58">
      <c r="A607" s="35"/>
      <c r="B607" s="35"/>
      <c r="C607" s="35"/>
      <c r="D607" s="35"/>
      <c r="E607" s="67"/>
      <c r="F607" s="67"/>
      <c r="G607" s="36"/>
      <c r="H607" s="29"/>
      <c r="I607" s="78" t="str">
        <f t="shared" si="14"/>
        <v/>
      </c>
      <c r="J607" s="29"/>
      <c r="K607" s="29"/>
      <c r="L607" s="33"/>
      <c r="M607" s="33"/>
      <c r="N607" s="60"/>
      <c r="O607" s="71"/>
      <c r="P607" s="71"/>
      <c r="Q607" s="33"/>
      <c r="R607" s="31"/>
      <c r="S607" s="31"/>
      <c r="T607" s="59"/>
      <c r="U607" s="59"/>
      <c r="V607" s="59"/>
      <c r="W607" s="57">
        <f t="shared" si="15"/>
        <v>0</v>
      </c>
      <c r="X607" s="126" t="str">
        <f>IF(Table1[[#This Row],[Shipping Weight Pounds]]&gt;150,"See LTL Form","No")</f>
        <v>No</v>
      </c>
      <c r="Y607" s="28"/>
      <c r="Z607" s="33"/>
      <c r="AA607" s="34"/>
      <c r="AB607" s="30"/>
      <c r="AC607" s="30"/>
      <c r="AD607" s="32"/>
      <c r="AE607" s="32"/>
      <c r="AF607" s="2"/>
      <c r="AG607" s="2"/>
      <c r="AH607" s="2"/>
      <c r="AI607" s="2"/>
      <c r="AK607" s="73" t="str">
        <f>IF(ISNA(MATCH($N607,[1]data!$A:$A,0)),"",INDEX([1]data!S:S,MATCH($N607,[1]data!$A:$A,0)))</f>
        <v/>
      </c>
      <c r="AL607" s="73" t="str">
        <f>IF(ISNA(MATCH($N607,[1]data!$A:$A,0)),"",INDEX([1]data!V:V,MATCH($N607,[1]data!$A:$A,0)))</f>
        <v/>
      </c>
      <c r="AM607" s="38" t="str">
        <f>IF(ISNA(MATCH($N607,data!$A:$A,0)),"",INDEX(data!B:B,MATCH($N607,data!$A:$A,0)))</f>
        <v/>
      </c>
      <c r="AN607" s="38" t="str">
        <f>IF(ISNA(MATCH($N607,data!$A:$A,0)),"",INDEX(data!C:C,MATCH($N607,data!$A:$A,0)))</f>
        <v/>
      </c>
      <c r="AO607" s="38" t="str">
        <f>IF(ISNA(MATCH($N607,data!$A:$A,0)),"",INDEX(data!D:D,MATCH($N607,data!$A:$A,0)))</f>
        <v/>
      </c>
      <c r="AP607" s="38" t="str">
        <f>IF(ISNA(MATCH($N607,data!$A:$A,0)),"",INDEX(data!E:E,MATCH($N607,data!$A:$A,0)))</f>
        <v/>
      </c>
      <c r="AQ607" s="38" t="str">
        <f>IF(ISNA(MATCH($N607,data!$A:$A,0)),"",INDEX(data!F:F,MATCH($N607,data!$A:$A,0)))</f>
        <v/>
      </c>
      <c r="AR607" s="38" t="str">
        <f>IF(ISNA(MATCH($N607,data!$A:$A,0)),"",INDEX(data!G:G,MATCH($N607,data!$A:$A,0)))</f>
        <v/>
      </c>
      <c r="AS607" s="38" t="str">
        <f>IF(ISNA(MATCH($N607,data!$A:$A,0)),"",INDEX(data!H:H,MATCH($N607,data!$A:$A,0)))</f>
        <v/>
      </c>
      <c r="AT607" s="38" t="str">
        <f>IF(ISNA(MATCH($N607,data!$A:$A,0)),"",INDEX(data!I:I,MATCH($N607,data!$A:$A,0)))</f>
        <v/>
      </c>
      <c r="AU607" s="38" t="str">
        <f>IF(ISNA(MATCH($N607,[1]data!$A:$A,0)),"",INDEX([1]data!L:L,MATCH($N607,[1]data!$A:$A,0)))</f>
        <v/>
      </c>
      <c r="AV607" s="38" t="str">
        <f>IF(ISNA(MATCH($N607,[1]data!$A:$A,0)),"",INDEX([1]data!M:M,MATCH($N607,[1]data!$A:$A,0)))</f>
        <v/>
      </c>
      <c r="AW607" s="38" t="str">
        <f>IF(ISNA(MATCH($N607,data!$A:$A,0)),"",INDEX(data!J:J,MATCH($N607,data!$A:$A,0)))</f>
        <v/>
      </c>
      <c r="AX607" s="38" t="str">
        <f>IF(ISNA(MATCH($N607,data!$A:$A,0)),"",INDEX(data!K:K,MATCH($N607,data!$A:$A,0)))</f>
        <v/>
      </c>
      <c r="AY607" s="38" t="str">
        <f>IF(ISNA(MATCH($N607,data!$A:$A,0)),"",INDEX(data!O:O,MATCH($N607,data!$A:$A,0)))</f>
        <v/>
      </c>
      <c r="AZ607" s="38" t="str">
        <f>IF(ISNA(MATCH($N607,data!$A:$A,0)),"",INDEX(data!N:N,MATCH($N607,data!$A:$A,0)))</f>
        <v/>
      </c>
      <c r="BA607" s="38" t="str">
        <f>IF(ISNA(MATCH($N607,data!$A:$A,0)),"",INDEX(data!P:P,MATCH($N607,data!$A:$A,0)))</f>
        <v/>
      </c>
      <c r="BB607" s="38" t="str">
        <f>IF(ISNA(MATCH($N607,data!$A:$A,0)),"",INDEX(data!Q:Q,MATCH($N607,data!$A:$A,0)))</f>
        <v/>
      </c>
      <c r="BC607" s="38" t="str">
        <f>IF(ISNA(MATCH($N607,data!$A:$A,0)),"",INDEX(data!R:R,MATCH($N607,data!$A:$A,0)))</f>
        <v/>
      </c>
      <c r="BD607" s="38" t="str">
        <f>IF(ISNA(MATCH($N607,[1]data!$A:$A,0)),"",INDEX([1]data!U:U,MATCH($N607,[1]data!$A:$A,0)))</f>
        <v/>
      </c>
      <c r="BE607" s="61" t="e">
        <f>IF(COUNTIF([1]data!A:A,[1]!Table1[[#This Row],[UPC]])&lt;2,"","DUP")</f>
        <v>#VALUE!</v>
      </c>
      <c r="BF607" s="38" t="str">
        <f>IF(ISNA(MATCH($N607,data!$A:$A,0)),"",INDEX(data!W:W,MATCH($N607,data!$A:$A,0)))</f>
        <v/>
      </c>
    </row>
    <row r="608" spans="1:58">
      <c r="A608" s="35"/>
      <c r="B608" s="35"/>
      <c r="C608" s="35"/>
      <c r="D608" s="35"/>
      <c r="E608" s="67"/>
      <c r="F608" s="67"/>
      <c r="G608" s="36"/>
      <c r="H608" s="29"/>
      <c r="I608" s="78" t="str">
        <f t="shared" si="14"/>
        <v/>
      </c>
      <c r="J608" s="29"/>
      <c r="K608" s="29"/>
      <c r="L608" s="33"/>
      <c r="M608" s="33"/>
      <c r="N608" s="60"/>
      <c r="O608" s="71"/>
      <c r="P608" s="71"/>
      <c r="Q608" s="33"/>
      <c r="R608" s="31"/>
      <c r="S608" s="31"/>
      <c r="T608" s="59"/>
      <c r="U608" s="59"/>
      <c r="V608" s="59"/>
      <c r="W608" s="57">
        <f t="shared" si="15"/>
        <v>0</v>
      </c>
      <c r="X608" s="126" t="str">
        <f>IF(Table1[[#This Row],[Shipping Weight Pounds]]&gt;150,"See LTL Form","No")</f>
        <v>No</v>
      </c>
      <c r="Y608" s="28"/>
      <c r="Z608" s="33"/>
      <c r="AA608" s="34"/>
      <c r="AB608" s="30"/>
      <c r="AC608" s="30"/>
      <c r="AD608" s="32"/>
      <c r="AE608" s="32"/>
      <c r="AF608" s="2"/>
      <c r="AG608" s="2"/>
      <c r="AH608" s="2"/>
      <c r="AI608" s="2"/>
      <c r="AK608" s="73" t="str">
        <f>IF(ISNA(MATCH($N608,[1]data!$A:$A,0)),"",INDEX([1]data!S:S,MATCH($N608,[1]data!$A:$A,0)))</f>
        <v/>
      </c>
      <c r="AL608" s="73" t="str">
        <f>IF(ISNA(MATCH($N608,[1]data!$A:$A,0)),"",INDEX([1]data!V:V,MATCH($N608,[1]data!$A:$A,0)))</f>
        <v/>
      </c>
      <c r="AM608" s="38" t="str">
        <f>IF(ISNA(MATCH($N608,data!$A:$A,0)),"",INDEX(data!B:B,MATCH($N608,data!$A:$A,0)))</f>
        <v/>
      </c>
      <c r="AN608" s="38" t="str">
        <f>IF(ISNA(MATCH($N608,data!$A:$A,0)),"",INDEX(data!C:C,MATCH($N608,data!$A:$A,0)))</f>
        <v/>
      </c>
      <c r="AO608" s="38" t="str">
        <f>IF(ISNA(MATCH($N608,data!$A:$A,0)),"",INDEX(data!D:D,MATCH($N608,data!$A:$A,0)))</f>
        <v/>
      </c>
      <c r="AP608" s="38" t="str">
        <f>IF(ISNA(MATCH($N608,data!$A:$A,0)),"",INDEX(data!E:E,MATCH($N608,data!$A:$A,0)))</f>
        <v/>
      </c>
      <c r="AQ608" s="38" t="str">
        <f>IF(ISNA(MATCH($N608,data!$A:$A,0)),"",INDEX(data!F:F,MATCH($N608,data!$A:$A,0)))</f>
        <v/>
      </c>
      <c r="AR608" s="38" t="str">
        <f>IF(ISNA(MATCH($N608,data!$A:$A,0)),"",INDEX(data!G:G,MATCH($N608,data!$A:$A,0)))</f>
        <v/>
      </c>
      <c r="AS608" s="38" t="str">
        <f>IF(ISNA(MATCH($N608,data!$A:$A,0)),"",INDEX(data!H:H,MATCH($N608,data!$A:$A,0)))</f>
        <v/>
      </c>
      <c r="AT608" s="38" t="str">
        <f>IF(ISNA(MATCH($N608,data!$A:$A,0)),"",INDEX(data!I:I,MATCH($N608,data!$A:$A,0)))</f>
        <v/>
      </c>
      <c r="AU608" s="38" t="str">
        <f>IF(ISNA(MATCH($N608,[1]data!$A:$A,0)),"",INDEX([1]data!L:L,MATCH($N608,[1]data!$A:$A,0)))</f>
        <v/>
      </c>
      <c r="AV608" s="38" t="str">
        <f>IF(ISNA(MATCH($N608,[1]data!$A:$A,0)),"",INDEX([1]data!M:M,MATCH($N608,[1]data!$A:$A,0)))</f>
        <v/>
      </c>
      <c r="AW608" s="38" t="str">
        <f>IF(ISNA(MATCH($N608,data!$A:$A,0)),"",INDEX(data!J:J,MATCH($N608,data!$A:$A,0)))</f>
        <v/>
      </c>
      <c r="AX608" s="38" t="str">
        <f>IF(ISNA(MATCH($N608,data!$A:$A,0)),"",INDEX(data!K:K,MATCH($N608,data!$A:$A,0)))</f>
        <v/>
      </c>
      <c r="AY608" s="38" t="str">
        <f>IF(ISNA(MATCH($N608,data!$A:$A,0)),"",INDEX(data!O:O,MATCH($N608,data!$A:$A,0)))</f>
        <v/>
      </c>
      <c r="AZ608" s="38" t="str">
        <f>IF(ISNA(MATCH($N608,data!$A:$A,0)),"",INDEX(data!N:N,MATCH($N608,data!$A:$A,0)))</f>
        <v/>
      </c>
      <c r="BA608" s="38" t="str">
        <f>IF(ISNA(MATCH($N608,data!$A:$A,0)),"",INDEX(data!P:P,MATCH($N608,data!$A:$A,0)))</f>
        <v/>
      </c>
      <c r="BB608" s="38" t="str">
        <f>IF(ISNA(MATCH($N608,data!$A:$A,0)),"",INDEX(data!Q:Q,MATCH($N608,data!$A:$A,0)))</f>
        <v/>
      </c>
      <c r="BC608" s="38" t="str">
        <f>IF(ISNA(MATCH($N608,data!$A:$A,0)),"",INDEX(data!R:R,MATCH($N608,data!$A:$A,0)))</f>
        <v/>
      </c>
      <c r="BD608" s="38" t="str">
        <f>IF(ISNA(MATCH($N608,[1]data!$A:$A,0)),"",INDEX([1]data!U:U,MATCH($N608,[1]data!$A:$A,0)))</f>
        <v/>
      </c>
      <c r="BE608" s="61" t="e">
        <f>IF(COUNTIF([1]data!A:A,[1]!Table1[[#This Row],[UPC]])&lt;2,"","DUP")</f>
        <v>#VALUE!</v>
      </c>
      <c r="BF608" s="38" t="str">
        <f>IF(ISNA(MATCH($N608,data!$A:$A,0)),"",INDEX(data!W:W,MATCH($N608,data!$A:$A,0)))</f>
        <v/>
      </c>
    </row>
    <row r="609" spans="1:58">
      <c r="A609" s="35"/>
      <c r="B609" s="35"/>
      <c r="C609" s="35"/>
      <c r="D609" s="35"/>
      <c r="E609" s="67"/>
      <c r="F609" s="67"/>
      <c r="G609" s="36"/>
      <c r="H609" s="29"/>
      <c r="I609" s="78" t="str">
        <f t="shared" si="14"/>
        <v/>
      </c>
      <c r="J609" s="29"/>
      <c r="K609" s="29"/>
      <c r="L609" s="33"/>
      <c r="M609" s="33"/>
      <c r="N609" s="60"/>
      <c r="O609" s="71"/>
      <c r="P609" s="71"/>
      <c r="Q609" s="33"/>
      <c r="R609" s="31"/>
      <c r="S609" s="31"/>
      <c r="T609" s="59"/>
      <c r="U609" s="59"/>
      <c r="V609" s="59"/>
      <c r="W609" s="57">
        <f t="shared" si="15"/>
        <v>0</v>
      </c>
      <c r="X609" s="126" t="str">
        <f>IF(Table1[[#This Row],[Shipping Weight Pounds]]&gt;150,"See LTL Form","No")</f>
        <v>No</v>
      </c>
      <c r="Y609" s="28"/>
      <c r="Z609" s="33"/>
      <c r="AA609" s="34"/>
      <c r="AB609" s="30"/>
      <c r="AC609" s="30"/>
      <c r="AD609" s="32"/>
      <c r="AE609" s="32"/>
      <c r="AF609" s="2"/>
      <c r="AG609" s="2"/>
      <c r="AH609" s="2"/>
      <c r="AI609" s="2"/>
      <c r="AK609" s="73" t="str">
        <f>IF(ISNA(MATCH($N609,[1]data!$A:$A,0)),"",INDEX([1]data!S:S,MATCH($N609,[1]data!$A:$A,0)))</f>
        <v/>
      </c>
      <c r="AL609" s="73" t="str">
        <f>IF(ISNA(MATCH($N609,[1]data!$A:$A,0)),"",INDEX([1]data!V:V,MATCH($N609,[1]data!$A:$A,0)))</f>
        <v/>
      </c>
      <c r="AM609" s="38" t="str">
        <f>IF(ISNA(MATCH($N609,data!$A:$A,0)),"",INDEX(data!B:B,MATCH($N609,data!$A:$A,0)))</f>
        <v/>
      </c>
      <c r="AN609" s="38" t="str">
        <f>IF(ISNA(MATCH($N609,data!$A:$A,0)),"",INDEX(data!C:C,MATCH($N609,data!$A:$A,0)))</f>
        <v/>
      </c>
      <c r="AO609" s="38" t="str">
        <f>IF(ISNA(MATCH($N609,data!$A:$A,0)),"",INDEX(data!D:D,MATCH($N609,data!$A:$A,0)))</f>
        <v/>
      </c>
      <c r="AP609" s="38" t="str">
        <f>IF(ISNA(MATCH($N609,data!$A:$A,0)),"",INDEX(data!E:E,MATCH($N609,data!$A:$A,0)))</f>
        <v/>
      </c>
      <c r="AQ609" s="38" t="str">
        <f>IF(ISNA(MATCH($N609,data!$A:$A,0)),"",INDEX(data!F:F,MATCH($N609,data!$A:$A,0)))</f>
        <v/>
      </c>
      <c r="AR609" s="38" t="str">
        <f>IF(ISNA(MATCH($N609,data!$A:$A,0)),"",INDEX(data!G:G,MATCH($N609,data!$A:$A,0)))</f>
        <v/>
      </c>
      <c r="AS609" s="38" t="str">
        <f>IF(ISNA(MATCH($N609,data!$A:$A,0)),"",INDEX(data!H:H,MATCH($N609,data!$A:$A,0)))</f>
        <v/>
      </c>
      <c r="AT609" s="38" t="str">
        <f>IF(ISNA(MATCH($N609,data!$A:$A,0)),"",INDEX(data!I:I,MATCH($N609,data!$A:$A,0)))</f>
        <v/>
      </c>
      <c r="AU609" s="38" t="str">
        <f>IF(ISNA(MATCH($N609,[1]data!$A:$A,0)),"",INDEX([1]data!L:L,MATCH($N609,[1]data!$A:$A,0)))</f>
        <v/>
      </c>
      <c r="AV609" s="38" t="str">
        <f>IF(ISNA(MATCH($N609,[1]data!$A:$A,0)),"",INDEX([1]data!M:M,MATCH($N609,[1]data!$A:$A,0)))</f>
        <v/>
      </c>
      <c r="AW609" s="38" t="str">
        <f>IF(ISNA(MATCH($N609,data!$A:$A,0)),"",INDEX(data!J:J,MATCH($N609,data!$A:$A,0)))</f>
        <v/>
      </c>
      <c r="AX609" s="38" t="str">
        <f>IF(ISNA(MATCH($N609,data!$A:$A,0)),"",INDEX(data!K:K,MATCH($N609,data!$A:$A,0)))</f>
        <v/>
      </c>
      <c r="AY609" s="38" t="str">
        <f>IF(ISNA(MATCH($N609,data!$A:$A,0)),"",INDEX(data!O:O,MATCH($N609,data!$A:$A,0)))</f>
        <v/>
      </c>
      <c r="AZ609" s="38" t="str">
        <f>IF(ISNA(MATCH($N609,data!$A:$A,0)),"",INDEX(data!N:N,MATCH($N609,data!$A:$A,0)))</f>
        <v/>
      </c>
      <c r="BA609" s="38" t="str">
        <f>IF(ISNA(MATCH($N609,data!$A:$A,0)),"",INDEX(data!P:P,MATCH($N609,data!$A:$A,0)))</f>
        <v/>
      </c>
      <c r="BB609" s="38" t="str">
        <f>IF(ISNA(MATCH($N609,data!$A:$A,0)),"",INDEX(data!Q:Q,MATCH($N609,data!$A:$A,0)))</f>
        <v/>
      </c>
      <c r="BC609" s="38" t="str">
        <f>IF(ISNA(MATCH($N609,data!$A:$A,0)),"",INDEX(data!R:R,MATCH($N609,data!$A:$A,0)))</f>
        <v/>
      </c>
      <c r="BD609" s="38" t="str">
        <f>IF(ISNA(MATCH($N609,[1]data!$A:$A,0)),"",INDEX([1]data!U:U,MATCH($N609,[1]data!$A:$A,0)))</f>
        <v/>
      </c>
      <c r="BE609" s="61" t="e">
        <f>IF(COUNTIF([1]data!A:A,[1]!Table1[[#This Row],[UPC]])&lt;2,"","DUP")</f>
        <v>#VALUE!</v>
      </c>
      <c r="BF609" s="38" t="str">
        <f>IF(ISNA(MATCH($N609,data!$A:$A,0)),"",INDEX(data!W:W,MATCH($N609,data!$A:$A,0)))</f>
        <v/>
      </c>
    </row>
    <row r="610" spans="1:58">
      <c r="A610" s="35"/>
      <c r="B610" s="35"/>
      <c r="C610" s="35"/>
      <c r="D610" s="35"/>
      <c r="E610" s="67"/>
      <c r="F610" s="67"/>
      <c r="G610" s="36"/>
      <c r="H610" s="29"/>
      <c r="I610" s="78" t="str">
        <f t="shared" si="14"/>
        <v/>
      </c>
      <c r="J610" s="29"/>
      <c r="K610" s="29"/>
      <c r="L610" s="33"/>
      <c r="M610" s="33"/>
      <c r="N610" s="60"/>
      <c r="O610" s="71"/>
      <c r="P610" s="71"/>
      <c r="Q610" s="33"/>
      <c r="R610" s="31"/>
      <c r="S610" s="31"/>
      <c r="T610" s="59"/>
      <c r="U610" s="59"/>
      <c r="V610" s="59"/>
      <c r="W610" s="57">
        <f t="shared" si="15"/>
        <v>0</v>
      </c>
      <c r="X610" s="126" t="str">
        <f>IF(Table1[[#This Row],[Shipping Weight Pounds]]&gt;150,"See LTL Form","No")</f>
        <v>No</v>
      </c>
      <c r="Y610" s="28"/>
      <c r="Z610" s="33"/>
      <c r="AA610" s="34"/>
      <c r="AB610" s="30"/>
      <c r="AC610" s="30"/>
      <c r="AD610" s="32"/>
      <c r="AE610" s="32"/>
      <c r="AF610" s="2"/>
      <c r="AG610" s="2"/>
      <c r="AH610" s="2"/>
      <c r="AI610" s="2"/>
      <c r="AK610" s="73" t="str">
        <f>IF(ISNA(MATCH($N610,[1]data!$A:$A,0)),"",INDEX([1]data!S:S,MATCH($N610,[1]data!$A:$A,0)))</f>
        <v/>
      </c>
      <c r="AL610" s="73" t="str">
        <f>IF(ISNA(MATCH($N610,[1]data!$A:$A,0)),"",INDEX([1]data!V:V,MATCH($N610,[1]data!$A:$A,0)))</f>
        <v/>
      </c>
      <c r="AM610" s="38" t="str">
        <f>IF(ISNA(MATCH($N610,data!$A:$A,0)),"",INDEX(data!B:B,MATCH($N610,data!$A:$A,0)))</f>
        <v/>
      </c>
      <c r="AN610" s="38" t="str">
        <f>IF(ISNA(MATCH($N610,data!$A:$A,0)),"",INDEX(data!C:C,MATCH($N610,data!$A:$A,0)))</f>
        <v/>
      </c>
      <c r="AO610" s="38" t="str">
        <f>IF(ISNA(MATCH($N610,data!$A:$A,0)),"",INDEX(data!D:D,MATCH($N610,data!$A:$A,0)))</f>
        <v/>
      </c>
      <c r="AP610" s="38" t="str">
        <f>IF(ISNA(MATCH($N610,data!$A:$A,0)),"",INDEX(data!E:E,MATCH($N610,data!$A:$A,0)))</f>
        <v/>
      </c>
      <c r="AQ610" s="38" t="str">
        <f>IF(ISNA(MATCH($N610,data!$A:$A,0)),"",INDEX(data!F:F,MATCH($N610,data!$A:$A,0)))</f>
        <v/>
      </c>
      <c r="AR610" s="38" t="str">
        <f>IF(ISNA(MATCH($N610,data!$A:$A,0)),"",INDEX(data!G:G,MATCH($N610,data!$A:$A,0)))</f>
        <v/>
      </c>
      <c r="AS610" s="38" t="str">
        <f>IF(ISNA(MATCH($N610,data!$A:$A,0)),"",INDEX(data!H:H,MATCH($N610,data!$A:$A,0)))</f>
        <v/>
      </c>
      <c r="AT610" s="38" t="str">
        <f>IF(ISNA(MATCH($N610,data!$A:$A,0)),"",INDEX(data!I:I,MATCH($N610,data!$A:$A,0)))</f>
        <v/>
      </c>
      <c r="AU610" s="38" t="str">
        <f>IF(ISNA(MATCH($N610,[1]data!$A:$A,0)),"",INDEX([1]data!L:L,MATCH($N610,[1]data!$A:$A,0)))</f>
        <v/>
      </c>
      <c r="AV610" s="38" t="str">
        <f>IF(ISNA(MATCH($N610,[1]data!$A:$A,0)),"",INDEX([1]data!M:M,MATCH($N610,[1]data!$A:$A,0)))</f>
        <v/>
      </c>
      <c r="AW610" s="38" t="str">
        <f>IF(ISNA(MATCH($N610,data!$A:$A,0)),"",INDEX(data!J:J,MATCH($N610,data!$A:$A,0)))</f>
        <v/>
      </c>
      <c r="AX610" s="38" t="str">
        <f>IF(ISNA(MATCH($N610,data!$A:$A,0)),"",INDEX(data!K:K,MATCH($N610,data!$A:$A,0)))</f>
        <v/>
      </c>
      <c r="AY610" s="38" t="str">
        <f>IF(ISNA(MATCH($N610,data!$A:$A,0)),"",INDEX(data!O:O,MATCH($N610,data!$A:$A,0)))</f>
        <v/>
      </c>
      <c r="AZ610" s="38" t="str">
        <f>IF(ISNA(MATCH($N610,data!$A:$A,0)),"",INDEX(data!N:N,MATCH($N610,data!$A:$A,0)))</f>
        <v/>
      </c>
      <c r="BA610" s="38" t="str">
        <f>IF(ISNA(MATCH($N610,data!$A:$A,0)),"",INDEX(data!P:P,MATCH($N610,data!$A:$A,0)))</f>
        <v/>
      </c>
      <c r="BB610" s="38" t="str">
        <f>IF(ISNA(MATCH($N610,data!$A:$A,0)),"",INDEX(data!Q:Q,MATCH($N610,data!$A:$A,0)))</f>
        <v/>
      </c>
      <c r="BC610" s="38" t="str">
        <f>IF(ISNA(MATCH($N610,data!$A:$A,0)),"",INDEX(data!R:R,MATCH($N610,data!$A:$A,0)))</f>
        <v/>
      </c>
      <c r="BD610" s="38" t="str">
        <f>IF(ISNA(MATCH($N610,[1]data!$A:$A,0)),"",INDEX([1]data!U:U,MATCH($N610,[1]data!$A:$A,0)))</f>
        <v/>
      </c>
      <c r="BE610" s="61" t="e">
        <f>IF(COUNTIF([1]data!A:A,[1]!Table1[[#This Row],[UPC]])&lt;2,"","DUP")</f>
        <v>#VALUE!</v>
      </c>
      <c r="BF610" s="38" t="str">
        <f>IF(ISNA(MATCH($N610,data!$A:$A,0)),"",INDEX(data!W:W,MATCH($N610,data!$A:$A,0)))</f>
        <v/>
      </c>
    </row>
    <row r="611" spans="1:58">
      <c r="A611" s="35"/>
      <c r="B611" s="35"/>
      <c r="C611" s="35"/>
      <c r="D611" s="35"/>
      <c r="E611" s="67"/>
      <c r="F611" s="67"/>
      <c r="G611" s="36"/>
      <c r="H611" s="29"/>
      <c r="I611" s="78" t="str">
        <f t="shared" si="14"/>
        <v/>
      </c>
      <c r="J611" s="29"/>
      <c r="K611" s="29"/>
      <c r="L611" s="33"/>
      <c r="M611" s="33"/>
      <c r="N611" s="60"/>
      <c r="O611" s="71"/>
      <c r="P611" s="71"/>
      <c r="Q611" s="33"/>
      <c r="R611" s="31"/>
      <c r="S611" s="31"/>
      <c r="T611" s="59"/>
      <c r="U611" s="59"/>
      <c r="V611" s="59"/>
      <c r="W611" s="57">
        <f t="shared" si="15"/>
        <v>0</v>
      </c>
      <c r="X611" s="126" t="str">
        <f>IF(Table1[[#This Row],[Shipping Weight Pounds]]&gt;150,"See LTL Form","No")</f>
        <v>No</v>
      </c>
      <c r="Y611" s="28"/>
      <c r="Z611" s="33"/>
      <c r="AA611" s="34"/>
      <c r="AB611" s="30"/>
      <c r="AC611" s="30"/>
      <c r="AD611" s="32"/>
      <c r="AE611" s="32"/>
      <c r="AF611" s="2"/>
      <c r="AG611" s="2"/>
      <c r="AH611" s="2"/>
      <c r="AI611" s="2"/>
      <c r="AK611" s="73" t="str">
        <f>IF(ISNA(MATCH($N611,[1]data!$A:$A,0)),"",INDEX([1]data!S:S,MATCH($N611,[1]data!$A:$A,0)))</f>
        <v/>
      </c>
      <c r="AL611" s="73" t="str">
        <f>IF(ISNA(MATCH($N611,[1]data!$A:$A,0)),"",INDEX([1]data!V:V,MATCH($N611,[1]data!$A:$A,0)))</f>
        <v/>
      </c>
      <c r="AM611" s="38" t="str">
        <f>IF(ISNA(MATCH($N611,data!$A:$A,0)),"",INDEX(data!B:B,MATCH($N611,data!$A:$A,0)))</f>
        <v/>
      </c>
      <c r="AN611" s="38" t="str">
        <f>IF(ISNA(MATCH($N611,data!$A:$A,0)),"",INDEX(data!C:C,MATCH($N611,data!$A:$A,0)))</f>
        <v/>
      </c>
      <c r="AO611" s="38" t="str">
        <f>IF(ISNA(MATCH($N611,data!$A:$A,0)),"",INDEX(data!D:D,MATCH($N611,data!$A:$A,0)))</f>
        <v/>
      </c>
      <c r="AP611" s="38" t="str">
        <f>IF(ISNA(MATCH($N611,data!$A:$A,0)),"",INDEX(data!E:E,MATCH($N611,data!$A:$A,0)))</f>
        <v/>
      </c>
      <c r="AQ611" s="38" t="str">
        <f>IF(ISNA(MATCH($N611,data!$A:$A,0)),"",INDEX(data!F:F,MATCH($N611,data!$A:$A,0)))</f>
        <v/>
      </c>
      <c r="AR611" s="38" t="str">
        <f>IF(ISNA(MATCH($N611,data!$A:$A,0)),"",INDEX(data!G:G,MATCH($N611,data!$A:$A,0)))</f>
        <v/>
      </c>
      <c r="AS611" s="38" t="str">
        <f>IF(ISNA(MATCH($N611,data!$A:$A,0)),"",INDEX(data!H:H,MATCH($N611,data!$A:$A,0)))</f>
        <v/>
      </c>
      <c r="AT611" s="38" t="str">
        <f>IF(ISNA(MATCH($N611,data!$A:$A,0)),"",INDEX(data!I:I,MATCH($N611,data!$A:$A,0)))</f>
        <v/>
      </c>
      <c r="AU611" s="38" t="str">
        <f>IF(ISNA(MATCH($N611,[1]data!$A:$A,0)),"",INDEX([1]data!L:L,MATCH($N611,[1]data!$A:$A,0)))</f>
        <v/>
      </c>
      <c r="AV611" s="38" t="str">
        <f>IF(ISNA(MATCH($N611,[1]data!$A:$A,0)),"",INDEX([1]data!M:M,MATCH($N611,[1]data!$A:$A,0)))</f>
        <v/>
      </c>
      <c r="AW611" s="38" t="str">
        <f>IF(ISNA(MATCH($N611,data!$A:$A,0)),"",INDEX(data!J:J,MATCH($N611,data!$A:$A,0)))</f>
        <v/>
      </c>
      <c r="AX611" s="38" t="str">
        <f>IF(ISNA(MATCH($N611,data!$A:$A,0)),"",INDEX(data!K:K,MATCH($N611,data!$A:$A,0)))</f>
        <v/>
      </c>
      <c r="AY611" s="38" t="str">
        <f>IF(ISNA(MATCH($N611,data!$A:$A,0)),"",INDEX(data!O:O,MATCH($N611,data!$A:$A,0)))</f>
        <v/>
      </c>
      <c r="AZ611" s="38" t="str">
        <f>IF(ISNA(MATCH($N611,data!$A:$A,0)),"",INDEX(data!N:N,MATCH($N611,data!$A:$A,0)))</f>
        <v/>
      </c>
      <c r="BA611" s="38" t="str">
        <f>IF(ISNA(MATCH($N611,data!$A:$A,0)),"",INDEX(data!P:P,MATCH($N611,data!$A:$A,0)))</f>
        <v/>
      </c>
      <c r="BB611" s="38" t="str">
        <f>IF(ISNA(MATCH($N611,data!$A:$A,0)),"",INDEX(data!Q:Q,MATCH($N611,data!$A:$A,0)))</f>
        <v/>
      </c>
      <c r="BC611" s="38" t="str">
        <f>IF(ISNA(MATCH($N611,data!$A:$A,0)),"",INDEX(data!R:R,MATCH($N611,data!$A:$A,0)))</f>
        <v/>
      </c>
      <c r="BD611" s="38" t="str">
        <f>IF(ISNA(MATCH($N611,[1]data!$A:$A,0)),"",INDEX([1]data!U:U,MATCH($N611,[1]data!$A:$A,0)))</f>
        <v/>
      </c>
      <c r="BE611" s="61" t="e">
        <f>IF(COUNTIF([1]data!A:A,[1]!Table1[[#This Row],[UPC]])&lt;2,"","DUP")</f>
        <v>#VALUE!</v>
      </c>
      <c r="BF611" s="38" t="str">
        <f>IF(ISNA(MATCH($N611,data!$A:$A,0)),"",INDEX(data!W:W,MATCH($N611,data!$A:$A,0)))</f>
        <v/>
      </c>
    </row>
    <row r="612" spans="1:58">
      <c r="A612" s="35"/>
      <c r="B612" s="35"/>
      <c r="C612" s="35"/>
      <c r="D612" s="35"/>
      <c r="E612" s="67"/>
      <c r="F612" s="67"/>
      <c r="G612" s="36"/>
      <c r="H612" s="29"/>
      <c r="I612" s="78" t="str">
        <f t="shared" si="14"/>
        <v/>
      </c>
      <c r="J612" s="29"/>
      <c r="K612" s="29"/>
      <c r="L612" s="33"/>
      <c r="M612" s="33"/>
      <c r="N612" s="60"/>
      <c r="O612" s="71"/>
      <c r="P612" s="71"/>
      <c r="Q612" s="33"/>
      <c r="R612" s="31"/>
      <c r="S612" s="31"/>
      <c r="T612" s="59"/>
      <c r="U612" s="59"/>
      <c r="V612" s="59"/>
      <c r="W612" s="57">
        <f t="shared" si="15"/>
        <v>0</v>
      </c>
      <c r="X612" s="126" t="str">
        <f>IF(Table1[[#This Row],[Shipping Weight Pounds]]&gt;150,"See LTL Form","No")</f>
        <v>No</v>
      </c>
      <c r="Y612" s="28"/>
      <c r="Z612" s="33"/>
      <c r="AA612" s="34"/>
      <c r="AB612" s="30"/>
      <c r="AC612" s="30"/>
      <c r="AD612" s="32"/>
      <c r="AE612" s="32"/>
      <c r="AF612" s="2"/>
      <c r="AG612" s="2"/>
      <c r="AH612" s="2"/>
      <c r="AI612" s="2"/>
      <c r="AK612" s="73" t="str">
        <f>IF(ISNA(MATCH($N612,[1]data!$A:$A,0)),"",INDEX([1]data!S:S,MATCH($N612,[1]data!$A:$A,0)))</f>
        <v/>
      </c>
      <c r="AL612" s="73" t="str">
        <f>IF(ISNA(MATCH($N612,[1]data!$A:$A,0)),"",INDEX([1]data!V:V,MATCH($N612,[1]data!$A:$A,0)))</f>
        <v/>
      </c>
      <c r="AM612" s="38" t="str">
        <f>IF(ISNA(MATCH($N612,data!$A:$A,0)),"",INDEX(data!B:B,MATCH($N612,data!$A:$A,0)))</f>
        <v/>
      </c>
      <c r="AN612" s="38" t="str">
        <f>IF(ISNA(MATCH($N612,data!$A:$A,0)),"",INDEX(data!C:C,MATCH($N612,data!$A:$A,0)))</f>
        <v/>
      </c>
      <c r="AO612" s="38" t="str">
        <f>IF(ISNA(MATCH($N612,data!$A:$A,0)),"",INDEX(data!D:D,MATCH($N612,data!$A:$A,0)))</f>
        <v/>
      </c>
      <c r="AP612" s="38" t="str">
        <f>IF(ISNA(MATCH($N612,data!$A:$A,0)),"",INDEX(data!E:E,MATCH($N612,data!$A:$A,0)))</f>
        <v/>
      </c>
      <c r="AQ612" s="38" t="str">
        <f>IF(ISNA(MATCH($N612,data!$A:$A,0)),"",INDEX(data!F:F,MATCH($N612,data!$A:$A,0)))</f>
        <v/>
      </c>
      <c r="AR612" s="38" t="str">
        <f>IF(ISNA(MATCH($N612,data!$A:$A,0)),"",INDEX(data!G:G,MATCH($N612,data!$A:$A,0)))</f>
        <v/>
      </c>
      <c r="AS612" s="38" t="str">
        <f>IF(ISNA(MATCH($N612,data!$A:$A,0)),"",INDEX(data!H:H,MATCH($N612,data!$A:$A,0)))</f>
        <v/>
      </c>
      <c r="AT612" s="38" t="str">
        <f>IF(ISNA(MATCH($N612,data!$A:$A,0)),"",INDEX(data!I:I,MATCH($N612,data!$A:$A,0)))</f>
        <v/>
      </c>
      <c r="AU612" s="38" t="str">
        <f>IF(ISNA(MATCH($N612,[1]data!$A:$A,0)),"",INDEX([1]data!L:L,MATCH($N612,[1]data!$A:$A,0)))</f>
        <v/>
      </c>
      <c r="AV612" s="38" t="str">
        <f>IF(ISNA(MATCH($N612,[1]data!$A:$A,0)),"",INDEX([1]data!M:M,MATCH($N612,[1]data!$A:$A,0)))</f>
        <v/>
      </c>
      <c r="AW612" s="38" t="str">
        <f>IF(ISNA(MATCH($N612,data!$A:$A,0)),"",INDEX(data!J:J,MATCH($N612,data!$A:$A,0)))</f>
        <v/>
      </c>
      <c r="AX612" s="38" t="str">
        <f>IF(ISNA(MATCH($N612,data!$A:$A,0)),"",INDEX(data!K:K,MATCH($N612,data!$A:$A,0)))</f>
        <v/>
      </c>
      <c r="AY612" s="38" t="str">
        <f>IF(ISNA(MATCH($N612,data!$A:$A,0)),"",INDEX(data!O:O,MATCH($N612,data!$A:$A,0)))</f>
        <v/>
      </c>
      <c r="AZ612" s="38" t="str">
        <f>IF(ISNA(MATCH($N612,data!$A:$A,0)),"",INDEX(data!N:N,MATCH($N612,data!$A:$A,0)))</f>
        <v/>
      </c>
      <c r="BA612" s="38" t="str">
        <f>IF(ISNA(MATCH($N612,data!$A:$A,0)),"",INDEX(data!P:P,MATCH($N612,data!$A:$A,0)))</f>
        <v/>
      </c>
      <c r="BB612" s="38" t="str">
        <f>IF(ISNA(MATCH($N612,data!$A:$A,0)),"",INDEX(data!Q:Q,MATCH($N612,data!$A:$A,0)))</f>
        <v/>
      </c>
      <c r="BC612" s="38" t="str">
        <f>IF(ISNA(MATCH($N612,data!$A:$A,0)),"",INDEX(data!R:R,MATCH($N612,data!$A:$A,0)))</f>
        <v/>
      </c>
      <c r="BD612" s="38" t="str">
        <f>IF(ISNA(MATCH($N612,[1]data!$A:$A,0)),"",INDEX([1]data!U:U,MATCH($N612,[1]data!$A:$A,0)))</f>
        <v/>
      </c>
      <c r="BE612" s="61" t="e">
        <f>IF(COUNTIF([1]data!A:A,[1]!Table1[[#This Row],[UPC]])&lt;2,"","DUP")</f>
        <v>#VALUE!</v>
      </c>
      <c r="BF612" s="38" t="str">
        <f>IF(ISNA(MATCH($N612,data!$A:$A,0)),"",INDEX(data!W:W,MATCH($N612,data!$A:$A,0)))</f>
        <v/>
      </c>
    </row>
    <row r="613" spans="1:58">
      <c r="A613" s="35"/>
      <c r="B613" s="35"/>
      <c r="C613" s="35"/>
      <c r="D613" s="35"/>
      <c r="E613" s="67"/>
      <c r="F613" s="67"/>
      <c r="G613" s="36"/>
      <c r="H613" s="29"/>
      <c r="I613" s="78" t="str">
        <f t="shared" si="14"/>
        <v/>
      </c>
      <c r="J613" s="29"/>
      <c r="K613" s="29"/>
      <c r="L613" s="33"/>
      <c r="M613" s="33"/>
      <c r="N613" s="60"/>
      <c r="O613" s="71"/>
      <c r="P613" s="71"/>
      <c r="Q613" s="33"/>
      <c r="R613" s="31"/>
      <c r="S613" s="31"/>
      <c r="T613" s="59"/>
      <c r="U613" s="59"/>
      <c r="V613" s="59"/>
      <c r="W613" s="57">
        <f t="shared" si="15"/>
        <v>0</v>
      </c>
      <c r="X613" s="126" t="str">
        <f>IF(Table1[[#This Row],[Shipping Weight Pounds]]&gt;150,"See LTL Form","No")</f>
        <v>No</v>
      </c>
      <c r="Y613" s="28"/>
      <c r="Z613" s="33"/>
      <c r="AA613" s="34"/>
      <c r="AB613" s="30"/>
      <c r="AC613" s="30"/>
      <c r="AD613" s="32"/>
      <c r="AE613" s="32"/>
      <c r="AF613" s="2"/>
      <c r="AG613" s="2"/>
      <c r="AH613" s="2"/>
      <c r="AI613" s="2"/>
      <c r="AK613" s="73" t="str">
        <f>IF(ISNA(MATCH($N613,[1]data!$A:$A,0)),"",INDEX([1]data!S:S,MATCH($N613,[1]data!$A:$A,0)))</f>
        <v/>
      </c>
      <c r="AL613" s="73" t="str">
        <f>IF(ISNA(MATCH($N613,[1]data!$A:$A,0)),"",INDEX([1]data!V:V,MATCH($N613,[1]data!$A:$A,0)))</f>
        <v/>
      </c>
      <c r="AM613" s="38" t="str">
        <f>IF(ISNA(MATCH($N613,data!$A:$A,0)),"",INDEX(data!B:B,MATCH($N613,data!$A:$A,0)))</f>
        <v/>
      </c>
      <c r="AN613" s="38" t="str">
        <f>IF(ISNA(MATCH($N613,data!$A:$A,0)),"",INDEX(data!C:C,MATCH($N613,data!$A:$A,0)))</f>
        <v/>
      </c>
      <c r="AO613" s="38" t="str">
        <f>IF(ISNA(MATCH($N613,data!$A:$A,0)),"",INDEX(data!D:D,MATCH($N613,data!$A:$A,0)))</f>
        <v/>
      </c>
      <c r="AP613" s="38" t="str">
        <f>IF(ISNA(MATCH($N613,data!$A:$A,0)),"",INDEX(data!E:E,MATCH($N613,data!$A:$A,0)))</f>
        <v/>
      </c>
      <c r="AQ613" s="38" t="str">
        <f>IF(ISNA(MATCH($N613,data!$A:$A,0)),"",INDEX(data!F:F,MATCH($N613,data!$A:$A,0)))</f>
        <v/>
      </c>
      <c r="AR613" s="38" t="str">
        <f>IF(ISNA(MATCH($N613,data!$A:$A,0)),"",INDEX(data!G:G,MATCH($N613,data!$A:$A,0)))</f>
        <v/>
      </c>
      <c r="AS613" s="38" t="str">
        <f>IF(ISNA(MATCH($N613,data!$A:$A,0)),"",INDEX(data!H:H,MATCH($N613,data!$A:$A,0)))</f>
        <v/>
      </c>
      <c r="AT613" s="38" t="str">
        <f>IF(ISNA(MATCH($N613,data!$A:$A,0)),"",INDEX(data!I:I,MATCH($N613,data!$A:$A,0)))</f>
        <v/>
      </c>
      <c r="AU613" s="38" t="str">
        <f>IF(ISNA(MATCH($N613,[1]data!$A:$A,0)),"",INDEX([1]data!L:L,MATCH($N613,[1]data!$A:$A,0)))</f>
        <v/>
      </c>
      <c r="AV613" s="38" t="str">
        <f>IF(ISNA(MATCH($N613,[1]data!$A:$A,0)),"",INDEX([1]data!M:M,MATCH($N613,[1]data!$A:$A,0)))</f>
        <v/>
      </c>
      <c r="AW613" s="38" t="str">
        <f>IF(ISNA(MATCH($N613,data!$A:$A,0)),"",INDEX(data!J:J,MATCH($N613,data!$A:$A,0)))</f>
        <v/>
      </c>
      <c r="AX613" s="38" t="str">
        <f>IF(ISNA(MATCH($N613,data!$A:$A,0)),"",INDEX(data!K:K,MATCH($N613,data!$A:$A,0)))</f>
        <v/>
      </c>
      <c r="AY613" s="38" t="str">
        <f>IF(ISNA(MATCH($N613,data!$A:$A,0)),"",INDEX(data!O:O,MATCH($N613,data!$A:$A,0)))</f>
        <v/>
      </c>
      <c r="AZ613" s="38" t="str">
        <f>IF(ISNA(MATCH($N613,data!$A:$A,0)),"",INDEX(data!N:N,MATCH($N613,data!$A:$A,0)))</f>
        <v/>
      </c>
      <c r="BA613" s="38" t="str">
        <f>IF(ISNA(MATCH($N613,data!$A:$A,0)),"",INDEX(data!P:P,MATCH($N613,data!$A:$A,0)))</f>
        <v/>
      </c>
      <c r="BB613" s="38" t="str">
        <f>IF(ISNA(MATCH($N613,data!$A:$A,0)),"",INDEX(data!Q:Q,MATCH($N613,data!$A:$A,0)))</f>
        <v/>
      </c>
      <c r="BC613" s="38" t="str">
        <f>IF(ISNA(MATCH($N613,data!$A:$A,0)),"",INDEX(data!R:R,MATCH($N613,data!$A:$A,0)))</f>
        <v/>
      </c>
      <c r="BD613" s="38" t="str">
        <f>IF(ISNA(MATCH($N613,[1]data!$A:$A,0)),"",INDEX([1]data!U:U,MATCH($N613,[1]data!$A:$A,0)))</f>
        <v/>
      </c>
      <c r="BE613" s="61" t="e">
        <f>IF(COUNTIF([1]data!A:A,[1]!Table1[[#This Row],[UPC]])&lt;2,"","DUP")</f>
        <v>#VALUE!</v>
      </c>
      <c r="BF613" s="38" t="str">
        <f>IF(ISNA(MATCH($N613,data!$A:$A,0)),"",INDEX(data!W:W,MATCH($N613,data!$A:$A,0)))</f>
        <v/>
      </c>
    </row>
    <row r="614" spans="1:58">
      <c r="A614" s="35"/>
      <c r="B614" s="35"/>
      <c r="C614" s="35"/>
      <c r="D614" s="35"/>
      <c r="E614" s="67"/>
      <c r="F614" s="67"/>
      <c r="G614" s="36"/>
      <c r="H614" s="29"/>
      <c r="I614" s="78" t="str">
        <f t="shared" si="14"/>
        <v/>
      </c>
      <c r="J614" s="29"/>
      <c r="K614" s="29"/>
      <c r="L614" s="33"/>
      <c r="M614" s="33"/>
      <c r="N614" s="60"/>
      <c r="O614" s="71"/>
      <c r="P614" s="71"/>
      <c r="Q614" s="33"/>
      <c r="R614" s="31"/>
      <c r="S614" s="31"/>
      <c r="T614" s="59"/>
      <c r="U614" s="59"/>
      <c r="V614" s="59"/>
      <c r="W614" s="57">
        <f t="shared" si="15"/>
        <v>0</v>
      </c>
      <c r="X614" s="126" t="str">
        <f>IF(Table1[[#This Row],[Shipping Weight Pounds]]&gt;150,"See LTL Form","No")</f>
        <v>No</v>
      </c>
      <c r="Y614" s="28"/>
      <c r="Z614" s="33"/>
      <c r="AA614" s="34"/>
      <c r="AB614" s="30"/>
      <c r="AC614" s="30"/>
      <c r="AD614" s="32"/>
      <c r="AE614" s="32"/>
      <c r="AF614" s="2"/>
      <c r="AG614" s="2"/>
      <c r="AH614" s="2"/>
      <c r="AI614" s="2"/>
      <c r="AK614" s="73" t="str">
        <f>IF(ISNA(MATCH($N614,[1]data!$A:$A,0)),"",INDEX([1]data!S:S,MATCH($N614,[1]data!$A:$A,0)))</f>
        <v/>
      </c>
      <c r="AL614" s="73" t="str">
        <f>IF(ISNA(MATCH($N614,[1]data!$A:$A,0)),"",INDEX([1]data!V:V,MATCH($N614,[1]data!$A:$A,0)))</f>
        <v/>
      </c>
      <c r="AM614" s="38" t="str">
        <f>IF(ISNA(MATCH($N614,data!$A:$A,0)),"",INDEX(data!B:B,MATCH($N614,data!$A:$A,0)))</f>
        <v/>
      </c>
      <c r="AN614" s="38" t="str">
        <f>IF(ISNA(MATCH($N614,data!$A:$A,0)),"",INDEX(data!C:C,MATCH($N614,data!$A:$A,0)))</f>
        <v/>
      </c>
      <c r="AO614" s="38" t="str">
        <f>IF(ISNA(MATCH($N614,data!$A:$A,0)),"",INDEX(data!D:D,MATCH($N614,data!$A:$A,0)))</f>
        <v/>
      </c>
      <c r="AP614" s="38" t="str">
        <f>IF(ISNA(MATCH($N614,data!$A:$A,0)),"",INDEX(data!E:E,MATCH($N614,data!$A:$A,0)))</f>
        <v/>
      </c>
      <c r="AQ614" s="38" t="str">
        <f>IF(ISNA(MATCH($N614,data!$A:$A,0)),"",INDEX(data!F:F,MATCH($N614,data!$A:$A,0)))</f>
        <v/>
      </c>
      <c r="AR614" s="38" t="str">
        <f>IF(ISNA(MATCH($N614,data!$A:$A,0)),"",INDEX(data!G:G,MATCH($N614,data!$A:$A,0)))</f>
        <v/>
      </c>
      <c r="AS614" s="38" t="str">
        <f>IF(ISNA(MATCH($N614,data!$A:$A,0)),"",INDEX(data!H:H,MATCH($N614,data!$A:$A,0)))</f>
        <v/>
      </c>
      <c r="AT614" s="38" t="str">
        <f>IF(ISNA(MATCH($N614,data!$A:$A,0)),"",INDEX(data!I:I,MATCH($N614,data!$A:$A,0)))</f>
        <v/>
      </c>
      <c r="AU614" s="38" t="str">
        <f>IF(ISNA(MATCH($N614,[1]data!$A:$A,0)),"",INDEX([1]data!L:L,MATCH($N614,[1]data!$A:$A,0)))</f>
        <v/>
      </c>
      <c r="AV614" s="38" t="str">
        <f>IF(ISNA(MATCH($N614,[1]data!$A:$A,0)),"",INDEX([1]data!M:M,MATCH($N614,[1]data!$A:$A,0)))</f>
        <v/>
      </c>
      <c r="AW614" s="38" t="str">
        <f>IF(ISNA(MATCH($N614,data!$A:$A,0)),"",INDEX(data!J:J,MATCH($N614,data!$A:$A,0)))</f>
        <v/>
      </c>
      <c r="AX614" s="38" t="str">
        <f>IF(ISNA(MATCH($N614,data!$A:$A,0)),"",INDEX(data!K:K,MATCH($N614,data!$A:$A,0)))</f>
        <v/>
      </c>
      <c r="AY614" s="38" t="str">
        <f>IF(ISNA(MATCH($N614,data!$A:$A,0)),"",INDEX(data!O:O,MATCH($N614,data!$A:$A,0)))</f>
        <v/>
      </c>
      <c r="AZ614" s="38" t="str">
        <f>IF(ISNA(MATCH($N614,data!$A:$A,0)),"",INDEX(data!N:N,MATCH($N614,data!$A:$A,0)))</f>
        <v/>
      </c>
      <c r="BA614" s="38" t="str">
        <f>IF(ISNA(MATCH($N614,data!$A:$A,0)),"",INDEX(data!P:P,MATCH($N614,data!$A:$A,0)))</f>
        <v/>
      </c>
      <c r="BB614" s="38" t="str">
        <f>IF(ISNA(MATCH($N614,data!$A:$A,0)),"",INDEX(data!Q:Q,MATCH($N614,data!$A:$A,0)))</f>
        <v/>
      </c>
      <c r="BC614" s="38" t="str">
        <f>IF(ISNA(MATCH($N614,data!$A:$A,0)),"",INDEX(data!R:R,MATCH($N614,data!$A:$A,0)))</f>
        <v/>
      </c>
      <c r="BD614" s="38" t="str">
        <f>IF(ISNA(MATCH($N614,[1]data!$A:$A,0)),"",INDEX([1]data!U:U,MATCH($N614,[1]data!$A:$A,0)))</f>
        <v/>
      </c>
      <c r="BE614" s="61" t="e">
        <f>IF(COUNTIF([1]data!A:A,[1]!Table1[[#This Row],[UPC]])&lt;2,"","DUP")</f>
        <v>#VALUE!</v>
      </c>
      <c r="BF614" s="38" t="str">
        <f>IF(ISNA(MATCH($N614,data!$A:$A,0)),"",INDEX(data!W:W,MATCH($N614,data!$A:$A,0)))</f>
        <v/>
      </c>
    </row>
    <row r="615" spans="1:58">
      <c r="A615" s="35"/>
      <c r="B615" s="35"/>
      <c r="C615" s="35"/>
      <c r="D615" s="35"/>
      <c r="E615" s="67"/>
      <c r="F615" s="67"/>
      <c r="G615" s="36"/>
      <c r="H615" s="29"/>
      <c r="I615" s="78" t="str">
        <f t="shared" si="14"/>
        <v/>
      </c>
      <c r="J615" s="29"/>
      <c r="K615" s="29"/>
      <c r="L615" s="33"/>
      <c r="M615" s="33"/>
      <c r="N615" s="60"/>
      <c r="O615" s="71"/>
      <c r="P615" s="71"/>
      <c r="Q615" s="33"/>
      <c r="R615" s="31"/>
      <c r="S615" s="31"/>
      <c r="T615" s="59"/>
      <c r="U615" s="59"/>
      <c r="V615" s="59"/>
      <c r="W615" s="57">
        <f t="shared" si="15"/>
        <v>0</v>
      </c>
      <c r="X615" s="126" t="str">
        <f>IF(Table1[[#This Row],[Shipping Weight Pounds]]&gt;150,"See LTL Form","No")</f>
        <v>No</v>
      </c>
      <c r="Y615" s="28"/>
      <c r="Z615" s="33"/>
      <c r="AA615" s="34"/>
      <c r="AB615" s="30"/>
      <c r="AC615" s="30"/>
      <c r="AD615" s="32"/>
      <c r="AE615" s="32"/>
      <c r="AF615" s="2"/>
      <c r="AG615" s="2"/>
      <c r="AH615" s="2"/>
      <c r="AI615" s="2"/>
      <c r="AK615" s="73" t="str">
        <f>IF(ISNA(MATCH($N615,[1]data!$A:$A,0)),"",INDEX([1]data!S:S,MATCH($N615,[1]data!$A:$A,0)))</f>
        <v/>
      </c>
      <c r="AL615" s="73" t="str">
        <f>IF(ISNA(MATCH($N615,[1]data!$A:$A,0)),"",INDEX([1]data!V:V,MATCH($N615,[1]data!$A:$A,0)))</f>
        <v/>
      </c>
      <c r="AM615" s="38" t="str">
        <f>IF(ISNA(MATCH($N615,data!$A:$A,0)),"",INDEX(data!B:B,MATCH($N615,data!$A:$A,0)))</f>
        <v/>
      </c>
      <c r="AN615" s="38" t="str">
        <f>IF(ISNA(MATCH($N615,data!$A:$A,0)),"",INDEX(data!C:C,MATCH($N615,data!$A:$A,0)))</f>
        <v/>
      </c>
      <c r="AO615" s="38" t="str">
        <f>IF(ISNA(MATCH($N615,data!$A:$A,0)),"",INDEX(data!D:D,MATCH($N615,data!$A:$A,0)))</f>
        <v/>
      </c>
      <c r="AP615" s="38" t="str">
        <f>IF(ISNA(MATCH($N615,data!$A:$A,0)),"",INDEX(data!E:E,MATCH($N615,data!$A:$A,0)))</f>
        <v/>
      </c>
      <c r="AQ615" s="38" t="str">
        <f>IF(ISNA(MATCH($N615,data!$A:$A,0)),"",INDEX(data!F:F,MATCH($N615,data!$A:$A,0)))</f>
        <v/>
      </c>
      <c r="AR615" s="38" t="str">
        <f>IF(ISNA(MATCH($N615,data!$A:$A,0)),"",INDEX(data!G:G,MATCH($N615,data!$A:$A,0)))</f>
        <v/>
      </c>
      <c r="AS615" s="38" t="str">
        <f>IF(ISNA(MATCH($N615,data!$A:$A,0)),"",INDEX(data!H:H,MATCH($N615,data!$A:$A,0)))</f>
        <v/>
      </c>
      <c r="AT615" s="38" t="str">
        <f>IF(ISNA(MATCH($N615,data!$A:$A,0)),"",INDEX(data!I:I,MATCH($N615,data!$A:$A,0)))</f>
        <v/>
      </c>
      <c r="AU615" s="38" t="str">
        <f>IF(ISNA(MATCH($N615,[1]data!$A:$A,0)),"",INDEX([1]data!L:L,MATCH($N615,[1]data!$A:$A,0)))</f>
        <v/>
      </c>
      <c r="AV615" s="38" t="str">
        <f>IF(ISNA(MATCH($N615,[1]data!$A:$A,0)),"",INDEX([1]data!M:M,MATCH($N615,[1]data!$A:$A,0)))</f>
        <v/>
      </c>
      <c r="AW615" s="38" t="str">
        <f>IF(ISNA(MATCH($N615,data!$A:$A,0)),"",INDEX(data!J:J,MATCH($N615,data!$A:$A,0)))</f>
        <v/>
      </c>
      <c r="AX615" s="38" t="str">
        <f>IF(ISNA(MATCH($N615,data!$A:$A,0)),"",INDEX(data!K:K,MATCH($N615,data!$A:$A,0)))</f>
        <v/>
      </c>
      <c r="AY615" s="38" t="str">
        <f>IF(ISNA(MATCH($N615,data!$A:$A,0)),"",INDEX(data!O:O,MATCH($N615,data!$A:$A,0)))</f>
        <v/>
      </c>
      <c r="AZ615" s="38" t="str">
        <f>IF(ISNA(MATCH($N615,data!$A:$A,0)),"",INDEX(data!N:N,MATCH($N615,data!$A:$A,0)))</f>
        <v/>
      </c>
      <c r="BA615" s="38" t="str">
        <f>IF(ISNA(MATCH($N615,data!$A:$A,0)),"",INDEX(data!P:P,MATCH($N615,data!$A:$A,0)))</f>
        <v/>
      </c>
      <c r="BB615" s="38" t="str">
        <f>IF(ISNA(MATCH($N615,data!$A:$A,0)),"",INDEX(data!Q:Q,MATCH($N615,data!$A:$A,0)))</f>
        <v/>
      </c>
      <c r="BC615" s="38" t="str">
        <f>IF(ISNA(MATCH($N615,data!$A:$A,0)),"",INDEX(data!R:R,MATCH($N615,data!$A:$A,0)))</f>
        <v/>
      </c>
      <c r="BD615" s="38" t="str">
        <f>IF(ISNA(MATCH($N615,[1]data!$A:$A,0)),"",INDEX([1]data!U:U,MATCH($N615,[1]data!$A:$A,0)))</f>
        <v/>
      </c>
      <c r="BE615" s="61" t="e">
        <f>IF(COUNTIF([1]data!A:A,[1]!Table1[[#This Row],[UPC]])&lt;2,"","DUP")</f>
        <v>#VALUE!</v>
      </c>
      <c r="BF615" s="38" t="str">
        <f>IF(ISNA(MATCH($N615,data!$A:$A,0)),"",INDEX(data!W:W,MATCH($N615,data!$A:$A,0)))</f>
        <v/>
      </c>
    </row>
    <row r="616" spans="1:58">
      <c r="A616" s="35"/>
      <c r="B616" s="35"/>
      <c r="C616" s="35"/>
      <c r="D616" s="35"/>
      <c r="E616" s="67"/>
      <c r="F616" s="67"/>
      <c r="G616" s="36"/>
      <c r="H616" s="29"/>
      <c r="I616" s="78" t="str">
        <f t="shared" si="14"/>
        <v/>
      </c>
      <c r="J616" s="29"/>
      <c r="K616" s="29"/>
      <c r="L616" s="33"/>
      <c r="M616" s="33"/>
      <c r="N616" s="60"/>
      <c r="O616" s="71"/>
      <c r="P616" s="71"/>
      <c r="Q616" s="33"/>
      <c r="R616" s="31"/>
      <c r="S616" s="31"/>
      <c r="T616" s="59"/>
      <c r="U616" s="59"/>
      <c r="V616" s="59"/>
      <c r="W616" s="57">
        <f t="shared" si="15"/>
        <v>0</v>
      </c>
      <c r="X616" s="126" t="str">
        <f>IF(Table1[[#This Row],[Shipping Weight Pounds]]&gt;150,"See LTL Form","No")</f>
        <v>No</v>
      </c>
      <c r="Y616" s="28"/>
      <c r="Z616" s="33"/>
      <c r="AA616" s="34"/>
      <c r="AB616" s="30"/>
      <c r="AC616" s="30"/>
      <c r="AD616" s="32"/>
      <c r="AE616" s="32"/>
      <c r="AF616" s="2"/>
      <c r="AG616" s="2"/>
      <c r="AH616" s="2"/>
      <c r="AI616" s="2"/>
      <c r="AK616" s="73" t="str">
        <f>IF(ISNA(MATCH($N616,[1]data!$A:$A,0)),"",INDEX([1]data!S:S,MATCH($N616,[1]data!$A:$A,0)))</f>
        <v/>
      </c>
      <c r="AL616" s="73" t="str">
        <f>IF(ISNA(MATCH($N616,[1]data!$A:$A,0)),"",INDEX([1]data!V:V,MATCH($N616,[1]data!$A:$A,0)))</f>
        <v/>
      </c>
      <c r="AM616" s="38" t="str">
        <f>IF(ISNA(MATCH($N616,data!$A:$A,0)),"",INDEX(data!B:B,MATCH($N616,data!$A:$A,0)))</f>
        <v/>
      </c>
      <c r="AN616" s="38" t="str">
        <f>IF(ISNA(MATCH($N616,data!$A:$A,0)),"",INDEX(data!C:C,MATCH($N616,data!$A:$A,0)))</f>
        <v/>
      </c>
      <c r="AO616" s="38" t="str">
        <f>IF(ISNA(MATCH($N616,data!$A:$A,0)),"",INDEX(data!D:D,MATCH($N616,data!$A:$A,0)))</f>
        <v/>
      </c>
      <c r="AP616" s="38" t="str">
        <f>IF(ISNA(MATCH($N616,data!$A:$A,0)),"",INDEX(data!E:E,MATCH($N616,data!$A:$A,0)))</f>
        <v/>
      </c>
      <c r="AQ616" s="38" t="str">
        <f>IF(ISNA(MATCH($N616,data!$A:$A,0)),"",INDEX(data!F:F,MATCH($N616,data!$A:$A,0)))</f>
        <v/>
      </c>
      <c r="AR616" s="38" t="str">
        <f>IF(ISNA(MATCH($N616,data!$A:$A,0)),"",INDEX(data!G:G,MATCH($N616,data!$A:$A,0)))</f>
        <v/>
      </c>
      <c r="AS616" s="38" t="str">
        <f>IF(ISNA(MATCH($N616,data!$A:$A,0)),"",INDEX(data!H:H,MATCH($N616,data!$A:$A,0)))</f>
        <v/>
      </c>
      <c r="AT616" s="38" t="str">
        <f>IF(ISNA(MATCH($N616,data!$A:$A,0)),"",INDEX(data!I:I,MATCH($N616,data!$A:$A,0)))</f>
        <v/>
      </c>
      <c r="AU616" s="38" t="str">
        <f>IF(ISNA(MATCH($N616,[1]data!$A:$A,0)),"",INDEX([1]data!L:L,MATCH($N616,[1]data!$A:$A,0)))</f>
        <v/>
      </c>
      <c r="AV616" s="38" t="str">
        <f>IF(ISNA(MATCH($N616,[1]data!$A:$A,0)),"",INDEX([1]data!M:M,MATCH($N616,[1]data!$A:$A,0)))</f>
        <v/>
      </c>
      <c r="AW616" s="38" t="str">
        <f>IF(ISNA(MATCH($N616,data!$A:$A,0)),"",INDEX(data!J:J,MATCH($N616,data!$A:$A,0)))</f>
        <v/>
      </c>
      <c r="AX616" s="38" t="str">
        <f>IF(ISNA(MATCH($N616,data!$A:$A,0)),"",INDEX(data!K:K,MATCH($N616,data!$A:$A,0)))</f>
        <v/>
      </c>
      <c r="AY616" s="38" t="str">
        <f>IF(ISNA(MATCH($N616,data!$A:$A,0)),"",INDEX(data!O:O,MATCH($N616,data!$A:$A,0)))</f>
        <v/>
      </c>
      <c r="AZ616" s="38" t="str">
        <f>IF(ISNA(MATCH($N616,data!$A:$A,0)),"",INDEX(data!N:N,MATCH($N616,data!$A:$A,0)))</f>
        <v/>
      </c>
      <c r="BA616" s="38" t="str">
        <f>IF(ISNA(MATCH($N616,data!$A:$A,0)),"",INDEX(data!P:P,MATCH($N616,data!$A:$A,0)))</f>
        <v/>
      </c>
      <c r="BB616" s="38" t="str">
        <f>IF(ISNA(MATCH($N616,data!$A:$A,0)),"",INDEX(data!Q:Q,MATCH($N616,data!$A:$A,0)))</f>
        <v/>
      </c>
      <c r="BC616" s="38" t="str">
        <f>IF(ISNA(MATCH($N616,data!$A:$A,0)),"",INDEX(data!R:R,MATCH($N616,data!$A:$A,0)))</f>
        <v/>
      </c>
      <c r="BD616" s="38" t="str">
        <f>IF(ISNA(MATCH($N616,[1]data!$A:$A,0)),"",INDEX([1]data!U:U,MATCH($N616,[1]data!$A:$A,0)))</f>
        <v/>
      </c>
      <c r="BE616" s="61" t="e">
        <f>IF(COUNTIF([1]data!A:A,[1]!Table1[[#This Row],[UPC]])&lt;2,"","DUP")</f>
        <v>#VALUE!</v>
      </c>
      <c r="BF616" s="38" t="str">
        <f>IF(ISNA(MATCH($N616,data!$A:$A,0)),"",INDEX(data!W:W,MATCH($N616,data!$A:$A,0)))</f>
        <v/>
      </c>
    </row>
    <row r="617" spans="1:58">
      <c r="A617" s="35"/>
      <c r="B617" s="35"/>
      <c r="C617" s="35"/>
      <c r="D617" s="35"/>
      <c r="E617" s="67"/>
      <c r="F617" s="67"/>
      <c r="G617" s="36"/>
      <c r="H617" s="29"/>
      <c r="I617" s="78" t="str">
        <f t="shared" si="14"/>
        <v/>
      </c>
      <c r="J617" s="29"/>
      <c r="K617" s="29"/>
      <c r="L617" s="33"/>
      <c r="M617" s="33"/>
      <c r="N617" s="60"/>
      <c r="O617" s="71"/>
      <c r="P617" s="71"/>
      <c r="Q617" s="33"/>
      <c r="R617" s="31"/>
      <c r="S617" s="31"/>
      <c r="T617" s="59"/>
      <c r="U617" s="59"/>
      <c r="V617" s="59"/>
      <c r="W617" s="57">
        <f t="shared" si="15"/>
        <v>0</v>
      </c>
      <c r="X617" s="126" t="str">
        <f>IF(Table1[[#This Row],[Shipping Weight Pounds]]&gt;150,"See LTL Form","No")</f>
        <v>No</v>
      </c>
      <c r="Y617" s="28"/>
      <c r="Z617" s="33"/>
      <c r="AA617" s="34"/>
      <c r="AB617" s="30"/>
      <c r="AC617" s="30"/>
      <c r="AD617" s="32"/>
      <c r="AE617" s="32"/>
      <c r="AF617" s="2"/>
      <c r="AG617" s="2"/>
      <c r="AH617" s="2"/>
      <c r="AI617" s="2"/>
      <c r="AK617" s="73" t="str">
        <f>IF(ISNA(MATCH($N617,[1]data!$A:$A,0)),"",INDEX([1]data!S:S,MATCH($N617,[1]data!$A:$A,0)))</f>
        <v/>
      </c>
      <c r="AL617" s="73" t="str">
        <f>IF(ISNA(MATCH($N617,[1]data!$A:$A,0)),"",INDEX([1]data!V:V,MATCH($N617,[1]data!$A:$A,0)))</f>
        <v/>
      </c>
      <c r="AM617" s="38" t="str">
        <f>IF(ISNA(MATCH($N617,data!$A:$A,0)),"",INDEX(data!B:B,MATCH($N617,data!$A:$A,0)))</f>
        <v/>
      </c>
      <c r="AN617" s="38" t="str">
        <f>IF(ISNA(MATCH($N617,data!$A:$A,0)),"",INDEX(data!C:C,MATCH($N617,data!$A:$A,0)))</f>
        <v/>
      </c>
      <c r="AO617" s="38" t="str">
        <f>IF(ISNA(MATCH($N617,data!$A:$A,0)),"",INDEX(data!D:D,MATCH($N617,data!$A:$A,0)))</f>
        <v/>
      </c>
      <c r="AP617" s="38" t="str">
        <f>IF(ISNA(MATCH($N617,data!$A:$A,0)),"",INDEX(data!E:E,MATCH($N617,data!$A:$A,0)))</f>
        <v/>
      </c>
      <c r="AQ617" s="38" t="str">
        <f>IF(ISNA(MATCH($N617,data!$A:$A,0)),"",INDEX(data!F:F,MATCH($N617,data!$A:$A,0)))</f>
        <v/>
      </c>
      <c r="AR617" s="38" t="str">
        <f>IF(ISNA(MATCH($N617,data!$A:$A,0)),"",INDEX(data!G:G,MATCH($N617,data!$A:$A,0)))</f>
        <v/>
      </c>
      <c r="AS617" s="38" t="str">
        <f>IF(ISNA(MATCH($N617,data!$A:$A,0)),"",INDEX(data!H:H,MATCH($N617,data!$A:$A,0)))</f>
        <v/>
      </c>
      <c r="AT617" s="38" t="str">
        <f>IF(ISNA(MATCH($N617,data!$A:$A,0)),"",INDEX(data!I:I,MATCH($N617,data!$A:$A,0)))</f>
        <v/>
      </c>
      <c r="AU617" s="38" t="str">
        <f>IF(ISNA(MATCH($N617,[1]data!$A:$A,0)),"",INDEX([1]data!L:L,MATCH($N617,[1]data!$A:$A,0)))</f>
        <v/>
      </c>
      <c r="AV617" s="38" t="str">
        <f>IF(ISNA(MATCH($N617,[1]data!$A:$A,0)),"",INDEX([1]data!M:M,MATCH($N617,[1]data!$A:$A,0)))</f>
        <v/>
      </c>
      <c r="AW617" s="38" t="str">
        <f>IF(ISNA(MATCH($N617,data!$A:$A,0)),"",INDEX(data!J:J,MATCH($N617,data!$A:$A,0)))</f>
        <v/>
      </c>
      <c r="AX617" s="38" t="str">
        <f>IF(ISNA(MATCH($N617,data!$A:$A,0)),"",INDEX(data!K:K,MATCH($N617,data!$A:$A,0)))</f>
        <v/>
      </c>
      <c r="AY617" s="38" t="str">
        <f>IF(ISNA(MATCH($N617,data!$A:$A,0)),"",INDEX(data!O:O,MATCH($N617,data!$A:$A,0)))</f>
        <v/>
      </c>
      <c r="AZ617" s="38" t="str">
        <f>IF(ISNA(MATCH($N617,data!$A:$A,0)),"",INDEX(data!N:N,MATCH($N617,data!$A:$A,0)))</f>
        <v/>
      </c>
      <c r="BA617" s="38" t="str">
        <f>IF(ISNA(MATCH($N617,data!$A:$A,0)),"",INDEX(data!P:P,MATCH($N617,data!$A:$A,0)))</f>
        <v/>
      </c>
      <c r="BB617" s="38" t="str">
        <f>IF(ISNA(MATCH($N617,data!$A:$A,0)),"",INDEX(data!Q:Q,MATCH($N617,data!$A:$A,0)))</f>
        <v/>
      </c>
      <c r="BC617" s="38" t="str">
        <f>IF(ISNA(MATCH($N617,data!$A:$A,0)),"",INDEX(data!R:R,MATCH($N617,data!$A:$A,0)))</f>
        <v/>
      </c>
      <c r="BD617" s="38" t="str">
        <f>IF(ISNA(MATCH($N617,[1]data!$A:$A,0)),"",INDEX([1]data!U:U,MATCH($N617,[1]data!$A:$A,0)))</f>
        <v/>
      </c>
      <c r="BE617" s="61" t="e">
        <f>IF(COUNTIF([1]data!A:A,[1]!Table1[[#This Row],[UPC]])&lt;2,"","DUP")</f>
        <v>#VALUE!</v>
      </c>
      <c r="BF617" s="38" t="str">
        <f>IF(ISNA(MATCH($N617,data!$A:$A,0)),"",INDEX(data!W:W,MATCH($N617,data!$A:$A,0)))</f>
        <v/>
      </c>
    </row>
    <row r="618" spans="1:58">
      <c r="A618" s="35"/>
      <c r="B618" s="35"/>
      <c r="C618" s="35"/>
      <c r="D618" s="35"/>
      <c r="E618" s="67"/>
      <c r="F618" s="67"/>
      <c r="G618" s="36"/>
      <c r="H618" s="29"/>
      <c r="I618" s="78" t="str">
        <f t="shared" si="14"/>
        <v/>
      </c>
      <c r="J618" s="29"/>
      <c r="K618" s="29"/>
      <c r="L618" s="33"/>
      <c r="M618" s="33"/>
      <c r="N618" s="60"/>
      <c r="O618" s="71"/>
      <c r="P618" s="71"/>
      <c r="Q618" s="33"/>
      <c r="R618" s="31"/>
      <c r="S618" s="31"/>
      <c r="T618" s="59"/>
      <c r="U618" s="59"/>
      <c r="V618" s="59"/>
      <c r="W618" s="57">
        <f t="shared" si="15"/>
        <v>0</v>
      </c>
      <c r="X618" s="126" t="str">
        <f>IF(Table1[[#This Row],[Shipping Weight Pounds]]&gt;150,"See LTL Form","No")</f>
        <v>No</v>
      </c>
      <c r="Y618" s="28"/>
      <c r="Z618" s="33"/>
      <c r="AA618" s="34"/>
      <c r="AB618" s="30"/>
      <c r="AC618" s="30"/>
      <c r="AD618" s="32"/>
      <c r="AE618" s="32"/>
      <c r="AF618" s="2"/>
      <c r="AG618" s="2"/>
      <c r="AH618" s="2"/>
      <c r="AI618" s="2"/>
      <c r="AK618" s="73" t="str">
        <f>IF(ISNA(MATCH($N618,[1]data!$A:$A,0)),"",INDEX([1]data!S:S,MATCH($N618,[1]data!$A:$A,0)))</f>
        <v/>
      </c>
      <c r="AL618" s="73" t="str">
        <f>IF(ISNA(MATCH($N618,[1]data!$A:$A,0)),"",INDEX([1]data!V:V,MATCH($N618,[1]data!$A:$A,0)))</f>
        <v/>
      </c>
      <c r="AM618" s="38" t="str">
        <f>IF(ISNA(MATCH($N618,data!$A:$A,0)),"",INDEX(data!B:B,MATCH($N618,data!$A:$A,0)))</f>
        <v/>
      </c>
      <c r="AN618" s="38" t="str">
        <f>IF(ISNA(MATCH($N618,data!$A:$A,0)),"",INDEX(data!C:C,MATCH($N618,data!$A:$A,0)))</f>
        <v/>
      </c>
      <c r="AO618" s="38" t="str">
        <f>IF(ISNA(MATCH($N618,data!$A:$A,0)),"",INDEX(data!D:D,MATCH($N618,data!$A:$A,0)))</f>
        <v/>
      </c>
      <c r="AP618" s="38" t="str">
        <f>IF(ISNA(MATCH($N618,data!$A:$A,0)),"",INDEX(data!E:E,MATCH($N618,data!$A:$A,0)))</f>
        <v/>
      </c>
      <c r="AQ618" s="38" t="str">
        <f>IF(ISNA(MATCH($N618,data!$A:$A,0)),"",INDEX(data!F:F,MATCH($N618,data!$A:$A,0)))</f>
        <v/>
      </c>
      <c r="AR618" s="38" t="str">
        <f>IF(ISNA(MATCH($N618,data!$A:$A,0)),"",INDEX(data!G:G,MATCH($N618,data!$A:$A,0)))</f>
        <v/>
      </c>
      <c r="AS618" s="38" t="str">
        <f>IF(ISNA(MATCH($N618,data!$A:$A,0)),"",INDEX(data!H:H,MATCH($N618,data!$A:$A,0)))</f>
        <v/>
      </c>
      <c r="AT618" s="38" t="str">
        <f>IF(ISNA(MATCH($N618,data!$A:$A,0)),"",INDEX(data!I:I,MATCH($N618,data!$A:$A,0)))</f>
        <v/>
      </c>
      <c r="AU618" s="38" t="str">
        <f>IF(ISNA(MATCH($N618,[1]data!$A:$A,0)),"",INDEX([1]data!L:L,MATCH($N618,[1]data!$A:$A,0)))</f>
        <v/>
      </c>
      <c r="AV618" s="38" t="str">
        <f>IF(ISNA(MATCH($N618,[1]data!$A:$A,0)),"",INDEX([1]data!M:M,MATCH($N618,[1]data!$A:$A,0)))</f>
        <v/>
      </c>
      <c r="AW618" s="38" t="str">
        <f>IF(ISNA(MATCH($N618,data!$A:$A,0)),"",INDEX(data!J:J,MATCH($N618,data!$A:$A,0)))</f>
        <v/>
      </c>
      <c r="AX618" s="38" t="str">
        <f>IF(ISNA(MATCH($N618,data!$A:$A,0)),"",INDEX(data!K:K,MATCH($N618,data!$A:$A,0)))</f>
        <v/>
      </c>
      <c r="AY618" s="38" t="str">
        <f>IF(ISNA(MATCH($N618,data!$A:$A,0)),"",INDEX(data!O:O,MATCH($N618,data!$A:$A,0)))</f>
        <v/>
      </c>
      <c r="AZ618" s="38" t="str">
        <f>IF(ISNA(MATCH($N618,data!$A:$A,0)),"",INDEX(data!N:N,MATCH($N618,data!$A:$A,0)))</f>
        <v/>
      </c>
      <c r="BA618" s="38" t="str">
        <f>IF(ISNA(MATCH($N618,data!$A:$A,0)),"",INDEX(data!P:P,MATCH($N618,data!$A:$A,0)))</f>
        <v/>
      </c>
      <c r="BB618" s="38" t="str">
        <f>IF(ISNA(MATCH($N618,data!$A:$A,0)),"",INDEX(data!Q:Q,MATCH($N618,data!$A:$A,0)))</f>
        <v/>
      </c>
      <c r="BC618" s="38" t="str">
        <f>IF(ISNA(MATCH($N618,data!$A:$A,0)),"",INDEX(data!R:R,MATCH($N618,data!$A:$A,0)))</f>
        <v/>
      </c>
      <c r="BD618" s="38" t="str">
        <f>IF(ISNA(MATCH($N618,[1]data!$A:$A,0)),"",INDEX([1]data!U:U,MATCH($N618,[1]data!$A:$A,0)))</f>
        <v/>
      </c>
      <c r="BE618" s="61" t="e">
        <f>IF(COUNTIF([1]data!A:A,[1]!Table1[[#This Row],[UPC]])&lt;2,"","DUP")</f>
        <v>#VALUE!</v>
      </c>
      <c r="BF618" s="38" t="str">
        <f>IF(ISNA(MATCH($N618,data!$A:$A,0)),"",INDEX(data!W:W,MATCH($N618,data!$A:$A,0)))</f>
        <v/>
      </c>
    </row>
    <row r="619" spans="1:58">
      <c r="A619" s="35"/>
      <c r="B619" s="35"/>
      <c r="C619" s="35"/>
      <c r="D619" s="35"/>
      <c r="E619" s="67"/>
      <c r="F619" s="67"/>
      <c r="G619" s="36"/>
      <c r="H619" s="29"/>
      <c r="I619" s="78" t="str">
        <f t="shared" si="14"/>
        <v/>
      </c>
      <c r="J619" s="29"/>
      <c r="K619" s="29"/>
      <c r="L619" s="33"/>
      <c r="M619" s="33"/>
      <c r="N619" s="60"/>
      <c r="O619" s="71"/>
      <c r="P619" s="71"/>
      <c r="Q619" s="33"/>
      <c r="R619" s="31"/>
      <c r="S619" s="31"/>
      <c r="T619" s="59"/>
      <c r="U619" s="59"/>
      <c r="V619" s="59"/>
      <c r="W619" s="57">
        <f t="shared" si="15"/>
        <v>0</v>
      </c>
      <c r="X619" s="126" t="str">
        <f>IF(Table1[[#This Row],[Shipping Weight Pounds]]&gt;150,"See LTL Form","No")</f>
        <v>No</v>
      </c>
      <c r="Y619" s="28"/>
      <c r="Z619" s="33"/>
      <c r="AA619" s="34"/>
      <c r="AB619" s="30"/>
      <c r="AC619" s="30"/>
      <c r="AD619" s="32"/>
      <c r="AE619" s="32"/>
      <c r="AF619" s="2"/>
      <c r="AG619" s="2"/>
      <c r="AH619" s="2"/>
      <c r="AI619" s="2"/>
      <c r="AK619" s="73" t="str">
        <f>IF(ISNA(MATCH($N619,[1]data!$A:$A,0)),"",INDEX([1]data!S:S,MATCH($N619,[1]data!$A:$A,0)))</f>
        <v/>
      </c>
      <c r="AL619" s="73" t="str">
        <f>IF(ISNA(MATCH($N619,[1]data!$A:$A,0)),"",INDEX([1]data!V:V,MATCH($N619,[1]data!$A:$A,0)))</f>
        <v/>
      </c>
      <c r="AM619" s="38" t="str">
        <f>IF(ISNA(MATCH($N619,data!$A:$A,0)),"",INDEX(data!B:B,MATCH($N619,data!$A:$A,0)))</f>
        <v/>
      </c>
      <c r="AN619" s="38" t="str">
        <f>IF(ISNA(MATCH($N619,data!$A:$A,0)),"",INDEX(data!C:C,MATCH($N619,data!$A:$A,0)))</f>
        <v/>
      </c>
      <c r="AO619" s="38" t="str">
        <f>IF(ISNA(MATCH($N619,data!$A:$A,0)),"",INDEX(data!D:D,MATCH($N619,data!$A:$A,0)))</f>
        <v/>
      </c>
      <c r="AP619" s="38" t="str">
        <f>IF(ISNA(MATCH($N619,data!$A:$A,0)),"",INDEX(data!E:E,MATCH($N619,data!$A:$A,0)))</f>
        <v/>
      </c>
      <c r="AQ619" s="38" t="str">
        <f>IF(ISNA(MATCH($N619,data!$A:$A,0)),"",INDEX(data!F:F,MATCH($N619,data!$A:$A,0)))</f>
        <v/>
      </c>
      <c r="AR619" s="38" t="str">
        <f>IF(ISNA(MATCH($N619,data!$A:$A,0)),"",INDEX(data!G:G,MATCH($N619,data!$A:$A,0)))</f>
        <v/>
      </c>
      <c r="AS619" s="38" t="str">
        <f>IF(ISNA(MATCH($N619,data!$A:$A,0)),"",INDEX(data!H:H,MATCH($N619,data!$A:$A,0)))</f>
        <v/>
      </c>
      <c r="AT619" s="38" t="str">
        <f>IF(ISNA(MATCH($N619,data!$A:$A,0)),"",INDEX(data!I:I,MATCH($N619,data!$A:$A,0)))</f>
        <v/>
      </c>
      <c r="AU619" s="38" t="str">
        <f>IF(ISNA(MATCH($N619,[1]data!$A:$A,0)),"",INDEX([1]data!L:L,MATCH($N619,[1]data!$A:$A,0)))</f>
        <v/>
      </c>
      <c r="AV619" s="38" t="str">
        <f>IF(ISNA(MATCH($N619,[1]data!$A:$A,0)),"",INDEX([1]data!M:M,MATCH($N619,[1]data!$A:$A,0)))</f>
        <v/>
      </c>
      <c r="AW619" s="38" t="str">
        <f>IF(ISNA(MATCH($N619,data!$A:$A,0)),"",INDEX(data!J:J,MATCH($N619,data!$A:$A,0)))</f>
        <v/>
      </c>
      <c r="AX619" s="38" t="str">
        <f>IF(ISNA(MATCH($N619,data!$A:$A,0)),"",INDEX(data!K:K,MATCH($N619,data!$A:$A,0)))</f>
        <v/>
      </c>
      <c r="AY619" s="38" t="str">
        <f>IF(ISNA(MATCH($N619,data!$A:$A,0)),"",INDEX(data!O:O,MATCH($N619,data!$A:$A,0)))</f>
        <v/>
      </c>
      <c r="AZ619" s="38" t="str">
        <f>IF(ISNA(MATCH($N619,data!$A:$A,0)),"",INDEX(data!N:N,MATCH($N619,data!$A:$A,0)))</f>
        <v/>
      </c>
      <c r="BA619" s="38" t="str">
        <f>IF(ISNA(MATCH($N619,data!$A:$A,0)),"",INDEX(data!P:P,MATCH($N619,data!$A:$A,0)))</f>
        <v/>
      </c>
      <c r="BB619" s="38" t="str">
        <f>IF(ISNA(MATCH($N619,data!$A:$A,0)),"",INDEX(data!Q:Q,MATCH($N619,data!$A:$A,0)))</f>
        <v/>
      </c>
      <c r="BC619" s="38" t="str">
        <f>IF(ISNA(MATCH($N619,data!$A:$A,0)),"",INDEX(data!R:R,MATCH($N619,data!$A:$A,0)))</f>
        <v/>
      </c>
      <c r="BD619" s="38" t="str">
        <f>IF(ISNA(MATCH($N619,[1]data!$A:$A,0)),"",INDEX([1]data!U:U,MATCH($N619,[1]data!$A:$A,0)))</f>
        <v/>
      </c>
      <c r="BE619" s="61" t="e">
        <f>IF(COUNTIF([1]data!A:A,[1]!Table1[[#This Row],[UPC]])&lt;2,"","DUP")</f>
        <v>#VALUE!</v>
      </c>
      <c r="BF619" s="38" t="str">
        <f>IF(ISNA(MATCH($N619,data!$A:$A,0)),"",INDEX(data!W:W,MATCH($N619,data!$A:$A,0)))</f>
        <v/>
      </c>
    </row>
    <row r="620" spans="1:58">
      <c r="A620" s="35"/>
      <c r="B620" s="35"/>
      <c r="C620" s="35"/>
      <c r="D620" s="35"/>
      <c r="E620" s="67"/>
      <c r="F620" s="67"/>
      <c r="G620" s="36"/>
      <c r="H620" s="29"/>
      <c r="I620" s="78" t="str">
        <f t="shared" si="14"/>
        <v/>
      </c>
      <c r="J620" s="29"/>
      <c r="K620" s="29"/>
      <c r="L620" s="33"/>
      <c r="M620" s="33"/>
      <c r="N620" s="60"/>
      <c r="O620" s="71"/>
      <c r="P620" s="71"/>
      <c r="Q620" s="33"/>
      <c r="R620" s="31"/>
      <c r="S620" s="31"/>
      <c r="T620" s="59"/>
      <c r="U620" s="59"/>
      <c r="V620" s="59"/>
      <c r="W620" s="57">
        <f t="shared" si="15"/>
        <v>0</v>
      </c>
      <c r="X620" s="126" t="str">
        <f>IF(Table1[[#This Row],[Shipping Weight Pounds]]&gt;150,"See LTL Form","No")</f>
        <v>No</v>
      </c>
      <c r="Y620" s="28"/>
      <c r="Z620" s="33"/>
      <c r="AA620" s="34"/>
      <c r="AB620" s="30"/>
      <c r="AC620" s="30"/>
      <c r="AD620" s="32"/>
      <c r="AE620" s="32"/>
      <c r="AF620" s="2"/>
      <c r="AG620" s="2"/>
      <c r="AH620" s="2"/>
      <c r="AI620" s="2"/>
      <c r="AK620" s="73" t="str">
        <f>IF(ISNA(MATCH($N620,[1]data!$A:$A,0)),"",INDEX([1]data!S:S,MATCH($N620,[1]data!$A:$A,0)))</f>
        <v/>
      </c>
      <c r="AL620" s="73" t="str">
        <f>IF(ISNA(MATCH($N620,[1]data!$A:$A,0)),"",INDEX([1]data!V:V,MATCH($N620,[1]data!$A:$A,0)))</f>
        <v/>
      </c>
      <c r="AM620" s="38" t="str">
        <f>IF(ISNA(MATCH($N620,data!$A:$A,0)),"",INDEX(data!B:B,MATCH($N620,data!$A:$A,0)))</f>
        <v/>
      </c>
      <c r="AN620" s="38" t="str">
        <f>IF(ISNA(MATCH($N620,data!$A:$A,0)),"",INDEX(data!C:C,MATCH($N620,data!$A:$A,0)))</f>
        <v/>
      </c>
      <c r="AO620" s="38" t="str">
        <f>IF(ISNA(MATCH($N620,data!$A:$A,0)),"",INDEX(data!D:D,MATCH($N620,data!$A:$A,0)))</f>
        <v/>
      </c>
      <c r="AP620" s="38" t="str">
        <f>IF(ISNA(MATCH($N620,data!$A:$A,0)),"",INDEX(data!E:E,MATCH($N620,data!$A:$A,0)))</f>
        <v/>
      </c>
      <c r="AQ620" s="38" t="str">
        <f>IF(ISNA(MATCH($N620,data!$A:$A,0)),"",INDEX(data!F:F,MATCH($N620,data!$A:$A,0)))</f>
        <v/>
      </c>
      <c r="AR620" s="38" t="str">
        <f>IF(ISNA(MATCH($N620,data!$A:$A,0)),"",INDEX(data!G:G,MATCH($N620,data!$A:$A,0)))</f>
        <v/>
      </c>
      <c r="AS620" s="38" t="str">
        <f>IF(ISNA(MATCH($N620,data!$A:$A,0)),"",INDEX(data!H:H,MATCH($N620,data!$A:$A,0)))</f>
        <v/>
      </c>
      <c r="AT620" s="38" t="str">
        <f>IF(ISNA(MATCH($N620,data!$A:$A,0)),"",INDEX(data!I:I,MATCH($N620,data!$A:$A,0)))</f>
        <v/>
      </c>
      <c r="AU620" s="38" t="str">
        <f>IF(ISNA(MATCH($N620,[1]data!$A:$A,0)),"",INDEX([1]data!L:L,MATCH($N620,[1]data!$A:$A,0)))</f>
        <v/>
      </c>
      <c r="AV620" s="38" t="str">
        <f>IF(ISNA(MATCH($N620,[1]data!$A:$A,0)),"",INDEX([1]data!M:M,MATCH($N620,[1]data!$A:$A,0)))</f>
        <v/>
      </c>
      <c r="AW620" s="38" t="str">
        <f>IF(ISNA(MATCH($N620,data!$A:$A,0)),"",INDEX(data!J:J,MATCH($N620,data!$A:$A,0)))</f>
        <v/>
      </c>
      <c r="AX620" s="38" t="str">
        <f>IF(ISNA(MATCH($N620,data!$A:$A,0)),"",INDEX(data!K:K,MATCH($N620,data!$A:$A,0)))</f>
        <v/>
      </c>
      <c r="AY620" s="38" t="str">
        <f>IF(ISNA(MATCH($N620,data!$A:$A,0)),"",INDEX(data!O:O,MATCH($N620,data!$A:$A,0)))</f>
        <v/>
      </c>
      <c r="AZ620" s="38" t="str">
        <f>IF(ISNA(MATCH($N620,data!$A:$A,0)),"",INDEX(data!N:N,MATCH($N620,data!$A:$A,0)))</f>
        <v/>
      </c>
      <c r="BA620" s="38" t="str">
        <f>IF(ISNA(MATCH($N620,data!$A:$A,0)),"",INDEX(data!P:P,MATCH($N620,data!$A:$A,0)))</f>
        <v/>
      </c>
      <c r="BB620" s="38" t="str">
        <f>IF(ISNA(MATCH($N620,data!$A:$A,0)),"",INDEX(data!Q:Q,MATCH($N620,data!$A:$A,0)))</f>
        <v/>
      </c>
      <c r="BC620" s="38" t="str">
        <f>IF(ISNA(MATCH($N620,data!$A:$A,0)),"",INDEX(data!R:R,MATCH($N620,data!$A:$A,0)))</f>
        <v/>
      </c>
      <c r="BD620" s="38" t="str">
        <f>IF(ISNA(MATCH($N620,[1]data!$A:$A,0)),"",INDEX([1]data!U:U,MATCH($N620,[1]data!$A:$A,0)))</f>
        <v/>
      </c>
      <c r="BE620" s="61" t="e">
        <f>IF(COUNTIF([1]data!A:A,[1]!Table1[[#This Row],[UPC]])&lt;2,"","DUP")</f>
        <v>#VALUE!</v>
      </c>
      <c r="BF620" s="38" t="str">
        <f>IF(ISNA(MATCH($N620,data!$A:$A,0)),"",INDEX(data!W:W,MATCH($N620,data!$A:$A,0)))</f>
        <v/>
      </c>
    </row>
    <row r="621" spans="1:58">
      <c r="A621" s="35"/>
      <c r="B621" s="35"/>
      <c r="C621" s="35"/>
      <c r="D621" s="35"/>
      <c r="E621" s="67"/>
      <c r="F621" s="67"/>
      <c r="G621" s="36"/>
      <c r="H621" s="29"/>
      <c r="I621" s="78" t="str">
        <f t="shared" si="14"/>
        <v/>
      </c>
      <c r="J621" s="29"/>
      <c r="K621" s="29"/>
      <c r="L621" s="33"/>
      <c r="M621" s="33"/>
      <c r="N621" s="60"/>
      <c r="O621" s="71"/>
      <c r="P621" s="71"/>
      <c r="Q621" s="33"/>
      <c r="R621" s="31"/>
      <c r="S621" s="31"/>
      <c r="T621" s="59"/>
      <c r="U621" s="59"/>
      <c r="V621" s="59"/>
      <c r="W621" s="57">
        <f t="shared" si="15"/>
        <v>0</v>
      </c>
      <c r="X621" s="126" t="str">
        <f>IF(Table1[[#This Row],[Shipping Weight Pounds]]&gt;150,"See LTL Form","No")</f>
        <v>No</v>
      </c>
      <c r="Y621" s="28"/>
      <c r="Z621" s="33"/>
      <c r="AA621" s="34"/>
      <c r="AB621" s="30"/>
      <c r="AC621" s="30"/>
      <c r="AD621" s="32"/>
      <c r="AE621" s="32"/>
      <c r="AF621" s="2"/>
      <c r="AG621" s="2"/>
      <c r="AH621" s="2"/>
      <c r="AI621" s="2"/>
      <c r="AK621" s="73" t="str">
        <f>IF(ISNA(MATCH($N621,[1]data!$A:$A,0)),"",INDEX([1]data!S:S,MATCH($N621,[1]data!$A:$A,0)))</f>
        <v/>
      </c>
      <c r="AL621" s="73" t="str">
        <f>IF(ISNA(MATCH($N621,[1]data!$A:$A,0)),"",INDEX([1]data!V:V,MATCH($N621,[1]data!$A:$A,0)))</f>
        <v/>
      </c>
      <c r="AM621" s="38" t="str">
        <f>IF(ISNA(MATCH($N621,data!$A:$A,0)),"",INDEX(data!B:B,MATCH($N621,data!$A:$A,0)))</f>
        <v/>
      </c>
      <c r="AN621" s="38" t="str">
        <f>IF(ISNA(MATCH($N621,data!$A:$A,0)),"",INDEX(data!C:C,MATCH($N621,data!$A:$A,0)))</f>
        <v/>
      </c>
      <c r="AO621" s="38" t="str">
        <f>IF(ISNA(MATCH($N621,data!$A:$A,0)),"",INDEX(data!D:D,MATCH($N621,data!$A:$A,0)))</f>
        <v/>
      </c>
      <c r="AP621" s="38" t="str">
        <f>IF(ISNA(MATCH($N621,data!$A:$A,0)),"",INDEX(data!E:E,MATCH($N621,data!$A:$A,0)))</f>
        <v/>
      </c>
      <c r="AQ621" s="38" t="str">
        <f>IF(ISNA(MATCH($N621,data!$A:$A,0)),"",INDEX(data!F:F,MATCH($N621,data!$A:$A,0)))</f>
        <v/>
      </c>
      <c r="AR621" s="38" t="str">
        <f>IF(ISNA(MATCH($N621,data!$A:$A,0)),"",INDEX(data!G:G,MATCH($N621,data!$A:$A,0)))</f>
        <v/>
      </c>
      <c r="AS621" s="38" t="str">
        <f>IF(ISNA(MATCH($N621,data!$A:$A,0)),"",INDEX(data!H:H,MATCH($N621,data!$A:$A,0)))</f>
        <v/>
      </c>
      <c r="AT621" s="38" t="str">
        <f>IF(ISNA(MATCH($N621,data!$A:$A,0)),"",INDEX(data!I:I,MATCH($N621,data!$A:$A,0)))</f>
        <v/>
      </c>
      <c r="AU621" s="38" t="str">
        <f>IF(ISNA(MATCH($N621,[1]data!$A:$A,0)),"",INDEX([1]data!L:L,MATCH($N621,[1]data!$A:$A,0)))</f>
        <v/>
      </c>
      <c r="AV621" s="38" t="str">
        <f>IF(ISNA(MATCH($N621,[1]data!$A:$A,0)),"",INDEX([1]data!M:M,MATCH($N621,[1]data!$A:$A,0)))</f>
        <v/>
      </c>
      <c r="AW621" s="38" t="str">
        <f>IF(ISNA(MATCH($N621,data!$A:$A,0)),"",INDEX(data!J:J,MATCH($N621,data!$A:$A,0)))</f>
        <v/>
      </c>
      <c r="AX621" s="38" t="str">
        <f>IF(ISNA(MATCH($N621,data!$A:$A,0)),"",INDEX(data!K:K,MATCH($N621,data!$A:$A,0)))</f>
        <v/>
      </c>
      <c r="AY621" s="38" t="str">
        <f>IF(ISNA(MATCH($N621,data!$A:$A,0)),"",INDEX(data!O:O,MATCH($N621,data!$A:$A,0)))</f>
        <v/>
      </c>
      <c r="AZ621" s="38" t="str">
        <f>IF(ISNA(MATCH($N621,data!$A:$A,0)),"",INDEX(data!N:N,MATCH($N621,data!$A:$A,0)))</f>
        <v/>
      </c>
      <c r="BA621" s="38" t="str">
        <f>IF(ISNA(MATCH($N621,data!$A:$A,0)),"",INDEX(data!P:P,MATCH($N621,data!$A:$A,0)))</f>
        <v/>
      </c>
      <c r="BB621" s="38" t="str">
        <f>IF(ISNA(MATCH($N621,data!$A:$A,0)),"",INDEX(data!Q:Q,MATCH($N621,data!$A:$A,0)))</f>
        <v/>
      </c>
      <c r="BC621" s="38" t="str">
        <f>IF(ISNA(MATCH($N621,data!$A:$A,0)),"",INDEX(data!R:R,MATCH($N621,data!$A:$A,0)))</f>
        <v/>
      </c>
      <c r="BD621" s="38" t="str">
        <f>IF(ISNA(MATCH($N621,[1]data!$A:$A,0)),"",INDEX([1]data!U:U,MATCH($N621,[1]data!$A:$A,0)))</f>
        <v/>
      </c>
      <c r="BE621" s="61" t="e">
        <f>IF(COUNTIF([1]data!A:A,[1]!Table1[[#This Row],[UPC]])&lt;2,"","DUP")</f>
        <v>#VALUE!</v>
      </c>
      <c r="BF621" s="38" t="str">
        <f>IF(ISNA(MATCH($N621,data!$A:$A,0)),"",INDEX(data!W:W,MATCH($N621,data!$A:$A,0)))</f>
        <v/>
      </c>
    </row>
    <row r="622" spans="1:58">
      <c r="A622" s="35"/>
      <c r="B622" s="35"/>
      <c r="C622" s="35"/>
      <c r="D622" s="35"/>
      <c r="E622" s="67"/>
      <c r="F622" s="67"/>
      <c r="G622" s="36"/>
      <c r="H622" s="29"/>
      <c r="I622" s="78" t="str">
        <f t="shared" si="14"/>
        <v/>
      </c>
      <c r="J622" s="29"/>
      <c r="K622" s="29"/>
      <c r="L622" s="33"/>
      <c r="M622" s="33"/>
      <c r="N622" s="60"/>
      <c r="O622" s="71"/>
      <c r="P622" s="71"/>
      <c r="Q622" s="33"/>
      <c r="R622" s="31"/>
      <c r="S622" s="31"/>
      <c r="T622" s="59"/>
      <c r="U622" s="59"/>
      <c r="V622" s="59"/>
      <c r="W622" s="57">
        <f t="shared" si="15"/>
        <v>0</v>
      </c>
      <c r="X622" s="126" t="str">
        <f>IF(Table1[[#This Row],[Shipping Weight Pounds]]&gt;150,"See LTL Form","No")</f>
        <v>No</v>
      </c>
      <c r="Y622" s="28"/>
      <c r="Z622" s="33"/>
      <c r="AA622" s="34"/>
      <c r="AB622" s="30"/>
      <c r="AC622" s="30"/>
      <c r="AD622" s="32"/>
      <c r="AE622" s="32"/>
      <c r="AF622" s="2"/>
      <c r="AG622" s="2"/>
      <c r="AH622" s="2"/>
      <c r="AI622" s="2"/>
      <c r="AK622" s="73" t="str">
        <f>IF(ISNA(MATCH($N622,[1]data!$A:$A,0)),"",INDEX([1]data!S:S,MATCH($N622,[1]data!$A:$A,0)))</f>
        <v/>
      </c>
      <c r="AL622" s="73" t="str">
        <f>IF(ISNA(MATCH($N622,[1]data!$A:$A,0)),"",INDEX([1]data!V:V,MATCH($N622,[1]data!$A:$A,0)))</f>
        <v/>
      </c>
      <c r="AM622" s="38" t="str">
        <f>IF(ISNA(MATCH($N622,data!$A:$A,0)),"",INDEX(data!B:B,MATCH($N622,data!$A:$A,0)))</f>
        <v/>
      </c>
      <c r="AN622" s="38" t="str">
        <f>IF(ISNA(MATCH($N622,data!$A:$A,0)),"",INDEX(data!C:C,MATCH($N622,data!$A:$A,0)))</f>
        <v/>
      </c>
      <c r="AO622" s="38" t="str">
        <f>IF(ISNA(MATCH($N622,data!$A:$A,0)),"",INDEX(data!D:D,MATCH($N622,data!$A:$A,0)))</f>
        <v/>
      </c>
      <c r="AP622" s="38" t="str">
        <f>IF(ISNA(MATCH($N622,data!$A:$A,0)),"",INDEX(data!E:E,MATCH($N622,data!$A:$A,0)))</f>
        <v/>
      </c>
      <c r="AQ622" s="38" t="str">
        <f>IF(ISNA(MATCH($N622,data!$A:$A,0)),"",INDEX(data!F:F,MATCH($N622,data!$A:$A,0)))</f>
        <v/>
      </c>
      <c r="AR622" s="38" t="str">
        <f>IF(ISNA(MATCH($N622,data!$A:$A,0)),"",INDEX(data!G:G,MATCH($N622,data!$A:$A,0)))</f>
        <v/>
      </c>
      <c r="AS622" s="38" t="str">
        <f>IF(ISNA(MATCH($N622,data!$A:$A,0)),"",INDEX(data!H:H,MATCH($N622,data!$A:$A,0)))</f>
        <v/>
      </c>
      <c r="AT622" s="38" t="str">
        <f>IF(ISNA(MATCH($N622,data!$A:$A,0)),"",INDEX(data!I:I,MATCH($N622,data!$A:$A,0)))</f>
        <v/>
      </c>
      <c r="AU622" s="38" t="str">
        <f>IF(ISNA(MATCH($N622,[1]data!$A:$A,0)),"",INDEX([1]data!L:L,MATCH($N622,[1]data!$A:$A,0)))</f>
        <v/>
      </c>
      <c r="AV622" s="38" t="str">
        <f>IF(ISNA(MATCH($N622,[1]data!$A:$A,0)),"",INDEX([1]data!M:M,MATCH($N622,[1]data!$A:$A,0)))</f>
        <v/>
      </c>
      <c r="AW622" s="38" t="str">
        <f>IF(ISNA(MATCH($N622,data!$A:$A,0)),"",INDEX(data!J:J,MATCH($N622,data!$A:$A,0)))</f>
        <v/>
      </c>
      <c r="AX622" s="38" t="str">
        <f>IF(ISNA(MATCH($N622,data!$A:$A,0)),"",INDEX(data!K:K,MATCH($N622,data!$A:$A,0)))</f>
        <v/>
      </c>
      <c r="AY622" s="38" t="str">
        <f>IF(ISNA(MATCH($N622,data!$A:$A,0)),"",INDEX(data!O:O,MATCH($N622,data!$A:$A,0)))</f>
        <v/>
      </c>
      <c r="AZ622" s="38" t="str">
        <f>IF(ISNA(MATCH($N622,data!$A:$A,0)),"",INDEX(data!N:N,MATCH($N622,data!$A:$A,0)))</f>
        <v/>
      </c>
      <c r="BA622" s="38" t="str">
        <f>IF(ISNA(MATCH($N622,data!$A:$A,0)),"",INDEX(data!P:P,MATCH($N622,data!$A:$A,0)))</f>
        <v/>
      </c>
      <c r="BB622" s="38" t="str">
        <f>IF(ISNA(MATCH($N622,data!$A:$A,0)),"",INDEX(data!Q:Q,MATCH($N622,data!$A:$A,0)))</f>
        <v/>
      </c>
      <c r="BC622" s="38" t="str">
        <f>IF(ISNA(MATCH($N622,data!$A:$A,0)),"",INDEX(data!R:R,MATCH($N622,data!$A:$A,0)))</f>
        <v/>
      </c>
      <c r="BD622" s="38" t="str">
        <f>IF(ISNA(MATCH($N622,[1]data!$A:$A,0)),"",INDEX([1]data!U:U,MATCH($N622,[1]data!$A:$A,0)))</f>
        <v/>
      </c>
      <c r="BE622" s="61" t="e">
        <f>IF(COUNTIF([1]data!A:A,[1]!Table1[[#This Row],[UPC]])&lt;2,"","DUP")</f>
        <v>#VALUE!</v>
      </c>
      <c r="BF622" s="38" t="str">
        <f>IF(ISNA(MATCH($N622,data!$A:$A,0)),"",INDEX(data!W:W,MATCH($N622,data!$A:$A,0)))</f>
        <v/>
      </c>
    </row>
    <row r="623" spans="1:58">
      <c r="A623" s="35"/>
      <c r="B623" s="35"/>
      <c r="C623" s="35"/>
      <c r="D623" s="35"/>
      <c r="E623" s="67"/>
      <c r="F623" s="67"/>
      <c r="G623" s="36"/>
      <c r="H623" s="29"/>
      <c r="I623" s="78" t="str">
        <f t="shared" si="14"/>
        <v/>
      </c>
      <c r="J623" s="29"/>
      <c r="K623" s="29"/>
      <c r="L623" s="33"/>
      <c r="M623" s="33"/>
      <c r="N623" s="60"/>
      <c r="O623" s="71"/>
      <c r="P623" s="71"/>
      <c r="Q623" s="33"/>
      <c r="R623" s="31"/>
      <c r="S623" s="31"/>
      <c r="T623" s="59"/>
      <c r="U623" s="59"/>
      <c r="V623" s="59"/>
      <c r="W623" s="57">
        <f t="shared" si="15"/>
        <v>0</v>
      </c>
      <c r="X623" s="126" t="str">
        <f>IF(Table1[[#This Row],[Shipping Weight Pounds]]&gt;150,"See LTL Form","No")</f>
        <v>No</v>
      </c>
      <c r="Y623" s="28"/>
      <c r="Z623" s="33"/>
      <c r="AA623" s="34"/>
      <c r="AB623" s="30"/>
      <c r="AC623" s="30"/>
      <c r="AD623" s="32"/>
      <c r="AE623" s="32"/>
      <c r="AF623" s="2"/>
      <c r="AG623" s="2"/>
      <c r="AH623" s="2"/>
      <c r="AI623" s="2"/>
      <c r="AK623" s="73" t="str">
        <f>IF(ISNA(MATCH($N623,[1]data!$A:$A,0)),"",INDEX([1]data!S:S,MATCH($N623,[1]data!$A:$A,0)))</f>
        <v/>
      </c>
      <c r="AL623" s="73" t="str">
        <f>IF(ISNA(MATCH($N623,[1]data!$A:$A,0)),"",INDEX([1]data!V:V,MATCH($N623,[1]data!$A:$A,0)))</f>
        <v/>
      </c>
      <c r="AM623" s="38" t="str">
        <f>IF(ISNA(MATCH($N623,data!$A:$A,0)),"",INDEX(data!B:B,MATCH($N623,data!$A:$A,0)))</f>
        <v/>
      </c>
      <c r="AN623" s="38" t="str">
        <f>IF(ISNA(MATCH($N623,data!$A:$A,0)),"",INDEX(data!C:C,MATCH($N623,data!$A:$A,0)))</f>
        <v/>
      </c>
      <c r="AO623" s="38" t="str">
        <f>IF(ISNA(MATCH($N623,data!$A:$A,0)),"",INDEX(data!D:D,MATCH($N623,data!$A:$A,0)))</f>
        <v/>
      </c>
      <c r="AP623" s="38" t="str">
        <f>IF(ISNA(MATCH($N623,data!$A:$A,0)),"",INDEX(data!E:E,MATCH($N623,data!$A:$A,0)))</f>
        <v/>
      </c>
      <c r="AQ623" s="38" t="str">
        <f>IF(ISNA(MATCH($N623,data!$A:$A,0)),"",INDEX(data!F:F,MATCH($N623,data!$A:$A,0)))</f>
        <v/>
      </c>
      <c r="AR623" s="38" t="str">
        <f>IF(ISNA(MATCH($N623,data!$A:$A,0)),"",INDEX(data!G:G,MATCH($N623,data!$A:$A,0)))</f>
        <v/>
      </c>
      <c r="AS623" s="38" t="str">
        <f>IF(ISNA(MATCH($N623,data!$A:$A,0)),"",INDEX(data!H:H,MATCH($N623,data!$A:$A,0)))</f>
        <v/>
      </c>
      <c r="AT623" s="38" t="str">
        <f>IF(ISNA(MATCH($N623,data!$A:$A,0)),"",INDEX(data!I:I,MATCH($N623,data!$A:$A,0)))</f>
        <v/>
      </c>
      <c r="AU623" s="38" t="str">
        <f>IF(ISNA(MATCH($N623,[1]data!$A:$A,0)),"",INDEX([1]data!L:L,MATCH($N623,[1]data!$A:$A,0)))</f>
        <v/>
      </c>
      <c r="AV623" s="38" t="str">
        <f>IF(ISNA(MATCH($N623,[1]data!$A:$A,0)),"",INDEX([1]data!M:M,MATCH($N623,[1]data!$A:$A,0)))</f>
        <v/>
      </c>
      <c r="AW623" s="38" t="str">
        <f>IF(ISNA(MATCH($N623,data!$A:$A,0)),"",INDEX(data!J:J,MATCH($N623,data!$A:$A,0)))</f>
        <v/>
      </c>
      <c r="AX623" s="38" t="str">
        <f>IF(ISNA(MATCH($N623,data!$A:$A,0)),"",INDEX(data!K:K,MATCH($N623,data!$A:$A,0)))</f>
        <v/>
      </c>
      <c r="AY623" s="38" t="str">
        <f>IF(ISNA(MATCH($N623,data!$A:$A,0)),"",INDEX(data!O:O,MATCH($N623,data!$A:$A,0)))</f>
        <v/>
      </c>
      <c r="AZ623" s="38" t="str">
        <f>IF(ISNA(MATCH($N623,data!$A:$A,0)),"",INDEX(data!N:N,MATCH($N623,data!$A:$A,0)))</f>
        <v/>
      </c>
      <c r="BA623" s="38" t="str">
        <f>IF(ISNA(MATCH($N623,data!$A:$A,0)),"",INDEX(data!P:P,MATCH($N623,data!$A:$A,0)))</f>
        <v/>
      </c>
      <c r="BB623" s="38" t="str">
        <f>IF(ISNA(MATCH($N623,data!$A:$A,0)),"",INDEX(data!Q:Q,MATCH($N623,data!$A:$A,0)))</f>
        <v/>
      </c>
      <c r="BC623" s="38" t="str">
        <f>IF(ISNA(MATCH($N623,data!$A:$A,0)),"",INDEX(data!R:R,MATCH($N623,data!$A:$A,0)))</f>
        <v/>
      </c>
      <c r="BD623" s="38" t="str">
        <f>IF(ISNA(MATCH($N623,[1]data!$A:$A,0)),"",INDEX([1]data!U:U,MATCH($N623,[1]data!$A:$A,0)))</f>
        <v/>
      </c>
      <c r="BE623" s="61" t="e">
        <f>IF(COUNTIF([1]data!A:A,[1]!Table1[[#This Row],[UPC]])&lt;2,"","DUP")</f>
        <v>#VALUE!</v>
      </c>
      <c r="BF623" s="38" t="str">
        <f>IF(ISNA(MATCH($N623,data!$A:$A,0)),"",INDEX(data!W:W,MATCH($N623,data!$A:$A,0)))</f>
        <v/>
      </c>
    </row>
    <row r="624" spans="1:58">
      <c r="A624" s="35"/>
      <c r="B624" s="35"/>
      <c r="C624" s="35"/>
      <c r="D624" s="35"/>
      <c r="E624" s="67"/>
      <c r="F624" s="67"/>
      <c r="G624" s="36"/>
      <c r="H624" s="29"/>
      <c r="I624" s="78" t="str">
        <f t="shared" si="14"/>
        <v/>
      </c>
      <c r="J624" s="29"/>
      <c r="K624" s="29"/>
      <c r="L624" s="33"/>
      <c r="M624" s="33"/>
      <c r="N624" s="60"/>
      <c r="O624" s="71"/>
      <c r="P624" s="71"/>
      <c r="Q624" s="33"/>
      <c r="R624" s="31"/>
      <c r="S624" s="31"/>
      <c r="T624" s="59"/>
      <c r="U624" s="59"/>
      <c r="V624" s="59"/>
      <c r="W624" s="57">
        <f t="shared" si="15"/>
        <v>0</v>
      </c>
      <c r="X624" s="126" t="str">
        <f>IF(Table1[[#This Row],[Shipping Weight Pounds]]&gt;150,"See LTL Form","No")</f>
        <v>No</v>
      </c>
      <c r="Y624" s="28"/>
      <c r="Z624" s="33"/>
      <c r="AA624" s="34"/>
      <c r="AB624" s="30"/>
      <c r="AC624" s="30"/>
      <c r="AD624" s="32"/>
      <c r="AE624" s="32"/>
      <c r="AF624" s="2"/>
      <c r="AG624" s="2"/>
      <c r="AH624" s="2"/>
      <c r="AI624" s="2"/>
      <c r="AK624" s="73" t="str">
        <f>IF(ISNA(MATCH($N624,[1]data!$A:$A,0)),"",INDEX([1]data!S:S,MATCH($N624,[1]data!$A:$A,0)))</f>
        <v/>
      </c>
      <c r="AL624" s="73" t="str">
        <f>IF(ISNA(MATCH($N624,[1]data!$A:$A,0)),"",INDEX([1]data!V:V,MATCH($N624,[1]data!$A:$A,0)))</f>
        <v/>
      </c>
      <c r="AM624" s="38" t="str">
        <f>IF(ISNA(MATCH($N624,data!$A:$A,0)),"",INDEX(data!B:B,MATCH($N624,data!$A:$A,0)))</f>
        <v/>
      </c>
      <c r="AN624" s="38" t="str">
        <f>IF(ISNA(MATCH($N624,data!$A:$A,0)),"",INDEX(data!C:C,MATCH($N624,data!$A:$A,0)))</f>
        <v/>
      </c>
      <c r="AO624" s="38" t="str">
        <f>IF(ISNA(MATCH($N624,data!$A:$A,0)),"",INDEX(data!D:D,MATCH($N624,data!$A:$A,0)))</f>
        <v/>
      </c>
      <c r="AP624" s="38" t="str">
        <f>IF(ISNA(MATCH($N624,data!$A:$A,0)),"",INDEX(data!E:E,MATCH($N624,data!$A:$A,0)))</f>
        <v/>
      </c>
      <c r="AQ624" s="38" t="str">
        <f>IF(ISNA(MATCH($N624,data!$A:$A,0)),"",INDEX(data!F:F,MATCH($N624,data!$A:$A,0)))</f>
        <v/>
      </c>
      <c r="AR624" s="38" t="str">
        <f>IF(ISNA(MATCH($N624,data!$A:$A,0)),"",INDEX(data!G:G,MATCH($N624,data!$A:$A,0)))</f>
        <v/>
      </c>
      <c r="AS624" s="38" t="str">
        <f>IF(ISNA(MATCH($N624,data!$A:$A,0)),"",INDEX(data!H:H,MATCH($N624,data!$A:$A,0)))</f>
        <v/>
      </c>
      <c r="AT624" s="38" t="str">
        <f>IF(ISNA(MATCH($N624,data!$A:$A,0)),"",INDEX(data!I:I,MATCH($N624,data!$A:$A,0)))</f>
        <v/>
      </c>
      <c r="AU624" s="38" t="str">
        <f>IF(ISNA(MATCH($N624,[1]data!$A:$A,0)),"",INDEX([1]data!L:L,MATCH($N624,[1]data!$A:$A,0)))</f>
        <v/>
      </c>
      <c r="AV624" s="38" t="str">
        <f>IF(ISNA(MATCH($N624,[1]data!$A:$A,0)),"",INDEX([1]data!M:M,MATCH($N624,[1]data!$A:$A,0)))</f>
        <v/>
      </c>
      <c r="AW624" s="38" t="str">
        <f>IF(ISNA(MATCH($N624,data!$A:$A,0)),"",INDEX(data!J:J,MATCH($N624,data!$A:$A,0)))</f>
        <v/>
      </c>
      <c r="AX624" s="38" t="str">
        <f>IF(ISNA(MATCH($N624,data!$A:$A,0)),"",INDEX(data!K:K,MATCH($N624,data!$A:$A,0)))</f>
        <v/>
      </c>
      <c r="AY624" s="38" t="str">
        <f>IF(ISNA(MATCH($N624,data!$A:$A,0)),"",INDEX(data!O:O,MATCH($N624,data!$A:$A,0)))</f>
        <v/>
      </c>
      <c r="AZ624" s="38" t="str">
        <f>IF(ISNA(MATCH($N624,data!$A:$A,0)),"",INDEX(data!N:N,MATCH($N624,data!$A:$A,0)))</f>
        <v/>
      </c>
      <c r="BA624" s="38" t="str">
        <f>IF(ISNA(MATCH($N624,data!$A:$A,0)),"",INDEX(data!P:P,MATCH($N624,data!$A:$A,0)))</f>
        <v/>
      </c>
      <c r="BB624" s="38" t="str">
        <f>IF(ISNA(MATCH($N624,data!$A:$A,0)),"",INDEX(data!Q:Q,MATCH($N624,data!$A:$A,0)))</f>
        <v/>
      </c>
      <c r="BC624" s="38" t="str">
        <f>IF(ISNA(MATCH($N624,data!$A:$A,0)),"",INDEX(data!R:R,MATCH($N624,data!$A:$A,0)))</f>
        <v/>
      </c>
      <c r="BD624" s="38" t="str">
        <f>IF(ISNA(MATCH($N624,[1]data!$A:$A,0)),"",INDEX([1]data!U:U,MATCH($N624,[1]data!$A:$A,0)))</f>
        <v/>
      </c>
      <c r="BE624" s="61" t="e">
        <f>IF(COUNTIF([1]data!A:A,[1]!Table1[[#This Row],[UPC]])&lt;2,"","DUP")</f>
        <v>#VALUE!</v>
      </c>
      <c r="BF624" s="38" t="str">
        <f>IF(ISNA(MATCH($N624,data!$A:$A,0)),"",INDEX(data!W:W,MATCH($N624,data!$A:$A,0)))</f>
        <v/>
      </c>
    </row>
    <row r="625" spans="1:58">
      <c r="A625" s="35"/>
      <c r="B625" s="35"/>
      <c r="C625" s="35"/>
      <c r="D625" s="35"/>
      <c r="E625" s="67"/>
      <c r="F625" s="67"/>
      <c r="G625" s="36"/>
      <c r="H625" s="29"/>
      <c r="I625" s="78" t="str">
        <f t="shared" si="14"/>
        <v/>
      </c>
      <c r="J625" s="29"/>
      <c r="K625" s="29"/>
      <c r="L625" s="33"/>
      <c r="M625" s="33"/>
      <c r="N625" s="60"/>
      <c r="O625" s="71"/>
      <c r="P625" s="71"/>
      <c r="Q625" s="33"/>
      <c r="R625" s="31"/>
      <c r="S625" s="31"/>
      <c r="T625" s="59"/>
      <c r="U625" s="59"/>
      <c r="V625" s="59"/>
      <c r="W625" s="57">
        <f t="shared" si="15"/>
        <v>0</v>
      </c>
      <c r="X625" s="126" t="str">
        <f>IF(Table1[[#This Row],[Shipping Weight Pounds]]&gt;150,"See LTL Form","No")</f>
        <v>No</v>
      </c>
      <c r="Y625" s="28"/>
      <c r="Z625" s="33"/>
      <c r="AA625" s="34"/>
      <c r="AB625" s="30"/>
      <c r="AC625" s="30"/>
      <c r="AD625" s="32"/>
      <c r="AE625" s="32"/>
      <c r="AF625" s="2"/>
      <c r="AG625" s="2"/>
      <c r="AH625" s="2"/>
      <c r="AI625" s="2"/>
      <c r="AK625" s="73" t="str">
        <f>IF(ISNA(MATCH($N625,[1]data!$A:$A,0)),"",INDEX([1]data!S:S,MATCH($N625,[1]data!$A:$A,0)))</f>
        <v/>
      </c>
      <c r="AL625" s="73" t="str">
        <f>IF(ISNA(MATCH($N625,[1]data!$A:$A,0)),"",INDEX([1]data!V:V,MATCH($N625,[1]data!$A:$A,0)))</f>
        <v/>
      </c>
      <c r="AM625" s="38" t="str">
        <f>IF(ISNA(MATCH($N625,data!$A:$A,0)),"",INDEX(data!B:B,MATCH($N625,data!$A:$A,0)))</f>
        <v/>
      </c>
      <c r="AN625" s="38" t="str">
        <f>IF(ISNA(MATCH($N625,data!$A:$A,0)),"",INDEX(data!C:C,MATCH($N625,data!$A:$A,0)))</f>
        <v/>
      </c>
      <c r="AO625" s="38" t="str">
        <f>IF(ISNA(MATCH($N625,data!$A:$A,0)),"",INDEX(data!D:D,MATCH($N625,data!$A:$A,0)))</f>
        <v/>
      </c>
      <c r="AP625" s="38" t="str">
        <f>IF(ISNA(MATCH($N625,data!$A:$A,0)),"",INDEX(data!E:E,MATCH($N625,data!$A:$A,0)))</f>
        <v/>
      </c>
      <c r="AQ625" s="38" t="str">
        <f>IF(ISNA(MATCH($N625,data!$A:$A,0)),"",INDEX(data!F:F,MATCH($N625,data!$A:$A,0)))</f>
        <v/>
      </c>
      <c r="AR625" s="38" t="str">
        <f>IF(ISNA(MATCH($N625,data!$A:$A,0)),"",INDEX(data!G:G,MATCH($N625,data!$A:$A,0)))</f>
        <v/>
      </c>
      <c r="AS625" s="38" t="str">
        <f>IF(ISNA(MATCH($N625,data!$A:$A,0)),"",INDEX(data!H:H,MATCH($N625,data!$A:$A,0)))</f>
        <v/>
      </c>
      <c r="AT625" s="38" t="str">
        <f>IF(ISNA(MATCH($N625,data!$A:$A,0)),"",INDEX(data!I:I,MATCH($N625,data!$A:$A,0)))</f>
        <v/>
      </c>
      <c r="AU625" s="38" t="str">
        <f>IF(ISNA(MATCH($N625,[1]data!$A:$A,0)),"",INDEX([1]data!L:L,MATCH($N625,[1]data!$A:$A,0)))</f>
        <v/>
      </c>
      <c r="AV625" s="38" t="str">
        <f>IF(ISNA(MATCH($N625,[1]data!$A:$A,0)),"",INDEX([1]data!M:M,MATCH($N625,[1]data!$A:$A,0)))</f>
        <v/>
      </c>
      <c r="AW625" s="38" t="str">
        <f>IF(ISNA(MATCH($N625,data!$A:$A,0)),"",INDEX(data!J:J,MATCH($N625,data!$A:$A,0)))</f>
        <v/>
      </c>
      <c r="AX625" s="38" t="str">
        <f>IF(ISNA(MATCH($N625,data!$A:$A,0)),"",INDEX(data!K:K,MATCH($N625,data!$A:$A,0)))</f>
        <v/>
      </c>
      <c r="AY625" s="38" t="str">
        <f>IF(ISNA(MATCH($N625,data!$A:$A,0)),"",INDEX(data!O:O,MATCH($N625,data!$A:$A,0)))</f>
        <v/>
      </c>
      <c r="AZ625" s="38" t="str">
        <f>IF(ISNA(MATCH($N625,data!$A:$A,0)),"",INDEX(data!N:N,MATCH($N625,data!$A:$A,0)))</f>
        <v/>
      </c>
      <c r="BA625" s="38" t="str">
        <f>IF(ISNA(MATCH($N625,data!$A:$A,0)),"",INDEX(data!P:P,MATCH($N625,data!$A:$A,0)))</f>
        <v/>
      </c>
      <c r="BB625" s="38" t="str">
        <f>IF(ISNA(MATCH($N625,data!$A:$A,0)),"",INDEX(data!Q:Q,MATCH($N625,data!$A:$A,0)))</f>
        <v/>
      </c>
      <c r="BC625" s="38" t="str">
        <f>IF(ISNA(MATCH($N625,data!$A:$A,0)),"",INDEX(data!R:R,MATCH($N625,data!$A:$A,0)))</f>
        <v/>
      </c>
      <c r="BD625" s="38" t="str">
        <f>IF(ISNA(MATCH($N625,[1]data!$A:$A,0)),"",INDEX([1]data!U:U,MATCH($N625,[1]data!$A:$A,0)))</f>
        <v/>
      </c>
      <c r="BE625" s="61" t="e">
        <f>IF(COUNTIF([1]data!A:A,[1]!Table1[[#This Row],[UPC]])&lt;2,"","DUP")</f>
        <v>#VALUE!</v>
      </c>
      <c r="BF625" s="38" t="str">
        <f>IF(ISNA(MATCH($N625,data!$A:$A,0)),"",INDEX(data!W:W,MATCH($N625,data!$A:$A,0)))</f>
        <v/>
      </c>
    </row>
    <row r="626" spans="1:58">
      <c r="A626" s="35"/>
      <c r="B626" s="35"/>
      <c r="C626" s="35"/>
      <c r="D626" s="35"/>
      <c r="E626" s="67"/>
      <c r="F626" s="67"/>
      <c r="G626" s="36"/>
      <c r="H626" s="29"/>
      <c r="I626" s="78" t="str">
        <f t="shared" si="14"/>
        <v/>
      </c>
      <c r="J626" s="29"/>
      <c r="K626" s="29"/>
      <c r="L626" s="33"/>
      <c r="M626" s="33"/>
      <c r="N626" s="60"/>
      <c r="O626" s="71"/>
      <c r="P626" s="71"/>
      <c r="Q626" s="33"/>
      <c r="R626" s="31"/>
      <c r="S626" s="31"/>
      <c r="T626" s="59"/>
      <c r="U626" s="59"/>
      <c r="V626" s="59"/>
      <c r="W626" s="57">
        <f t="shared" si="15"/>
        <v>0</v>
      </c>
      <c r="X626" s="126" t="str">
        <f>IF(Table1[[#This Row],[Shipping Weight Pounds]]&gt;150,"See LTL Form","No")</f>
        <v>No</v>
      </c>
      <c r="Y626" s="28"/>
      <c r="Z626" s="33"/>
      <c r="AA626" s="34"/>
      <c r="AB626" s="30"/>
      <c r="AC626" s="30"/>
      <c r="AD626" s="32"/>
      <c r="AE626" s="32"/>
      <c r="AF626" s="2"/>
      <c r="AG626" s="2"/>
      <c r="AH626" s="2"/>
      <c r="AI626" s="2"/>
      <c r="AK626" s="73" t="str">
        <f>IF(ISNA(MATCH($N626,[1]data!$A:$A,0)),"",INDEX([1]data!S:S,MATCH($N626,[1]data!$A:$A,0)))</f>
        <v/>
      </c>
      <c r="AL626" s="73" t="str">
        <f>IF(ISNA(MATCH($N626,[1]data!$A:$A,0)),"",INDEX([1]data!V:V,MATCH($N626,[1]data!$A:$A,0)))</f>
        <v/>
      </c>
      <c r="AM626" s="38" t="str">
        <f>IF(ISNA(MATCH($N626,data!$A:$A,0)),"",INDEX(data!B:B,MATCH($N626,data!$A:$A,0)))</f>
        <v/>
      </c>
      <c r="AN626" s="38" t="str">
        <f>IF(ISNA(MATCH($N626,data!$A:$A,0)),"",INDEX(data!C:C,MATCH($N626,data!$A:$A,0)))</f>
        <v/>
      </c>
      <c r="AO626" s="38" t="str">
        <f>IF(ISNA(MATCH($N626,data!$A:$A,0)),"",INDEX(data!D:D,MATCH($N626,data!$A:$A,0)))</f>
        <v/>
      </c>
      <c r="AP626" s="38" t="str">
        <f>IF(ISNA(MATCH($N626,data!$A:$A,0)),"",INDEX(data!E:E,MATCH($N626,data!$A:$A,0)))</f>
        <v/>
      </c>
      <c r="AQ626" s="38" t="str">
        <f>IF(ISNA(MATCH($N626,data!$A:$A,0)),"",INDEX(data!F:F,MATCH($N626,data!$A:$A,0)))</f>
        <v/>
      </c>
      <c r="AR626" s="38" t="str">
        <f>IF(ISNA(MATCH($N626,data!$A:$A,0)),"",INDEX(data!G:G,MATCH($N626,data!$A:$A,0)))</f>
        <v/>
      </c>
      <c r="AS626" s="38" t="str">
        <f>IF(ISNA(MATCH($N626,data!$A:$A,0)),"",INDEX(data!H:H,MATCH($N626,data!$A:$A,0)))</f>
        <v/>
      </c>
      <c r="AT626" s="38" t="str">
        <f>IF(ISNA(MATCH($N626,data!$A:$A,0)),"",INDEX(data!I:I,MATCH($N626,data!$A:$A,0)))</f>
        <v/>
      </c>
      <c r="AU626" s="38" t="str">
        <f>IF(ISNA(MATCH($N626,[1]data!$A:$A,0)),"",INDEX([1]data!L:L,MATCH($N626,[1]data!$A:$A,0)))</f>
        <v/>
      </c>
      <c r="AV626" s="38" t="str">
        <f>IF(ISNA(MATCH($N626,[1]data!$A:$A,0)),"",INDEX([1]data!M:M,MATCH($N626,[1]data!$A:$A,0)))</f>
        <v/>
      </c>
      <c r="AW626" s="38" t="str">
        <f>IF(ISNA(MATCH($N626,data!$A:$A,0)),"",INDEX(data!J:J,MATCH($N626,data!$A:$A,0)))</f>
        <v/>
      </c>
      <c r="AX626" s="38" t="str">
        <f>IF(ISNA(MATCH($N626,data!$A:$A,0)),"",INDEX(data!K:K,MATCH($N626,data!$A:$A,0)))</f>
        <v/>
      </c>
      <c r="AY626" s="38" t="str">
        <f>IF(ISNA(MATCH($N626,data!$A:$A,0)),"",INDEX(data!O:O,MATCH($N626,data!$A:$A,0)))</f>
        <v/>
      </c>
      <c r="AZ626" s="38" t="str">
        <f>IF(ISNA(MATCH($N626,data!$A:$A,0)),"",INDEX(data!N:N,MATCH($N626,data!$A:$A,0)))</f>
        <v/>
      </c>
      <c r="BA626" s="38" t="str">
        <f>IF(ISNA(MATCH($N626,data!$A:$A,0)),"",INDEX(data!P:P,MATCH($N626,data!$A:$A,0)))</f>
        <v/>
      </c>
      <c r="BB626" s="38" t="str">
        <f>IF(ISNA(MATCH($N626,data!$A:$A,0)),"",INDEX(data!Q:Q,MATCH($N626,data!$A:$A,0)))</f>
        <v/>
      </c>
      <c r="BC626" s="38" t="str">
        <f>IF(ISNA(MATCH($N626,data!$A:$A,0)),"",INDEX(data!R:R,MATCH($N626,data!$A:$A,0)))</f>
        <v/>
      </c>
      <c r="BD626" s="38" t="str">
        <f>IF(ISNA(MATCH($N626,[1]data!$A:$A,0)),"",INDEX([1]data!U:U,MATCH($N626,[1]data!$A:$A,0)))</f>
        <v/>
      </c>
      <c r="BE626" s="61" t="e">
        <f>IF(COUNTIF([1]data!A:A,[1]!Table1[[#This Row],[UPC]])&lt;2,"","DUP")</f>
        <v>#VALUE!</v>
      </c>
      <c r="BF626" s="38" t="str">
        <f>IF(ISNA(MATCH($N626,data!$A:$A,0)),"",INDEX(data!W:W,MATCH($N626,data!$A:$A,0)))</f>
        <v/>
      </c>
    </row>
    <row r="627" spans="1:58">
      <c r="A627" s="35"/>
      <c r="B627" s="35"/>
      <c r="C627" s="35"/>
      <c r="D627" s="35"/>
      <c r="E627" s="67"/>
      <c r="F627" s="67"/>
      <c r="G627" s="36"/>
      <c r="H627" s="29"/>
      <c r="I627" s="78" t="str">
        <f t="shared" si="14"/>
        <v/>
      </c>
      <c r="J627" s="29"/>
      <c r="K627" s="29"/>
      <c r="L627" s="33"/>
      <c r="M627" s="33"/>
      <c r="N627" s="60"/>
      <c r="O627" s="71"/>
      <c r="P627" s="71"/>
      <c r="Q627" s="33"/>
      <c r="R627" s="31"/>
      <c r="S627" s="31"/>
      <c r="T627" s="59"/>
      <c r="U627" s="59"/>
      <c r="V627" s="59"/>
      <c r="W627" s="57">
        <f t="shared" si="15"/>
        <v>0</v>
      </c>
      <c r="X627" s="126" t="str">
        <f>IF(Table1[[#This Row],[Shipping Weight Pounds]]&gt;150,"See LTL Form","No")</f>
        <v>No</v>
      </c>
      <c r="Y627" s="28"/>
      <c r="Z627" s="33"/>
      <c r="AA627" s="34"/>
      <c r="AB627" s="30"/>
      <c r="AC627" s="30"/>
      <c r="AD627" s="32"/>
      <c r="AE627" s="32"/>
      <c r="AF627" s="2"/>
      <c r="AG627" s="2"/>
      <c r="AH627" s="2"/>
      <c r="AI627" s="2"/>
      <c r="AK627" s="73" t="str">
        <f>IF(ISNA(MATCH($N627,[1]data!$A:$A,0)),"",INDEX([1]data!S:S,MATCH($N627,[1]data!$A:$A,0)))</f>
        <v/>
      </c>
      <c r="AL627" s="73" t="str">
        <f>IF(ISNA(MATCH($N627,[1]data!$A:$A,0)),"",INDEX([1]data!V:V,MATCH($N627,[1]data!$A:$A,0)))</f>
        <v/>
      </c>
      <c r="AM627" s="38" t="str">
        <f>IF(ISNA(MATCH($N627,data!$A:$A,0)),"",INDEX(data!B:B,MATCH($N627,data!$A:$A,0)))</f>
        <v/>
      </c>
      <c r="AN627" s="38" t="str">
        <f>IF(ISNA(MATCH($N627,data!$A:$A,0)),"",INDEX(data!C:C,MATCH($N627,data!$A:$A,0)))</f>
        <v/>
      </c>
      <c r="AO627" s="38" t="str">
        <f>IF(ISNA(MATCH($N627,data!$A:$A,0)),"",INDEX(data!D:D,MATCH($N627,data!$A:$A,0)))</f>
        <v/>
      </c>
      <c r="AP627" s="38" t="str">
        <f>IF(ISNA(MATCH($N627,data!$A:$A,0)),"",INDEX(data!E:E,MATCH($N627,data!$A:$A,0)))</f>
        <v/>
      </c>
      <c r="AQ627" s="38" t="str">
        <f>IF(ISNA(MATCH($N627,data!$A:$A,0)),"",INDEX(data!F:F,MATCH($N627,data!$A:$A,0)))</f>
        <v/>
      </c>
      <c r="AR627" s="38" t="str">
        <f>IF(ISNA(MATCH($N627,data!$A:$A,0)),"",INDEX(data!G:G,MATCH($N627,data!$A:$A,0)))</f>
        <v/>
      </c>
      <c r="AS627" s="38" t="str">
        <f>IF(ISNA(MATCH($N627,data!$A:$A,0)),"",INDEX(data!H:H,MATCH($N627,data!$A:$A,0)))</f>
        <v/>
      </c>
      <c r="AT627" s="38" t="str">
        <f>IF(ISNA(MATCH($N627,data!$A:$A,0)),"",INDEX(data!I:I,MATCH($N627,data!$A:$A,0)))</f>
        <v/>
      </c>
      <c r="AU627" s="38" t="str">
        <f>IF(ISNA(MATCH($N627,[1]data!$A:$A,0)),"",INDEX([1]data!L:L,MATCH($N627,[1]data!$A:$A,0)))</f>
        <v/>
      </c>
      <c r="AV627" s="38" t="str">
        <f>IF(ISNA(MATCH($N627,[1]data!$A:$A,0)),"",INDEX([1]data!M:M,MATCH($N627,[1]data!$A:$A,0)))</f>
        <v/>
      </c>
      <c r="AW627" s="38" t="str">
        <f>IF(ISNA(MATCH($N627,data!$A:$A,0)),"",INDEX(data!J:J,MATCH($N627,data!$A:$A,0)))</f>
        <v/>
      </c>
      <c r="AX627" s="38" t="str">
        <f>IF(ISNA(MATCH($N627,data!$A:$A,0)),"",INDEX(data!K:K,MATCH($N627,data!$A:$A,0)))</f>
        <v/>
      </c>
      <c r="AY627" s="38" t="str">
        <f>IF(ISNA(MATCH($N627,data!$A:$A,0)),"",INDEX(data!O:O,MATCH($N627,data!$A:$A,0)))</f>
        <v/>
      </c>
      <c r="AZ627" s="38" t="str">
        <f>IF(ISNA(MATCH($N627,data!$A:$A,0)),"",INDEX(data!N:N,MATCH($N627,data!$A:$A,0)))</f>
        <v/>
      </c>
      <c r="BA627" s="38" t="str">
        <f>IF(ISNA(MATCH($N627,data!$A:$A,0)),"",INDEX(data!P:P,MATCH($N627,data!$A:$A,0)))</f>
        <v/>
      </c>
      <c r="BB627" s="38" t="str">
        <f>IF(ISNA(MATCH($N627,data!$A:$A,0)),"",INDEX(data!Q:Q,MATCH($N627,data!$A:$A,0)))</f>
        <v/>
      </c>
      <c r="BC627" s="38" t="str">
        <f>IF(ISNA(MATCH($N627,data!$A:$A,0)),"",INDEX(data!R:R,MATCH($N627,data!$A:$A,0)))</f>
        <v/>
      </c>
      <c r="BD627" s="38" t="str">
        <f>IF(ISNA(MATCH($N627,[1]data!$A:$A,0)),"",INDEX([1]data!U:U,MATCH($N627,[1]data!$A:$A,0)))</f>
        <v/>
      </c>
      <c r="BE627" s="61" t="e">
        <f>IF(COUNTIF([1]data!A:A,[1]!Table1[[#This Row],[UPC]])&lt;2,"","DUP")</f>
        <v>#VALUE!</v>
      </c>
      <c r="BF627" s="38" t="str">
        <f>IF(ISNA(MATCH($N627,data!$A:$A,0)),"",INDEX(data!W:W,MATCH($N627,data!$A:$A,0)))</f>
        <v/>
      </c>
    </row>
    <row r="628" spans="1:58">
      <c r="A628" s="35"/>
      <c r="B628" s="35"/>
      <c r="C628" s="35"/>
      <c r="D628" s="35"/>
      <c r="E628" s="67"/>
      <c r="F628" s="67"/>
      <c r="G628" s="36"/>
      <c r="H628" s="29"/>
      <c r="I628" s="78" t="str">
        <f t="shared" si="14"/>
        <v/>
      </c>
      <c r="J628" s="29"/>
      <c r="K628" s="29"/>
      <c r="L628" s="33"/>
      <c r="M628" s="33"/>
      <c r="N628" s="60"/>
      <c r="O628" s="71"/>
      <c r="P628" s="71"/>
      <c r="Q628" s="33"/>
      <c r="R628" s="31"/>
      <c r="S628" s="31"/>
      <c r="T628" s="59"/>
      <c r="U628" s="59"/>
      <c r="V628" s="59"/>
      <c r="W628" s="57">
        <f t="shared" si="15"/>
        <v>0</v>
      </c>
      <c r="X628" s="126" t="str">
        <f>IF(Table1[[#This Row],[Shipping Weight Pounds]]&gt;150,"See LTL Form","No")</f>
        <v>No</v>
      </c>
      <c r="Y628" s="28"/>
      <c r="Z628" s="33"/>
      <c r="AA628" s="34"/>
      <c r="AB628" s="30"/>
      <c r="AC628" s="30"/>
      <c r="AD628" s="32"/>
      <c r="AE628" s="32"/>
      <c r="AF628" s="2"/>
      <c r="AG628" s="2"/>
      <c r="AH628" s="2"/>
      <c r="AI628" s="2"/>
      <c r="AK628" s="73" t="str">
        <f>IF(ISNA(MATCH($N628,[1]data!$A:$A,0)),"",INDEX([1]data!S:S,MATCH($N628,[1]data!$A:$A,0)))</f>
        <v/>
      </c>
      <c r="AL628" s="73" t="str">
        <f>IF(ISNA(MATCH($N628,[1]data!$A:$A,0)),"",INDEX([1]data!V:V,MATCH($N628,[1]data!$A:$A,0)))</f>
        <v/>
      </c>
      <c r="AM628" s="38" t="str">
        <f>IF(ISNA(MATCH($N628,data!$A:$A,0)),"",INDEX(data!B:B,MATCH($N628,data!$A:$A,0)))</f>
        <v/>
      </c>
      <c r="AN628" s="38" t="str">
        <f>IF(ISNA(MATCH($N628,data!$A:$A,0)),"",INDEX(data!C:C,MATCH($N628,data!$A:$A,0)))</f>
        <v/>
      </c>
      <c r="AO628" s="38" t="str">
        <f>IF(ISNA(MATCH($N628,data!$A:$A,0)),"",INDEX(data!D:D,MATCH($N628,data!$A:$A,0)))</f>
        <v/>
      </c>
      <c r="AP628" s="38" t="str">
        <f>IF(ISNA(MATCH($N628,data!$A:$A,0)),"",INDEX(data!E:E,MATCH($N628,data!$A:$A,0)))</f>
        <v/>
      </c>
      <c r="AQ628" s="38" t="str">
        <f>IF(ISNA(MATCH($N628,data!$A:$A,0)),"",INDEX(data!F:F,MATCH($N628,data!$A:$A,0)))</f>
        <v/>
      </c>
      <c r="AR628" s="38" t="str">
        <f>IF(ISNA(MATCH($N628,data!$A:$A,0)),"",INDEX(data!G:G,MATCH($N628,data!$A:$A,0)))</f>
        <v/>
      </c>
      <c r="AS628" s="38" t="str">
        <f>IF(ISNA(MATCH($N628,data!$A:$A,0)),"",INDEX(data!H:H,MATCH($N628,data!$A:$A,0)))</f>
        <v/>
      </c>
      <c r="AT628" s="38" t="str">
        <f>IF(ISNA(MATCH($N628,data!$A:$A,0)),"",INDEX(data!I:I,MATCH($N628,data!$A:$A,0)))</f>
        <v/>
      </c>
      <c r="AU628" s="38" t="str">
        <f>IF(ISNA(MATCH($N628,[1]data!$A:$A,0)),"",INDEX([1]data!L:L,MATCH($N628,[1]data!$A:$A,0)))</f>
        <v/>
      </c>
      <c r="AV628" s="38" t="str">
        <f>IF(ISNA(MATCH($N628,[1]data!$A:$A,0)),"",INDEX([1]data!M:M,MATCH($N628,[1]data!$A:$A,0)))</f>
        <v/>
      </c>
      <c r="AW628" s="38" t="str">
        <f>IF(ISNA(MATCH($N628,data!$A:$A,0)),"",INDEX(data!J:J,MATCH($N628,data!$A:$A,0)))</f>
        <v/>
      </c>
      <c r="AX628" s="38" t="str">
        <f>IF(ISNA(MATCH($N628,data!$A:$A,0)),"",INDEX(data!K:K,MATCH($N628,data!$A:$A,0)))</f>
        <v/>
      </c>
      <c r="AY628" s="38" t="str">
        <f>IF(ISNA(MATCH($N628,data!$A:$A,0)),"",INDEX(data!O:O,MATCH($N628,data!$A:$A,0)))</f>
        <v/>
      </c>
      <c r="AZ628" s="38" t="str">
        <f>IF(ISNA(MATCH($N628,data!$A:$A,0)),"",INDEX(data!N:N,MATCH($N628,data!$A:$A,0)))</f>
        <v/>
      </c>
      <c r="BA628" s="38" t="str">
        <f>IF(ISNA(MATCH($N628,data!$A:$A,0)),"",INDEX(data!P:P,MATCH($N628,data!$A:$A,0)))</f>
        <v/>
      </c>
      <c r="BB628" s="38" t="str">
        <f>IF(ISNA(MATCH($N628,data!$A:$A,0)),"",INDEX(data!Q:Q,MATCH($N628,data!$A:$A,0)))</f>
        <v/>
      </c>
      <c r="BC628" s="38" t="str">
        <f>IF(ISNA(MATCH($N628,data!$A:$A,0)),"",INDEX(data!R:R,MATCH($N628,data!$A:$A,0)))</f>
        <v/>
      </c>
      <c r="BD628" s="38" t="str">
        <f>IF(ISNA(MATCH($N628,[1]data!$A:$A,0)),"",INDEX([1]data!U:U,MATCH($N628,[1]data!$A:$A,0)))</f>
        <v/>
      </c>
      <c r="BE628" s="61" t="e">
        <f>IF(COUNTIF([1]data!A:A,[1]!Table1[[#This Row],[UPC]])&lt;2,"","DUP")</f>
        <v>#VALUE!</v>
      </c>
      <c r="BF628" s="38" t="str">
        <f>IF(ISNA(MATCH($N628,data!$A:$A,0)),"",INDEX(data!W:W,MATCH($N628,data!$A:$A,0)))</f>
        <v/>
      </c>
    </row>
    <row r="629" spans="1:58">
      <c r="A629" s="35"/>
      <c r="B629" s="35"/>
      <c r="C629" s="35"/>
      <c r="D629" s="35"/>
      <c r="E629" s="67"/>
      <c r="F629" s="67"/>
      <c r="G629" s="36"/>
      <c r="H629" s="29"/>
      <c r="I629" s="78" t="str">
        <f t="shared" si="14"/>
        <v/>
      </c>
      <c r="J629" s="29"/>
      <c r="K629" s="29"/>
      <c r="L629" s="33"/>
      <c r="M629" s="33"/>
      <c r="N629" s="60"/>
      <c r="O629" s="71"/>
      <c r="P629" s="71"/>
      <c r="Q629" s="33"/>
      <c r="R629" s="31"/>
      <c r="S629" s="31"/>
      <c r="T629" s="59"/>
      <c r="U629" s="59"/>
      <c r="V629" s="59"/>
      <c r="W629" s="57">
        <f t="shared" si="15"/>
        <v>0</v>
      </c>
      <c r="X629" s="126" t="str">
        <f>IF(Table1[[#This Row],[Shipping Weight Pounds]]&gt;150,"See LTL Form","No")</f>
        <v>No</v>
      </c>
      <c r="Y629" s="28"/>
      <c r="Z629" s="33"/>
      <c r="AA629" s="34"/>
      <c r="AB629" s="30"/>
      <c r="AC629" s="30"/>
      <c r="AD629" s="32"/>
      <c r="AE629" s="32"/>
      <c r="AF629" s="2"/>
      <c r="AG629" s="2"/>
      <c r="AH629" s="2"/>
      <c r="AI629" s="2"/>
      <c r="AK629" s="73" t="str">
        <f>IF(ISNA(MATCH($N629,[1]data!$A:$A,0)),"",INDEX([1]data!S:S,MATCH($N629,[1]data!$A:$A,0)))</f>
        <v/>
      </c>
      <c r="AL629" s="73" t="str">
        <f>IF(ISNA(MATCH($N629,[1]data!$A:$A,0)),"",INDEX([1]data!V:V,MATCH($N629,[1]data!$A:$A,0)))</f>
        <v/>
      </c>
      <c r="AM629" s="38" t="str">
        <f>IF(ISNA(MATCH($N629,data!$A:$A,0)),"",INDEX(data!B:B,MATCH($N629,data!$A:$A,0)))</f>
        <v/>
      </c>
      <c r="AN629" s="38" t="str">
        <f>IF(ISNA(MATCH($N629,data!$A:$A,0)),"",INDEX(data!C:C,MATCH($N629,data!$A:$A,0)))</f>
        <v/>
      </c>
      <c r="AO629" s="38" t="str">
        <f>IF(ISNA(MATCH($N629,data!$A:$A,0)),"",INDEX(data!D:D,MATCH($N629,data!$A:$A,0)))</f>
        <v/>
      </c>
      <c r="AP629" s="38" t="str">
        <f>IF(ISNA(MATCH($N629,data!$A:$A,0)),"",INDEX(data!E:E,MATCH($N629,data!$A:$A,0)))</f>
        <v/>
      </c>
      <c r="AQ629" s="38" t="str">
        <f>IF(ISNA(MATCH($N629,data!$A:$A,0)),"",INDEX(data!F:F,MATCH($N629,data!$A:$A,0)))</f>
        <v/>
      </c>
      <c r="AR629" s="38" t="str">
        <f>IF(ISNA(MATCH($N629,data!$A:$A,0)),"",INDEX(data!G:G,MATCH($N629,data!$A:$A,0)))</f>
        <v/>
      </c>
      <c r="AS629" s="38" t="str">
        <f>IF(ISNA(MATCH($N629,data!$A:$A,0)),"",INDEX(data!H:H,MATCH($N629,data!$A:$A,0)))</f>
        <v/>
      </c>
      <c r="AT629" s="38" t="str">
        <f>IF(ISNA(MATCH($N629,data!$A:$A,0)),"",INDEX(data!I:I,MATCH($N629,data!$A:$A,0)))</f>
        <v/>
      </c>
      <c r="AU629" s="38" t="str">
        <f>IF(ISNA(MATCH($N629,[1]data!$A:$A,0)),"",INDEX([1]data!L:L,MATCH($N629,[1]data!$A:$A,0)))</f>
        <v/>
      </c>
      <c r="AV629" s="38" t="str">
        <f>IF(ISNA(MATCH($N629,[1]data!$A:$A,0)),"",INDEX([1]data!M:M,MATCH($N629,[1]data!$A:$A,0)))</f>
        <v/>
      </c>
      <c r="AW629" s="38" t="str">
        <f>IF(ISNA(MATCH($N629,data!$A:$A,0)),"",INDEX(data!J:J,MATCH($N629,data!$A:$A,0)))</f>
        <v/>
      </c>
      <c r="AX629" s="38" t="str">
        <f>IF(ISNA(MATCH($N629,data!$A:$A,0)),"",INDEX(data!K:K,MATCH($N629,data!$A:$A,0)))</f>
        <v/>
      </c>
      <c r="AY629" s="38" t="str">
        <f>IF(ISNA(MATCH($N629,data!$A:$A,0)),"",INDEX(data!O:O,MATCH($N629,data!$A:$A,0)))</f>
        <v/>
      </c>
      <c r="AZ629" s="38" t="str">
        <f>IF(ISNA(MATCH($N629,data!$A:$A,0)),"",INDEX(data!N:N,MATCH($N629,data!$A:$A,0)))</f>
        <v/>
      </c>
      <c r="BA629" s="38" t="str">
        <f>IF(ISNA(MATCH($N629,data!$A:$A,0)),"",INDEX(data!P:P,MATCH($N629,data!$A:$A,0)))</f>
        <v/>
      </c>
      <c r="BB629" s="38" t="str">
        <f>IF(ISNA(MATCH($N629,data!$A:$A,0)),"",INDEX(data!Q:Q,MATCH($N629,data!$A:$A,0)))</f>
        <v/>
      </c>
      <c r="BC629" s="38" t="str">
        <f>IF(ISNA(MATCH($N629,data!$A:$A,0)),"",INDEX(data!R:R,MATCH($N629,data!$A:$A,0)))</f>
        <v/>
      </c>
      <c r="BD629" s="38" t="str">
        <f>IF(ISNA(MATCH($N629,[1]data!$A:$A,0)),"",INDEX([1]data!U:U,MATCH($N629,[1]data!$A:$A,0)))</f>
        <v/>
      </c>
      <c r="BE629" s="61" t="e">
        <f>IF(COUNTIF([1]data!A:A,[1]!Table1[[#This Row],[UPC]])&lt;2,"","DUP")</f>
        <v>#VALUE!</v>
      </c>
      <c r="BF629" s="38" t="str">
        <f>IF(ISNA(MATCH($N629,data!$A:$A,0)),"",INDEX(data!W:W,MATCH($N629,data!$A:$A,0)))</f>
        <v/>
      </c>
    </row>
    <row r="630" spans="1:58">
      <c r="A630" s="35"/>
      <c r="B630" s="35"/>
      <c r="C630" s="35"/>
      <c r="D630" s="35"/>
      <c r="E630" s="67"/>
      <c r="F630" s="67"/>
      <c r="G630" s="36"/>
      <c r="H630" s="29"/>
      <c r="I630" s="78" t="str">
        <f t="shared" si="14"/>
        <v/>
      </c>
      <c r="J630" s="29"/>
      <c r="K630" s="29"/>
      <c r="L630" s="33"/>
      <c r="M630" s="33"/>
      <c r="N630" s="60"/>
      <c r="O630" s="71"/>
      <c r="P630" s="71"/>
      <c r="Q630" s="33"/>
      <c r="R630" s="31"/>
      <c r="S630" s="31"/>
      <c r="T630" s="59"/>
      <c r="U630" s="59"/>
      <c r="V630" s="59"/>
      <c r="W630" s="57">
        <f t="shared" si="15"/>
        <v>0</v>
      </c>
      <c r="X630" s="126" t="str">
        <f>IF(Table1[[#This Row],[Shipping Weight Pounds]]&gt;150,"See LTL Form","No")</f>
        <v>No</v>
      </c>
      <c r="Y630" s="28"/>
      <c r="Z630" s="33"/>
      <c r="AA630" s="34"/>
      <c r="AB630" s="30"/>
      <c r="AC630" s="30"/>
      <c r="AD630" s="32"/>
      <c r="AE630" s="32"/>
      <c r="AF630" s="2"/>
      <c r="AG630" s="2"/>
      <c r="AH630" s="2"/>
      <c r="AI630" s="2"/>
      <c r="AK630" s="73" t="str">
        <f>IF(ISNA(MATCH($N630,[1]data!$A:$A,0)),"",INDEX([1]data!S:S,MATCH($N630,[1]data!$A:$A,0)))</f>
        <v/>
      </c>
      <c r="AL630" s="73" t="str">
        <f>IF(ISNA(MATCH($N630,[1]data!$A:$A,0)),"",INDEX([1]data!V:V,MATCH($N630,[1]data!$A:$A,0)))</f>
        <v/>
      </c>
      <c r="AM630" s="38" t="str">
        <f>IF(ISNA(MATCH($N630,data!$A:$A,0)),"",INDEX(data!B:B,MATCH($N630,data!$A:$A,0)))</f>
        <v/>
      </c>
      <c r="AN630" s="38" t="str">
        <f>IF(ISNA(MATCH($N630,data!$A:$A,0)),"",INDEX(data!C:C,MATCH($N630,data!$A:$A,0)))</f>
        <v/>
      </c>
      <c r="AO630" s="38" t="str">
        <f>IF(ISNA(MATCH($N630,data!$A:$A,0)),"",INDEX(data!D:D,MATCH($N630,data!$A:$A,0)))</f>
        <v/>
      </c>
      <c r="AP630" s="38" t="str">
        <f>IF(ISNA(MATCH($N630,data!$A:$A,0)),"",INDEX(data!E:E,MATCH($N630,data!$A:$A,0)))</f>
        <v/>
      </c>
      <c r="AQ630" s="38" t="str">
        <f>IF(ISNA(MATCH($N630,data!$A:$A,0)),"",INDEX(data!F:F,MATCH($N630,data!$A:$A,0)))</f>
        <v/>
      </c>
      <c r="AR630" s="38" t="str">
        <f>IF(ISNA(MATCH($N630,data!$A:$A,0)),"",INDEX(data!G:G,MATCH($N630,data!$A:$A,0)))</f>
        <v/>
      </c>
      <c r="AS630" s="38" t="str">
        <f>IF(ISNA(MATCH($N630,data!$A:$A,0)),"",INDEX(data!H:H,MATCH($N630,data!$A:$A,0)))</f>
        <v/>
      </c>
      <c r="AT630" s="38" t="str">
        <f>IF(ISNA(MATCH($N630,data!$A:$A,0)),"",INDEX(data!I:I,MATCH($N630,data!$A:$A,0)))</f>
        <v/>
      </c>
      <c r="AU630" s="38" t="str">
        <f>IF(ISNA(MATCH($N630,[1]data!$A:$A,0)),"",INDEX([1]data!L:L,MATCH($N630,[1]data!$A:$A,0)))</f>
        <v/>
      </c>
      <c r="AV630" s="38" t="str">
        <f>IF(ISNA(MATCH($N630,[1]data!$A:$A,0)),"",INDEX([1]data!M:M,MATCH($N630,[1]data!$A:$A,0)))</f>
        <v/>
      </c>
      <c r="AW630" s="38" t="str">
        <f>IF(ISNA(MATCH($N630,data!$A:$A,0)),"",INDEX(data!J:J,MATCH($N630,data!$A:$A,0)))</f>
        <v/>
      </c>
      <c r="AX630" s="38" t="str">
        <f>IF(ISNA(MATCH($N630,data!$A:$A,0)),"",INDEX(data!K:K,MATCH($N630,data!$A:$A,0)))</f>
        <v/>
      </c>
      <c r="AY630" s="38" t="str">
        <f>IF(ISNA(MATCH($N630,data!$A:$A,0)),"",INDEX(data!O:O,MATCH($N630,data!$A:$A,0)))</f>
        <v/>
      </c>
      <c r="AZ630" s="38" t="str">
        <f>IF(ISNA(MATCH($N630,data!$A:$A,0)),"",INDEX(data!N:N,MATCH($N630,data!$A:$A,0)))</f>
        <v/>
      </c>
      <c r="BA630" s="38" t="str">
        <f>IF(ISNA(MATCH($N630,data!$A:$A,0)),"",INDEX(data!P:P,MATCH($N630,data!$A:$A,0)))</f>
        <v/>
      </c>
      <c r="BB630" s="38" t="str">
        <f>IF(ISNA(MATCH($N630,data!$A:$A,0)),"",INDEX(data!Q:Q,MATCH($N630,data!$A:$A,0)))</f>
        <v/>
      </c>
      <c r="BC630" s="38" t="str">
        <f>IF(ISNA(MATCH($N630,data!$A:$A,0)),"",INDEX(data!R:R,MATCH($N630,data!$A:$A,0)))</f>
        <v/>
      </c>
      <c r="BD630" s="38" t="str">
        <f>IF(ISNA(MATCH($N630,[1]data!$A:$A,0)),"",INDEX([1]data!U:U,MATCH($N630,[1]data!$A:$A,0)))</f>
        <v/>
      </c>
      <c r="BE630" s="61" t="e">
        <f>IF(COUNTIF([1]data!A:A,[1]!Table1[[#This Row],[UPC]])&lt;2,"","DUP")</f>
        <v>#VALUE!</v>
      </c>
      <c r="BF630" s="38" t="str">
        <f>IF(ISNA(MATCH($N630,data!$A:$A,0)),"",INDEX(data!W:W,MATCH($N630,data!$A:$A,0)))</f>
        <v/>
      </c>
    </row>
    <row r="631" spans="1:58">
      <c r="A631" s="35"/>
      <c r="B631" s="35"/>
      <c r="C631" s="35"/>
      <c r="D631" s="35"/>
      <c r="E631" s="67"/>
      <c r="F631" s="67"/>
      <c r="G631" s="36"/>
      <c r="H631" s="29"/>
      <c r="I631" s="78" t="str">
        <f t="shared" si="14"/>
        <v/>
      </c>
      <c r="J631" s="29"/>
      <c r="K631" s="29"/>
      <c r="L631" s="33"/>
      <c r="M631" s="33"/>
      <c r="N631" s="60"/>
      <c r="O631" s="71"/>
      <c r="P631" s="71"/>
      <c r="Q631" s="33"/>
      <c r="R631" s="31"/>
      <c r="S631" s="31"/>
      <c r="T631" s="59"/>
      <c r="U631" s="59"/>
      <c r="V631" s="59"/>
      <c r="W631" s="57">
        <f t="shared" si="15"/>
        <v>0</v>
      </c>
      <c r="X631" s="126" t="str">
        <f>IF(Table1[[#This Row],[Shipping Weight Pounds]]&gt;150,"See LTL Form","No")</f>
        <v>No</v>
      </c>
      <c r="Y631" s="28"/>
      <c r="Z631" s="33"/>
      <c r="AA631" s="34"/>
      <c r="AB631" s="30"/>
      <c r="AC631" s="30"/>
      <c r="AD631" s="32"/>
      <c r="AE631" s="32"/>
      <c r="AF631" s="2"/>
      <c r="AG631" s="2"/>
      <c r="AH631" s="2"/>
      <c r="AI631" s="2"/>
      <c r="AK631" s="73" t="str">
        <f>IF(ISNA(MATCH($N631,[1]data!$A:$A,0)),"",INDEX([1]data!S:S,MATCH($N631,[1]data!$A:$A,0)))</f>
        <v/>
      </c>
      <c r="AL631" s="73" t="str">
        <f>IF(ISNA(MATCH($N631,[1]data!$A:$A,0)),"",INDEX([1]data!V:V,MATCH($N631,[1]data!$A:$A,0)))</f>
        <v/>
      </c>
      <c r="AM631" s="38" t="str">
        <f>IF(ISNA(MATCH($N631,data!$A:$A,0)),"",INDEX(data!B:B,MATCH($N631,data!$A:$A,0)))</f>
        <v/>
      </c>
      <c r="AN631" s="38" t="str">
        <f>IF(ISNA(MATCH($N631,data!$A:$A,0)),"",INDEX(data!C:C,MATCH($N631,data!$A:$A,0)))</f>
        <v/>
      </c>
      <c r="AO631" s="38" t="str">
        <f>IF(ISNA(MATCH($N631,data!$A:$A,0)),"",INDEX(data!D:D,MATCH($N631,data!$A:$A,0)))</f>
        <v/>
      </c>
      <c r="AP631" s="38" t="str">
        <f>IF(ISNA(MATCH($N631,data!$A:$A,0)),"",INDEX(data!E:E,MATCH($N631,data!$A:$A,0)))</f>
        <v/>
      </c>
      <c r="AQ631" s="38" t="str">
        <f>IF(ISNA(MATCH($N631,data!$A:$A,0)),"",INDEX(data!F:F,MATCH($N631,data!$A:$A,0)))</f>
        <v/>
      </c>
      <c r="AR631" s="38" t="str">
        <f>IF(ISNA(MATCH($N631,data!$A:$A,0)),"",INDEX(data!G:G,MATCH($N631,data!$A:$A,0)))</f>
        <v/>
      </c>
      <c r="AS631" s="38" t="str">
        <f>IF(ISNA(MATCH($N631,data!$A:$A,0)),"",INDEX(data!H:H,MATCH($N631,data!$A:$A,0)))</f>
        <v/>
      </c>
      <c r="AT631" s="38" t="str">
        <f>IF(ISNA(MATCH($N631,data!$A:$A,0)),"",INDEX(data!I:I,MATCH($N631,data!$A:$A,0)))</f>
        <v/>
      </c>
      <c r="AU631" s="38" t="str">
        <f>IF(ISNA(MATCH($N631,[1]data!$A:$A,0)),"",INDEX([1]data!L:L,MATCH($N631,[1]data!$A:$A,0)))</f>
        <v/>
      </c>
      <c r="AV631" s="38" t="str">
        <f>IF(ISNA(MATCH($N631,[1]data!$A:$A,0)),"",INDEX([1]data!M:M,MATCH($N631,[1]data!$A:$A,0)))</f>
        <v/>
      </c>
      <c r="AW631" s="38" t="str">
        <f>IF(ISNA(MATCH($N631,data!$A:$A,0)),"",INDEX(data!J:J,MATCH($N631,data!$A:$A,0)))</f>
        <v/>
      </c>
      <c r="AX631" s="38" t="str">
        <f>IF(ISNA(MATCH($N631,data!$A:$A,0)),"",INDEX(data!K:K,MATCH($N631,data!$A:$A,0)))</f>
        <v/>
      </c>
      <c r="AY631" s="38" t="str">
        <f>IF(ISNA(MATCH($N631,data!$A:$A,0)),"",INDEX(data!O:O,MATCH($N631,data!$A:$A,0)))</f>
        <v/>
      </c>
      <c r="AZ631" s="38" t="str">
        <f>IF(ISNA(MATCH($N631,data!$A:$A,0)),"",INDEX(data!N:N,MATCH($N631,data!$A:$A,0)))</f>
        <v/>
      </c>
      <c r="BA631" s="38" t="str">
        <f>IF(ISNA(MATCH($N631,data!$A:$A,0)),"",INDEX(data!P:P,MATCH($N631,data!$A:$A,0)))</f>
        <v/>
      </c>
      <c r="BB631" s="38" t="str">
        <f>IF(ISNA(MATCH($N631,data!$A:$A,0)),"",INDEX(data!Q:Q,MATCH($N631,data!$A:$A,0)))</f>
        <v/>
      </c>
      <c r="BC631" s="38" t="str">
        <f>IF(ISNA(MATCH($N631,data!$A:$A,0)),"",INDEX(data!R:R,MATCH($N631,data!$A:$A,0)))</f>
        <v/>
      </c>
      <c r="BD631" s="38" t="str">
        <f>IF(ISNA(MATCH($N631,[1]data!$A:$A,0)),"",INDEX([1]data!U:U,MATCH($N631,[1]data!$A:$A,0)))</f>
        <v/>
      </c>
      <c r="BE631" s="61" t="e">
        <f>IF(COUNTIF([1]data!A:A,[1]!Table1[[#This Row],[UPC]])&lt;2,"","DUP")</f>
        <v>#VALUE!</v>
      </c>
      <c r="BF631" s="38" t="str">
        <f>IF(ISNA(MATCH($N631,data!$A:$A,0)),"",INDEX(data!W:W,MATCH($N631,data!$A:$A,0)))</f>
        <v/>
      </c>
    </row>
    <row r="632" spans="1:58">
      <c r="A632" s="35"/>
      <c r="B632" s="35"/>
      <c r="C632" s="35"/>
      <c r="D632" s="35"/>
      <c r="E632" s="67"/>
      <c r="F632" s="67"/>
      <c r="G632" s="36"/>
      <c r="H632" s="29"/>
      <c r="I632" s="78" t="str">
        <f t="shared" si="14"/>
        <v/>
      </c>
      <c r="J632" s="29"/>
      <c r="K632" s="29"/>
      <c r="L632" s="33"/>
      <c r="M632" s="33"/>
      <c r="N632" s="60"/>
      <c r="O632" s="71"/>
      <c r="P632" s="71"/>
      <c r="Q632" s="33"/>
      <c r="R632" s="31"/>
      <c r="S632" s="31"/>
      <c r="T632" s="59"/>
      <c r="U632" s="59"/>
      <c r="V632" s="59"/>
      <c r="W632" s="57">
        <f t="shared" si="15"/>
        <v>0</v>
      </c>
      <c r="X632" s="126" t="str">
        <f>IF(Table1[[#This Row],[Shipping Weight Pounds]]&gt;150,"See LTL Form","No")</f>
        <v>No</v>
      </c>
      <c r="Y632" s="28"/>
      <c r="Z632" s="33"/>
      <c r="AA632" s="34"/>
      <c r="AB632" s="30"/>
      <c r="AC632" s="30"/>
      <c r="AD632" s="32"/>
      <c r="AE632" s="32"/>
      <c r="AF632" s="2"/>
      <c r="AG632" s="2"/>
      <c r="AH632" s="2"/>
      <c r="AI632" s="2"/>
      <c r="AK632" s="73" t="str">
        <f>IF(ISNA(MATCH($N632,[1]data!$A:$A,0)),"",INDEX([1]data!S:S,MATCH($N632,[1]data!$A:$A,0)))</f>
        <v/>
      </c>
      <c r="AL632" s="73" t="str">
        <f>IF(ISNA(MATCH($N632,[1]data!$A:$A,0)),"",INDEX([1]data!V:V,MATCH($N632,[1]data!$A:$A,0)))</f>
        <v/>
      </c>
      <c r="AM632" s="38" t="str">
        <f>IF(ISNA(MATCH($N632,data!$A:$A,0)),"",INDEX(data!B:B,MATCH($N632,data!$A:$A,0)))</f>
        <v/>
      </c>
      <c r="AN632" s="38" t="str">
        <f>IF(ISNA(MATCH($N632,data!$A:$A,0)),"",INDEX(data!C:C,MATCH($N632,data!$A:$A,0)))</f>
        <v/>
      </c>
      <c r="AO632" s="38" t="str">
        <f>IF(ISNA(MATCH($N632,data!$A:$A,0)),"",INDEX(data!D:D,MATCH($N632,data!$A:$A,0)))</f>
        <v/>
      </c>
      <c r="AP632" s="38" t="str">
        <f>IF(ISNA(MATCH($N632,data!$A:$A,0)),"",INDEX(data!E:E,MATCH($N632,data!$A:$A,0)))</f>
        <v/>
      </c>
      <c r="AQ632" s="38" t="str">
        <f>IF(ISNA(MATCH($N632,data!$A:$A,0)),"",INDEX(data!F:F,MATCH($N632,data!$A:$A,0)))</f>
        <v/>
      </c>
      <c r="AR632" s="38" t="str">
        <f>IF(ISNA(MATCH($N632,data!$A:$A,0)),"",INDEX(data!G:G,MATCH($N632,data!$A:$A,0)))</f>
        <v/>
      </c>
      <c r="AS632" s="38" t="str">
        <f>IF(ISNA(MATCH($N632,data!$A:$A,0)),"",INDEX(data!H:H,MATCH($N632,data!$A:$A,0)))</f>
        <v/>
      </c>
      <c r="AT632" s="38" t="str">
        <f>IF(ISNA(MATCH($N632,data!$A:$A,0)),"",INDEX(data!I:I,MATCH($N632,data!$A:$A,0)))</f>
        <v/>
      </c>
      <c r="AU632" s="38" t="str">
        <f>IF(ISNA(MATCH($N632,[1]data!$A:$A,0)),"",INDEX([1]data!L:L,MATCH($N632,[1]data!$A:$A,0)))</f>
        <v/>
      </c>
      <c r="AV632" s="38" t="str">
        <f>IF(ISNA(MATCH($N632,[1]data!$A:$A,0)),"",INDEX([1]data!M:M,MATCH($N632,[1]data!$A:$A,0)))</f>
        <v/>
      </c>
      <c r="AW632" s="38" t="str">
        <f>IF(ISNA(MATCH($N632,data!$A:$A,0)),"",INDEX(data!J:J,MATCH($N632,data!$A:$A,0)))</f>
        <v/>
      </c>
      <c r="AX632" s="38" t="str">
        <f>IF(ISNA(MATCH($N632,data!$A:$A,0)),"",INDEX(data!K:K,MATCH($N632,data!$A:$A,0)))</f>
        <v/>
      </c>
      <c r="AY632" s="38" t="str">
        <f>IF(ISNA(MATCH($N632,data!$A:$A,0)),"",INDEX(data!O:O,MATCH($N632,data!$A:$A,0)))</f>
        <v/>
      </c>
      <c r="AZ632" s="38" t="str">
        <f>IF(ISNA(MATCH($N632,data!$A:$A,0)),"",INDEX(data!N:N,MATCH($N632,data!$A:$A,0)))</f>
        <v/>
      </c>
      <c r="BA632" s="38" t="str">
        <f>IF(ISNA(MATCH($N632,data!$A:$A,0)),"",INDEX(data!P:P,MATCH($N632,data!$A:$A,0)))</f>
        <v/>
      </c>
      <c r="BB632" s="38" t="str">
        <f>IF(ISNA(MATCH($N632,data!$A:$A,0)),"",INDEX(data!Q:Q,MATCH($N632,data!$A:$A,0)))</f>
        <v/>
      </c>
      <c r="BC632" s="38" t="str">
        <f>IF(ISNA(MATCH($N632,data!$A:$A,0)),"",INDEX(data!R:R,MATCH($N632,data!$A:$A,0)))</f>
        <v/>
      </c>
      <c r="BD632" s="38" t="str">
        <f>IF(ISNA(MATCH($N632,[1]data!$A:$A,0)),"",INDEX([1]data!U:U,MATCH($N632,[1]data!$A:$A,0)))</f>
        <v/>
      </c>
      <c r="BE632" s="61" t="e">
        <f>IF(COUNTIF([1]data!A:A,[1]!Table1[[#This Row],[UPC]])&lt;2,"","DUP")</f>
        <v>#VALUE!</v>
      </c>
      <c r="BF632" s="38" t="str">
        <f>IF(ISNA(MATCH($N632,data!$A:$A,0)),"",INDEX(data!W:W,MATCH($N632,data!$A:$A,0)))</f>
        <v/>
      </c>
    </row>
    <row r="633" spans="1:58">
      <c r="A633" s="35"/>
      <c r="B633" s="35"/>
      <c r="C633" s="35"/>
      <c r="D633" s="35"/>
      <c r="E633" s="67"/>
      <c r="F633" s="67"/>
      <c r="G633" s="36"/>
      <c r="H633" s="29"/>
      <c r="I633" s="78" t="str">
        <f t="shared" si="14"/>
        <v/>
      </c>
      <c r="J633" s="29"/>
      <c r="K633" s="29"/>
      <c r="L633" s="33"/>
      <c r="M633" s="33"/>
      <c r="N633" s="60"/>
      <c r="O633" s="71"/>
      <c r="P633" s="71"/>
      <c r="Q633" s="33"/>
      <c r="R633" s="31"/>
      <c r="S633" s="31"/>
      <c r="T633" s="59"/>
      <c r="U633" s="59"/>
      <c r="V633" s="59"/>
      <c r="W633" s="57">
        <f t="shared" si="15"/>
        <v>0</v>
      </c>
      <c r="X633" s="126" t="str">
        <f>IF(Table1[[#This Row],[Shipping Weight Pounds]]&gt;150,"See LTL Form","No")</f>
        <v>No</v>
      </c>
      <c r="Y633" s="28"/>
      <c r="Z633" s="33"/>
      <c r="AA633" s="34"/>
      <c r="AB633" s="30"/>
      <c r="AC633" s="30"/>
      <c r="AD633" s="32"/>
      <c r="AE633" s="32"/>
      <c r="AF633" s="2"/>
      <c r="AG633" s="2"/>
      <c r="AH633" s="2"/>
      <c r="AI633" s="2"/>
      <c r="AK633" s="73" t="str">
        <f>IF(ISNA(MATCH($N633,[1]data!$A:$A,0)),"",INDEX([1]data!S:S,MATCH($N633,[1]data!$A:$A,0)))</f>
        <v/>
      </c>
      <c r="AL633" s="73" t="str">
        <f>IF(ISNA(MATCH($N633,[1]data!$A:$A,0)),"",INDEX([1]data!V:V,MATCH($N633,[1]data!$A:$A,0)))</f>
        <v/>
      </c>
      <c r="AM633" s="38" t="str">
        <f>IF(ISNA(MATCH($N633,data!$A:$A,0)),"",INDEX(data!B:B,MATCH($N633,data!$A:$A,0)))</f>
        <v/>
      </c>
      <c r="AN633" s="38" t="str">
        <f>IF(ISNA(MATCH($N633,data!$A:$A,0)),"",INDEX(data!C:C,MATCH($N633,data!$A:$A,0)))</f>
        <v/>
      </c>
      <c r="AO633" s="38" t="str">
        <f>IF(ISNA(MATCH($N633,data!$A:$A,0)),"",INDEX(data!D:D,MATCH($N633,data!$A:$A,0)))</f>
        <v/>
      </c>
      <c r="AP633" s="38" t="str">
        <f>IF(ISNA(MATCH($N633,data!$A:$A,0)),"",INDEX(data!E:E,MATCH($N633,data!$A:$A,0)))</f>
        <v/>
      </c>
      <c r="AQ633" s="38" t="str">
        <f>IF(ISNA(MATCH($N633,data!$A:$A,0)),"",INDEX(data!F:F,MATCH($N633,data!$A:$A,0)))</f>
        <v/>
      </c>
      <c r="AR633" s="38" t="str">
        <f>IF(ISNA(MATCH($N633,data!$A:$A,0)),"",INDEX(data!G:G,MATCH($N633,data!$A:$A,0)))</f>
        <v/>
      </c>
      <c r="AS633" s="38" t="str">
        <f>IF(ISNA(MATCH($N633,data!$A:$A,0)),"",INDEX(data!H:H,MATCH($N633,data!$A:$A,0)))</f>
        <v/>
      </c>
      <c r="AT633" s="38" t="str">
        <f>IF(ISNA(MATCH($N633,data!$A:$A,0)),"",INDEX(data!I:I,MATCH($N633,data!$A:$A,0)))</f>
        <v/>
      </c>
      <c r="AU633" s="38" t="str">
        <f>IF(ISNA(MATCH($N633,[1]data!$A:$A,0)),"",INDEX([1]data!L:L,MATCH($N633,[1]data!$A:$A,0)))</f>
        <v/>
      </c>
      <c r="AV633" s="38" t="str">
        <f>IF(ISNA(MATCH($N633,[1]data!$A:$A,0)),"",INDEX([1]data!M:M,MATCH($N633,[1]data!$A:$A,0)))</f>
        <v/>
      </c>
      <c r="AW633" s="38" t="str">
        <f>IF(ISNA(MATCH($N633,data!$A:$A,0)),"",INDEX(data!J:J,MATCH($N633,data!$A:$A,0)))</f>
        <v/>
      </c>
      <c r="AX633" s="38" t="str">
        <f>IF(ISNA(MATCH($N633,data!$A:$A,0)),"",INDEX(data!K:K,MATCH($N633,data!$A:$A,0)))</f>
        <v/>
      </c>
      <c r="AY633" s="38" t="str">
        <f>IF(ISNA(MATCH($N633,data!$A:$A,0)),"",INDEX(data!O:O,MATCH($N633,data!$A:$A,0)))</f>
        <v/>
      </c>
      <c r="AZ633" s="38" t="str">
        <f>IF(ISNA(MATCH($N633,data!$A:$A,0)),"",INDEX(data!N:N,MATCH($N633,data!$A:$A,0)))</f>
        <v/>
      </c>
      <c r="BA633" s="38" t="str">
        <f>IF(ISNA(MATCH($N633,data!$A:$A,0)),"",INDEX(data!P:P,MATCH($N633,data!$A:$A,0)))</f>
        <v/>
      </c>
      <c r="BB633" s="38" t="str">
        <f>IF(ISNA(MATCH($N633,data!$A:$A,0)),"",INDEX(data!Q:Q,MATCH($N633,data!$A:$A,0)))</f>
        <v/>
      </c>
      <c r="BC633" s="38" t="str">
        <f>IF(ISNA(MATCH($N633,data!$A:$A,0)),"",INDEX(data!R:R,MATCH($N633,data!$A:$A,0)))</f>
        <v/>
      </c>
      <c r="BD633" s="38" t="str">
        <f>IF(ISNA(MATCH($N633,[1]data!$A:$A,0)),"",INDEX([1]data!U:U,MATCH($N633,[1]data!$A:$A,0)))</f>
        <v/>
      </c>
      <c r="BE633" s="61" t="e">
        <f>IF(COUNTIF([1]data!A:A,[1]!Table1[[#This Row],[UPC]])&lt;2,"","DUP")</f>
        <v>#VALUE!</v>
      </c>
      <c r="BF633" s="38" t="str">
        <f>IF(ISNA(MATCH($N633,data!$A:$A,0)),"",INDEX(data!W:W,MATCH($N633,data!$A:$A,0)))</f>
        <v/>
      </c>
    </row>
    <row r="634" spans="1:58">
      <c r="A634" s="35"/>
      <c r="B634" s="35"/>
      <c r="C634" s="35"/>
      <c r="D634" s="35"/>
      <c r="E634" s="67"/>
      <c r="F634" s="67"/>
      <c r="G634" s="36"/>
      <c r="H634" s="29"/>
      <c r="I634" s="78" t="str">
        <f t="shared" si="14"/>
        <v/>
      </c>
      <c r="J634" s="29"/>
      <c r="K634" s="29"/>
      <c r="L634" s="33"/>
      <c r="M634" s="33"/>
      <c r="N634" s="60"/>
      <c r="O634" s="71"/>
      <c r="P634" s="71"/>
      <c r="Q634" s="33"/>
      <c r="R634" s="31"/>
      <c r="S634" s="31"/>
      <c r="T634" s="59"/>
      <c r="U634" s="59"/>
      <c r="V634" s="59"/>
      <c r="W634" s="57">
        <f t="shared" si="15"/>
        <v>0</v>
      </c>
      <c r="X634" s="126" t="str">
        <f>IF(Table1[[#This Row],[Shipping Weight Pounds]]&gt;150,"See LTL Form","No")</f>
        <v>No</v>
      </c>
      <c r="Y634" s="28"/>
      <c r="Z634" s="33"/>
      <c r="AA634" s="34"/>
      <c r="AB634" s="30"/>
      <c r="AC634" s="30"/>
      <c r="AD634" s="32"/>
      <c r="AE634" s="32"/>
      <c r="AF634" s="2"/>
      <c r="AG634" s="2"/>
      <c r="AH634" s="2"/>
      <c r="AI634" s="2"/>
      <c r="AK634" s="73" t="str">
        <f>IF(ISNA(MATCH($N634,[1]data!$A:$A,0)),"",INDEX([1]data!S:S,MATCH($N634,[1]data!$A:$A,0)))</f>
        <v/>
      </c>
      <c r="AL634" s="73" t="str">
        <f>IF(ISNA(MATCH($N634,[1]data!$A:$A,0)),"",INDEX([1]data!V:V,MATCH($N634,[1]data!$A:$A,0)))</f>
        <v/>
      </c>
      <c r="AM634" s="38" t="str">
        <f>IF(ISNA(MATCH($N634,data!$A:$A,0)),"",INDEX(data!B:B,MATCH($N634,data!$A:$A,0)))</f>
        <v/>
      </c>
      <c r="AN634" s="38" t="str">
        <f>IF(ISNA(MATCH($N634,data!$A:$A,0)),"",INDEX(data!C:C,MATCH($N634,data!$A:$A,0)))</f>
        <v/>
      </c>
      <c r="AO634" s="38" t="str">
        <f>IF(ISNA(MATCH($N634,data!$A:$A,0)),"",INDEX(data!D:D,MATCH($N634,data!$A:$A,0)))</f>
        <v/>
      </c>
      <c r="AP634" s="38" t="str">
        <f>IF(ISNA(MATCH($N634,data!$A:$A,0)),"",INDEX(data!E:E,MATCH($N634,data!$A:$A,0)))</f>
        <v/>
      </c>
      <c r="AQ634" s="38" t="str">
        <f>IF(ISNA(MATCH($N634,data!$A:$A,0)),"",INDEX(data!F:F,MATCH($N634,data!$A:$A,0)))</f>
        <v/>
      </c>
      <c r="AR634" s="38" t="str">
        <f>IF(ISNA(MATCH($N634,data!$A:$A,0)),"",INDEX(data!G:G,MATCH($N634,data!$A:$A,0)))</f>
        <v/>
      </c>
      <c r="AS634" s="38" t="str">
        <f>IF(ISNA(MATCH($N634,data!$A:$A,0)),"",INDEX(data!H:H,MATCH($N634,data!$A:$A,0)))</f>
        <v/>
      </c>
      <c r="AT634" s="38" t="str">
        <f>IF(ISNA(MATCH($N634,data!$A:$A,0)),"",INDEX(data!I:I,MATCH($N634,data!$A:$A,0)))</f>
        <v/>
      </c>
      <c r="AU634" s="38" t="str">
        <f>IF(ISNA(MATCH($N634,[1]data!$A:$A,0)),"",INDEX([1]data!L:L,MATCH($N634,[1]data!$A:$A,0)))</f>
        <v/>
      </c>
      <c r="AV634" s="38" t="str">
        <f>IF(ISNA(MATCH($N634,[1]data!$A:$A,0)),"",INDEX([1]data!M:M,MATCH($N634,[1]data!$A:$A,0)))</f>
        <v/>
      </c>
      <c r="AW634" s="38" t="str">
        <f>IF(ISNA(MATCH($N634,data!$A:$A,0)),"",INDEX(data!J:J,MATCH($N634,data!$A:$A,0)))</f>
        <v/>
      </c>
      <c r="AX634" s="38" t="str">
        <f>IF(ISNA(MATCH($N634,data!$A:$A,0)),"",INDEX(data!K:K,MATCH($N634,data!$A:$A,0)))</f>
        <v/>
      </c>
      <c r="AY634" s="38" t="str">
        <f>IF(ISNA(MATCH($N634,data!$A:$A,0)),"",INDEX(data!O:O,MATCH($N634,data!$A:$A,0)))</f>
        <v/>
      </c>
      <c r="AZ634" s="38" t="str">
        <f>IF(ISNA(MATCH($N634,data!$A:$A,0)),"",INDEX(data!N:N,MATCH($N634,data!$A:$A,0)))</f>
        <v/>
      </c>
      <c r="BA634" s="38" t="str">
        <f>IF(ISNA(MATCH($N634,data!$A:$A,0)),"",INDEX(data!P:P,MATCH($N634,data!$A:$A,0)))</f>
        <v/>
      </c>
      <c r="BB634" s="38" t="str">
        <f>IF(ISNA(MATCH($N634,data!$A:$A,0)),"",INDEX(data!Q:Q,MATCH($N634,data!$A:$A,0)))</f>
        <v/>
      </c>
      <c r="BC634" s="38" t="str">
        <f>IF(ISNA(MATCH($N634,data!$A:$A,0)),"",INDEX(data!R:R,MATCH($N634,data!$A:$A,0)))</f>
        <v/>
      </c>
      <c r="BD634" s="38" t="str">
        <f>IF(ISNA(MATCH($N634,[1]data!$A:$A,0)),"",INDEX([1]data!U:U,MATCH($N634,[1]data!$A:$A,0)))</f>
        <v/>
      </c>
      <c r="BE634" s="61" t="e">
        <f>IF(COUNTIF([1]data!A:A,[1]!Table1[[#This Row],[UPC]])&lt;2,"","DUP")</f>
        <v>#VALUE!</v>
      </c>
      <c r="BF634" s="38" t="str">
        <f>IF(ISNA(MATCH($N634,data!$A:$A,0)),"",INDEX(data!W:W,MATCH($N634,data!$A:$A,0)))</f>
        <v/>
      </c>
    </row>
    <row r="635" spans="1:58">
      <c r="A635" s="35"/>
      <c r="B635" s="35"/>
      <c r="C635" s="35"/>
      <c r="D635" s="35"/>
      <c r="E635" s="67"/>
      <c r="F635" s="67"/>
      <c r="G635" s="36"/>
      <c r="H635" s="29"/>
      <c r="I635" s="78" t="str">
        <f t="shared" si="14"/>
        <v/>
      </c>
      <c r="J635" s="29"/>
      <c r="K635" s="29"/>
      <c r="L635" s="33"/>
      <c r="M635" s="33"/>
      <c r="N635" s="60"/>
      <c r="O635" s="71"/>
      <c r="P635" s="71"/>
      <c r="Q635" s="33"/>
      <c r="R635" s="31"/>
      <c r="S635" s="31"/>
      <c r="T635" s="59"/>
      <c r="U635" s="59"/>
      <c r="V635" s="59"/>
      <c r="W635" s="57">
        <f t="shared" si="15"/>
        <v>0</v>
      </c>
      <c r="X635" s="126" t="str">
        <f>IF(Table1[[#This Row],[Shipping Weight Pounds]]&gt;150,"See LTL Form","No")</f>
        <v>No</v>
      </c>
      <c r="Y635" s="28"/>
      <c r="Z635" s="33"/>
      <c r="AA635" s="34"/>
      <c r="AB635" s="30"/>
      <c r="AC635" s="30"/>
      <c r="AD635" s="32"/>
      <c r="AE635" s="32"/>
      <c r="AF635" s="2"/>
      <c r="AG635" s="2"/>
      <c r="AH635" s="2"/>
      <c r="AI635" s="2"/>
      <c r="AK635" s="73" t="str">
        <f>IF(ISNA(MATCH($N635,[1]data!$A:$A,0)),"",INDEX([1]data!S:S,MATCH($N635,[1]data!$A:$A,0)))</f>
        <v/>
      </c>
      <c r="AL635" s="73" t="str">
        <f>IF(ISNA(MATCH($N635,[1]data!$A:$A,0)),"",INDEX([1]data!V:V,MATCH($N635,[1]data!$A:$A,0)))</f>
        <v/>
      </c>
      <c r="AM635" s="38" t="str">
        <f>IF(ISNA(MATCH($N635,data!$A:$A,0)),"",INDEX(data!B:B,MATCH($N635,data!$A:$A,0)))</f>
        <v/>
      </c>
      <c r="AN635" s="38" t="str">
        <f>IF(ISNA(MATCH($N635,data!$A:$A,0)),"",INDEX(data!C:C,MATCH($N635,data!$A:$A,0)))</f>
        <v/>
      </c>
      <c r="AO635" s="38" t="str">
        <f>IF(ISNA(MATCH($N635,data!$A:$A,0)),"",INDEX(data!D:D,MATCH($N635,data!$A:$A,0)))</f>
        <v/>
      </c>
      <c r="AP635" s="38" t="str">
        <f>IF(ISNA(MATCH($N635,data!$A:$A,0)),"",INDEX(data!E:E,MATCH($N635,data!$A:$A,0)))</f>
        <v/>
      </c>
      <c r="AQ635" s="38" t="str">
        <f>IF(ISNA(MATCH($N635,data!$A:$A,0)),"",INDEX(data!F:F,MATCH($N635,data!$A:$A,0)))</f>
        <v/>
      </c>
      <c r="AR635" s="38" t="str">
        <f>IF(ISNA(MATCH($N635,data!$A:$A,0)),"",INDEX(data!G:G,MATCH($N635,data!$A:$A,0)))</f>
        <v/>
      </c>
      <c r="AS635" s="38" t="str">
        <f>IF(ISNA(MATCH($N635,data!$A:$A,0)),"",INDEX(data!H:H,MATCH($N635,data!$A:$A,0)))</f>
        <v/>
      </c>
      <c r="AT635" s="38" t="str">
        <f>IF(ISNA(MATCH($N635,data!$A:$A,0)),"",INDEX(data!I:I,MATCH($N635,data!$A:$A,0)))</f>
        <v/>
      </c>
      <c r="AU635" s="38" t="str">
        <f>IF(ISNA(MATCH($N635,[1]data!$A:$A,0)),"",INDEX([1]data!L:L,MATCH($N635,[1]data!$A:$A,0)))</f>
        <v/>
      </c>
      <c r="AV635" s="38" t="str">
        <f>IF(ISNA(MATCH($N635,[1]data!$A:$A,0)),"",INDEX([1]data!M:M,MATCH($N635,[1]data!$A:$A,0)))</f>
        <v/>
      </c>
      <c r="AW635" s="38" t="str">
        <f>IF(ISNA(MATCH($N635,data!$A:$A,0)),"",INDEX(data!J:J,MATCH($N635,data!$A:$A,0)))</f>
        <v/>
      </c>
      <c r="AX635" s="38" t="str">
        <f>IF(ISNA(MATCH($N635,data!$A:$A,0)),"",INDEX(data!K:K,MATCH($N635,data!$A:$A,0)))</f>
        <v/>
      </c>
      <c r="AY635" s="38" t="str">
        <f>IF(ISNA(MATCH($N635,data!$A:$A,0)),"",INDEX(data!O:O,MATCH($N635,data!$A:$A,0)))</f>
        <v/>
      </c>
      <c r="AZ635" s="38" t="str">
        <f>IF(ISNA(MATCH($N635,data!$A:$A,0)),"",INDEX(data!N:N,MATCH($N635,data!$A:$A,0)))</f>
        <v/>
      </c>
      <c r="BA635" s="38" t="str">
        <f>IF(ISNA(MATCH($N635,data!$A:$A,0)),"",INDEX(data!P:P,MATCH($N635,data!$A:$A,0)))</f>
        <v/>
      </c>
      <c r="BB635" s="38" t="str">
        <f>IF(ISNA(MATCH($N635,data!$A:$A,0)),"",INDEX(data!Q:Q,MATCH($N635,data!$A:$A,0)))</f>
        <v/>
      </c>
      <c r="BC635" s="38" t="str">
        <f>IF(ISNA(MATCH($N635,data!$A:$A,0)),"",INDEX(data!R:R,MATCH($N635,data!$A:$A,0)))</f>
        <v/>
      </c>
      <c r="BD635" s="38" t="str">
        <f>IF(ISNA(MATCH($N635,[1]data!$A:$A,0)),"",INDEX([1]data!U:U,MATCH($N635,[1]data!$A:$A,0)))</f>
        <v/>
      </c>
      <c r="BE635" s="61" t="e">
        <f>IF(COUNTIF([1]data!A:A,[1]!Table1[[#This Row],[UPC]])&lt;2,"","DUP")</f>
        <v>#VALUE!</v>
      </c>
      <c r="BF635" s="38" t="str">
        <f>IF(ISNA(MATCH($N635,data!$A:$A,0)),"",INDEX(data!W:W,MATCH($N635,data!$A:$A,0)))</f>
        <v/>
      </c>
    </row>
    <row r="636" spans="1:58">
      <c r="A636" s="35"/>
      <c r="B636" s="35"/>
      <c r="C636" s="35"/>
      <c r="D636" s="35"/>
      <c r="E636" s="67"/>
      <c r="F636" s="67"/>
      <c r="G636" s="36"/>
      <c r="H636" s="29"/>
      <c r="I636" s="78" t="str">
        <f t="shared" si="14"/>
        <v/>
      </c>
      <c r="J636" s="29"/>
      <c r="K636" s="29"/>
      <c r="L636" s="33"/>
      <c r="M636" s="33"/>
      <c r="N636" s="60"/>
      <c r="O636" s="71"/>
      <c r="P636" s="71"/>
      <c r="Q636" s="33"/>
      <c r="R636" s="31"/>
      <c r="S636" s="31"/>
      <c r="T636" s="59"/>
      <c r="U636" s="59"/>
      <c r="V636" s="59"/>
      <c r="W636" s="57">
        <f t="shared" si="15"/>
        <v>0</v>
      </c>
      <c r="X636" s="126" t="str">
        <f>IF(Table1[[#This Row],[Shipping Weight Pounds]]&gt;150,"See LTL Form","No")</f>
        <v>No</v>
      </c>
      <c r="Y636" s="28"/>
      <c r="Z636" s="33"/>
      <c r="AA636" s="34"/>
      <c r="AB636" s="30"/>
      <c r="AC636" s="30"/>
      <c r="AD636" s="32"/>
      <c r="AE636" s="32"/>
      <c r="AF636" s="2"/>
      <c r="AG636" s="2"/>
      <c r="AH636" s="2"/>
      <c r="AI636" s="2"/>
      <c r="AK636" s="73" t="str">
        <f>IF(ISNA(MATCH($N636,[1]data!$A:$A,0)),"",INDEX([1]data!S:S,MATCH($N636,[1]data!$A:$A,0)))</f>
        <v/>
      </c>
      <c r="AL636" s="73" t="str">
        <f>IF(ISNA(MATCH($N636,[1]data!$A:$A,0)),"",INDEX([1]data!V:V,MATCH($N636,[1]data!$A:$A,0)))</f>
        <v/>
      </c>
      <c r="AM636" s="38" t="str">
        <f>IF(ISNA(MATCH($N636,data!$A:$A,0)),"",INDEX(data!B:B,MATCH($N636,data!$A:$A,0)))</f>
        <v/>
      </c>
      <c r="AN636" s="38" t="str">
        <f>IF(ISNA(MATCH($N636,data!$A:$A,0)),"",INDEX(data!C:C,MATCH($N636,data!$A:$A,0)))</f>
        <v/>
      </c>
      <c r="AO636" s="38" t="str">
        <f>IF(ISNA(MATCH($N636,data!$A:$A,0)),"",INDEX(data!D:D,MATCH($N636,data!$A:$A,0)))</f>
        <v/>
      </c>
      <c r="AP636" s="38" t="str">
        <f>IF(ISNA(MATCH($N636,data!$A:$A,0)),"",INDEX(data!E:E,MATCH($N636,data!$A:$A,0)))</f>
        <v/>
      </c>
      <c r="AQ636" s="38" t="str">
        <f>IF(ISNA(MATCH($N636,data!$A:$A,0)),"",INDEX(data!F:F,MATCH($N636,data!$A:$A,0)))</f>
        <v/>
      </c>
      <c r="AR636" s="38" t="str">
        <f>IF(ISNA(MATCH($N636,data!$A:$A,0)),"",INDEX(data!G:G,MATCH($N636,data!$A:$A,0)))</f>
        <v/>
      </c>
      <c r="AS636" s="38" t="str">
        <f>IF(ISNA(MATCH($N636,data!$A:$A,0)),"",INDEX(data!H:H,MATCH($N636,data!$A:$A,0)))</f>
        <v/>
      </c>
      <c r="AT636" s="38" t="str">
        <f>IF(ISNA(MATCH($N636,data!$A:$A,0)),"",INDEX(data!I:I,MATCH($N636,data!$A:$A,0)))</f>
        <v/>
      </c>
      <c r="AU636" s="38" t="str">
        <f>IF(ISNA(MATCH($N636,[1]data!$A:$A,0)),"",INDEX([1]data!L:L,MATCH($N636,[1]data!$A:$A,0)))</f>
        <v/>
      </c>
      <c r="AV636" s="38" t="str">
        <f>IF(ISNA(MATCH($N636,[1]data!$A:$A,0)),"",INDEX([1]data!M:M,MATCH($N636,[1]data!$A:$A,0)))</f>
        <v/>
      </c>
      <c r="AW636" s="38" t="str">
        <f>IF(ISNA(MATCH($N636,data!$A:$A,0)),"",INDEX(data!J:J,MATCH($N636,data!$A:$A,0)))</f>
        <v/>
      </c>
      <c r="AX636" s="38" t="str">
        <f>IF(ISNA(MATCH($N636,data!$A:$A,0)),"",INDEX(data!K:K,MATCH($N636,data!$A:$A,0)))</f>
        <v/>
      </c>
      <c r="AY636" s="38" t="str">
        <f>IF(ISNA(MATCH($N636,data!$A:$A,0)),"",INDEX(data!O:O,MATCH($N636,data!$A:$A,0)))</f>
        <v/>
      </c>
      <c r="AZ636" s="38" t="str">
        <f>IF(ISNA(MATCH($N636,data!$A:$A,0)),"",INDEX(data!N:N,MATCH($N636,data!$A:$A,0)))</f>
        <v/>
      </c>
      <c r="BA636" s="38" t="str">
        <f>IF(ISNA(MATCH($N636,data!$A:$A,0)),"",INDEX(data!P:P,MATCH($N636,data!$A:$A,0)))</f>
        <v/>
      </c>
      <c r="BB636" s="38" t="str">
        <f>IF(ISNA(MATCH($N636,data!$A:$A,0)),"",INDEX(data!Q:Q,MATCH($N636,data!$A:$A,0)))</f>
        <v/>
      </c>
      <c r="BC636" s="38" t="str">
        <f>IF(ISNA(MATCH($N636,data!$A:$A,0)),"",INDEX(data!R:R,MATCH($N636,data!$A:$A,0)))</f>
        <v/>
      </c>
      <c r="BD636" s="38" t="str">
        <f>IF(ISNA(MATCH($N636,[1]data!$A:$A,0)),"",INDEX([1]data!U:U,MATCH($N636,[1]data!$A:$A,0)))</f>
        <v/>
      </c>
      <c r="BE636" s="61" t="e">
        <f>IF(COUNTIF([1]data!A:A,[1]!Table1[[#This Row],[UPC]])&lt;2,"","DUP")</f>
        <v>#VALUE!</v>
      </c>
      <c r="BF636" s="38" t="str">
        <f>IF(ISNA(MATCH($N636,data!$A:$A,0)),"",INDEX(data!W:W,MATCH($N636,data!$A:$A,0)))</f>
        <v/>
      </c>
    </row>
    <row r="637" spans="1:58">
      <c r="A637" s="35"/>
      <c r="B637" s="35"/>
      <c r="C637" s="35"/>
      <c r="D637" s="35"/>
      <c r="E637" s="67"/>
      <c r="F637" s="67"/>
      <c r="G637" s="36"/>
      <c r="H637" s="29"/>
      <c r="I637" s="78" t="str">
        <f t="shared" si="14"/>
        <v/>
      </c>
      <c r="J637" s="29"/>
      <c r="K637" s="29"/>
      <c r="L637" s="33"/>
      <c r="M637" s="33"/>
      <c r="N637" s="60"/>
      <c r="O637" s="71"/>
      <c r="P637" s="71"/>
      <c r="Q637" s="33"/>
      <c r="R637" s="31"/>
      <c r="S637" s="31"/>
      <c r="T637" s="59"/>
      <c r="U637" s="59"/>
      <c r="V637" s="59"/>
      <c r="W637" s="57">
        <f t="shared" si="15"/>
        <v>0</v>
      </c>
      <c r="X637" s="126" t="str">
        <f>IF(Table1[[#This Row],[Shipping Weight Pounds]]&gt;150,"See LTL Form","No")</f>
        <v>No</v>
      </c>
      <c r="Y637" s="28"/>
      <c r="Z637" s="33"/>
      <c r="AA637" s="34"/>
      <c r="AB637" s="30"/>
      <c r="AC637" s="30"/>
      <c r="AD637" s="32"/>
      <c r="AE637" s="32"/>
      <c r="AF637" s="2"/>
      <c r="AG637" s="2"/>
      <c r="AH637" s="2"/>
      <c r="AI637" s="2"/>
      <c r="AK637" s="73" t="str">
        <f>IF(ISNA(MATCH($N637,[1]data!$A:$A,0)),"",INDEX([1]data!S:S,MATCH($N637,[1]data!$A:$A,0)))</f>
        <v/>
      </c>
      <c r="AL637" s="73" t="str">
        <f>IF(ISNA(MATCH($N637,[1]data!$A:$A,0)),"",INDEX([1]data!V:V,MATCH($N637,[1]data!$A:$A,0)))</f>
        <v/>
      </c>
      <c r="AM637" s="38" t="str">
        <f>IF(ISNA(MATCH($N637,data!$A:$A,0)),"",INDEX(data!B:B,MATCH($N637,data!$A:$A,0)))</f>
        <v/>
      </c>
      <c r="AN637" s="38" t="str">
        <f>IF(ISNA(MATCH($N637,data!$A:$A,0)),"",INDEX(data!C:C,MATCH($N637,data!$A:$A,0)))</f>
        <v/>
      </c>
      <c r="AO637" s="38" t="str">
        <f>IF(ISNA(MATCH($N637,data!$A:$A,0)),"",INDEX(data!D:D,MATCH($N637,data!$A:$A,0)))</f>
        <v/>
      </c>
      <c r="AP637" s="38" t="str">
        <f>IF(ISNA(MATCH($N637,data!$A:$A,0)),"",INDEX(data!E:E,MATCH($N637,data!$A:$A,0)))</f>
        <v/>
      </c>
      <c r="AQ637" s="38" t="str">
        <f>IF(ISNA(MATCH($N637,data!$A:$A,0)),"",INDEX(data!F:F,MATCH($N637,data!$A:$A,0)))</f>
        <v/>
      </c>
      <c r="AR637" s="38" t="str">
        <f>IF(ISNA(MATCH($N637,data!$A:$A,0)),"",INDEX(data!G:G,MATCH($N637,data!$A:$A,0)))</f>
        <v/>
      </c>
      <c r="AS637" s="38" t="str">
        <f>IF(ISNA(MATCH($N637,data!$A:$A,0)),"",INDEX(data!H:H,MATCH($N637,data!$A:$A,0)))</f>
        <v/>
      </c>
      <c r="AT637" s="38" t="str">
        <f>IF(ISNA(MATCH($N637,data!$A:$A,0)),"",INDEX(data!I:I,MATCH($N637,data!$A:$A,0)))</f>
        <v/>
      </c>
      <c r="AU637" s="38" t="str">
        <f>IF(ISNA(MATCH($N637,[1]data!$A:$A,0)),"",INDEX([1]data!L:L,MATCH($N637,[1]data!$A:$A,0)))</f>
        <v/>
      </c>
      <c r="AV637" s="38" t="str">
        <f>IF(ISNA(MATCH($N637,[1]data!$A:$A,0)),"",INDEX([1]data!M:M,MATCH($N637,[1]data!$A:$A,0)))</f>
        <v/>
      </c>
      <c r="AW637" s="38" t="str">
        <f>IF(ISNA(MATCH($N637,data!$A:$A,0)),"",INDEX(data!J:J,MATCH($N637,data!$A:$A,0)))</f>
        <v/>
      </c>
      <c r="AX637" s="38" t="str">
        <f>IF(ISNA(MATCH($N637,data!$A:$A,0)),"",INDEX(data!K:K,MATCH($N637,data!$A:$A,0)))</f>
        <v/>
      </c>
      <c r="AY637" s="38" t="str">
        <f>IF(ISNA(MATCH($N637,data!$A:$A,0)),"",INDEX(data!O:O,MATCH($N637,data!$A:$A,0)))</f>
        <v/>
      </c>
      <c r="AZ637" s="38" t="str">
        <f>IF(ISNA(MATCH($N637,data!$A:$A,0)),"",INDEX(data!N:N,MATCH($N637,data!$A:$A,0)))</f>
        <v/>
      </c>
      <c r="BA637" s="38" t="str">
        <f>IF(ISNA(MATCH($N637,data!$A:$A,0)),"",INDEX(data!P:P,MATCH($N637,data!$A:$A,0)))</f>
        <v/>
      </c>
      <c r="BB637" s="38" t="str">
        <f>IF(ISNA(MATCH($N637,data!$A:$A,0)),"",INDEX(data!Q:Q,MATCH($N637,data!$A:$A,0)))</f>
        <v/>
      </c>
      <c r="BC637" s="38" t="str">
        <f>IF(ISNA(MATCH($N637,data!$A:$A,0)),"",INDEX(data!R:R,MATCH($N637,data!$A:$A,0)))</f>
        <v/>
      </c>
      <c r="BD637" s="38" t="str">
        <f>IF(ISNA(MATCH($N637,[1]data!$A:$A,0)),"",INDEX([1]data!U:U,MATCH($N637,[1]data!$A:$A,0)))</f>
        <v/>
      </c>
      <c r="BE637" s="61" t="e">
        <f>IF(COUNTIF([1]data!A:A,[1]!Table1[[#This Row],[UPC]])&lt;2,"","DUP")</f>
        <v>#VALUE!</v>
      </c>
      <c r="BF637" s="38" t="str">
        <f>IF(ISNA(MATCH($N637,data!$A:$A,0)),"",INDEX(data!W:W,MATCH($N637,data!$A:$A,0)))</f>
        <v/>
      </c>
    </row>
    <row r="638" spans="1:58">
      <c r="A638" s="35"/>
      <c r="B638" s="35"/>
      <c r="C638" s="35"/>
      <c r="D638" s="35"/>
      <c r="E638" s="67"/>
      <c r="F638" s="67"/>
      <c r="G638" s="36"/>
      <c r="H638" s="29"/>
      <c r="I638" s="78" t="str">
        <f t="shared" si="14"/>
        <v/>
      </c>
      <c r="J638" s="29"/>
      <c r="K638" s="29"/>
      <c r="L638" s="33"/>
      <c r="M638" s="33"/>
      <c r="N638" s="60"/>
      <c r="O638" s="71"/>
      <c r="P638" s="71"/>
      <c r="Q638" s="33"/>
      <c r="R638" s="31"/>
      <c r="S638" s="31"/>
      <c r="T638" s="59"/>
      <c r="U638" s="59"/>
      <c r="V638" s="59"/>
      <c r="W638" s="57">
        <f t="shared" si="15"/>
        <v>0</v>
      </c>
      <c r="X638" s="126" t="str">
        <f>IF(Table1[[#This Row],[Shipping Weight Pounds]]&gt;150,"See LTL Form","No")</f>
        <v>No</v>
      </c>
      <c r="Y638" s="28"/>
      <c r="Z638" s="33"/>
      <c r="AA638" s="34"/>
      <c r="AB638" s="30"/>
      <c r="AC638" s="30"/>
      <c r="AD638" s="32"/>
      <c r="AE638" s="32"/>
      <c r="AF638" s="2"/>
      <c r="AG638" s="2"/>
      <c r="AH638" s="2"/>
      <c r="AI638" s="2"/>
      <c r="AK638" s="73" t="str">
        <f>IF(ISNA(MATCH($N638,[1]data!$A:$A,0)),"",INDEX([1]data!S:S,MATCH($N638,[1]data!$A:$A,0)))</f>
        <v/>
      </c>
      <c r="AL638" s="73" t="str">
        <f>IF(ISNA(MATCH($N638,[1]data!$A:$A,0)),"",INDEX([1]data!V:V,MATCH($N638,[1]data!$A:$A,0)))</f>
        <v/>
      </c>
      <c r="AM638" s="38" t="str">
        <f>IF(ISNA(MATCH($N638,data!$A:$A,0)),"",INDEX(data!B:B,MATCH($N638,data!$A:$A,0)))</f>
        <v/>
      </c>
      <c r="AN638" s="38" t="str">
        <f>IF(ISNA(MATCH($N638,data!$A:$A,0)),"",INDEX(data!C:C,MATCH($N638,data!$A:$A,0)))</f>
        <v/>
      </c>
      <c r="AO638" s="38" t="str">
        <f>IF(ISNA(MATCH($N638,data!$A:$A,0)),"",INDEX(data!D:D,MATCH($N638,data!$A:$A,0)))</f>
        <v/>
      </c>
      <c r="AP638" s="38" t="str">
        <f>IF(ISNA(MATCH($N638,data!$A:$A,0)),"",INDEX(data!E:E,MATCH($N638,data!$A:$A,0)))</f>
        <v/>
      </c>
      <c r="AQ638" s="38" t="str">
        <f>IF(ISNA(MATCH($N638,data!$A:$A,0)),"",INDEX(data!F:F,MATCH($N638,data!$A:$A,0)))</f>
        <v/>
      </c>
      <c r="AR638" s="38" t="str">
        <f>IF(ISNA(MATCH($N638,data!$A:$A,0)),"",INDEX(data!G:G,MATCH($N638,data!$A:$A,0)))</f>
        <v/>
      </c>
      <c r="AS638" s="38" t="str">
        <f>IF(ISNA(MATCH($N638,data!$A:$A,0)),"",INDEX(data!H:H,MATCH($N638,data!$A:$A,0)))</f>
        <v/>
      </c>
      <c r="AT638" s="38" t="str">
        <f>IF(ISNA(MATCH($N638,data!$A:$A,0)),"",INDEX(data!I:I,MATCH($N638,data!$A:$A,0)))</f>
        <v/>
      </c>
      <c r="AU638" s="38" t="str">
        <f>IF(ISNA(MATCH($N638,[1]data!$A:$A,0)),"",INDEX([1]data!L:L,MATCH($N638,[1]data!$A:$A,0)))</f>
        <v/>
      </c>
      <c r="AV638" s="38" t="str">
        <f>IF(ISNA(MATCH($N638,[1]data!$A:$A,0)),"",INDEX([1]data!M:M,MATCH($N638,[1]data!$A:$A,0)))</f>
        <v/>
      </c>
      <c r="AW638" s="38" t="str">
        <f>IF(ISNA(MATCH($N638,data!$A:$A,0)),"",INDEX(data!J:J,MATCH($N638,data!$A:$A,0)))</f>
        <v/>
      </c>
      <c r="AX638" s="38" t="str">
        <f>IF(ISNA(MATCH($N638,data!$A:$A,0)),"",INDEX(data!K:K,MATCH($N638,data!$A:$A,0)))</f>
        <v/>
      </c>
      <c r="AY638" s="38" t="str">
        <f>IF(ISNA(MATCH($N638,data!$A:$A,0)),"",INDEX(data!O:O,MATCH($N638,data!$A:$A,0)))</f>
        <v/>
      </c>
      <c r="AZ638" s="38" t="str">
        <f>IF(ISNA(MATCH($N638,data!$A:$A,0)),"",INDEX(data!N:N,MATCH($N638,data!$A:$A,0)))</f>
        <v/>
      </c>
      <c r="BA638" s="38" t="str">
        <f>IF(ISNA(MATCH($N638,data!$A:$A,0)),"",INDEX(data!P:P,MATCH($N638,data!$A:$A,0)))</f>
        <v/>
      </c>
      <c r="BB638" s="38" t="str">
        <f>IF(ISNA(MATCH($N638,data!$A:$A,0)),"",INDEX(data!Q:Q,MATCH($N638,data!$A:$A,0)))</f>
        <v/>
      </c>
      <c r="BC638" s="38" t="str">
        <f>IF(ISNA(MATCH($N638,data!$A:$A,0)),"",INDEX(data!R:R,MATCH($N638,data!$A:$A,0)))</f>
        <v/>
      </c>
      <c r="BD638" s="38" t="str">
        <f>IF(ISNA(MATCH($N638,[1]data!$A:$A,0)),"",INDEX([1]data!U:U,MATCH($N638,[1]data!$A:$A,0)))</f>
        <v/>
      </c>
      <c r="BE638" s="61" t="e">
        <f>IF(COUNTIF([1]data!A:A,[1]!Table1[[#This Row],[UPC]])&lt;2,"","DUP")</f>
        <v>#VALUE!</v>
      </c>
      <c r="BF638" s="38" t="str">
        <f>IF(ISNA(MATCH($N638,data!$A:$A,0)),"",INDEX(data!W:W,MATCH($N638,data!$A:$A,0)))</f>
        <v/>
      </c>
    </row>
    <row r="639" spans="1:58">
      <c r="A639" s="35"/>
      <c r="B639" s="35"/>
      <c r="C639" s="35"/>
      <c r="D639" s="35"/>
      <c r="E639" s="67"/>
      <c r="F639" s="67"/>
      <c r="G639" s="36"/>
      <c r="H639" s="29"/>
      <c r="I639" s="78" t="str">
        <f t="shared" si="14"/>
        <v/>
      </c>
      <c r="J639" s="29"/>
      <c r="K639" s="29"/>
      <c r="L639" s="33"/>
      <c r="M639" s="33"/>
      <c r="N639" s="60"/>
      <c r="O639" s="71"/>
      <c r="P639" s="71"/>
      <c r="Q639" s="33"/>
      <c r="R639" s="31"/>
      <c r="S639" s="31"/>
      <c r="T639" s="59"/>
      <c r="U639" s="59"/>
      <c r="V639" s="59"/>
      <c r="W639" s="57">
        <f t="shared" si="15"/>
        <v>0</v>
      </c>
      <c r="X639" s="126" t="str">
        <f>IF(Table1[[#This Row],[Shipping Weight Pounds]]&gt;150,"See LTL Form","No")</f>
        <v>No</v>
      </c>
      <c r="Y639" s="28"/>
      <c r="Z639" s="33"/>
      <c r="AA639" s="34"/>
      <c r="AB639" s="30"/>
      <c r="AC639" s="30"/>
      <c r="AD639" s="32"/>
      <c r="AE639" s="32"/>
      <c r="AF639" s="2"/>
      <c r="AG639" s="2"/>
      <c r="AH639" s="2"/>
      <c r="AI639" s="2"/>
      <c r="AK639" s="73" t="str">
        <f>IF(ISNA(MATCH($N639,[1]data!$A:$A,0)),"",INDEX([1]data!S:S,MATCH($N639,[1]data!$A:$A,0)))</f>
        <v/>
      </c>
      <c r="AL639" s="73" t="str">
        <f>IF(ISNA(MATCH($N639,[1]data!$A:$A,0)),"",INDEX([1]data!V:V,MATCH($N639,[1]data!$A:$A,0)))</f>
        <v/>
      </c>
      <c r="AM639" s="38" t="str">
        <f>IF(ISNA(MATCH($N639,data!$A:$A,0)),"",INDEX(data!B:B,MATCH($N639,data!$A:$A,0)))</f>
        <v/>
      </c>
      <c r="AN639" s="38" t="str">
        <f>IF(ISNA(MATCH($N639,data!$A:$A,0)),"",INDEX(data!C:C,MATCH($N639,data!$A:$A,0)))</f>
        <v/>
      </c>
      <c r="AO639" s="38" t="str">
        <f>IF(ISNA(MATCH($N639,data!$A:$A,0)),"",INDEX(data!D:D,MATCH($N639,data!$A:$A,0)))</f>
        <v/>
      </c>
      <c r="AP639" s="38" t="str">
        <f>IF(ISNA(MATCH($N639,data!$A:$A,0)),"",INDEX(data!E:E,MATCH($N639,data!$A:$A,0)))</f>
        <v/>
      </c>
      <c r="AQ639" s="38" t="str">
        <f>IF(ISNA(MATCH($N639,data!$A:$A,0)),"",INDEX(data!F:F,MATCH($N639,data!$A:$A,0)))</f>
        <v/>
      </c>
      <c r="AR639" s="38" t="str">
        <f>IF(ISNA(MATCH($N639,data!$A:$A,0)),"",INDEX(data!G:G,MATCH($N639,data!$A:$A,0)))</f>
        <v/>
      </c>
      <c r="AS639" s="38" t="str">
        <f>IF(ISNA(MATCH($N639,data!$A:$A,0)),"",INDEX(data!H:H,MATCH($N639,data!$A:$A,0)))</f>
        <v/>
      </c>
      <c r="AT639" s="38" t="str">
        <f>IF(ISNA(MATCH($N639,data!$A:$A,0)),"",INDEX(data!I:I,MATCH($N639,data!$A:$A,0)))</f>
        <v/>
      </c>
      <c r="AU639" s="38" t="str">
        <f>IF(ISNA(MATCH($N639,[1]data!$A:$A,0)),"",INDEX([1]data!L:L,MATCH($N639,[1]data!$A:$A,0)))</f>
        <v/>
      </c>
      <c r="AV639" s="38" t="str">
        <f>IF(ISNA(MATCH($N639,[1]data!$A:$A,0)),"",INDEX([1]data!M:M,MATCH($N639,[1]data!$A:$A,0)))</f>
        <v/>
      </c>
      <c r="AW639" s="38" t="str">
        <f>IF(ISNA(MATCH($N639,data!$A:$A,0)),"",INDEX(data!J:J,MATCH($N639,data!$A:$A,0)))</f>
        <v/>
      </c>
      <c r="AX639" s="38" t="str">
        <f>IF(ISNA(MATCH($N639,data!$A:$A,0)),"",INDEX(data!K:K,MATCH($N639,data!$A:$A,0)))</f>
        <v/>
      </c>
      <c r="AY639" s="38" t="str">
        <f>IF(ISNA(MATCH($N639,data!$A:$A,0)),"",INDEX(data!O:O,MATCH($N639,data!$A:$A,0)))</f>
        <v/>
      </c>
      <c r="AZ639" s="38" t="str">
        <f>IF(ISNA(MATCH($N639,data!$A:$A,0)),"",INDEX(data!N:N,MATCH($N639,data!$A:$A,0)))</f>
        <v/>
      </c>
      <c r="BA639" s="38" t="str">
        <f>IF(ISNA(MATCH($N639,data!$A:$A,0)),"",INDEX(data!P:P,MATCH($N639,data!$A:$A,0)))</f>
        <v/>
      </c>
      <c r="BB639" s="38" t="str">
        <f>IF(ISNA(MATCH($N639,data!$A:$A,0)),"",INDEX(data!Q:Q,MATCH($N639,data!$A:$A,0)))</f>
        <v/>
      </c>
      <c r="BC639" s="38" t="str">
        <f>IF(ISNA(MATCH($N639,data!$A:$A,0)),"",INDEX(data!R:R,MATCH($N639,data!$A:$A,0)))</f>
        <v/>
      </c>
      <c r="BD639" s="38" t="str">
        <f>IF(ISNA(MATCH($N639,[1]data!$A:$A,0)),"",INDEX([1]data!U:U,MATCH($N639,[1]data!$A:$A,0)))</f>
        <v/>
      </c>
      <c r="BE639" s="61" t="e">
        <f>IF(COUNTIF([1]data!A:A,[1]!Table1[[#This Row],[UPC]])&lt;2,"","DUP")</f>
        <v>#VALUE!</v>
      </c>
      <c r="BF639" s="38" t="str">
        <f>IF(ISNA(MATCH($N639,data!$A:$A,0)),"",INDEX(data!W:W,MATCH($N639,data!$A:$A,0)))</f>
        <v/>
      </c>
    </row>
    <row r="640" spans="1:58">
      <c r="A640" s="35"/>
      <c r="B640" s="35"/>
      <c r="C640" s="35"/>
      <c r="D640" s="35"/>
      <c r="E640" s="67"/>
      <c r="F640" s="67"/>
      <c r="G640" s="36"/>
      <c r="H640" s="29"/>
      <c r="I640" s="78" t="str">
        <f t="shared" si="14"/>
        <v/>
      </c>
      <c r="J640" s="29"/>
      <c r="K640" s="29"/>
      <c r="L640" s="33"/>
      <c r="M640" s="33"/>
      <c r="N640" s="60"/>
      <c r="O640" s="71"/>
      <c r="P640" s="71"/>
      <c r="Q640" s="33"/>
      <c r="R640" s="31"/>
      <c r="S640" s="31"/>
      <c r="T640" s="59"/>
      <c r="U640" s="59"/>
      <c r="V640" s="59"/>
      <c r="W640" s="57">
        <f t="shared" si="15"/>
        <v>0</v>
      </c>
      <c r="X640" s="126" t="str">
        <f>IF(Table1[[#This Row],[Shipping Weight Pounds]]&gt;150,"See LTL Form","No")</f>
        <v>No</v>
      </c>
      <c r="Y640" s="28"/>
      <c r="Z640" s="33"/>
      <c r="AA640" s="34"/>
      <c r="AB640" s="30"/>
      <c r="AC640" s="30"/>
      <c r="AD640" s="32"/>
      <c r="AE640" s="32"/>
      <c r="AF640" s="2"/>
      <c r="AG640" s="2"/>
      <c r="AH640" s="2"/>
      <c r="AI640" s="2"/>
      <c r="AK640" s="73" t="str">
        <f>IF(ISNA(MATCH($N640,[1]data!$A:$A,0)),"",INDEX([1]data!S:S,MATCH($N640,[1]data!$A:$A,0)))</f>
        <v/>
      </c>
      <c r="AL640" s="73" t="str">
        <f>IF(ISNA(MATCH($N640,[1]data!$A:$A,0)),"",INDEX([1]data!V:V,MATCH($N640,[1]data!$A:$A,0)))</f>
        <v/>
      </c>
      <c r="AM640" s="38" t="str">
        <f>IF(ISNA(MATCH($N640,data!$A:$A,0)),"",INDEX(data!B:B,MATCH($N640,data!$A:$A,0)))</f>
        <v/>
      </c>
      <c r="AN640" s="38" t="str">
        <f>IF(ISNA(MATCH($N640,data!$A:$A,0)),"",INDEX(data!C:C,MATCH($N640,data!$A:$A,0)))</f>
        <v/>
      </c>
      <c r="AO640" s="38" t="str">
        <f>IF(ISNA(MATCH($N640,data!$A:$A,0)),"",INDEX(data!D:D,MATCH($N640,data!$A:$A,0)))</f>
        <v/>
      </c>
      <c r="AP640" s="38" t="str">
        <f>IF(ISNA(MATCH($N640,data!$A:$A,0)),"",INDEX(data!E:E,MATCH($N640,data!$A:$A,0)))</f>
        <v/>
      </c>
      <c r="AQ640" s="38" t="str">
        <f>IF(ISNA(MATCH($N640,data!$A:$A,0)),"",INDEX(data!F:F,MATCH($N640,data!$A:$A,0)))</f>
        <v/>
      </c>
      <c r="AR640" s="38" t="str">
        <f>IF(ISNA(MATCH($N640,data!$A:$A,0)),"",INDEX(data!G:G,MATCH($N640,data!$A:$A,0)))</f>
        <v/>
      </c>
      <c r="AS640" s="38" t="str">
        <f>IF(ISNA(MATCH($N640,data!$A:$A,0)),"",INDEX(data!H:H,MATCH($N640,data!$A:$A,0)))</f>
        <v/>
      </c>
      <c r="AT640" s="38" t="str">
        <f>IF(ISNA(MATCH($N640,data!$A:$A,0)),"",INDEX(data!I:I,MATCH($N640,data!$A:$A,0)))</f>
        <v/>
      </c>
      <c r="AU640" s="38" t="str">
        <f>IF(ISNA(MATCH($N640,[1]data!$A:$A,0)),"",INDEX([1]data!L:L,MATCH($N640,[1]data!$A:$A,0)))</f>
        <v/>
      </c>
      <c r="AV640" s="38" t="str">
        <f>IF(ISNA(MATCH($N640,[1]data!$A:$A,0)),"",INDEX([1]data!M:M,MATCH($N640,[1]data!$A:$A,0)))</f>
        <v/>
      </c>
      <c r="AW640" s="38" t="str">
        <f>IF(ISNA(MATCH($N640,data!$A:$A,0)),"",INDEX(data!J:J,MATCH($N640,data!$A:$A,0)))</f>
        <v/>
      </c>
      <c r="AX640" s="38" t="str">
        <f>IF(ISNA(MATCH($N640,data!$A:$A,0)),"",INDEX(data!K:K,MATCH($N640,data!$A:$A,0)))</f>
        <v/>
      </c>
      <c r="AY640" s="38" t="str">
        <f>IF(ISNA(MATCH($N640,data!$A:$A,0)),"",INDEX(data!O:O,MATCH($N640,data!$A:$A,0)))</f>
        <v/>
      </c>
      <c r="AZ640" s="38" t="str">
        <f>IF(ISNA(MATCH($N640,data!$A:$A,0)),"",INDEX(data!N:N,MATCH($N640,data!$A:$A,0)))</f>
        <v/>
      </c>
      <c r="BA640" s="38" t="str">
        <f>IF(ISNA(MATCH($N640,data!$A:$A,0)),"",INDEX(data!P:P,MATCH($N640,data!$A:$A,0)))</f>
        <v/>
      </c>
      <c r="BB640" s="38" t="str">
        <f>IF(ISNA(MATCH($N640,data!$A:$A,0)),"",INDEX(data!Q:Q,MATCH($N640,data!$A:$A,0)))</f>
        <v/>
      </c>
      <c r="BC640" s="38" t="str">
        <f>IF(ISNA(MATCH($N640,data!$A:$A,0)),"",INDEX(data!R:R,MATCH($N640,data!$A:$A,0)))</f>
        <v/>
      </c>
      <c r="BD640" s="38" t="str">
        <f>IF(ISNA(MATCH($N640,[1]data!$A:$A,0)),"",INDEX([1]data!U:U,MATCH($N640,[1]data!$A:$A,0)))</f>
        <v/>
      </c>
      <c r="BE640" s="61" t="e">
        <f>IF(COUNTIF([1]data!A:A,[1]!Table1[[#This Row],[UPC]])&lt;2,"","DUP")</f>
        <v>#VALUE!</v>
      </c>
      <c r="BF640" s="38" t="str">
        <f>IF(ISNA(MATCH($N640,data!$A:$A,0)),"",INDEX(data!W:W,MATCH($N640,data!$A:$A,0)))</f>
        <v/>
      </c>
    </row>
    <row r="641" spans="1:58">
      <c r="A641" s="35"/>
      <c r="B641" s="35"/>
      <c r="C641" s="35"/>
      <c r="D641" s="35"/>
      <c r="E641" s="67"/>
      <c r="F641" s="67"/>
      <c r="G641" s="36"/>
      <c r="H641" s="29"/>
      <c r="I641" s="78" t="str">
        <f t="shared" si="14"/>
        <v/>
      </c>
      <c r="J641" s="29"/>
      <c r="K641" s="29"/>
      <c r="L641" s="33"/>
      <c r="M641" s="33"/>
      <c r="N641" s="60"/>
      <c r="O641" s="71"/>
      <c r="P641" s="71"/>
      <c r="Q641" s="33"/>
      <c r="R641" s="31"/>
      <c r="S641" s="31"/>
      <c r="T641" s="59"/>
      <c r="U641" s="59"/>
      <c r="V641" s="59"/>
      <c r="W641" s="57">
        <f t="shared" si="15"/>
        <v>0</v>
      </c>
      <c r="X641" s="126" t="str">
        <f>IF(Table1[[#This Row],[Shipping Weight Pounds]]&gt;150,"See LTL Form","No")</f>
        <v>No</v>
      </c>
      <c r="Y641" s="28"/>
      <c r="Z641" s="33"/>
      <c r="AA641" s="34"/>
      <c r="AB641" s="30"/>
      <c r="AC641" s="30"/>
      <c r="AD641" s="32"/>
      <c r="AE641" s="32"/>
      <c r="AF641" s="2"/>
      <c r="AG641" s="2"/>
      <c r="AH641" s="2"/>
      <c r="AI641" s="2"/>
      <c r="AK641" s="73" t="str">
        <f>IF(ISNA(MATCH($N641,[1]data!$A:$A,0)),"",INDEX([1]data!S:S,MATCH($N641,[1]data!$A:$A,0)))</f>
        <v/>
      </c>
      <c r="AL641" s="73" t="str">
        <f>IF(ISNA(MATCH($N641,[1]data!$A:$A,0)),"",INDEX([1]data!V:V,MATCH($N641,[1]data!$A:$A,0)))</f>
        <v/>
      </c>
      <c r="AM641" s="38" t="str">
        <f>IF(ISNA(MATCH($N641,data!$A:$A,0)),"",INDEX(data!B:B,MATCH($N641,data!$A:$A,0)))</f>
        <v/>
      </c>
      <c r="AN641" s="38" t="str">
        <f>IF(ISNA(MATCH($N641,data!$A:$A,0)),"",INDEX(data!C:C,MATCH($N641,data!$A:$A,0)))</f>
        <v/>
      </c>
      <c r="AO641" s="38" t="str">
        <f>IF(ISNA(MATCH($N641,data!$A:$A,0)),"",INDEX(data!D:D,MATCH($N641,data!$A:$A,0)))</f>
        <v/>
      </c>
      <c r="AP641" s="38" t="str">
        <f>IF(ISNA(MATCH($N641,data!$A:$A,0)),"",INDEX(data!E:E,MATCH($N641,data!$A:$A,0)))</f>
        <v/>
      </c>
      <c r="AQ641" s="38" t="str">
        <f>IF(ISNA(MATCH($N641,data!$A:$A,0)),"",INDEX(data!F:F,MATCH($N641,data!$A:$A,0)))</f>
        <v/>
      </c>
      <c r="AR641" s="38" t="str">
        <f>IF(ISNA(MATCH($N641,data!$A:$A,0)),"",INDEX(data!G:G,MATCH($N641,data!$A:$A,0)))</f>
        <v/>
      </c>
      <c r="AS641" s="38" t="str">
        <f>IF(ISNA(MATCH($N641,data!$A:$A,0)),"",INDEX(data!H:H,MATCH($N641,data!$A:$A,0)))</f>
        <v/>
      </c>
      <c r="AT641" s="38" t="str">
        <f>IF(ISNA(MATCH($N641,data!$A:$A,0)),"",INDEX(data!I:I,MATCH($N641,data!$A:$A,0)))</f>
        <v/>
      </c>
      <c r="AU641" s="38" t="str">
        <f>IF(ISNA(MATCH($N641,[1]data!$A:$A,0)),"",INDEX([1]data!L:L,MATCH($N641,[1]data!$A:$A,0)))</f>
        <v/>
      </c>
      <c r="AV641" s="38" t="str">
        <f>IF(ISNA(MATCH($N641,[1]data!$A:$A,0)),"",INDEX([1]data!M:M,MATCH($N641,[1]data!$A:$A,0)))</f>
        <v/>
      </c>
      <c r="AW641" s="38" t="str">
        <f>IF(ISNA(MATCH($N641,data!$A:$A,0)),"",INDEX(data!J:J,MATCH($N641,data!$A:$A,0)))</f>
        <v/>
      </c>
      <c r="AX641" s="38" t="str">
        <f>IF(ISNA(MATCH($N641,data!$A:$A,0)),"",INDEX(data!K:K,MATCH($N641,data!$A:$A,0)))</f>
        <v/>
      </c>
      <c r="AY641" s="38" t="str">
        <f>IF(ISNA(MATCH($N641,data!$A:$A,0)),"",INDEX(data!O:O,MATCH($N641,data!$A:$A,0)))</f>
        <v/>
      </c>
      <c r="AZ641" s="38" t="str">
        <f>IF(ISNA(MATCH($N641,data!$A:$A,0)),"",INDEX(data!N:N,MATCH($N641,data!$A:$A,0)))</f>
        <v/>
      </c>
      <c r="BA641" s="38" t="str">
        <f>IF(ISNA(MATCH($N641,data!$A:$A,0)),"",INDEX(data!P:P,MATCH($N641,data!$A:$A,0)))</f>
        <v/>
      </c>
      <c r="BB641" s="38" t="str">
        <f>IF(ISNA(MATCH($N641,data!$A:$A,0)),"",INDEX(data!Q:Q,MATCH($N641,data!$A:$A,0)))</f>
        <v/>
      </c>
      <c r="BC641" s="38" t="str">
        <f>IF(ISNA(MATCH($N641,data!$A:$A,0)),"",INDEX(data!R:R,MATCH($N641,data!$A:$A,0)))</f>
        <v/>
      </c>
      <c r="BD641" s="38" t="str">
        <f>IF(ISNA(MATCH($N641,[1]data!$A:$A,0)),"",INDEX([1]data!U:U,MATCH($N641,[1]data!$A:$A,0)))</f>
        <v/>
      </c>
      <c r="BE641" s="61" t="e">
        <f>IF(COUNTIF([1]data!A:A,[1]!Table1[[#This Row],[UPC]])&lt;2,"","DUP")</f>
        <v>#VALUE!</v>
      </c>
      <c r="BF641" s="38" t="str">
        <f>IF(ISNA(MATCH($N641,data!$A:$A,0)),"",INDEX(data!W:W,MATCH($N641,data!$A:$A,0)))</f>
        <v/>
      </c>
    </row>
    <row r="642" spans="1:58">
      <c r="A642" s="35"/>
      <c r="B642" s="35"/>
      <c r="C642" s="35"/>
      <c r="D642" s="35"/>
      <c r="E642" s="67"/>
      <c r="F642" s="67"/>
      <c r="G642" s="36"/>
      <c r="H642" s="29"/>
      <c r="I642" s="78" t="str">
        <f t="shared" si="14"/>
        <v/>
      </c>
      <c r="J642" s="29"/>
      <c r="K642" s="29"/>
      <c r="L642" s="33"/>
      <c r="M642" s="33"/>
      <c r="N642" s="60"/>
      <c r="O642" s="71"/>
      <c r="P642" s="71"/>
      <c r="Q642" s="33"/>
      <c r="R642" s="31"/>
      <c r="S642" s="31"/>
      <c r="T642" s="59"/>
      <c r="U642" s="59"/>
      <c r="V642" s="59"/>
      <c r="W642" s="57">
        <f t="shared" si="15"/>
        <v>0</v>
      </c>
      <c r="X642" s="126" t="str">
        <f>IF(Table1[[#This Row],[Shipping Weight Pounds]]&gt;150,"See LTL Form","No")</f>
        <v>No</v>
      </c>
      <c r="Y642" s="28"/>
      <c r="Z642" s="33"/>
      <c r="AA642" s="34"/>
      <c r="AB642" s="30"/>
      <c r="AC642" s="30"/>
      <c r="AD642" s="32"/>
      <c r="AE642" s="32"/>
      <c r="AF642" s="2"/>
      <c r="AG642" s="2"/>
      <c r="AH642" s="2"/>
      <c r="AI642" s="2"/>
      <c r="AK642" s="73" t="str">
        <f>IF(ISNA(MATCH($N642,[1]data!$A:$A,0)),"",INDEX([1]data!S:S,MATCH($N642,[1]data!$A:$A,0)))</f>
        <v/>
      </c>
      <c r="AL642" s="73" t="str">
        <f>IF(ISNA(MATCH($N642,[1]data!$A:$A,0)),"",INDEX([1]data!V:V,MATCH($N642,[1]data!$A:$A,0)))</f>
        <v/>
      </c>
      <c r="AM642" s="38" t="str">
        <f>IF(ISNA(MATCH($N642,data!$A:$A,0)),"",INDEX(data!B:B,MATCH($N642,data!$A:$A,0)))</f>
        <v/>
      </c>
      <c r="AN642" s="38" t="str">
        <f>IF(ISNA(MATCH($N642,data!$A:$A,0)),"",INDEX(data!C:C,MATCH($N642,data!$A:$A,0)))</f>
        <v/>
      </c>
      <c r="AO642" s="38" t="str">
        <f>IF(ISNA(MATCH($N642,data!$A:$A,0)),"",INDEX(data!D:D,MATCH($N642,data!$A:$A,0)))</f>
        <v/>
      </c>
      <c r="AP642" s="38" t="str">
        <f>IF(ISNA(MATCH($N642,data!$A:$A,0)),"",INDEX(data!E:E,MATCH($N642,data!$A:$A,0)))</f>
        <v/>
      </c>
      <c r="AQ642" s="38" t="str">
        <f>IF(ISNA(MATCH($N642,data!$A:$A,0)),"",INDEX(data!F:F,MATCH($N642,data!$A:$A,0)))</f>
        <v/>
      </c>
      <c r="AR642" s="38" t="str">
        <f>IF(ISNA(MATCH($N642,data!$A:$A,0)),"",INDEX(data!G:G,MATCH($N642,data!$A:$A,0)))</f>
        <v/>
      </c>
      <c r="AS642" s="38" t="str">
        <f>IF(ISNA(MATCH($N642,data!$A:$A,0)),"",INDEX(data!H:H,MATCH($N642,data!$A:$A,0)))</f>
        <v/>
      </c>
      <c r="AT642" s="38" t="str">
        <f>IF(ISNA(MATCH($N642,data!$A:$A,0)),"",INDEX(data!I:I,MATCH($N642,data!$A:$A,0)))</f>
        <v/>
      </c>
      <c r="AU642" s="38" t="str">
        <f>IF(ISNA(MATCH($N642,[1]data!$A:$A,0)),"",INDEX([1]data!L:L,MATCH($N642,[1]data!$A:$A,0)))</f>
        <v/>
      </c>
      <c r="AV642" s="38" t="str">
        <f>IF(ISNA(MATCH($N642,[1]data!$A:$A,0)),"",INDEX([1]data!M:M,MATCH($N642,[1]data!$A:$A,0)))</f>
        <v/>
      </c>
      <c r="AW642" s="38" t="str">
        <f>IF(ISNA(MATCH($N642,data!$A:$A,0)),"",INDEX(data!J:J,MATCH($N642,data!$A:$A,0)))</f>
        <v/>
      </c>
      <c r="AX642" s="38" t="str">
        <f>IF(ISNA(MATCH($N642,data!$A:$A,0)),"",INDEX(data!K:K,MATCH($N642,data!$A:$A,0)))</f>
        <v/>
      </c>
      <c r="AY642" s="38" t="str">
        <f>IF(ISNA(MATCH($N642,data!$A:$A,0)),"",INDEX(data!O:O,MATCH($N642,data!$A:$A,0)))</f>
        <v/>
      </c>
      <c r="AZ642" s="38" t="str">
        <f>IF(ISNA(MATCH($N642,data!$A:$A,0)),"",INDEX(data!N:N,MATCH($N642,data!$A:$A,0)))</f>
        <v/>
      </c>
      <c r="BA642" s="38" t="str">
        <f>IF(ISNA(MATCH($N642,data!$A:$A,0)),"",INDEX(data!P:P,MATCH($N642,data!$A:$A,0)))</f>
        <v/>
      </c>
      <c r="BB642" s="38" t="str">
        <f>IF(ISNA(MATCH($N642,data!$A:$A,0)),"",INDEX(data!Q:Q,MATCH($N642,data!$A:$A,0)))</f>
        <v/>
      </c>
      <c r="BC642" s="38" t="str">
        <f>IF(ISNA(MATCH($N642,data!$A:$A,0)),"",INDEX(data!R:R,MATCH($N642,data!$A:$A,0)))</f>
        <v/>
      </c>
      <c r="BD642" s="38" t="str">
        <f>IF(ISNA(MATCH($N642,[1]data!$A:$A,0)),"",INDEX([1]data!U:U,MATCH($N642,[1]data!$A:$A,0)))</f>
        <v/>
      </c>
      <c r="BE642" s="61" t="e">
        <f>IF(COUNTIF([1]data!A:A,[1]!Table1[[#This Row],[UPC]])&lt;2,"","DUP")</f>
        <v>#VALUE!</v>
      </c>
      <c r="BF642" s="38" t="str">
        <f>IF(ISNA(MATCH($N642,data!$A:$A,0)),"",INDEX(data!W:W,MATCH($N642,data!$A:$A,0)))</f>
        <v/>
      </c>
    </row>
    <row r="643" spans="1:58">
      <c r="A643" s="35"/>
      <c r="B643" s="35"/>
      <c r="C643" s="35"/>
      <c r="D643" s="35"/>
      <c r="E643" s="67"/>
      <c r="F643" s="67"/>
      <c r="G643" s="36"/>
      <c r="H643" s="29"/>
      <c r="I643" s="78" t="str">
        <f t="shared" si="14"/>
        <v/>
      </c>
      <c r="J643" s="29"/>
      <c r="K643" s="29"/>
      <c r="L643" s="33"/>
      <c r="M643" s="33"/>
      <c r="N643" s="60"/>
      <c r="O643" s="71"/>
      <c r="P643" s="71"/>
      <c r="Q643" s="33"/>
      <c r="R643" s="31"/>
      <c r="S643" s="31"/>
      <c r="T643" s="59"/>
      <c r="U643" s="59"/>
      <c r="V643" s="59"/>
      <c r="W643" s="57">
        <f t="shared" si="15"/>
        <v>0</v>
      </c>
      <c r="X643" s="126" t="str">
        <f>IF(Table1[[#This Row],[Shipping Weight Pounds]]&gt;150,"See LTL Form","No")</f>
        <v>No</v>
      </c>
      <c r="Y643" s="28"/>
      <c r="Z643" s="33"/>
      <c r="AA643" s="34"/>
      <c r="AB643" s="30"/>
      <c r="AC643" s="30"/>
      <c r="AD643" s="32"/>
      <c r="AE643" s="32"/>
      <c r="AF643" s="2"/>
      <c r="AG643" s="2"/>
      <c r="AH643" s="2"/>
      <c r="AI643" s="2"/>
      <c r="AK643" s="73" t="str">
        <f>IF(ISNA(MATCH($N643,[1]data!$A:$A,0)),"",INDEX([1]data!S:S,MATCH($N643,[1]data!$A:$A,0)))</f>
        <v/>
      </c>
      <c r="AL643" s="73" t="str">
        <f>IF(ISNA(MATCH($N643,[1]data!$A:$A,0)),"",INDEX([1]data!V:V,MATCH($N643,[1]data!$A:$A,0)))</f>
        <v/>
      </c>
      <c r="AM643" s="38" t="str">
        <f>IF(ISNA(MATCH($N643,data!$A:$A,0)),"",INDEX(data!B:B,MATCH($N643,data!$A:$A,0)))</f>
        <v/>
      </c>
      <c r="AN643" s="38" t="str">
        <f>IF(ISNA(MATCH($N643,data!$A:$A,0)),"",INDEX(data!C:C,MATCH($N643,data!$A:$A,0)))</f>
        <v/>
      </c>
      <c r="AO643" s="38" t="str">
        <f>IF(ISNA(MATCH($N643,data!$A:$A,0)),"",INDEX(data!D:D,MATCH($N643,data!$A:$A,0)))</f>
        <v/>
      </c>
      <c r="AP643" s="38" t="str">
        <f>IF(ISNA(MATCH($N643,data!$A:$A,0)),"",INDEX(data!E:E,MATCH($N643,data!$A:$A,0)))</f>
        <v/>
      </c>
      <c r="AQ643" s="38" t="str">
        <f>IF(ISNA(MATCH($N643,data!$A:$A,0)),"",INDEX(data!F:F,MATCH($N643,data!$A:$A,0)))</f>
        <v/>
      </c>
      <c r="AR643" s="38" t="str">
        <f>IF(ISNA(MATCH($N643,data!$A:$A,0)),"",INDEX(data!G:G,MATCH($N643,data!$A:$A,0)))</f>
        <v/>
      </c>
      <c r="AS643" s="38" t="str">
        <f>IF(ISNA(MATCH($N643,data!$A:$A,0)),"",INDEX(data!H:H,MATCH($N643,data!$A:$A,0)))</f>
        <v/>
      </c>
      <c r="AT643" s="38" t="str">
        <f>IF(ISNA(MATCH($N643,data!$A:$A,0)),"",INDEX(data!I:I,MATCH($N643,data!$A:$A,0)))</f>
        <v/>
      </c>
      <c r="AU643" s="38" t="str">
        <f>IF(ISNA(MATCH($N643,[1]data!$A:$A,0)),"",INDEX([1]data!L:L,MATCH($N643,[1]data!$A:$A,0)))</f>
        <v/>
      </c>
      <c r="AV643" s="38" t="str">
        <f>IF(ISNA(MATCH($N643,[1]data!$A:$A,0)),"",INDEX([1]data!M:M,MATCH($N643,[1]data!$A:$A,0)))</f>
        <v/>
      </c>
      <c r="AW643" s="38" t="str">
        <f>IF(ISNA(MATCH($N643,data!$A:$A,0)),"",INDEX(data!J:J,MATCH($N643,data!$A:$A,0)))</f>
        <v/>
      </c>
      <c r="AX643" s="38" t="str">
        <f>IF(ISNA(MATCH($N643,data!$A:$A,0)),"",INDEX(data!K:K,MATCH($N643,data!$A:$A,0)))</f>
        <v/>
      </c>
      <c r="AY643" s="38" t="str">
        <f>IF(ISNA(MATCH($N643,data!$A:$A,0)),"",INDEX(data!O:O,MATCH($N643,data!$A:$A,0)))</f>
        <v/>
      </c>
      <c r="AZ643" s="38" t="str">
        <f>IF(ISNA(MATCH($N643,data!$A:$A,0)),"",INDEX(data!N:N,MATCH($N643,data!$A:$A,0)))</f>
        <v/>
      </c>
      <c r="BA643" s="38" t="str">
        <f>IF(ISNA(MATCH($N643,data!$A:$A,0)),"",INDEX(data!P:P,MATCH($N643,data!$A:$A,0)))</f>
        <v/>
      </c>
      <c r="BB643" s="38" t="str">
        <f>IF(ISNA(MATCH($N643,data!$A:$A,0)),"",INDEX(data!Q:Q,MATCH($N643,data!$A:$A,0)))</f>
        <v/>
      </c>
      <c r="BC643" s="38" t="str">
        <f>IF(ISNA(MATCH($N643,data!$A:$A,0)),"",INDEX(data!R:R,MATCH($N643,data!$A:$A,0)))</f>
        <v/>
      </c>
      <c r="BD643" s="38" t="str">
        <f>IF(ISNA(MATCH($N643,[1]data!$A:$A,0)),"",INDEX([1]data!U:U,MATCH($N643,[1]data!$A:$A,0)))</f>
        <v/>
      </c>
      <c r="BE643" s="61" t="e">
        <f>IF(COUNTIF([1]data!A:A,[1]!Table1[[#This Row],[UPC]])&lt;2,"","DUP")</f>
        <v>#VALUE!</v>
      </c>
      <c r="BF643" s="38" t="str">
        <f>IF(ISNA(MATCH($N643,data!$A:$A,0)),"",INDEX(data!W:W,MATCH($N643,data!$A:$A,0)))</f>
        <v/>
      </c>
    </row>
    <row r="644" spans="1:58">
      <c r="A644" s="35"/>
      <c r="B644" s="35"/>
      <c r="C644" s="35"/>
      <c r="D644" s="35"/>
      <c r="E644" s="67"/>
      <c r="F644" s="67"/>
      <c r="G644" s="36"/>
      <c r="H644" s="29"/>
      <c r="I644" s="78" t="str">
        <f t="shared" si="14"/>
        <v/>
      </c>
      <c r="J644" s="29"/>
      <c r="K644" s="29"/>
      <c r="L644" s="33"/>
      <c r="M644" s="33"/>
      <c r="N644" s="60"/>
      <c r="O644" s="71"/>
      <c r="P644" s="71"/>
      <c r="Q644" s="33"/>
      <c r="R644" s="31"/>
      <c r="S644" s="31"/>
      <c r="T644" s="59"/>
      <c r="U644" s="59"/>
      <c r="V644" s="59"/>
      <c r="W644" s="57">
        <f t="shared" si="15"/>
        <v>0</v>
      </c>
      <c r="X644" s="126" t="str">
        <f>IF(Table1[[#This Row],[Shipping Weight Pounds]]&gt;150,"See LTL Form","No")</f>
        <v>No</v>
      </c>
      <c r="Y644" s="28"/>
      <c r="Z644" s="33"/>
      <c r="AA644" s="34"/>
      <c r="AB644" s="30"/>
      <c r="AC644" s="30"/>
      <c r="AD644" s="32"/>
      <c r="AE644" s="32"/>
      <c r="AF644" s="2"/>
      <c r="AG644" s="2"/>
      <c r="AH644" s="2"/>
      <c r="AI644" s="2"/>
      <c r="AK644" s="73" t="str">
        <f>IF(ISNA(MATCH($N644,[1]data!$A:$A,0)),"",INDEX([1]data!S:S,MATCH($N644,[1]data!$A:$A,0)))</f>
        <v/>
      </c>
      <c r="AL644" s="73" t="str">
        <f>IF(ISNA(MATCH($N644,[1]data!$A:$A,0)),"",INDEX([1]data!V:V,MATCH($N644,[1]data!$A:$A,0)))</f>
        <v/>
      </c>
      <c r="AM644" s="38" t="str">
        <f>IF(ISNA(MATCH($N644,data!$A:$A,0)),"",INDEX(data!B:B,MATCH($N644,data!$A:$A,0)))</f>
        <v/>
      </c>
      <c r="AN644" s="38" t="str">
        <f>IF(ISNA(MATCH($N644,data!$A:$A,0)),"",INDEX(data!C:C,MATCH($N644,data!$A:$A,0)))</f>
        <v/>
      </c>
      <c r="AO644" s="38" t="str">
        <f>IF(ISNA(MATCH($N644,data!$A:$A,0)),"",INDEX(data!D:D,MATCH($N644,data!$A:$A,0)))</f>
        <v/>
      </c>
      <c r="AP644" s="38" t="str">
        <f>IF(ISNA(MATCH($N644,data!$A:$A,0)),"",INDEX(data!E:E,MATCH($N644,data!$A:$A,0)))</f>
        <v/>
      </c>
      <c r="AQ644" s="38" t="str">
        <f>IF(ISNA(MATCH($N644,data!$A:$A,0)),"",INDEX(data!F:F,MATCH($N644,data!$A:$A,0)))</f>
        <v/>
      </c>
      <c r="AR644" s="38" t="str">
        <f>IF(ISNA(MATCH($N644,data!$A:$A,0)),"",INDEX(data!G:G,MATCH($N644,data!$A:$A,0)))</f>
        <v/>
      </c>
      <c r="AS644" s="38" t="str">
        <f>IF(ISNA(MATCH($N644,data!$A:$A,0)),"",INDEX(data!H:H,MATCH($N644,data!$A:$A,0)))</f>
        <v/>
      </c>
      <c r="AT644" s="38" t="str">
        <f>IF(ISNA(MATCH($N644,data!$A:$A,0)),"",INDEX(data!I:I,MATCH($N644,data!$A:$A,0)))</f>
        <v/>
      </c>
      <c r="AU644" s="38" t="str">
        <f>IF(ISNA(MATCH($N644,[1]data!$A:$A,0)),"",INDEX([1]data!L:L,MATCH($N644,[1]data!$A:$A,0)))</f>
        <v/>
      </c>
      <c r="AV644" s="38" t="str">
        <f>IF(ISNA(MATCH($N644,[1]data!$A:$A,0)),"",INDEX([1]data!M:M,MATCH($N644,[1]data!$A:$A,0)))</f>
        <v/>
      </c>
      <c r="AW644" s="38" t="str">
        <f>IF(ISNA(MATCH($N644,data!$A:$A,0)),"",INDEX(data!J:J,MATCH($N644,data!$A:$A,0)))</f>
        <v/>
      </c>
      <c r="AX644" s="38" t="str">
        <f>IF(ISNA(MATCH($N644,data!$A:$A,0)),"",INDEX(data!K:K,MATCH($N644,data!$A:$A,0)))</f>
        <v/>
      </c>
      <c r="AY644" s="38" t="str">
        <f>IF(ISNA(MATCH($N644,data!$A:$A,0)),"",INDEX(data!O:O,MATCH($N644,data!$A:$A,0)))</f>
        <v/>
      </c>
      <c r="AZ644" s="38" t="str">
        <f>IF(ISNA(MATCH($N644,data!$A:$A,0)),"",INDEX(data!N:N,MATCH($N644,data!$A:$A,0)))</f>
        <v/>
      </c>
      <c r="BA644" s="38" t="str">
        <f>IF(ISNA(MATCH($N644,data!$A:$A,0)),"",INDEX(data!P:P,MATCH($N644,data!$A:$A,0)))</f>
        <v/>
      </c>
      <c r="BB644" s="38" t="str">
        <f>IF(ISNA(MATCH($N644,data!$A:$A,0)),"",INDEX(data!Q:Q,MATCH($N644,data!$A:$A,0)))</f>
        <v/>
      </c>
      <c r="BC644" s="38" t="str">
        <f>IF(ISNA(MATCH($N644,data!$A:$A,0)),"",INDEX(data!R:R,MATCH($N644,data!$A:$A,0)))</f>
        <v/>
      </c>
      <c r="BD644" s="38" t="str">
        <f>IF(ISNA(MATCH($N644,[1]data!$A:$A,0)),"",INDEX([1]data!U:U,MATCH($N644,[1]data!$A:$A,0)))</f>
        <v/>
      </c>
      <c r="BE644" s="61" t="e">
        <f>IF(COUNTIF([1]data!A:A,[1]!Table1[[#This Row],[UPC]])&lt;2,"","DUP")</f>
        <v>#VALUE!</v>
      </c>
      <c r="BF644" s="38" t="str">
        <f>IF(ISNA(MATCH($N644,data!$A:$A,0)),"",INDEX(data!W:W,MATCH($N644,data!$A:$A,0)))</f>
        <v/>
      </c>
    </row>
    <row r="645" spans="1:58">
      <c r="A645" s="35"/>
      <c r="B645" s="35"/>
      <c r="C645" s="35"/>
      <c r="D645" s="35"/>
      <c r="E645" s="67"/>
      <c r="F645" s="67"/>
      <c r="G645" s="36"/>
      <c r="H645" s="29"/>
      <c r="I645" s="78" t="str">
        <f t="shared" si="14"/>
        <v/>
      </c>
      <c r="J645" s="29"/>
      <c r="K645" s="29"/>
      <c r="L645" s="33"/>
      <c r="M645" s="33"/>
      <c r="N645" s="60"/>
      <c r="O645" s="71"/>
      <c r="P645" s="71"/>
      <c r="Q645" s="33"/>
      <c r="R645" s="31"/>
      <c r="S645" s="31"/>
      <c r="T645" s="59"/>
      <c r="U645" s="59"/>
      <c r="V645" s="59"/>
      <c r="W645" s="57">
        <f t="shared" si="15"/>
        <v>0</v>
      </c>
      <c r="X645" s="126" t="str">
        <f>IF(Table1[[#This Row],[Shipping Weight Pounds]]&gt;150,"See LTL Form","No")</f>
        <v>No</v>
      </c>
      <c r="Y645" s="28"/>
      <c r="Z645" s="33"/>
      <c r="AA645" s="34"/>
      <c r="AB645" s="30"/>
      <c r="AC645" s="30"/>
      <c r="AD645" s="32"/>
      <c r="AE645" s="32"/>
      <c r="AF645" s="2"/>
      <c r="AG645" s="2"/>
      <c r="AH645" s="2"/>
      <c r="AI645" s="2"/>
      <c r="AK645" s="73" t="str">
        <f>IF(ISNA(MATCH($N645,[1]data!$A:$A,0)),"",INDEX([1]data!S:S,MATCH($N645,[1]data!$A:$A,0)))</f>
        <v/>
      </c>
      <c r="AL645" s="73" t="str">
        <f>IF(ISNA(MATCH($N645,[1]data!$A:$A,0)),"",INDEX([1]data!V:V,MATCH($N645,[1]data!$A:$A,0)))</f>
        <v/>
      </c>
      <c r="AM645" s="38" t="str">
        <f>IF(ISNA(MATCH($N645,data!$A:$A,0)),"",INDEX(data!B:B,MATCH($N645,data!$A:$A,0)))</f>
        <v/>
      </c>
      <c r="AN645" s="38" t="str">
        <f>IF(ISNA(MATCH($N645,data!$A:$A,0)),"",INDEX(data!C:C,MATCH($N645,data!$A:$A,0)))</f>
        <v/>
      </c>
      <c r="AO645" s="38" t="str">
        <f>IF(ISNA(MATCH($N645,data!$A:$A,0)),"",INDEX(data!D:D,MATCH($N645,data!$A:$A,0)))</f>
        <v/>
      </c>
      <c r="AP645" s="38" t="str">
        <f>IF(ISNA(MATCH($N645,data!$A:$A,0)),"",INDEX(data!E:E,MATCH($N645,data!$A:$A,0)))</f>
        <v/>
      </c>
      <c r="AQ645" s="38" t="str">
        <f>IF(ISNA(MATCH($N645,data!$A:$A,0)),"",INDEX(data!F:F,MATCH($N645,data!$A:$A,0)))</f>
        <v/>
      </c>
      <c r="AR645" s="38" t="str">
        <f>IF(ISNA(MATCH($N645,data!$A:$A,0)),"",INDEX(data!G:G,MATCH($N645,data!$A:$A,0)))</f>
        <v/>
      </c>
      <c r="AS645" s="38" t="str">
        <f>IF(ISNA(MATCH($N645,data!$A:$A,0)),"",INDEX(data!H:H,MATCH($N645,data!$A:$A,0)))</f>
        <v/>
      </c>
      <c r="AT645" s="38" t="str">
        <f>IF(ISNA(MATCH($N645,data!$A:$A,0)),"",INDEX(data!I:I,MATCH($N645,data!$A:$A,0)))</f>
        <v/>
      </c>
      <c r="AU645" s="38" t="str">
        <f>IF(ISNA(MATCH($N645,[1]data!$A:$A,0)),"",INDEX([1]data!L:L,MATCH($N645,[1]data!$A:$A,0)))</f>
        <v/>
      </c>
      <c r="AV645" s="38" t="str">
        <f>IF(ISNA(MATCH($N645,[1]data!$A:$A,0)),"",INDEX([1]data!M:M,MATCH($N645,[1]data!$A:$A,0)))</f>
        <v/>
      </c>
      <c r="AW645" s="38" t="str">
        <f>IF(ISNA(MATCH($N645,data!$A:$A,0)),"",INDEX(data!J:J,MATCH($N645,data!$A:$A,0)))</f>
        <v/>
      </c>
      <c r="AX645" s="38" t="str">
        <f>IF(ISNA(MATCH($N645,data!$A:$A,0)),"",INDEX(data!K:K,MATCH($N645,data!$A:$A,0)))</f>
        <v/>
      </c>
      <c r="AY645" s="38" t="str">
        <f>IF(ISNA(MATCH($N645,data!$A:$A,0)),"",INDEX(data!O:O,MATCH($N645,data!$A:$A,0)))</f>
        <v/>
      </c>
      <c r="AZ645" s="38" t="str">
        <f>IF(ISNA(MATCH($N645,data!$A:$A,0)),"",INDEX(data!N:N,MATCH($N645,data!$A:$A,0)))</f>
        <v/>
      </c>
      <c r="BA645" s="38" t="str">
        <f>IF(ISNA(MATCH($N645,data!$A:$A,0)),"",INDEX(data!P:P,MATCH($N645,data!$A:$A,0)))</f>
        <v/>
      </c>
      <c r="BB645" s="38" t="str">
        <f>IF(ISNA(MATCH($N645,data!$A:$A,0)),"",INDEX(data!Q:Q,MATCH($N645,data!$A:$A,0)))</f>
        <v/>
      </c>
      <c r="BC645" s="38" t="str">
        <f>IF(ISNA(MATCH($N645,data!$A:$A,0)),"",INDEX(data!R:R,MATCH($N645,data!$A:$A,0)))</f>
        <v/>
      </c>
      <c r="BD645" s="38" t="str">
        <f>IF(ISNA(MATCH($N645,[1]data!$A:$A,0)),"",INDEX([1]data!U:U,MATCH($N645,[1]data!$A:$A,0)))</f>
        <v/>
      </c>
      <c r="BE645" s="61" t="e">
        <f>IF(COUNTIF([1]data!A:A,[1]!Table1[[#This Row],[UPC]])&lt;2,"","DUP")</f>
        <v>#VALUE!</v>
      </c>
      <c r="BF645" s="38" t="str">
        <f>IF(ISNA(MATCH($N645,data!$A:$A,0)),"",INDEX(data!W:W,MATCH($N645,data!$A:$A,0)))</f>
        <v/>
      </c>
    </row>
    <row r="646" spans="1:58">
      <c r="A646" s="35"/>
      <c r="B646" s="35"/>
      <c r="C646" s="35"/>
      <c r="D646" s="35"/>
      <c r="E646" s="67"/>
      <c r="F646" s="67"/>
      <c r="G646" s="36"/>
      <c r="H646" s="29"/>
      <c r="I646" s="78" t="str">
        <f t="shared" si="14"/>
        <v/>
      </c>
      <c r="J646" s="29"/>
      <c r="K646" s="29"/>
      <c r="L646" s="33"/>
      <c r="M646" s="33"/>
      <c r="N646" s="60"/>
      <c r="O646" s="71"/>
      <c r="P646" s="71"/>
      <c r="Q646" s="33"/>
      <c r="R646" s="31"/>
      <c r="S646" s="31"/>
      <c r="T646" s="59"/>
      <c r="U646" s="59"/>
      <c r="V646" s="59"/>
      <c r="W646" s="57">
        <f t="shared" si="15"/>
        <v>0</v>
      </c>
      <c r="X646" s="126" t="str">
        <f>IF(Table1[[#This Row],[Shipping Weight Pounds]]&gt;150,"See LTL Form","No")</f>
        <v>No</v>
      </c>
      <c r="Y646" s="28"/>
      <c r="Z646" s="33"/>
      <c r="AA646" s="34"/>
      <c r="AB646" s="30"/>
      <c r="AC646" s="30"/>
      <c r="AD646" s="32"/>
      <c r="AE646" s="32"/>
      <c r="AF646" s="2"/>
      <c r="AG646" s="2"/>
      <c r="AH646" s="2"/>
      <c r="AI646" s="2"/>
      <c r="AK646" s="73" t="str">
        <f>IF(ISNA(MATCH($N646,[1]data!$A:$A,0)),"",INDEX([1]data!S:S,MATCH($N646,[1]data!$A:$A,0)))</f>
        <v/>
      </c>
      <c r="AL646" s="73" t="str">
        <f>IF(ISNA(MATCH($N646,[1]data!$A:$A,0)),"",INDEX([1]data!V:V,MATCH($N646,[1]data!$A:$A,0)))</f>
        <v/>
      </c>
      <c r="AM646" s="38" t="str">
        <f>IF(ISNA(MATCH($N646,data!$A:$A,0)),"",INDEX(data!B:B,MATCH($N646,data!$A:$A,0)))</f>
        <v/>
      </c>
      <c r="AN646" s="38" t="str">
        <f>IF(ISNA(MATCH($N646,data!$A:$A,0)),"",INDEX(data!C:C,MATCH($N646,data!$A:$A,0)))</f>
        <v/>
      </c>
      <c r="AO646" s="38" t="str">
        <f>IF(ISNA(MATCH($N646,data!$A:$A,0)),"",INDEX(data!D:D,MATCH($N646,data!$A:$A,0)))</f>
        <v/>
      </c>
      <c r="AP646" s="38" t="str">
        <f>IF(ISNA(MATCH($N646,data!$A:$A,0)),"",INDEX(data!E:E,MATCH($N646,data!$A:$A,0)))</f>
        <v/>
      </c>
      <c r="AQ646" s="38" t="str">
        <f>IF(ISNA(MATCH($N646,data!$A:$A,0)),"",INDEX(data!F:F,MATCH($N646,data!$A:$A,0)))</f>
        <v/>
      </c>
      <c r="AR646" s="38" t="str">
        <f>IF(ISNA(MATCH($N646,data!$A:$A,0)),"",INDEX(data!G:G,MATCH($N646,data!$A:$A,0)))</f>
        <v/>
      </c>
      <c r="AS646" s="38" t="str">
        <f>IF(ISNA(MATCH($N646,data!$A:$A,0)),"",INDEX(data!H:H,MATCH($N646,data!$A:$A,0)))</f>
        <v/>
      </c>
      <c r="AT646" s="38" t="str">
        <f>IF(ISNA(MATCH($N646,data!$A:$A,0)),"",INDEX(data!I:I,MATCH($N646,data!$A:$A,0)))</f>
        <v/>
      </c>
      <c r="AU646" s="38" t="str">
        <f>IF(ISNA(MATCH($N646,[1]data!$A:$A,0)),"",INDEX([1]data!L:L,MATCH($N646,[1]data!$A:$A,0)))</f>
        <v/>
      </c>
      <c r="AV646" s="38" t="str">
        <f>IF(ISNA(MATCH($N646,[1]data!$A:$A,0)),"",INDEX([1]data!M:M,MATCH($N646,[1]data!$A:$A,0)))</f>
        <v/>
      </c>
      <c r="AW646" s="38" t="str">
        <f>IF(ISNA(MATCH($N646,data!$A:$A,0)),"",INDEX(data!J:J,MATCH($N646,data!$A:$A,0)))</f>
        <v/>
      </c>
      <c r="AX646" s="38" t="str">
        <f>IF(ISNA(MATCH($N646,data!$A:$A,0)),"",INDEX(data!K:K,MATCH($N646,data!$A:$A,0)))</f>
        <v/>
      </c>
      <c r="AY646" s="38" t="str">
        <f>IF(ISNA(MATCH($N646,data!$A:$A,0)),"",INDEX(data!O:O,MATCH($N646,data!$A:$A,0)))</f>
        <v/>
      </c>
      <c r="AZ646" s="38" t="str">
        <f>IF(ISNA(MATCH($N646,data!$A:$A,0)),"",INDEX(data!N:N,MATCH($N646,data!$A:$A,0)))</f>
        <v/>
      </c>
      <c r="BA646" s="38" t="str">
        <f>IF(ISNA(MATCH($N646,data!$A:$A,0)),"",INDEX(data!P:P,MATCH($N646,data!$A:$A,0)))</f>
        <v/>
      </c>
      <c r="BB646" s="38" t="str">
        <f>IF(ISNA(MATCH($N646,data!$A:$A,0)),"",INDEX(data!Q:Q,MATCH($N646,data!$A:$A,0)))</f>
        <v/>
      </c>
      <c r="BC646" s="38" t="str">
        <f>IF(ISNA(MATCH($N646,data!$A:$A,0)),"",INDEX(data!R:R,MATCH($N646,data!$A:$A,0)))</f>
        <v/>
      </c>
      <c r="BD646" s="38" t="str">
        <f>IF(ISNA(MATCH($N646,[1]data!$A:$A,0)),"",INDEX([1]data!U:U,MATCH($N646,[1]data!$A:$A,0)))</f>
        <v/>
      </c>
      <c r="BE646" s="61" t="e">
        <f>IF(COUNTIF([1]data!A:A,[1]!Table1[[#This Row],[UPC]])&lt;2,"","DUP")</f>
        <v>#VALUE!</v>
      </c>
      <c r="BF646" s="38" t="str">
        <f>IF(ISNA(MATCH($N646,data!$A:$A,0)),"",INDEX(data!W:W,MATCH($N646,data!$A:$A,0)))</f>
        <v/>
      </c>
    </row>
    <row r="647" spans="1:58">
      <c r="A647" s="35"/>
      <c r="B647" s="35"/>
      <c r="C647" s="35"/>
      <c r="D647" s="35"/>
      <c r="E647" s="67"/>
      <c r="F647" s="67"/>
      <c r="G647" s="36"/>
      <c r="H647" s="29"/>
      <c r="I647" s="78" t="str">
        <f t="shared" si="14"/>
        <v/>
      </c>
      <c r="J647" s="29"/>
      <c r="K647" s="29"/>
      <c r="L647" s="33"/>
      <c r="M647" s="33"/>
      <c r="N647" s="60"/>
      <c r="O647" s="71"/>
      <c r="P647" s="71"/>
      <c r="Q647" s="33"/>
      <c r="R647" s="31"/>
      <c r="S647" s="31"/>
      <c r="T647" s="59"/>
      <c r="U647" s="59"/>
      <c r="V647" s="59"/>
      <c r="W647" s="57">
        <f t="shared" si="15"/>
        <v>0</v>
      </c>
      <c r="X647" s="126" t="str">
        <f>IF(Table1[[#This Row],[Shipping Weight Pounds]]&gt;150,"See LTL Form","No")</f>
        <v>No</v>
      </c>
      <c r="Y647" s="28"/>
      <c r="Z647" s="33"/>
      <c r="AA647" s="34"/>
      <c r="AB647" s="30"/>
      <c r="AC647" s="30"/>
      <c r="AD647" s="32"/>
      <c r="AE647" s="32"/>
      <c r="AF647" s="2"/>
      <c r="AG647" s="2"/>
      <c r="AH647" s="2"/>
      <c r="AI647" s="2"/>
      <c r="AK647" s="73" t="str">
        <f>IF(ISNA(MATCH($N647,[1]data!$A:$A,0)),"",INDEX([1]data!S:S,MATCH($N647,[1]data!$A:$A,0)))</f>
        <v/>
      </c>
      <c r="AL647" s="73" t="str">
        <f>IF(ISNA(MATCH($N647,[1]data!$A:$A,0)),"",INDEX([1]data!V:V,MATCH($N647,[1]data!$A:$A,0)))</f>
        <v/>
      </c>
      <c r="AM647" s="38" t="str">
        <f>IF(ISNA(MATCH($N647,data!$A:$A,0)),"",INDEX(data!B:B,MATCH($N647,data!$A:$A,0)))</f>
        <v/>
      </c>
      <c r="AN647" s="38" t="str">
        <f>IF(ISNA(MATCH($N647,data!$A:$A,0)),"",INDEX(data!C:C,MATCH($N647,data!$A:$A,0)))</f>
        <v/>
      </c>
      <c r="AO647" s="38" t="str">
        <f>IF(ISNA(MATCH($N647,data!$A:$A,0)),"",INDEX(data!D:D,MATCH($N647,data!$A:$A,0)))</f>
        <v/>
      </c>
      <c r="AP647" s="38" t="str">
        <f>IF(ISNA(MATCH($N647,data!$A:$A,0)),"",INDEX(data!E:E,MATCH($N647,data!$A:$A,0)))</f>
        <v/>
      </c>
      <c r="AQ647" s="38" t="str">
        <f>IF(ISNA(MATCH($N647,data!$A:$A,0)),"",INDEX(data!F:F,MATCH($N647,data!$A:$A,0)))</f>
        <v/>
      </c>
      <c r="AR647" s="38" t="str">
        <f>IF(ISNA(MATCH($N647,data!$A:$A,0)),"",INDEX(data!G:G,MATCH($N647,data!$A:$A,0)))</f>
        <v/>
      </c>
      <c r="AS647" s="38" t="str">
        <f>IF(ISNA(MATCH($N647,data!$A:$A,0)),"",INDEX(data!H:H,MATCH($N647,data!$A:$A,0)))</f>
        <v/>
      </c>
      <c r="AT647" s="38" t="str">
        <f>IF(ISNA(MATCH($N647,data!$A:$A,0)),"",INDEX(data!I:I,MATCH($N647,data!$A:$A,0)))</f>
        <v/>
      </c>
      <c r="AU647" s="38" t="str">
        <f>IF(ISNA(MATCH($N647,[1]data!$A:$A,0)),"",INDEX([1]data!L:L,MATCH($N647,[1]data!$A:$A,0)))</f>
        <v/>
      </c>
      <c r="AV647" s="38" t="str">
        <f>IF(ISNA(MATCH($N647,[1]data!$A:$A,0)),"",INDEX([1]data!M:M,MATCH($N647,[1]data!$A:$A,0)))</f>
        <v/>
      </c>
      <c r="AW647" s="38" t="str">
        <f>IF(ISNA(MATCH($N647,data!$A:$A,0)),"",INDEX(data!J:J,MATCH($N647,data!$A:$A,0)))</f>
        <v/>
      </c>
      <c r="AX647" s="38" t="str">
        <f>IF(ISNA(MATCH($N647,data!$A:$A,0)),"",INDEX(data!K:K,MATCH($N647,data!$A:$A,0)))</f>
        <v/>
      </c>
      <c r="AY647" s="38" t="str">
        <f>IF(ISNA(MATCH($N647,data!$A:$A,0)),"",INDEX(data!O:O,MATCH($N647,data!$A:$A,0)))</f>
        <v/>
      </c>
      <c r="AZ647" s="38" t="str">
        <f>IF(ISNA(MATCH($N647,data!$A:$A,0)),"",INDEX(data!N:N,MATCH($N647,data!$A:$A,0)))</f>
        <v/>
      </c>
      <c r="BA647" s="38" t="str">
        <f>IF(ISNA(MATCH($N647,data!$A:$A,0)),"",INDEX(data!P:P,MATCH($N647,data!$A:$A,0)))</f>
        <v/>
      </c>
      <c r="BB647" s="38" t="str">
        <f>IF(ISNA(MATCH($N647,data!$A:$A,0)),"",INDEX(data!Q:Q,MATCH($N647,data!$A:$A,0)))</f>
        <v/>
      </c>
      <c r="BC647" s="38" t="str">
        <f>IF(ISNA(MATCH($N647,data!$A:$A,0)),"",INDEX(data!R:R,MATCH($N647,data!$A:$A,0)))</f>
        <v/>
      </c>
      <c r="BD647" s="38" t="str">
        <f>IF(ISNA(MATCH($N647,[1]data!$A:$A,0)),"",INDEX([1]data!U:U,MATCH($N647,[1]data!$A:$A,0)))</f>
        <v/>
      </c>
      <c r="BE647" s="61" t="e">
        <f>IF(COUNTIF([1]data!A:A,[1]!Table1[[#This Row],[UPC]])&lt;2,"","DUP")</f>
        <v>#VALUE!</v>
      </c>
      <c r="BF647" s="38" t="str">
        <f>IF(ISNA(MATCH($N647,data!$A:$A,0)),"",INDEX(data!W:W,MATCH($N647,data!$A:$A,0)))</f>
        <v/>
      </c>
    </row>
    <row r="648" spans="1:58">
      <c r="A648" s="35"/>
      <c r="B648" s="35"/>
      <c r="C648" s="35"/>
      <c r="D648" s="35"/>
      <c r="E648" s="67"/>
      <c r="F648" s="67"/>
      <c r="G648" s="36"/>
      <c r="H648" s="29"/>
      <c r="I648" s="78" t="str">
        <f t="shared" ref="I648:I711" si="16">IF(H648&lt;&gt;0,(H648-G648)/H648,"")</f>
        <v/>
      </c>
      <c r="J648" s="29"/>
      <c r="K648" s="29"/>
      <c r="L648" s="33"/>
      <c r="M648" s="33"/>
      <c r="N648" s="60"/>
      <c r="O648" s="71"/>
      <c r="P648" s="71"/>
      <c r="Q648" s="33"/>
      <c r="R648" s="31"/>
      <c r="S648" s="31"/>
      <c r="T648" s="59"/>
      <c r="U648" s="59"/>
      <c r="V648" s="59"/>
      <c r="W648" s="57">
        <f t="shared" ref="W648:W711" si="17">IF(ISERR(Q648*R648*S648),"",(Q648*R648*S648))</f>
        <v>0</v>
      </c>
      <c r="X648" s="126" t="str">
        <f>IF(Table1[[#This Row],[Shipping Weight Pounds]]&gt;150,"See LTL Form","No")</f>
        <v>No</v>
      </c>
      <c r="Y648" s="28"/>
      <c r="Z648" s="33"/>
      <c r="AA648" s="34"/>
      <c r="AB648" s="30"/>
      <c r="AC648" s="30"/>
      <c r="AD648" s="32"/>
      <c r="AE648" s="32"/>
      <c r="AF648" s="2"/>
      <c r="AG648" s="2"/>
      <c r="AH648" s="2"/>
      <c r="AI648" s="2"/>
      <c r="AK648" s="73" t="str">
        <f>IF(ISNA(MATCH($N648,[1]data!$A:$A,0)),"",INDEX([1]data!S:S,MATCH($N648,[1]data!$A:$A,0)))</f>
        <v/>
      </c>
      <c r="AL648" s="73" t="str">
        <f>IF(ISNA(MATCH($N648,[1]data!$A:$A,0)),"",INDEX([1]data!V:V,MATCH($N648,[1]data!$A:$A,0)))</f>
        <v/>
      </c>
      <c r="AM648" s="38" t="str">
        <f>IF(ISNA(MATCH($N648,data!$A:$A,0)),"",INDEX(data!B:B,MATCH($N648,data!$A:$A,0)))</f>
        <v/>
      </c>
      <c r="AN648" s="38" t="str">
        <f>IF(ISNA(MATCH($N648,data!$A:$A,0)),"",INDEX(data!C:C,MATCH($N648,data!$A:$A,0)))</f>
        <v/>
      </c>
      <c r="AO648" s="38" t="str">
        <f>IF(ISNA(MATCH($N648,data!$A:$A,0)),"",INDEX(data!D:D,MATCH($N648,data!$A:$A,0)))</f>
        <v/>
      </c>
      <c r="AP648" s="38" t="str">
        <f>IF(ISNA(MATCH($N648,data!$A:$A,0)),"",INDEX(data!E:E,MATCH($N648,data!$A:$A,0)))</f>
        <v/>
      </c>
      <c r="AQ648" s="38" t="str">
        <f>IF(ISNA(MATCH($N648,data!$A:$A,0)),"",INDEX(data!F:F,MATCH($N648,data!$A:$A,0)))</f>
        <v/>
      </c>
      <c r="AR648" s="38" t="str">
        <f>IF(ISNA(MATCH($N648,data!$A:$A,0)),"",INDEX(data!G:G,MATCH($N648,data!$A:$A,0)))</f>
        <v/>
      </c>
      <c r="AS648" s="38" t="str">
        <f>IF(ISNA(MATCH($N648,data!$A:$A,0)),"",INDEX(data!H:H,MATCH($N648,data!$A:$A,0)))</f>
        <v/>
      </c>
      <c r="AT648" s="38" t="str">
        <f>IF(ISNA(MATCH($N648,data!$A:$A,0)),"",INDEX(data!I:I,MATCH($N648,data!$A:$A,0)))</f>
        <v/>
      </c>
      <c r="AU648" s="38" t="str">
        <f>IF(ISNA(MATCH($N648,[1]data!$A:$A,0)),"",INDEX([1]data!L:L,MATCH($N648,[1]data!$A:$A,0)))</f>
        <v/>
      </c>
      <c r="AV648" s="38" t="str">
        <f>IF(ISNA(MATCH($N648,[1]data!$A:$A,0)),"",INDEX([1]data!M:M,MATCH($N648,[1]data!$A:$A,0)))</f>
        <v/>
      </c>
      <c r="AW648" s="38" t="str">
        <f>IF(ISNA(MATCH($N648,data!$A:$A,0)),"",INDEX(data!J:J,MATCH($N648,data!$A:$A,0)))</f>
        <v/>
      </c>
      <c r="AX648" s="38" t="str">
        <f>IF(ISNA(MATCH($N648,data!$A:$A,0)),"",INDEX(data!K:K,MATCH($N648,data!$A:$A,0)))</f>
        <v/>
      </c>
      <c r="AY648" s="38" t="str">
        <f>IF(ISNA(MATCH($N648,data!$A:$A,0)),"",INDEX(data!O:O,MATCH($N648,data!$A:$A,0)))</f>
        <v/>
      </c>
      <c r="AZ648" s="38" t="str">
        <f>IF(ISNA(MATCH($N648,data!$A:$A,0)),"",INDEX(data!N:N,MATCH($N648,data!$A:$A,0)))</f>
        <v/>
      </c>
      <c r="BA648" s="38" t="str">
        <f>IF(ISNA(MATCH($N648,data!$A:$A,0)),"",INDEX(data!P:P,MATCH($N648,data!$A:$A,0)))</f>
        <v/>
      </c>
      <c r="BB648" s="38" t="str">
        <f>IF(ISNA(MATCH($N648,data!$A:$A,0)),"",INDEX(data!Q:Q,MATCH($N648,data!$A:$A,0)))</f>
        <v/>
      </c>
      <c r="BC648" s="38" t="str">
        <f>IF(ISNA(MATCH($N648,data!$A:$A,0)),"",INDEX(data!R:R,MATCH($N648,data!$A:$A,0)))</f>
        <v/>
      </c>
      <c r="BD648" s="38" t="str">
        <f>IF(ISNA(MATCH($N648,[1]data!$A:$A,0)),"",INDEX([1]data!U:U,MATCH($N648,[1]data!$A:$A,0)))</f>
        <v/>
      </c>
      <c r="BE648" s="61" t="e">
        <f>IF(COUNTIF([1]data!A:A,[1]!Table1[[#This Row],[UPC]])&lt;2,"","DUP")</f>
        <v>#VALUE!</v>
      </c>
      <c r="BF648" s="38" t="str">
        <f>IF(ISNA(MATCH($N648,data!$A:$A,0)),"",INDEX(data!W:W,MATCH($N648,data!$A:$A,0)))</f>
        <v/>
      </c>
    </row>
    <row r="649" spans="1:58">
      <c r="A649" s="35"/>
      <c r="B649" s="35"/>
      <c r="C649" s="35"/>
      <c r="D649" s="35"/>
      <c r="E649" s="67"/>
      <c r="F649" s="67"/>
      <c r="G649" s="36"/>
      <c r="H649" s="29"/>
      <c r="I649" s="78" t="str">
        <f t="shared" si="16"/>
        <v/>
      </c>
      <c r="J649" s="29"/>
      <c r="K649" s="29"/>
      <c r="L649" s="33"/>
      <c r="M649" s="33"/>
      <c r="N649" s="60"/>
      <c r="O649" s="71"/>
      <c r="P649" s="71"/>
      <c r="Q649" s="33"/>
      <c r="R649" s="31"/>
      <c r="S649" s="31"/>
      <c r="T649" s="59"/>
      <c r="U649" s="59"/>
      <c r="V649" s="59"/>
      <c r="W649" s="57">
        <f t="shared" si="17"/>
        <v>0</v>
      </c>
      <c r="X649" s="126" t="str">
        <f>IF(Table1[[#This Row],[Shipping Weight Pounds]]&gt;150,"See LTL Form","No")</f>
        <v>No</v>
      </c>
      <c r="Y649" s="28"/>
      <c r="Z649" s="33"/>
      <c r="AA649" s="34"/>
      <c r="AB649" s="30"/>
      <c r="AC649" s="30"/>
      <c r="AD649" s="32"/>
      <c r="AE649" s="32"/>
      <c r="AF649" s="2"/>
      <c r="AG649" s="2"/>
      <c r="AH649" s="2"/>
      <c r="AI649" s="2"/>
      <c r="AK649" s="73" t="str">
        <f>IF(ISNA(MATCH($N649,[1]data!$A:$A,0)),"",INDEX([1]data!S:S,MATCH($N649,[1]data!$A:$A,0)))</f>
        <v/>
      </c>
      <c r="AL649" s="73" t="str">
        <f>IF(ISNA(MATCH($N649,[1]data!$A:$A,0)),"",INDEX([1]data!V:V,MATCH($N649,[1]data!$A:$A,0)))</f>
        <v/>
      </c>
      <c r="AM649" s="38" t="str">
        <f>IF(ISNA(MATCH($N649,data!$A:$A,0)),"",INDEX(data!B:B,MATCH($N649,data!$A:$A,0)))</f>
        <v/>
      </c>
      <c r="AN649" s="38" t="str">
        <f>IF(ISNA(MATCH($N649,data!$A:$A,0)),"",INDEX(data!C:C,MATCH($N649,data!$A:$A,0)))</f>
        <v/>
      </c>
      <c r="AO649" s="38" t="str">
        <f>IF(ISNA(MATCH($N649,data!$A:$A,0)),"",INDEX(data!D:D,MATCH($N649,data!$A:$A,0)))</f>
        <v/>
      </c>
      <c r="AP649" s="38" t="str">
        <f>IF(ISNA(MATCH($N649,data!$A:$A,0)),"",INDEX(data!E:E,MATCH($N649,data!$A:$A,0)))</f>
        <v/>
      </c>
      <c r="AQ649" s="38" t="str">
        <f>IF(ISNA(MATCH($N649,data!$A:$A,0)),"",INDEX(data!F:F,MATCH($N649,data!$A:$A,0)))</f>
        <v/>
      </c>
      <c r="AR649" s="38" t="str">
        <f>IF(ISNA(MATCH($N649,data!$A:$A,0)),"",INDEX(data!G:G,MATCH($N649,data!$A:$A,0)))</f>
        <v/>
      </c>
      <c r="AS649" s="38" t="str">
        <f>IF(ISNA(MATCH($N649,data!$A:$A,0)),"",INDEX(data!H:H,MATCH($N649,data!$A:$A,0)))</f>
        <v/>
      </c>
      <c r="AT649" s="38" t="str">
        <f>IF(ISNA(MATCH($N649,data!$A:$A,0)),"",INDEX(data!I:I,MATCH($N649,data!$A:$A,0)))</f>
        <v/>
      </c>
      <c r="AU649" s="38" t="str">
        <f>IF(ISNA(MATCH($N649,[1]data!$A:$A,0)),"",INDEX([1]data!L:L,MATCH($N649,[1]data!$A:$A,0)))</f>
        <v/>
      </c>
      <c r="AV649" s="38" t="str">
        <f>IF(ISNA(MATCH($N649,[1]data!$A:$A,0)),"",INDEX([1]data!M:M,MATCH($N649,[1]data!$A:$A,0)))</f>
        <v/>
      </c>
      <c r="AW649" s="38" t="str">
        <f>IF(ISNA(MATCH($N649,data!$A:$A,0)),"",INDEX(data!J:J,MATCH($N649,data!$A:$A,0)))</f>
        <v/>
      </c>
      <c r="AX649" s="38" t="str">
        <f>IF(ISNA(MATCH($N649,data!$A:$A,0)),"",INDEX(data!K:K,MATCH($N649,data!$A:$A,0)))</f>
        <v/>
      </c>
      <c r="AY649" s="38" t="str">
        <f>IF(ISNA(MATCH($N649,data!$A:$A,0)),"",INDEX(data!O:O,MATCH($N649,data!$A:$A,0)))</f>
        <v/>
      </c>
      <c r="AZ649" s="38" t="str">
        <f>IF(ISNA(MATCH($N649,data!$A:$A,0)),"",INDEX(data!N:N,MATCH($N649,data!$A:$A,0)))</f>
        <v/>
      </c>
      <c r="BA649" s="38" t="str">
        <f>IF(ISNA(MATCH($N649,data!$A:$A,0)),"",INDEX(data!P:P,MATCH($N649,data!$A:$A,0)))</f>
        <v/>
      </c>
      <c r="BB649" s="38" t="str">
        <f>IF(ISNA(MATCH($N649,data!$A:$A,0)),"",INDEX(data!Q:Q,MATCH($N649,data!$A:$A,0)))</f>
        <v/>
      </c>
      <c r="BC649" s="38" t="str">
        <f>IF(ISNA(MATCH($N649,data!$A:$A,0)),"",INDEX(data!R:R,MATCH($N649,data!$A:$A,0)))</f>
        <v/>
      </c>
      <c r="BD649" s="38" t="str">
        <f>IF(ISNA(MATCH($N649,[1]data!$A:$A,0)),"",INDEX([1]data!U:U,MATCH($N649,[1]data!$A:$A,0)))</f>
        <v/>
      </c>
      <c r="BE649" s="61" t="e">
        <f>IF(COUNTIF([1]data!A:A,[1]!Table1[[#This Row],[UPC]])&lt;2,"","DUP")</f>
        <v>#VALUE!</v>
      </c>
      <c r="BF649" s="38" t="str">
        <f>IF(ISNA(MATCH($N649,data!$A:$A,0)),"",INDEX(data!W:W,MATCH($N649,data!$A:$A,0)))</f>
        <v/>
      </c>
    </row>
    <row r="650" spans="1:58">
      <c r="A650" s="35"/>
      <c r="B650" s="35"/>
      <c r="C650" s="35"/>
      <c r="D650" s="35"/>
      <c r="E650" s="67"/>
      <c r="F650" s="67"/>
      <c r="G650" s="36"/>
      <c r="H650" s="29"/>
      <c r="I650" s="78" t="str">
        <f t="shared" si="16"/>
        <v/>
      </c>
      <c r="J650" s="29"/>
      <c r="K650" s="29"/>
      <c r="L650" s="33"/>
      <c r="M650" s="33"/>
      <c r="N650" s="60"/>
      <c r="O650" s="71"/>
      <c r="P650" s="71"/>
      <c r="Q650" s="33"/>
      <c r="R650" s="31"/>
      <c r="S650" s="31"/>
      <c r="T650" s="59"/>
      <c r="U650" s="59"/>
      <c r="V650" s="59"/>
      <c r="W650" s="57">
        <f t="shared" si="17"/>
        <v>0</v>
      </c>
      <c r="X650" s="126" t="str">
        <f>IF(Table1[[#This Row],[Shipping Weight Pounds]]&gt;150,"See LTL Form","No")</f>
        <v>No</v>
      </c>
      <c r="Y650" s="28"/>
      <c r="Z650" s="33"/>
      <c r="AA650" s="34"/>
      <c r="AB650" s="30"/>
      <c r="AC650" s="30"/>
      <c r="AD650" s="32"/>
      <c r="AE650" s="32"/>
      <c r="AF650" s="2"/>
      <c r="AG650" s="2"/>
      <c r="AH650" s="2"/>
      <c r="AI650" s="2"/>
      <c r="AK650" s="73" t="str">
        <f>IF(ISNA(MATCH($N650,[1]data!$A:$A,0)),"",INDEX([1]data!S:S,MATCH($N650,[1]data!$A:$A,0)))</f>
        <v/>
      </c>
      <c r="AL650" s="73" t="str">
        <f>IF(ISNA(MATCH($N650,[1]data!$A:$A,0)),"",INDEX([1]data!V:V,MATCH($N650,[1]data!$A:$A,0)))</f>
        <v/>
      </c>
      <c r="AM650" s="38" t="str">
        <f>IF(ISNA(MATCH($N650,data!$A:$A,0)),"",INDEX(data!B:B,MATCH($N650,data!$A:$A,0)))</f>
        <v/>
      </c>
      <c r="AN650" s="38" t="str">
        <f>IF(ISNA(MATCH($N650,data!$A:$A,0)),"",INDEX(data!C:C,MATCH($N650,data!$A:$A,0)))</f>
        <v/>
      </c>
      <c r="AO650" s="38" t="str">
        <f>IF(ISNA(MATCH($N650,data!$A:$A,0)),"",INDEX(data!D:D,MATCH($N650,data!$A:$A,0)))</f>
        <v/>
      </c>
      <c r="AP650" s="38" t="str">
        <f>IF(ISNA(MATCH($N650,data!$A:$A,0)),"",INDEX(data!E:E,MATCH($N650,data!$A:$A,0)))</f>
        <v/>
      </c>
      <c r="AQ650" s="38" t="str">
        <f>IF(ISNA(MATCH($N650,data!$A:$A,0)),"",INDEX(data!F:F,MATCH($N650,data!$A:$A,0)))</f>
        <v/>
      </c>
      <c r="AR650" s="38" t="str">
        <f>IF(ISNA(MATCH($N650,data!$A:$A,0)),"",INDEX(data!G:G,MATCH($N650,data!$A:$A,0)))</f>
        <v/>
      </c>
      <c r="AS650" s="38" t="str">
        <f>IF(ISNA(MATCH($N650,data!$A:$A,0)),"",INDEX(data!H:H,MATCH($N650,data!$A:$A,0)))</f>
        <v/>
      </c>
      <c r="AT650" s="38" t="str">
        <f>IF(ISNA(MATCH($N650,data!$A:$A,0)),"",INDEX(data!I:I,MATCH($N650,data!$A:$A,0)))</f>
        <v/>
      </c>
      <c r="AU650" s="38" t="str">
        <f>IF(ISNA(MATCH($N650,[1]data!$A:$A,0)),"",INDEX([1]data!L:L,MATCH($N650,[1]data!$A:$A,0)))</f>
        <v/>
      </c>
      <c r="AV650" s="38" t="str">
        <f>IF(ISNA(MATCH($N650,[1]data!$A:$A,0)),"",INDEX([1]data!M:M,MATCH($N650,[1]data!$A:$A,0)))</f>
        <v/>
      </c>
      <c r="AW650" s="38" t="str">
        <f>IF(ISNA(MATCH($N650,data!$A:$A,0)),"",INDEX(data!J:J,MATCH($N650,data!$A:$A,0)))</f>
        <v/>
      </c>
      <c r="AX650" s="38" t="str">
        <f>IF(ISNA(MATCH($N650,data!$A:$A,0)),"",INDEX(data!K:K,MATCH($N650,data!$A:$A,0)))</f>
        <v/>
      </c>
      <c r="AY650" s="38" t="str">
        <f>IF(ISNA(MATCH($N650,data!$A:$A,0)),"",INDEX(data!O:O,MATCH($N650,data!$A:$A,0)))</f>
        <v/>
      </c>
      <c r="AZ650" s="38" t="str">
        <f>IF(ISNA(MATCH($N650,data!$A:$A,0)),"",INDEX(data!N:N,MATCH($N650,data!$A:$A,0)))</f>
        <v/>
      </c>
      <c r="BA650" s="38" t="str">
        <f>IF(ISNA(MATCH($N650,data!$A:$A,0)),"",INDEX(data!P:P,MATCH($N650,data!$A:$A,0)))</f>
        <v/>
      </c>
      <c r="BB650" s="38" t="str">
        <f>IF(ISNA(MATCH($N650,data!$A:$A,0)),"",INDEX(data!Q:Q,MATCH($N650,data!$A:$A,0)))</f>
        <v/>
      </c>
      <c r="BC650" s="38" t="str">
        <f>IF(ISNA(MATCH($N650,data!$A:$A,0)),"",INDEX(data!R:R,MATCH($N650,data!$A:$A,0)))</f>
        <v/>
      </c>
      <c r="BD650" s="38" t="str">
        <f>IF(ISNA(MATCH($N650,[1]data!$A:$A,0)),"",INDEX([1]data!U:U,MATCH($N650,[1]data!$A:$A,0)))</f>
        <v/>
      </c>
      <c r="BE650" s="61" t="e">
        <f>IF(COUNTIF([1]data!A:A,[1]!Table1[[#This Row],[UPC]])&lt;2,"","DUP")</f>
        <v>#VALUE!</v>
      </c>
      <c r="BF650" s="38" t="str">
        <f>IF(ISNA(MATCH($N650,data!$A:$A,0)),"",INDEX(data!W:W,MATCH($N650,data!$A:$A,0)))</f>
        <v/>
      </c>
    </row>
    <row r="651" spans="1:58">
      <c r="A651" s="35"/>
      <c r="B651" s="35"/>
      <c r="C651" s="35"/>
      <c r="D651" s="35"/>
      <c r="E651" s="67"/>
      <c r="F651" s="67"/>
      <c r="G651" s="36"/>
      <c r="H651" s="29"/>
      <c r="I651" s="78" t="str">
        <f t="shared" si="16"/>
        <v/>
      </c>
      <c r="J651" s="29"/>
      <c r="K651" s="29"/>
      <c r="L651" s="33"/>
      <c r="M651" s="33"/>
      <c r="N651" s="60"/>
      <c r="O651" s="71"/>
      <c r="P651" s="71"/>
      <c r="Q651" s="33"/>
      <c r="R651" s="31"/>
      <c r="S651" s="31"/>
      <c r="T651" s="59"/>
      <c r="U651" s="59"/>
      <c r="V651" s="59"/>
      <c r="W651" s="57">
        <f t="shared" si="17"/>
        <v>0</v>
      </c>
      <c r="X651" s="126" t="str">
        <f>IF(Table1[[#This Row],[Shipping Weight Pounds]]&gt;150,"See LTL Form","No")</f>
        <v>No</v>
      </c>
      <c r="Y651" s="28"/>
      <c r="Z651" s="33"/>
      <c r="AA651" s="34"/>
      <c r="AB651" s="30"/>
      <c r="AC651" s="30"/>
      <c r="AD651" s="32"/>
      <c r="AE651" s="32"/>
      <c r="AF651" s="2"/>
      <c r="AG651" s="2"/>
      <c r="AH651" s="2"/>
      <c r="AI651" s="2"/>
      <c r="AK651" s="73" t="str">
        <f>IF(ISNA(MATCH($N651,[1]data!$A:$A,0)),"",INDEX([1]data!S:S,MATCH($N651,[1]data!$A:$A,0)))</f>
        <v/>
      </c>
      <c r="AL651" s="73" t="str">
        <f>IF(ISNA(MATCH($N651,[1]data!$A:$A,0)),"",INDEX([1]data!V:V,MATCH($N651,[1]data!$A:$A,0)))</f>
        <v/>
      </c>
      <c r="AM651" s="38" t="str">
        <f>IF(ISNA(MATCH($N651,data!$A:$A,0)),"",INDEX(data!B:B,MATCH($N651,data!$A:$A,0)))</f>
        <v/>
      </c>
      <c r="AN651" s="38" t="str">
        <f>IF(ISNA(MATCH($N651,data!$A:$A,0)),"",INDEX(data!C:C,MATCH($N651,data!$A:$A,0)))</f>
        <v/>
      </c>
      <c r="AO651" s="38" t="str">
        <f>IF(ISNA(MATCH($N651,data!$A:$A,0)),"",INDEX(data!D:D,MATCH($N651,data!$A:$A,0)))</f>
        <v/>
      </c>
      <c r="AP651" s="38" t="str">
        <f>IF(ISNA(MATCH($N651,data!$A:$A,0)),"",INDEX(data!E:E,MATCH($N651,data!$A:$A,0)))</f>
        <v/>
      </c>
      <c r="AQ651" s="38" t="str">
        <f>IF(ISNA(MATCH($N651,data!$A:$A,0)),"",INDEX(data!F:F,MATCH($N651,data!$A:$A,0)))</f>
        <v/>
      </c>
      <c r="AR651" s="38" t="str">
        <f>IF(ISNA(MATCH($N651,data!$A:$A,0)),"",INDEX(data!G:G,MATCH($N651,data!$A:$A,0)))</f>
        <v/>
      </c>
      <c r="AS651" s="38" t="str">
        <f>IF(ISNA(MATCH($N651,data!$A:$A,0)),"",INDEX(data!H:H,MATCH($N651,data!$A:$A,0)))</f>
        <v/>
      </c>
      <c r="AT651" s="38" t="str">
        <f>IF(ISNA(MATCH($N651,data!$A:$A,0)),"",INDEX(data!I:I,MATCH($N651,data!$A:$A,0)))</f>
        <v/>
      </c>
      <c r="AU651" s="38" t="str">
        <f>IF(ISNA(MATCH($N651,[1]data!$A:$A,0)),"",INDEX([1]data!L:L,MATCH($N651,[1]data!$A:$A,0)))</f>
        <v/>
      </c>
      <c r="AV651" s="38" t="str">
        <f>IF(ISNA(MATCH($N651,[1]data!$A:$A,0)),"",INDEX([1]data!M:M,MATCH($N651,[1]data!$A:$A,0)))</f>
        <v/>
      </c>
      <c r="AW651" s="38" t="str">
        <f>IF(ISNA(MATCH($N651,data!$A:$A,0)),"",INDEX(data!J:J,MATCH($N651,data!$A:$A,0)))</f>
        <v/>
      </c>
      <c r="AX651" s="38" t="str">
        <f>IF(ISNA(MATCH($N651,data!$A:$A,0)),"",INDEX(data!K:K,MATCH($N651,data!$A:$A,0)))</f>
        <v/>
      </c>
      <c r="AY651" s="38" t="str">
        <f>IF(ISNA(MATCH($N651,data!$A:$A,0)),"",INDEX(data!O:O,MATCH($N651,data!$A:$A,0)))</f>
        <v/>
      </c>
      <c r="AZ651" s="38" t="str">
        <f>IF(ISNA(MATCH($N651,data!$A:$A,0)),"",INDEX(data!N:N,MATCH($N651,data!$A:$A,0)))</f>
        <v/>
      </c>
      <c r="BA651" s="38" t="str">
        <f>IF(ISNA(MATCH($N651,data!$A:$A,0)),"",INDEX(data!P:P,MATCH($N651,data!$A:$A,0)))</f>
        <v/>
      </c>
      <c r="BB651" s="38" t="str">
        <f>IF(ISNA(MATCH($N651,data!$A:$A,0)),"",INDEX(data!Q:Q,MATCH($N651,data!$A:$A,0)))</f>
        <v/>
      </c>
      <c r="BC651" s="38" t="str">
        <f>IF(ISNA(MATCH($N651,data!$A:$A,0)),"",INDEX(data!R:R,MATCH($N651,data!$A:$A,0)))</f>
        <v/>
      </c>
      <c r="BD651" s="38" t="str">
        <f>IF(ISNA(MATCH($N651,[1]data!$A:$A,0)),"",INDEX([1]data!U:U,MATCH($N651,[1]data!$A:$A,0)))</f>
        <v/>
      </c>
      <c r="BE651" s="61" t="e">
        <f>IF(COUNTIF([1]data!A:A,[1]!Table1[[#This Row],[UPC]])&lt;2,"","DUP")</f>
        <v>#VALUE!</v>
      </c>
      <c r="BF651" s="38" t="str">
        <f>IF(ISNA(MATCH($N651,data!$A:$A,0)),"",INDEX(data!W:W,MATCH($N651,data!$A:$A,0)))</f>
        <v/>
      </c>
    </row>
    <row r="652" spans="1:58">
      <c r="A652" s="35"/>
      <c r="B652" s="35"/>
      <c r="C652" s="35"/>
      <c r="D652" s="35"/>
      <c r="E652" s="67"/>
      <c r="F652" s="67"/>
      <c r="G652" s="36"/>
      <c r="H652" s="29"/>
      <c r="I652" s="78" t="str">
        <f t="shared" si="16"/>
        <v/>
      </c>
      <c r="J652" s="29"/>
      <c r="K652" s="29"/>
      <c r="L652" s="33"/>
      <c r="M652" s="33"/>
      <c r="N652" s="60"/>
      <c r="O652" s="71"/>
      <c r="P652" s="71"/>
      <c r="Q652" s="33"/>
      <c r="R652" s="31"/>
      <c r="S652" s="31"/>
      <c r="T652" s="59"/>
      <c r="U652" s="59"/>
      <c r="V652" s="59"/>
      <c r="W652" s="57">
        <f t="shared" si="17"/>
        <v>0</v>
      </c>
      <c r="X652" s="126" t="str">
        <f>IF(Table1[[#This Row],[Shipping Weight Pounds]]&gt;150,"See LTL Form","No")</f>
        <v>No</v>
      </c>
      <c r="Y652" s="28"/>
      <c r="Z652" s="33"/>
      <c r="AA652" s="34"/>
      <c r="AB652" s="30"/>
      <c r="AC652" s="30"/>
      <c r="AD652" s="32"/>
      <c r="AE652" s="32"/>
      <c r="AF652" s="2"/>
      <c r="AG652" s="2"/>
      <c r="AH652" s="2"/>
      <c r="AI652" s="2"/>
      <c r="AK652" s="73" t="str">
        <f>IF(ISNA(MATCH($N652,[1]data!$A:$A,0)),"",INDEX([1]data!S:S,MATCH($N652,[1]data!$A:$A,0)))</f>
        <v/>
      </c>
      <c r="AL652" s="73" t="str">
        <f>IF(ISNA(MATCH($N652,[1]data!$A:$A,0)),"",INDEX([1]data!V:V,MATCH($N652,[1]data!$A:$A,0)))</f>
        <v/>
      </c>
      <c r="AM652" s="38" t="str">
        <f>IF(ISNA(MATCH($N652,data!$A:$A,0)),"",INDEX(data!B:B,MATCH($N652,data!$A:$A,0)))</f>
        <v/>
      </c>
      <c r="AN652" s="38" t="str">
        <f>IF(ISNA(MATCH($N652,data!$A:$A,0)),"",INDEX(data!C:C,MATCH($N652,data!$A:$A,0)))</f>
        <v/>
      </c>
      <c r="AO652" s="38" t="str">
        <f>IF(ISNA(MATCH($N652,data!$A:$A,0)),"",INDEX(data!D:D,MATCH($N652,data!$A:$A,0)))</f>
        <v/>
      </c>
      <c r="AP652" s="38" t="str">
        <f>IF(ISNA(MATCH($N652,data!$A:$A,0)),"",INDEX(data!E:E,MATCH($N652,data!$A:$A,0)))</f>
        <v/>
      </c>
      <c r="AQ652" s="38" t="str">
        <f>IF(ISNA(MATCH($N652,data!$A:$A,0)),"",INDEX(data!F:F,MATCH($N652,data!$A:$A,0)))</f>
        <v/>
      </c>
      <c r="AR652" s="38" t="str">
        <f>IF(ISNA(MATCH($N652,data!$A:$A,0)),"",INDEX(data!G:G,MATCH($N652,data!$A:$A,0)))</f>
        <v/>
      </c>
      <c r="AS652" s="38" t="str">
        <f>IF(ISNA(MATCH($N652,data!$A:$A,0)),"",INDEX(data!H:H,MATCH($N652,data!$A:$A,0)))</f>
        <v/>
      </c>
      <c r="AT652" s="38" t="str">
        <f>IF(ISNA(MATCH($N652,data!$A:$A,0)),"",INDEX(data!I:I,MATCH($N652,data!$A:$A,0)))</f>
        <v/>
      </c>
      <c r="AU652" s="38" t="str">
        <f>IF(ISNA(MATCH($N652,[1]data!$A:$A,0)),"",INDEX([1]data!L:L,MATCH($N652,[1]data!$A:$A,0)))</f>
        <v/>
      </c>
      <c r="AV652" s="38" t="str">
        <f>IF(ISNA(MATCH($N652,[1]data!$A:$A,0)),"",INDEX([1]data!M:M,MATCH($N652,[1]data!$A:$A,0)))</f>
        <v/>
      </c>
      <c r="AW652" s="38" t="str">
        <f>IF(ISNA(MATCH($N652,data!$A:$A,0)),"",INDEX(data!J:J,MATCH($N652,data!$A:$A,0)))</f>
        <v/>
      </c>
      <c r="AX652" s="38" t="str">
        <f>IF(ISNA(MATCH($N652,data!$A:$A,0)),"",INDEX(data!K:K,MATCH($N652,data!$A:$A,0)))</f>
        <v/>
      </c>
      <c r="AY652" s="38" t="str">
        <f>IF(ISNA(MATCH($N652,data!$A:$A,0)),"",INDEX(data!O:O,MATCH($N652,data!$A:$A,0)))</f>
        <v/>
      </c>
      <c r="AZ652" s="38" t="str">
        <f>IF(ISNA(MATCH($N652,data!$A:$A,0)),"",INDEX(data!N:N,MATCH($N652,data!$A:$A,0)))</f>
        <v/>
      </c>
      <c r="BA652" s="38" t="str">
        <f>IF(ISNA(MATCH($N652,data!$A:$A,0)),"",INDEX(data!P:P,MATCH($N652,data!$A:$A,0)))</f>
        <v/>
      </c>
      <c r="BB652" s="38" t="str">
        <f>IF(ISNA(MATCH($N652,data!$A:$A,0)),"",INDEX(data!Q:Q,MATCH($N652,data!$A:$A,0)))</f>
        <v/>
      </c>
      <c r="BC652" s="38" t="str">
        <f>IF(ISNA(MATCH($N652,data!$A:$A,0)),"",INDEX(data!R:R,MATCH($N652,data!$A:$A,0)))</f>
        <v/>
      </c>
      <c r="BD652" s="38" t="str">
        <f>IF(ISNA(MATCH($N652,[1]data!$A:$A,0)),"",INDEX([1]data!U:U,MATCH($N652,[1]data!$A:$A,0)))</f>
        <v/>
      </c>
      <c r="BE652" s="61" t="e">
        <f>IF(COUNTIF([1]data!A:A,[1]!Table1[[#This Row],[UPC]])&lt;2,"","DUP")</f>
        <v>#VALUE!</v>
      </c>
      <c r="BF652" s="38" t="str">
        <f>IF(ISNA(MATCH($N652,data!$A:$A,0)),"",INDEX(data!W:W,MATCH($N652,data!$A:$A,0)))</f>
        <v/>
      </c>
    </row>
    <row r="653" spans="1:58">
      <c r="A653" s="35"/>
      <c r="B653" s="35"/>
      <c r="C653" s="35"/>
      <c r="D653" s="35"/>
      <c r="E653" s="67"/>
      <c r="F653" s="67"/>
      <c r="G653" s="36"/>
      <c r="H653" s="29"/>
      <c r="I653" s="78" t="str">
        <f t="shared" si="16"/>
        <v/>
      </c>
      <c r="J653" s="29"/>
      <c r="K653" s="29"/>
      <c r="L653" s="33"/>
      <c r="M653" s="33"/>
      <c r="N653" s="60"/>
      <c r="O653" s="71"/>
      <c r="P653" s="71"/>
      <c r="Q653" s="33"/>
      <c r="R653" s="31"/>
      <c r="S653" s="31"/>
      <c r="T653" s="59"/>
      <c r="U653" s="59"/>
      <c r="V653" s="59"/>
      <c r="W653" s="57">
        <f t="shared" si="17"/>
        <v>0</v>
      </c>
      <c r="X653" s="126" t="str">
        <f>IF(Table1[[#This Row],[Shipping Weight Pounds]]&gt;150,"See LTL Form","No")</f>
        <v>No</v>
      </c>
      <c r="Y653" s="28"/>
      <c r="Z653" s="33"/>
      <c r="AA653" s="34"/>
      <c r="AB653" s="30"/>
      <c r="AC653" s="30"/>
      <c r="AD653" s="32"/>
      <c r="AE653" s="32"/>
      <c r="AF653" s="2"/>
      <c r="AG653" s="2"/>
      <c r="AH653" s="2"/>
      <c r="AI653" s="2"/>
      <c r="AK653" s="73" t="str">
        <f>IF(ISNA(MATCH($N653,[1]data!$A:$A,0)),"",INDEX([1]data!S:S,MATCH($N653,[1]data!$A:$A,0)))</f>
        <v/>
      </c>
      <c r="AL653" s="73" t="str">
        <f>IF(ISNA(MATCH($N653,[1]data!$A:$A,0)),"",INDEX([1]data!V:V,MATCH($N653,[1]data!$A:$A,0)))</f>
        <v/>
      </c>
      <c r="AM653" s="38" t="str">
        <f>IF(ISNA(MATCH($N653,data!$A:$A,0)),"",INDEX(data!B:B,MATCH($N653,data!$A:$A,0)))</f>
        <v/>
      </c>
      <c r="AN653" s="38" t="str">
        <f>IF(ISNA(MATCH($N653,data!$A:$A,0)),"",INDEX(data!C:C,MATCH($N653,data!$A:$A,0)))</f>
        <v/>
      </c>
      <c r="AO653" s="38" t="str">
        <f>IF(ISNA(MATCH($N653,data!$A:$A,0)),"",INDEX(data!D:D,MATCH($N653,data!$A:$A,0)))</f>
        <v/>
      </c>
      <c r="AP653" s="38" t="str">
        <f>IF(ISNA(MATCH($N653,data!$A:$A,0)),"",INDEX(data!E:E,MATCH($N653,data!$A:$A,0)))</f>
        <v/>
      </c>
      <c r="AQ653" s="38" t="str">
        <f>IF(ISNA(MATCH($N653,data!$A:$A,0)),"",INDEX(data!F:F,MATCH($N653,data!$A:$A,0)))</f>
        <v/>
      </c>
      <c r="AR653" s="38" t="str">
        <f>IF(ISNA(MATCH($N653,data!$A:$A,0)),"",INDEX(data!G:G,MATCH($N653,data!$A:$A,0)))</f>
        <v/>
      </c>
      <c r="AS653" s="38" t="str">
        <f>IF(ISNA(MATCH($N653,data!$A:$A,0)),"",INDEX(data!H:H,MATCH($N653,data!$A:$A,0)))</f>
        <v/>
      </c>
      <c r="AT653" s="38" t="str">
        <f>IF(ISNA(MATCH($N653,data!$A:$A,0)),"",INDEX(data!I:I,MATCH($N653,data!$A:$A,0)))</f>
        <v/>
      </c>
      <c r="AU653" s="38" t="str">
        <f>IF(ISNA(MATCH($N653,[1]data!$A:$A,0)),"",INDEX([1]data!L:L,MATCH($N653,[1]data!$A:$A,0)))</f>
        <v/>
      </c>
      <c r="AV653" s="38" t="str">
        <f>IF(ISNA(MATCH($N653,[1]data!$A:$A,0)),"",INDEX([1]data!M:M,MATCH($N653,[1]data!$A:$A,0)))</f>
        <v/>
      </c>
      <c r="AW653" s="38" t="str">
        <f>IF(ISNA(MATCH($N653,data!$A:$A,0)),"",INDEX(data!J:J,MATCH($N653,data!$A:$A,0)))</f>
        <v/>
      </c>
      <c r="AX653" s="38" t="str">
        <f>IF(ISNA(MATCH($N653,data!$A:$A,0)),"",INDEX(data!K:K,MATCH($N653,data!$A:$A,0)))</f>
        <v/>
      </c>
      <c r="AY653" s="38" t="str">
        <f>IF(ISNA(MATCH($N653,data!$A:$A,0)),"",INDEX(data!O:O,MATCH($N653,data!$A:$A,0)))</f>
        <v/>
      </c>
      <c r="AZ653" s="38" t="str">
        <f>IF(ISNA(MATCH($N653,data!$A:$A,0)),"",INDEX(data!N:N,MATCH($N653,data!$A:$A,0)))</f>
        <v/>
      </c>
      <c r="BA653" s="38" t="str">
        <f>IF(ISNA(MATCH($N653,data!$A:$A,0)),"",INDEX(data!P:P,MATCH($N653,data!$A:$A,0)))</f>
        <v/>
      </c>
      <c r="BB653" s="38" t="str">
        <f>IF(ISNA(MATCH($N653,data!$A:$A,0)),"",INDEX(data!Q:Q,MATCH($N653,data!$A:$A,0)))</f>
        <v/>
      </c>
      <c r="BC653" s="38" t="str">
        <f>IF(ISNA(MATCH($N653,data!$A:$A,0)),"",INDEX(data!R:R,MATCH($N653,data!$A:$A,0)))</f>
        <v/>
      </c>
      <c r="BD653" s="38" t="str">
        <f>IF(ISNA(MATCH($N653,[1]data!$A:$A,0)),"",INDEX([1]data!U:U,MATCH($N653,[1]data!$A:$A,0)))</f>
        <v/>
      </c>
      <c r="BE653" s="61" t="e">
        <f>IF(COUNTIF([1]data!A:A,[1]!Table1[[#This Row],[UPC]])&lt;2,"","DUP")</f>
        <v>#VALUE!</v>
      </c>
      <c r="BF653" s="38" t="str">
        <f>IF(ISNA(MATCH($N653,data!$A:$A,0)),"",INDEX(data!W:W,MATCH($N653,data!$A:$A,0)))</f>
        <v/>
      </c>
    </row>
    <row r="654" spans="1:58">
      <c r="A654" s="35"/>
      <c r="B654" s="35"/>
      <c r="C654" s="35"/>
      <c r="D654" s="35"/>
      <c r="E654" s="67"/>
      <c r="F654" s="67"/>
      <c r="G654" s="36"/>
      <c r="H654" s="29"/>
      <c r="I654" s="78" t="str">
        <f t="shared" si="16"/>
        <v/>
      </c>
      <c r="J654" s="29"/>
      <c r="K654" s="29"/>
      <c r="L654" s="33"/>
      <c r="M654" s="33"/>
      <c r="N654" s="60"/>
      <c r="O654" s="71"/>
      <c r="P654" s="71"/>
      <c r="Q654" s="33"/>
      <c r="R654" s="31"/>
      <c r="S654" s="31"/>
      <c r="T654" s="59"/>
      <c r="U654" s="59"/>
      <c r="V654" s="59"/>
      <c r="W654" s="57">
        <f t="shared" si="17"/>
        <v>0</v>
      </c>
      <c r="X654" s="126" t="str">
        <f>IF(Table1[[#This Row],[Shipping Weight Pounds]]&gt;150,"See LTL Form","No")</f>
        <v>No</v>
      </c>
      <c r="Y654" s="28"/>
      <c r="Z654" s="33"/>
      <c r="AA654" s="34"/>
      <c r="AB654" s="30"/>
      <c r="AC654" s="30"/>
      <c r="AD654" s="32"/>
      <c r="AE654" s="32"/>
      <c r="AF654" s="2"/>
      <c r="AG654" s="2"/>
      <c r="AH654" s="2"/>
      <c r="AI654" s="2"/>
      <c r="AK654" s="73" t="str">
        <f>IF(ISNA(MATCH($N654,[1]data!$A:$A,0)),"",INDEX([1]data!S:S,MATCH($N654,[1]data!$A:$A,0)))</f>
        <v/>
      </c>
      <c r="AL654" s="73" t="str">
        <f>IF(ISNA(MATCH($N654,[1]data!$A:$A,0)),"",INDEX([1]data!V:V,MATCH($N654,[1]data!$A:$A,0)))</f>
        <v/>
      </c>
      <c r="AM654" s="38" t="str">
        <f>IF(ISNA(MATCH($N654,data!$A:$A,0)),"",INDEX(data!B:B,MATCH($N654,data!$A:$A,0)))</f>
        <v/>
      </c>
      <c r="AN654" s="38" t="str">
        <f>IF(ISNA(MATCH($N654,data!$A:$A,0)),"",INDEX(data!C:C,MATCH($N654,data!$A:$A,0)))</f>
        <v/>
      </c>
      <c r="AO654" s="38" t="str">
        <f>IF(ISNA(MATCH($N654,data!$A:$A,0)),"",INDEX(data!D:D,MATCH($N654,data!$A:$A,0)))</f>
        <v/>
      </c>
      <c r="AP654" s="38" t="str">
        <f>IF(ISNA(MATCH($N654,data!$A:$A,0)),"",INDEX(data!E:E,MATCH($N654,data!$A:$A,0)))</f>
        <v/>
      </c>
      <c r="AQ654" s="38" t="str">
        <f>IF(ISNA(MATCH($N654,data!$A:$A,0)),"",INDEX(data!F:F,MATCH($N654,data!$A:$A,0)))</f>
        <v/>
      </c>
      <c r="AR654" s="38" t="str">
        <f>IF(ISNA(MATCH($N654,data!$A:$A,0)),"",INDEX(data!G:G,MATCH($N654,data!$A:$A,0)))</f>
        <v/>
      </c>
      <c r="AS654" s="38" t="str">
        <f>IF(ISNA(MATCH($N654,data!$A:$A,0)),"",INDEX(data!H:H,MATCH($N654,data!$A:$A,0)))</f>
        <v/>
      </c>
      <c r="AT654" s="38" t="str">
        <f>IF(ISNA(MATCH($N654,data!$A:$A,0)),"",INDEX(data!I:I,MATCH($N654,data!$A:$A,0)))</f>
        <v/>
      </c>
      <c r="AU654" s="38" t="str">
        <f>IF(ISNA(MATCH($N654,[1]data!$A:$A,0)),"",INDEX([1]data!L:L,MATCH($N654,[1]data!$A:$A,0)))</f>
        <v/>
      </c>
      <c r="AV654" s="38" t="str">
        <f>IF(ISNA(MATCH($N654,[1]data!$A:$A,0)),"",INDEX([1]data!M:M,MATCH($N654,[1]data!$A:$A,0)))</f>
        <v/>
      </c>
      <c r="AW654" s="38" t="str">
        <f>IF(ISNA(MATCH($N654,data!$A:$A,0)),"",INDEX(data!J:J,MATCH($N654,data!$A:$A,0)))</f>
        <v/>
      </c>
      <c r="AX654" s="38" t="str">
        <f>IF(ISNA(MATCH($N654,data!$A:$A,0)),"",INDEX(data!K:K,MATCH($N654,data!$A:$A,0)))</f>
        <v/>
      </c>
      <c r="AY654" s="38" t="str">
        <f>IF(ISNA(MATCH($N654,data!$A:$A,0)),"",INDEX(data!O:O,MATCH($N654,data!$A:$A,0)))</f>
        <v/>
      </c>
      <c r="AZ654" s="38" t="str">
        <f>IF(ISNA(MATCH($N654,data!$A:$A,0)),"",INDEX(data!N:N,MATCH($N654,data!$A:$A,0)))</f>
        <v/>
      </c>
      <c r="BA654" s="38" t="str">
        <f>IF(ISNA(MATCH($N654,data!$A:$A,0)),"",INDEX(data!P:P,MATCH($N654,data!$A:$A,0)))</f>
        <v/>
      </c>
      <c r="BB654" s="38" t="str">
        <f>IF(ISNA(MATCH($N654,data!$A:$A,0)),"",INDEX(data!Q:Q,MATCH($N654,data!$A:$A,0)))</f>
        <v/>
      </c>
      <c r="BC654" s="38" t="str">
        <f>IF(ISNA(MATCH($N654,data!$A:$A,0)),"",INDEX(data!R:R,MATCH($N654,data!$A:$A,0)))</f>
        <v/>
      </c>
      <c r="BD654" s="38" t="str">
        <f>IF(ISNA(MATCH($N654,[1]data!$A:$A,0)),"",INDEX([1]data!U:U,MATCH($N654,[1]data!$A:$A,0)))</f>
        <v/>
      </c>
      <c r="BE654" s="61" t="e">
        <f>IF(COUNTIF([1]data!A:A,[1]!Table1[[#This Row],[UPC]])&lt;2,"","DUP")</f>
        <v>#VALUE!</v>
      </c>
      <c r="BF654" s="38" t="str">
        <f>IF(ISNA(MATCH($N654,data!$A:$A,0)),"",INDEX(data!W:W,MATCH($N654,data!$A:$A,0)))</f>
        <v/>
      </c>
    </row>
    <row r="655" spans="1:58">
      <c r="A655" s="35"/>
      <c r="B655" s="35"/>
      <c r="C655" s="35"/>
      <c r="D655" s="35"/>
      <c r="E655" s="67"/>
      <c r="F655" s="67"/>
      <c r="G655" s="36"/>
      <c r="H655" s="29"/>
      <c r="I655" s="78" t="str">
        <f t="shared" si="16"/>
        <v/>
      </c>
      <c r="J655" s="29"/>
      <c r="K655" s="29"/>
      <c r="L655" s="33"/>
      <c r="M655" s="33"/>
      <c r="N655" s="60"/>
      <c r="O655" s="71"/>
      <c r="P655" s="71"/>
      <c r="Q655" s="33"/>
      <c r="R655" s="31"/>
      <c r="S655" s="31"/>
      <c r="T655" s="59"/>
      <c r="U655" s="59"/>
      <c r="V655" s="59"/>
      <c r="W655" s="57">
        <f t="shared" si="17"/>
        <v>0</v>
      </c>
      <c r="X655" s="126" t="str">
        <f>IF(Table1[[#This Row],[Shipping Weight Pounds]]&gt;150,"See LTL Form","No")</f>
        <v>No</v>
      </c>
      <c r="Y655" s="28"/>
      <c r="Z655" s="33"/>
      <c r="AA655" s="34"/>
      <c r="AB655" s="30"/>
      <c r="AC655" s="30"/>
      <c r="AD655" s="32"/>
      <c r="AE655" s="32"/>
      <c r="AF655" s="2"/>
      <c r="AG655" s="2"/>
      <c r="AH655" s="2"/>
      <c r="AI655" s="2"/>
      <c r="AK655" s="73" t="str">
        <f>IF(ISNA(MATCH($N655,[1]data!$A:$A,0)),"",INDEX([1]data!S:S,MATCH($N655,[1]data!$A:$A,0)))</f>
        <v/>
      </c>
      <c r="AL655" s="73" t="str">
        <f>IF(ISNA(MATCH($N655,[1]data!$A:$A,0)),"",INDEX([1]data!V:V,MATCH($N655,[1]data!$A:$A,0)))</f>
        <v/>
      </c>
      <c r="AM655" s="38" t="str">
        <f>IF(ISNA(MATCH($N655,data!$A:$A,0)),"",INDEX(data!B:B,MATCH($N655,data!$A:$A,0)))</f>
        <v/>
      </c>
      <c r="AN655" s="38" t="str">
        <f>IF(ISNA(MATCH($N655,data!$A:$A,0)),"",INDEX(data!C:C,MATCH($N655,data!$A:$A,0)))</f>
        <v/>
      </c>
      <c r="AO655" s="38" t="str">
        <f>IF(ISNA(MATCH($N655,data!$A:$A,0)),"",INDEX(data!D:D,MATCH($N655,data!$A:$A,0)))</f>
        <v/>
      </c>
      <c r="AP655" s="38" t="str">
        <f>IF(ISNA(MATCH($N655,data!$A:$A,0)),"",INDEX(data!E:E,MATCH($N655,data!$A:$A,0)))</f>
        <v/>
      </c>
      <c r="AQ655" s="38" t="str">
        <f>IF(ISNA(MATCH($N655,data!$A:$A,0)),"",INDEX(data!F:F,MATCH($N655,data!$A:$A,0)))</f>
        <v/>
      </c>
      <c r="AR655" s="38" t="str">
        <f>IF(ISNA(MATCH($N655,data!$A:$A,0)),"",INDEX(data!G:G,MATCH($N655,data!$A:$A,0)))</f>
        <v/>
      </c>
      <c r="AS655" s="38" t="str">
        <f>IF(ISNA(MATCH($N655,data!$A:$A,0)),"",INDEX(data!H:H,MATCH($N655,data!$A:$A,0)))</f>
        <v/>
      </c>
      <c r="AT655" s="38" t="str">
        <f>IF(ISNA(MATCH($N655,data!$A:$A,0)),"",INDEX(data!I:I,MATCH($N655,data!$A:$A,0)))</f>
        <v/>
      </c>
      <c r="AU655" s="38" t="str">
        <f>IF(ISNA(MATCH($N655,[1]data!$A:$A,0)),"",INDEX([1]data!L:L,MATCH($N655,[1]data!$A:$A,0)))</f>
        <v/>
      </c>
      <c r="AV655" s="38" t="str">
        <f>IF(ISNA(MATCH($N655,[1]data!$A:$A,0)),"",INDEX([1]data!M:M,MATCH($N655,[1]data!$A:$A,0)))</f>
        <v/>
      </c>
      <c r="AW655" s="38" t="str">
        <f>IF(ISNA(MATCH($N655,data!$A:$A,0)),"",INDEX(data!J:J,MATCH($N655,data!$A:$A,0)))</f>
        <v/>
      </c>
      <c r="AX655" s="38" t="str">
        <f>IF(ISNA(MATCH($N655,data!$A:$A,0)),"",INDEX(data!K:K,MATCH($N655,data!$A:$A,0)))</f>
        <v/>
      </c>
      <c r="AY655" s="38" t="str">
        <f>IF(ISNA(MATCH($N655,data!$A:$A,0)),"",INDEX(data!O:O,MATCH($N655,data!$A:$A,0)))</f>
        <v/>
      </c>
      <c r="AZ655" s="38" t="str">
        <f>IF(ISNA(MATCH($N655,data!$A:$A,0)),"",INDEX(data!N:N,MATCH($N655,data!$A:$A,0)))</f>
        <v/>
      </c>
      <c r="BA655" s="38" t="str">
        <f>IF(ISNA(MATCH($N655,data!$A:$A,0)),"",INDEX(data!P:P,MATCH($N655,data!$A:$A,0)))</f>
        <v/>
      </c>
      <c r="BB655" s="38" t="str">
        <f>IF(ISNA(MATCH($N655,data!$A:$A,0)),"",INDEX(data!Q:Q,MATCH($N655,data!$A:$A,0)))</f>
        <v/>
      </c>
      <c r="BC655" s="38" t="str">
        <f>IF(ISNA(MATCH($N655,data!$A:$A,0)),"",INDEX(data!R:R,MATCH($N655,data!$A:$A,0)))</f>
        <v/>
      </c>
      <c r="BD655" s="38" t="str">
        <f>IF(ISNA(MATCH($N655,[1]data!$A:$A,0)),"",INDEX([1]data!U:U,MATCH($N655,[1]data!$A:$A,0)))</f>
        <v/>
      </c>
      <c r="BE655" s="61" t="e">
        <f>IF(COUNTIF([1]data!A:A,[1]!Table1[[#This Row],[UPC]])&lt;2,"","DUP")</f>
        <v>#VALUE!</v>
      </c>
      <c r="BF655" s="38" t="str">
        <f>IF(ISNA(MATCH($N655,data!$A:$A,0)),"",INDEX(data!W:W,MATCH($N655,data!$A:$A,0)))</f>
        <v/>
      </c>
    </row>
    <row r="656" spans="1:58">
      <c r="A656" s="35"/>
      <c r="B656" s="35"/>
      <c r="C656" s="35"/>
      <c r="D656" s="35"/>
      <c r="E656" s="67"/>
      <c r="F656" s="67"/>
      <c r="G656" s="36"/>
      <c r="H656" s="29"/>
      <c r="I656" s="78" t="str">
        <f t="shared" si="16"/>
        <v/>
      </c>
      <c r="J656" s="29"/>
      <c r="K656" s="29"/>
      <c r="L656" s="33"/>
      <c r="M656" s="33"/>
      <c r="N656" s="60"/>
      <c r="O656" s="71"/>
      <c r="P656" s="71"/>
      <c r="Q656" s="33"/>
      <c r="R656" s="31"/>
      <c r="S656" s="31"/>
      <c r="T656" s="59"/>
      <c r="U656" s="59"/>
      <c r="V656" s="59"/>
      <c r="W656" s="57">
        <f t="shared" si="17"/>
        <v>0</v>
      </c>
      <c r="X656" s="126" t="str">
        <f>IF(Table1[[#This Row],[Shipping Weight Pounds]]&gt;150,"See LTL Form","No")</f>
        <v>No</v>
      </c>
      <c r="Y656" s="28"/>
      <c r="Z656" s="33"/>
      <c r="AA656" s="34"/>
      <c r="AB656" s="30"/>
      <c r="AC656" s="30"/>
      <c r="AD656" s="32"/>
      <c r="AE656" s="32"/>
      <c r="AF656" s="2"/>
      <c r="AG656" s="2"/>
      <c r="AH656" s="2"/>
      <c r="AI656" s="2"/>
      <c r="AK656" s="73" t="str">
        <f>IF(ISNA(MATCH($N656,[1]data!$A:$A,0)),"",INDEX([1]data!S:S,MATCH($N656,[1]data!$A:$A,0)))</f>
        <v/>
      </c>
      <c r="AL656" s="73" t="str">
        <f>IF(ISNA(MATCH($N656,[1]data!$A:$A,0)),"",INDEX([1]data!V:V,MATCH($N656,[1]data!$A:$A,0)))</f>
        <v/>
      </c>
      <c r="AM656" s="38" t="str">
        <f>IF(ISNA(MATCH($N656,data!$A:$A,0)),"",INDEX(data!B:B,MATCH($N656,data!$A:$A,0)))</f>
        <v/>
      </c>
      <c r="AN656" s="38" t="str">
        <f>IF(ISNA(MATCH($N656,data!$A:$A,0)),"",INDEX(data!C:C,MATCH($N656,data!$A:$A,0)))</f>
        <v/>
      </c>
      <c r="AO656" s="38" t="str">
        <f>IF(ISNA(MATCH($N656,data!$A:$A,0)),"",INDEX(data!D:D,MATCH($N656,data!$A:$A,0)))</f>
        <v/>
      </c>
      <c r="AP656" s="38" t="str">
        <f>IF(ISNA(MATCH($N656,data!$A:$A,0)),"",INDEX(data!E:E,MATCH($N656,data!$A:$A,0)))</f>
        <v/>
      </c>
      <c r="AQ656" s="38" t="str">
        <f>IF(ISNA(MATCH($N656,data!$A:$A,0)),"",INDEX(data!F:F,MATCH($N656,data!$A:$A,0)))</f>
        <v/>
      </c>
      <c r="AR656" s="38" t="str">
        <f>IF(ISNA(MATCH($N656,data!$A:$A,0)),"",INDEX(data!G:G,MATCH($N656,data!$A:$A,0)))</f>
        <v/>
      </c>
      <c r="AS656" s="38" t="str">
        <f>IF(ISNA(MATCH($N656,data!$A:$A,0)),"",INDEX(data!H:H,MATCH($N656,data!$A:$A,0)))</f>
        <v/>
      </c>
      <c r="AT656" s="38" t="str">
        <f>IF(ISNA(MATCH($N656,data!$A:$A,0)),"",INDEX(data!I:I,MATCH($N656,data!$A:$A,0)))</f>
        <v/>
      </c>
      <c r="AU656" s="38" t="str">
        <f>IF(ISNA(MATCH($N656,[1]data!$A:$A,0)),"",INDEX([1]data!L:L,MATCH($N656,[1]data!$A:$A,0)))</f>
        <v/>
      </c>
      <c r="AV656" s="38" t="str">
        <f>IF(ISNA(MATCH($N656,[1]data!$A:$A,0)),"",INDEX([1]data!M:M,MATCH($N656,[1]data!$A:$A,0)))</f>
        <v/>
      </c>
      <c r="AW656" s="38" t="str">
        <f>IF(ISNA(MATCH($N656,data!$A:$A,0)),"",INDEX(data!J:J,MATCH($N656,data!$A:$A,0)))</f>
        <v/>
      </c>
      <c r="AX656" s="38" t="str">
        <f>IF(ISNA(MATCH($N656,data!$A:$A,0)),"",INDEX(data!K:K,MATCH($N656,data!$A:$A,0)))</f>
        <v/>
      </c>
      <c r="AY656" s="38" t="str">
        <f>IF(ISNA(MATCH($N656,data!$A:$A,0)),"",INDEX(data!O:O,MATCH($N656,data!$A:$A,0)))</f>
        <v/>
      </c>
      <c r="AZ656" s="38" t="str">
        <f>IF(ISNA(MATCH($N656,data!$A:$A,0)),"",INDEX(data!N:N,MATCH($N656,data!$A:$A,0)))</f>
        <v/>
      </c>
      <c r="BA656" s="38" t="str">
        <f>IF(ISNA(MATCH($N656,data!$A:$A,0)),"",INDEX(data!P:P,MATCH($N656,data!$A:$A,0)))</f>
        <v/>
      </c>
      <c r="BB656" s="38" t="str">
        <f>IF(ISNA(MATCH($N656,data!$A:$A,0)),"",INDEX(data!Q:Q,MATCH($N656,data!$A:$A,0)))</f>
        <v/>
      </c>
      <c r="BC656" s="38" t="str">
        <f>IF(ISNA(MATCH($N656,data!$A:$A,0)),"",INDEX(data!R:R,MATCH($N656,data!$A:$A,0)))</f>
        <v/>
      </c>
      <c r="BD656" s="38" t="str">
        <f>IF(ISNA(MATCH($N656,[1]data!$A:$A,0)),"",INDEX([1]data!U:U,MATCH($N656,[1]data!$A:$A,0)))</f>
        <v/>
      </c>
      <c r="BE656" s="61" t="e">
        <f>IF(COUNTIF([1]data!A:A,[1]!Table1[[#This Row],[UPC]])&lt;2,"","DUP")</f>
        <v>#VALUE!</v>
      </c>
      <c r="BF656" s="38" t="str">
        <f>IF(ISNA(MATCH($N656,data!$A:$A,0)),"",INDEX(data!W:W,MATCH($N656,data!$A:$A,0)))</f>
        <v/>
      </c>
    </row>
    <row r="657" spans="1:58">
      <c r="A657" s="35"/>
      <c r="B657" s="35"/>
      <c r="C657" s="35"/>
      <c r="D657" s="35"/>
      <c r="E657" s="67"/>
      <c r="F657" s="67"/>
      <c r="G657" s="36"/>
      <c r="H657" s="29"/>
      <c r="I657" s="78" t="str">
        <f t="shared" si="16"/>
        <v/>
      </c>
      <c r="J657" s="29"/>
      <c r="K657" s="29"/>
      <c r="L657" s="33"/>
      <c r="M657" s="33"/>
      <c r="N657" s="60"/>
      <c r="O657" s="71"/>
      <c r="P657" s="71"/>
      <c r="Q657" s="33"/>
      <c r="R657" s="31"/>
      <c r="S657" s="31"/>
      <c r="T657" s="59"/>
      <c r="U657" s="59"/>
      <c r="V657" s="59"/>
      <c r="W657" s="57">
        <f t="shared" si="17"/>
        <v>0</v>
      </c>
      <c r="X657" s="126" t="str">
        <f>IF(Table1[[#This Row],[Shipping Weight Pounds]]&gt;150,"See LTL Form","No")</f>
        <v>No</v>
      </c>
      <c r="Y657" s="28"/>
      <c r="Z657" s="33"/>
      <c r="AA657" s="34"/>
      <c r="AB657" s="30"/>
      <c r="AC657" s="30"/>
      <c r="AD657" s="32"/>
      <c r="AE657" s="32"/>
      <c r="AF657" s="2"/>
      <c r="AG657" s="2"/>
      <c r="AH657" s="2"/>
      <c r="AI657" s="2"/>
      <c r="AK657" s="73" t="str">
        <f>IF(ISNA(MATCH($N657,[1]data!$A:$A,0)),"",INDEX([1]data!S:S,MATCH($N657,[1]data!$A:$A,0)))</f>
        <v/>
      </c>
      <c r="AL657" s="73" t="str">
        <f>IF(ISNA(MATCH($N657,[1]data!$A:$A,0)),"",INDEX([1]data!V:V,MATCH($N657,[1]data!$A:$A,0)))</f>
        <v/>
      </c>
      <c r="AM657" s="38" t="str">
        <f>IF(ISNA(MATCH($N657,data!$A:$A,0)),"",INDEX(data!B:B,MATCH($N657,data!$A:$A,0)))</f>
        <v/>
      </c>
      <c r="AN657" s="38" t="str">
        <f>IF(ISNA(MATCH($N657,data!$A:$A,0)),"",INDEX(data!C:C,MATCH($N657,data!$A:$A,0)))</f>
        <v/>
      </c>
      <c r="AO657" s="38" t="str">
        <f>IF(ISNA(MATCH($N657,data!$A:$A,0)),"",INDEX(data!D:D,MATCH($N657,data!$A:$A,0)))</f>
        <v/>
      </c>
      <c r="AP657" s="38" t="str">
        <f>IF(ISNA(MATCH($N657,data!$A:$A,0)),"",INDEX(data!E:E,MATCH($N657,data!$A:$A,0)))</f>
        <v/>
      </c>
      <c r="AQ657" s="38" t="str">
        <f>IF(ISNA(MATCH($N657,data!$A:$A,0)),"",INDEX(data!F:F,MATCH($N657,data!$A:$A,0)))</f>
        <v/>
      </c>
      <c r="AR657" s="38" t="str">
        <f>IF(ISNA(MATCH($N657,data!$A:$A,0)),"",INDEX(data!G:G,MATCH($N657,data!$A:$A,0)))</f>
        <v/>
      </c>
      <c r="AS657" s="38" t="str">
        <f>IF(ISNA(MATCH($N657,data!$A:$A,0)),"",INDEX(data!H:H,MATCH($N657,data!$A:$A,0)))</f>
        <v/>
      </c>
      <c r="AT657" s="38" t="str">
        <f>IF(ISNA(MATCH($N657,data!$A:$A,0)),"",INDEX(data!I:I,MATCH($N657,data!$A:$A,0)))</f>
        <v/>
      </c>
      <c r="AU657" s="38" t="str">
        <f>IF(ISNA(MATCH($N657,[1]data!$A:$A,0)),"",INDEX([1]data!L:L,MATCH($N657,[1]data!$A:$A,0)))</f>
        <v/>
      </c>
      <c r="AV657" s="38" t="str">
        <f>IF(ISNA(MATCH($N657,[1]data!$A:$A,0)),"",INDEX([1]data!M:M,MATCH($N657,[1]data!$A:$A,0)))</f>
        <v/>
      </c>
      <c r="AW657" s="38" t="str">
        <f>IF(ISNA(MATCH($N657,data!$A:$A,0)),"",INDEX(data!J:J,MATCH($N657,data!$A:$A,0)))</f>
        <v/>
      </c>
      <c r="AX657" s="38" t="str">
        <f>IF(ISNA(MATCH($N657,data!$A:$A,0)),"",INDEX(data!K:K,MATCH($N657,data!$A:$A,0)))</f>
        <v/>
      </c>
      <c r="AY657" s="38" t="str">
        <f>IF(ISNA(MATCH($N657,data!$A:$A,0)),"",INDEX(data!O:O,MATCH($N657,data!$A:$A,0)))</f>
        <v/>
      </c>
      <c r="AZ657" s="38" t="str">
        <f>IF(ISNA(MATCH($N657,data!$A:$A,0)),"",INDEX(data!N:N,MATCH($N657,data!$A:$A,0)))</f>
        <v/>
      </c>
      <c r="BA657" s="38" t="str">
        <f>IF(ISNA(MATCH($N657,data!$A:$A,0)),"",INDEX(data!P:P,MATCH($N657,data!$A:$A,0)))</f>
        <v/>
      </c>
      <c r="BB657" s="38" t="str">
        <f>IF(ISNA(MATCH($N657,data!$A:$A,0)),"",INDEX(data!Q:Q,MATCH($N657,data!$A:$A,0)))</f>
        <v/>
      </c>
      <c r="BC657" s="38" t="str">
        <f>IF(ISNA(MATCH($N657,data!$A:$A,0)),"",INDEX(data!R:R,MATCH($N657,data!$A:$A,0)))</f>
        <v/>
      </c>
      <c r="BD657" s="38" t="str">
        <f>IF(ISNA(MATCH($N657,[1]data!$A:$A,0)),"",INDEX([1]data!U:U,MATCH($N657,[1]data!$A:$A,0)))</f>
        <v/>
      </c>
      <c r="BE657" s="61" t="e">
        <f>IF(COUNTIF([1]data!A:A,[1]!Table1[[#This Row],[UPC]])&lt;2,"","DUP")</f>
        <v>#VALUE!</v>
      </c>
      <c r="BF657" s="38" t="str">
        <f>IF(ISNA(MATCH($N657,data!$A:$A,0)),"",INDEX(data!W:W,MATCH($N657,data!$A:$A,0)))</f>
        <v/>
      </c>
    </row>
    <row r="658" spans="1:58">
      <c r="A658" s="35"/>
      <c r="B658" s="35"/>
      <c r="C658" s="35"/>
      <c r="D658" s="35"/>
      <c r="E658" s="67"/>
      <c r="F658" s="67"/>
      <c r="G658" s="36"/>
      <c r="H658" s="29"/>
      <c r="I658" s="78" t="str">
        <f t="shared" si="16"/>
        <v/>
      </c>
      <c r="J658" s="29"/>
      <c r="K658" s="29"/>
      <c r="L658" s="33"/>
      <c r="M658" s="33"/>
      <c r="N658" s="60"/>
      <c r="O658" s="71"/>
      <c r="P658" s="71"/>
      <c r="Q658" s="33"/>
      <c r="R658" s="31"/>
      <c r="S658" s="31"/>
      <c r="T658" s="59"/>
      <c r="U658" s="59"/>
      <c r="V658" s="59"/>
      <c r="W658" s="57">
        <f t="shared" si="17"/>
        <v>0</v>
      </c>
      <c r="X658" s="126" t="str">
        <f>IF(Table1[[#This Row],[Shipping Weight Pounds]]&gt;150,"See LTL Form","No")</f>
        <v>No</v>
      </c>
      <c r="Y658" s="28"/>
      <c r="Z658" s="33"/>
      <c r="AA658" s="34"/>
      <c r="AB658" s="30"/>
      <c r="AC658" s="30"/>
      <c r="AD658" s="32"/>
      <c r="AE658" s="32"/>
      <c r="AF658" s="2"/>
      <c r="AG658" s="2"/>
      <c r="AH658" s="2"/>
      <c r="AI658" s="2"/>
      <c r="AK658" s="73" t="str">
        <f>IF(ISNA(MATCH($N658,[1]data!$A:$A,0)),"",INDEX([1]data!S:S,MATCH($N658,[1]data!$A:$A,0)))</f>
        <v/>
      </c>
      <c r="AL658" s="73" t="str">
        <f>IF(ISNA(MATCH($N658,[1]data!$A:$A,0)),"",INDEX([1]data!V:V,MATCH($N658,[1]data!$A:$A,0)))</f>
        <v/>
      </c>
      <c r="AM658" s="38" t="str">
        <f>IF(ISNA(MATCH($N658,data!$A:$A,0)),"",INDEX(data!B:B,MATCH($N658,data!$A:$A,0)))</f>
        <v/>
      </c>
      <c r="AN658" s="38" t="str">
        <f>IF(ISNA(MATCH($N658,data!$A:$A,0)),"",INDEX(data!C:C,MATCH($N658,data!$A:$A,0)))</f>
        <v/>
      </c>
      <c r="AO658" s="38" t="str">
        <f>IF(ISNA(MATCH($N658,data!$A:$A,0)),"",INDEX(data!D:D,MATCH($N658,data!$A:$A,0)))</f>
        <v/>
      </c>
      <c r="AP658" s="38" t="str">
        <f>IF(ISNA(MATCH($N658,data!$A:$A,0)),"",INDEX(data!E:E,MATCH($N658,data!$A:$A,0)))</f>
        <v/>
      </c>
      <c r="AQ658" s="38" t="str">
        <f>IF(ISNA(MATCH($N658,data!$A:$A,0)),"",INDEX(data!F:F,MATCH($N658,data!$A:$A,0)))</f>
        <v/>
      </c>
      <c r="AR658" s="38" t="str">
        <f>IF(ISNA(MATCH($N658,data!$A:$A,0)),"",INDEX(data!G:G,MATCH($N658,data!$A:$A,0)))</f>
        <v/>
      </c>
      <c r="AS658" s="38" t="str">
        <f>IF(ISNA(MATCH($N658,data!$A:$A,0)),"",INDEX(data!H:H,MATCH($N658,data!$A:$A,0)))</f>
        <v/>
      </c>
      <c r="AT658" s="38" t="str">
        <f>IF(ISNA(MATCH($N658,data!$A:$A,0)),"",INDEX(data!I:I,MATCH($N658,data!$A:$A,0)))</f>
        <v/>
      </c>
      <c r="AU658" s="38" t="str">
        <f>IF(ISNA(MATCH($N658,[1]data!$A:$A,0)),"",INDEX([1]data!L:L,MATCH($N658,[1]data!$A:$A,0)))</f>
        <v/>
      </c>
      <c r="AV658" s="38" t="str">
        <f>IF(ISNA(MATCH($N658,[1]data!$A:$A,0)),"",INDEX([1]data!M:M,MATCH($N658,[1]data!$A:$A,0)))</f>
        <v/>
      </c>
      <c r="AW658" s="38" t="str">
        <f>IF(ISNA(MATCH($N658,data!$A:$A,0)),"",INDEX(data!J:J,MATCH($N658,data!$A:$A,0)))</f>
        <v/>
      </c>
      <c r="AX658" s="38" t="str">
        <f>IF(ISNA(MATCH($N658,data!$A:$A,0)),"",INDEX(data!K:K,MATCH($N658,data!$A:$A,0)))</f>
        <v/>
      </c>
      <c r="AY658" s="38" t="str">
        <f>IF(ISNA(MATCH($N658,data!$A:$A,0)),"",INDEX(data!O:O,MATCH($N658,data!$A:$A,0)))</f>
        <v/>
      </c>
      <c r="AZ658" s="38" t="str">
        <f>IF(ISNA(MATCH($N658,data!$A:$A,0)),"",INDEX(data!N:N,MATCH($N658,data!$A:$A,0)))</f>
        <v/>
      </c>
      <c r="BA658" s="38" t="str">
        <f>IF(ISNA(MATCH($N658,data!$A:$A,0)),"",INDEX(data!P:P,MATCH($N658,data!$A:$A,0)))</f>
        <v/>
      </c>
      <c r="BB658" s="38" t="str">
        <f>IF(ISNA(MATCH($N658,data!$A:$A,0)),"",INDEX(data!Q:Q,MATCH($N658,data!$A:$A,0)))</f>
        <v/>
      </c>
      <c r="BC658" s="38" t="str">
        <f>IF(ISNA(MATCH($N658,data!$A:$A,0)),"",INDEX(data!R:R,MATCH($N658,data!$A:$A,0)))</f>
        <v/>
      </c>
      <c r="BD658" s="38" t="str">
        <f>IF(ISNA(MATCH($N658,[1]data!$A:$A,0)),"",INDEX([1]data!U:U,MATCH($N658,[1]data!$A:$A,0)))</f>
        <v/>
      </c>
      <c r="BE658" s="61" t="e">
        <f>IF(COUNTIF([1]data!A:A,[1]!Table1[[#This Row],[UPC]])&lt;2,"","DUP")</f>
        <v>#VALUE!</v>
      </c>
      <c r="BF658" s="38" t="str">
        <f>IF(ISNA(MATCH($N658,data!$A:$A,0)),"",INDEX(data!W:W,MATCH($N658,data!$A:$A,0)))</f>
        <v/>
      </c>
    </row>
    <row r="659" spans="1:58">
      <c r="A659" s="35"/>
      <c r="B659" s="35"/>
      <c r="C659" s="35"/>
      <c r="D659" s="35"/>
      <c r="E659" s="67"/>
      <c r="F659" s="67"/>
      <c r="G659" s="36"/>
      <c r="H659" s="29"/>
      <c r="I659" s="78" t="str">
        <f t="shared" si="16"/>
        <v/>
      </c>
      <c r="J659" s="29"/>
      <c r="K659" s="29"/>
      <c r="L659" s="33"/>
      <c r="M659" s="33"/>
      <c r="N659" s="60"/>
      <c r="O659" s="71"/>
      <c r="P659" s="71"/>
      <c r="Q659" s="33"/>
      <c r="R659" s="31"/>
      <c r="S659" s="31"/>
      <c r="T659" s="59"/>
      <c r="U659" s="59"/>
      <c r="V659" s="59"/>
      <c r="W659" s="57">
        <f t="shared" si="17"/>
        <v>0</v>
      </c>
      <c r="X659" s="126" t="str">
        <f>IF(Table1[[#This Row],[Shipping Weight Pounds]]&gt;150,"See LTL Form","No")</f>
        <v>No</v>
      </c>
      <c r="Y659" s="28"/>
      <c r="Z659" s="33"/>
      <c r="AA659" s="34"/>
      <c r="AB659" s="30"/>
      <c r="AC659" s="30"/>
      <c r="AD659" s="32"/>
      <c r="AE659" s="32"/>
      <c r="AF659" s="2"/>
      <c r="AG659" s="2"/>
      <c r="AH659" s="2"/>
      <c r="AI659" s="2"/>
      <c r="AK659" s="73" t="str">
        <f>IF(ISNA(MATCH($N659,[1]data!$A:$A,0)),"",INDEX([1]data!S:S,MATCH($N659,[1]data!$A:$A,0)))</f>
        <v/>
      </c>
      <c r="AL659" s="73" t="str">
        <f>IF(ISNA(MATCH($N659,[1]data!$A:$A,0)),"",INDEX([1]data!V:V,MATCH($N659,[1]data!$A:$A,0)))</f>
        <v/>
      </c>
      <c r="AM659" s="38" t="str">
        <f>IF(ISNA(MATCH($N659,data!$A:$A,0)),"",INDEX(data!B:B,MATCH($N659,data!$A:$A,0)))</f>
        <v/>
      </c>
      <c r="AN659" s="38" t="str">
        <f>IF(ISNA(MATCH($N659,data!$A:$A,0)),"",INDEX(data!C:C,MATCH($N659,data!$A:$A,0)))</f>
        <v/>
      </c>
      <c r="AO659" s="38" t="str">
        <f>IF(ISNA(MATCH($N659,data!$A:$A,0)),"",INDEX(data!D:D,MATCH($N659,data!$A:$A,0)))</f>
        <v/>
      </c>
      <c r="AP659" s="38" t="str">
        <f>IF(ISNA(MATCH($N659,data!$A:$A,0)),"",INDEX(data!E:E,MATCH($N659,data!$A:$A,0)))</f>
        <v/>
      </c>
      <c r="AQ659" s="38" t="str">
        <f>IF(ISNA(MATCH($N659,data!$A:$A,0)),"",INDEX(data!F:F,MATCH($N659,data!$A:$A,0)))</f>
        <v/>
      </c>
      <c r="AR659" s="38" t="str">
        <f>IF(ISNA(MATCH($N659,data!$A:$A,0)),"",INDEX(data!G:G,MATCH($N659,data!$A:$A,0)))</f>
        <v/>
      </c>
      <c r="AS659" s="38" t="str">
        <f>IF(ISNA(MATCH($N659,data!$A:$A,0)),"",INDEX(data!H:H,MATCH($N659,data!$A:$A,0)))</f>
        <v/>
      </c>
      <c r="AT659" s="38" t="str">
        <f>IF(ISNA(MATCH($N659,data!$A:$A,0)),"",INDEX(data!I:I,MATCH($N659,data!$A:$A,0)))</f>
        <v/>
      </c>
      <c r="AU659" s="38" t="str">
        <f>IF(ISNA(MATCH($N659,[1]data!$A:$A,0)),"",INDEX([1]data!L:L,MATCH($N659,[1]data!$A:$A,0)))</f>
        <v/>
      </c>
      <c r="AV659" s="38" t="str">
        <f>IF(ISNA(MATCH($N659,[1]data!$A:$A,0)),"",INDEX([1]data!M:M,MATCH($N659,[1]data!$A:$A,0)))</f>
        <v/>
      </c>
      <c r="AW659" s="38" t="str">
        <f>IF(ISNA(MATCH($N659,data!$A:$A,0)),"",INDEX(data!J:J,MATCH($N659,data!$A:$A,0)))</f>
        <v/>
      </c>
      <c r="AX659" s="38" t="str">
        <f>IF(ISNA(MATCH($N659,data!$A:$A,0)),"",INDEX(data!K:K,MATCH($N659,data!$A:$A,0)))</f>
        <v/>
      </c>
      <c r="AY659" s="38" t="str">
        <f>IF(ISNA(MATCH($N659,data!$A:$A,0)),"",INDEX(data!O:O,MATCH($N659,data!$A:$A,0)))</f>
        <v/>
      </c>
      <c r="AZ659" s="38" t="str">
        <f>IF(ISNA(MATCH($N659,data!$A:$A,0)),"",INDEX(data!N:N,MATCH($N659,data!$A:$A,0)))</f>
        <v/>
      </c>
      <c r="BA659" s="38" t="str">
        <f>IF(ISNA(MATCH($N659,data!$A:$A,0)),"",INDEX(data!P:P,MATCH($N659,data!$A:$A,0)))</f>
        <v/>
      </c>
      <c r="BB659" s="38" t="str">
        <f>IF(ISNA(MATCH($N659,data!$A:$A,0)),"",INDEX(data!Q:Q,MATCH($N659,data!$A:$A,0)))</f>
        <v/>
      </c>
      <c r="BC659" s="38" t="str">
        <f>IF(ISNA(MATCH($N659,data!$A:$A,0)),"",INDEX(data!R:R,MATCH($N659,data!$A:$A,0)))</f>
        <v/>
      </c>
      <c r="BD659" s="38" t="str">
        <f>IF(ISNA(MATCH($N659,[1]data!$A:$A,0)),"",INDEX([1]data!U:U,MATCH($N659,[1]data!$A:$A,0)))</f>
        <v/>
      </c>
      <c r="BE659" s="61" t="e">
        <f>IF(COUNTIF([1]data!A:A,[1]!Table1[[#This Row],[UPC]])&lt;2,"","DUP")</f>
        <v>#VALUE!</v>
      </c>
      <c r="BF659" s="38" t="str">
        <f>IF(ISNA(MATCH($N659,data!$A:$A,0)),"",INDEX(data!W:W,MATCH($N659,data!$A:$A,0)))</f>
        <v/>
      </c>
    </row>
    <row r="660" spans="1:58">
      <c r="A660" s="35"/>
      <c r="B660" s="35"/>
      <c r="C660" s="35"/>
      <c r="D660" s="35"/>
      <c r="E660" s="67"/>
      <c r="F660" s="67"/>
      <c r="G660" s="36"/>
      <c r="H660" s="29"/>
      <c r="I660" s="78" t="str">
        <f t="shared" si="16"/>
        <v/>
      </c>
      <c r="J660" s="29"/>
      <c r="K660" s="29"/>
      <c r="L660" s="33"/>
      <c r="M660" s="33"/>
      <c r="N660" s="60"/>
      <c r="O660" s="71"/>
      <c r="P660" s="71"/>
      <c r="Q660" s="33"/>
      <c r="R660" s="31"/>
      <c r="S660" s="31"/>
      <c r="T660" s="59"/>
      <c r="U660" s="59"/>
      <c r="V660" s="59"/>
      <c r="W660" s="57">
        <f t="shared" si="17"/>
        <v>0</v>
      </c>
      <c r="X660" s="126" t="str">
        <f>IF(Table1[[#This Row],[Shipping Weight Pounds]]&gt;150,"See LTL Form","No")</f>
        <v>No</v>
      </c>
      <c r="Y660" s="28"/>
      <c r="Z660" s="33"/>
      <c r="AA660" s="34"/>
      <c r="AB660" s="30"/>
      <c r="AC660" s="30"/>
      <c r="AD660" s="32"/>
      <c r="AE660" s="32"/>
      <c r="AF660" s="2"/>
      <c r="AG660" s="2"/>
      <c r="AH660" s="2"/>
      <c r="AI660" s="2"/>
      <c r="AK660" s="73" t="str">
        <f>IF(ISNA(MATCH($N660,[1]data!$A:$A,0)),"",INDEX([1]data!S:S,MATCH($N660,[1]data!$A:$A,0)))</f>
        <v/>
      </c>
      <c r="AL660" s="73" t="str">
        <f>IF(ISNA(MATCH($N660,[1]data!$A:$A,0)),"",INDEX([1]data!V:V,MATCH($N660,[1]data!$A:$A,0)))</f>
        <v/>
      </c>
      <c r="AM660" s="38" t="str">
        <f>IF(ISNA(MATCH($N660,data!$A:$A,0)),"",INDEX(data!B:B,MATCH($N660,data!$A:$A,0)))</f>
        <v/>
      </c>
      <c r="AN660" s="38" t="str">
        <f>IF(ISNA(MATCH($N660,data!$A:$A,0)),"",INDEX(data!C:C,MATCH($N660,data!$A:$A,0)))</f>
        <v/>
      </c>
      <c r="AO660" s="38" t="str">
        <f>IF(ISNA(MATCH($N660,data!$A:$A,0)),"",INDEX(data!D:D,MATCH($N660,data!$A:$A,0)))</f>
        <v/>
      </c>
      <c r="AP660" s="38" t="str">
        <f>IF(ISNA(MATCH($N660,data!$A:$A,0)),"",INDEX(data!E:E,MATCH($N660,data!$A:$A,0)))</f>
        <v/>
      </c>
      <c r="AQ660" s="38" t="str">
        <f>IF(ISNA(MATCH($N660,data!$A:$A,0)),"",INDEX(data!F:F,MATCH($N660,data!$A:$A,0)))</f>
        <v/>
      </c>
      <c r="AR660" s="38" t="str">
        <f>IF(ISNA(MATCH($N660,data!$A:$A,0)),"",INDEX(data!G:G,MATCH($N660,data!$A:$A,0)))</f>
        <v/>
      </c>
      <c r="AS660" s="38" t="str">
        <f>IF(ISNA(MATCH($N660,data!$A:$A,0)),"",INDEX(data!H:H,MATCH($N660,data!$A:$A,0)))</f>
        <v/>
      </c>
      <c r="AT660" s="38" t="str">
        <f>IF(ISNA(MATCH($N660,data!$A:$A,0)),"",INDEX(data!I:I,MATCH($N660,data!$A:$A,0)))</f>
        <v/>
      </c>
      <c r="AU660" s="38" t="str">
        <f>IF(ISNA(MATCH($N660,[1]data!$A:$A,0)),"",INDEX([1]data!L:L,MATCH($N660,[1]data!$A:$A,0)))</f>
        <v/>
      </c>
      <c r="AV660" s="38" t="str">
        <f>IF(ISNA(MATCH($N660,[1]data!$A:$A,0)),"",INDEX([1]data!M:M,MATCH($N660,[1]data!$A:$A,0)))</f>
        <v/>
      </c>
      <c r="AW660" s="38" t="str">
        <f>IF(ISNA(MATCH($N660,data!$A:$A,0)),"",INDEX(data!J:J,MATCH($N660,data!$A:$A,0)))</f>
        <v/>
      </c>
      <c r="AX660" s="38" t="str">
        <f>IF(ISNA(MATCH($N660,data!$A:$A,0)),"",INDEX(data!K:K,MATCH($N660,data!$A:$A,0)))</f>
        <v/>
      </c>
      <c r="AY660" s="38" t="str">
        <f>IF(ISNA(MATCH($N660,data!$A:$A,0)),"",INDEX(data!O:O,MATCH($N660,data!$A:$A,0)))</f>
        <v/>
      </c>
      <c r="AZ660" s="38" t="str">
        <f>IF(ISNA(MATCH($N660,data!$A:$A,0)),"",INDEX(data!N:N,MATCH($N660,data!$A:$A,0)))</f>
        <v/>
      </c>
      <c r="BA660" s="38" t="str">
        <f>IF(ISNA(MATCH($N660,data!$A:$A,0)),"",INDEX(data!P:P,MATCH($N660,data!$A:$A,0)))</f>
        <v/>
      </c>
      <c r="BB660" s="38" t="str">
        <f>IF(ISNA(MATCH($N660,data!$A:$A,0)),"",INDEX(data!Q:Q,MATCH($N660,data!$A:$A,0)))</f>
        <v/>
      </c>
      <c r="BC660" s="38" t="str">
        <f>IF(ISNA(MATCH($N660,data!$A:$A,0)),"",INDEX(data!R:R,MATCH($N660,data!$A:$A,0)))</f>
        <v/>
      </c>
      <c r="BD660" s="38" t="str">
        <f>IF(ISNA(MATCH($N660,[1]data!$A:$A,0)),"",INDEX([1]data!U:U,MATCH($N660,[1]data!$A:$A,0)))</f>
        <v/>
      </c>
      <c r="BE660" s="61" t="e">
        <f>IF(COUNTIF([1]data!A:A,[1]!Table1[[#This Row],[UPC]])&lt;2,"","DUP")</f>
        <v>#VALUE!</v>
      </c>
      <c r="BF660" s="38" t="str">
        <f>IF(ISNA(MATCH($N660,data!$A:$A,0)),"",INDEX(data!W:W,MATCH($N660,data!$A:$A,0)))</f>
        <v/>
      </c>
    </row>
    <row r="661" spans="1:58">
      <c r="A661" s="35"/>
      <c r="B661" s="35"/>
      <c r="C661" s="35"/>
      <c r="D661" s="35"/>
      <c r="E661" s="67"/>
      <c r="F661" s="67"/>
      <c r="G661" s="36"/>
      <c r="H661" s="29"/>
      <c r="I661" s="78" t="str">
        <f t="shared" si="16"/>
        <v/>
      </c>
      <c r="J661" s="29"/>
      <c r="K661" s="29"/>
      <c r="L661" s="33"/>
      <c r="M661" s="33"/>
      <c r="N661" s="60"/>
      <c r="O661" s="71"/>
      <c r="P661" s="71"/>
      <c r="Q661" s="33"/>
      <c r="R661" s="31"/>
      <c r="S661" s="31"/>
      <c r="T661" s="59"/>
      <c r="U661" s="59"/>
      <c r="V661" s="59"/>
      <c r="W661" s="57">
        <f t="shared" si="17"/>
        <v>0</v>
      </c>
      <c r="X661" s="126" t="str">
        <f>IF(Table1[[#This Row],[Shipping Weight Pounds]]&gt;150,"See LTL Form","No")</f>
        <v>No</v>
      </c>
      <c r="Y661" s="28"/>
      <c r="Z661" s="33"/>
      <c r="AA661" s="34"/>
      <c r="AB661" s="30"/>
      <c r="AC661" s="30"/>
      <c r="AD661" s="32"/>
      <c r="AE661" s="32"/>
      <c r="AF661" s="2"/>
      <c r="AG661" s="2"/>
      <c r="AH661" s="2"/>
      <c r="AI661" s="2"/>
      <c r="AK661" s="73" t="str">
        <f>IF(ISNA(MATCH($N661,[1]data!$A:$A,0)),"",INDEX([1]data!S:S,MATCH($N661,[1]data!$A:$A,0)))</f>
        <v/>
      </c>
      <c r="AL661" s="73" t="str">
        <f>IF(ISNA(MATCH($N661,[1]data!$A:$A,0)),"",INDEX([1]data!V:V,MATCH($N661,[1]data!$A:$A,0)))</f>
        <v/>
      </c>
      <c r="AM661" s="38" t="str">
        <f>IF(ISNA(MATCH($N661,data!$A:$A,0)),"",INDEX(data!B:B,MATCH($N661,data!$A:$A,0)))</f>
        <v/>
      </c>
      <c r="AN661" s="38" t="str">
        <f>IF(ISNA(MATCH($N661,data!$A:$A,0)),"",INDEX(data!C:C,MATCH($N661,data!$A:$A,0)))</f>
        <v/>
      </c>
      <c r="AO661" s="38" t="str">
        <f>IF(ISNA(MATCH($N661,data!$A:$A,0)),"",INDEX(data!D:D,MATCH($N661,data!$A:$A,0)))</f>
        <v/>
      </c>
      <c r="AP661" s="38" t="str">
        <f>IF(ISNA(MATCH($N661,data!$A:$A,0)),"",INDEX(data!E:E,MATCH($N661,data!$A:$A,0)))</f>
        <v/>
      </c>
      <c r="AQ661" s="38" t="str">
        <f>IF(ISNA(MATCH($N661,data!$A:$A,0)),"",INDEX(data!F:F,MATCH($N661,data!$A:$A,0)))</f>
        <v/>
      </c>
      <c r="AR661" s="38" t="str">
        <f>IF(ISNA(MATCH($N661,data!$A:$A,0)),"",INDEX(data!G:G,MATCH($N661,data!$A:$A,0)))</f>
        <v/>
      </c>
      <c r="AS661" s="38" t="str">
        <f>IF(ISNA(MATCH($N661,data!$A:$A,0)),"",INDEX(data!H:H,MATCH($N661,data!$A:$A,0)))</f>
        <v/>
      </c>
      <c r="AT661" s="38" t="str">
        <f>IF(ISNA(MATCH($N661,data!$A:$A,0)),"",INDEX(data!I:I,MATCH($N661,data!$A:$A,0)))</f>
        <v/>
      </c>
      <c r="AU661" s="38" t="str">
        <f>IF(ISNA(MATCH($N661,[1]data!$A:$A,0)),"",INDEX([1]data!L:L,MATCH($N661,[1]data!$A:$A,0)))</f>
        <v/>
      </c>
      <c r="AV661" s="38" t="str">
        <f>IF(ISNA(MATCH($N661,[1]data!$A:$A,0)),"",INDEX([1]data!M:M,MATCH($N661,[1]data!$A:$A,0)))</f>
        <v/>
      </c>
      <c r="AW661" s="38" t="str">
        <f>IF(ISNA(MATCH($N661,data!$A:$A,0)),"",INDEX(data!J:J,MATCH($N661,data!$A:$A,0)))</f>
        <v/>
      </c>
      <c r="AX661" s="38" t="str">
        <f>IF(ISNA(MATCH($N661,data!$A:$A,0)),"",INDEX(data!K:K,MATCH($N661,data!$A:$A,0)))</f>
        <v/>
      </c>
      <c r="AY661" s="38" t="str">
        <f>IF(ISNA(MATCH($N661,data!$A:$A,0)),"",INDEX(data!O:O,MATCH($N661,data!$A:$A,0)))</f>
        <v/>
      </c>
      <c r="AZ661" s="38" t="str">
        <f>IF(ISNA(MATCH($N661,data!$A:$A,0)),"",INDEX(data!N:N,MATCH($N661,data!$A:$A,0)))</f>
        <v/>
      </c>
      <c r="BA661" s="38" t="str">
        <f>IF(ISNA(MATCH($N661,data!$A:$A,0)),"",INDEX(data!P:P,MATCH($N661,data!$A:$A,0)))</f>
        <v/>
      </c>
      <c r="BB661" s="38" t="str">
        <f>IF(ISNA(MATCH($N661,data!$A:$A,0)),"",INDEX(data!Q:Q,MATCH($N661,data!$A:$A,0)))</f>
        <v/>
      </c>
      <c r="BC661" s="38" t="str">
        <f>IF(ISNA(MATCH($N661,data!$A:$A,0)),"",INDEX(data!R:R,MATCH($N661,data!$A:$A,0)))</f>
        <v/>
      </c>
      <c r="BD661" s="38" t="str">
        <f>IF(ISNA(MATCH($N661,[1]data!$A:$A,0)),"",INDEX([1]data!U:U,MATCH($N661,[1]data!$A:$A,0)))</f>
        <v/>
      </c>
      <c r="BE661" s="61" t="e">
        <f>IF(COUNTIF([1]data!A:A,[1]!Table1[[#This Row],[UPC]])&lt;2,"","DUP")</f>
        <v>#VALUE!</v>
      </c>
      <c r="BF661" s="38" t="str">
        <f>IF(ISNA(MATCH($N661,data!$A:$A,0)),"",INDEX(data!W:W,MATCH($N661,data!$A:$A,0)))</f>
        <v/>
      </c>
    </row>
    <row r="662" spans="1:58">
      <c r="A662" s="35"/>
      <c r="B662" s="35"/>
      <c r="C662" s="35"/>
      <c r="D662" s="35"/>
      <c r="E662" s="67"/>
      <c r="F662" s="67"/>
      <c r="G662" s="36"/>
      <c r="H662" s="29"/>
      <c r="I662" s="78" t="str">
        <f t="shared" si="16"/>
        <v/>
      </c>
      <c r="J662" s="29"/>
      <c r="K662" s="29"/>
      <c r="L662" s="33"/>
      <c r="M662" s="33"/>
      <c r="N662" s="60"/>
      <c r="O662" s="71"/>
      <c r="P662" s="71"/>
      <c r="Q662" s="33"/>
      <c r="R662" s="31"/>
      <c r="S662" s="31"/>
      <c r="T662" s="59"/>
      <c r="U662" s="59"/>
      <c r="V662" s="59"/>
      <c r="W662" s="57">
        <f t="shared" si="17"/>
        <v>0</v>
      </c>
      <c r="X662" s="126" t="str">
        <f>IF(Table1[[#This Row],[Shipping Weight Pounds]]&gt;150,"See LTL Form","No")</f>
        <v>No</v>
      </c>
      <c r="Y662" s="28"/>
      <c r="Z662" s="33"/>
      <c r="AA662" s="34"/>
      <c r="AB662" s="30"/>
      <c r="AC662" s="30"/>
      <c r="AD662" s="32"/>
      <c r="AE662" s="32"/>
      <c r="AF662" s="2"/>
      <c r="AG662" s="2"/>
      <c r="AH662" s="2"/>
      <c r="AI662" s="2"/>
      <c r="AK662" s="73" t="str">
        <f>IF(ISNA(MATCH($N662,[1]data!$A:$A,0)),"",INDEX([1]data!S:S,MATCH($N662,[1]data!$A:$A,0)))</f>
        <v/>
      </c>
      <c r="AL662" s="73" t="str">
        <f>IF(ISNA(MATCH($N662,[1]data!$A:$A,0)),"",INDEX([1]data!V:V,MATCH($N662,[1]data!$A:$A,0)))</f>
        <v/>
      </c>
      <c r="AM662" s="38" t="str">
        <f>IF(ISNA(MATCH($N662,data!$A:$A,0)),"",INDEX(data!B:B,MATCH($N662,data!$A:$A,0)))</f>
        <v/>
      </c>
      <c r="AN662" s="38" t="str">
        <f>IF(ISNA(MATCH($N662,data!$A:$A,0)),"",INDEX(data!C:C,MATCH($N662,data!$A:$A,0)))</f>
        <v/>
      </c>
      <c r="AO662" s="38" t="str">
        <f>IF(ISNA(MATCH($N662,data!$A:$A,0)),"",INDEX(data!D:D,MATCH($N662,data!$A:$A,0)))</f>
        <v/>
      </c>
      <c r="AP662" s="38" t="str">
        <f>IF(ISNA(MATCH($N662,data!$A:$A,0)),"",INDEX(data!E:E,MATCH($N662,data!$A:$A,0)))</f>
        <v/>
      </c>
      <c r="AQ662" s="38" t="str">
        <f>IF(ISNA(MATCH($N662,data!$A:$A,0)),"",INDEX(data!F:F,MATCH($N662,data!$A:$A,0)))</f>
        <v/>
      </c>
      <c r="AR662" s="38" t="str">
        <f>IF(ISNA(MATCH($N662,data!$A:$A,0)),"",INDEX(data!G:G,MATCH($N662,data!$A:$A,0)))</f>
        <v/>
      </c>
      <c r="AS662" s="38" t="str">
        <f>IF(ISNA(MATCH($N662,data!$A:$A,0)),"",INDEX(data!H:H,MATCH($N662,data!$A:$A,0)))</f>
        <v/>
      </c>
      <c r="AT662" s="38" t="str">
        <f>IF(ISNA(MATCH($N662,data!$A:$A,0)),"",INDEX(data!I:I,MATCH($N662,data!$A:$A,0)))</f>
        <v/>
      </c>
      <c r="AU662" s="38" t="str">
        <f>IF(ISNA(MATCH($N662,[1]data!$A:$A,0)),"",INDEX([1]data!L:L,MATCH($N662,[1]data!$A:$A,0)))</f>
        <v/>
      </c>
      <c r="AV662" s="38" t="str">
        <f>IF(ISNA(MATCH($N662,[1]data!$A:$A,0)),"",INDEX([1]data!M:M,MATCH($N662,[1]data!$A:$A,0)))</f>
        <v/>
      </c>
      <c r="AW662" s="38" t="str">
        <f>IF(ISNA(MATCH($N662,data!$A:$A,0)),"",INDEX(data!J:J,MATCH($N662,data!$A:$A,0)))</f>
        <v/>
      </c>
      <c r="AX662" s="38" t="str">
        <f>IF(ISNA(MATCH($N662,data!$A:$A,0)),"",INDEX(data!K:K,MATCH($N662,data!$A:$A,0)))</f>
        <v/>
      </c>
      <c r="AY662" s="38" t="str">
        <f>IF(ISNA(MATCH($N662,data!$A:$A,0)),"",INDEX(data!O:O,MATCH($N662,data!$A:$A,0)))</f>
        <v/>
      </c>
      <c r="AZ662" s="38" t="str">
        <f>IF(ISNA(MATCH($N662,data!$A:$A,0)),"",INDEX(data!N:N,MATCH($N662,data!$A:$A,0)))</f>
        <v/>
      </c>
      <c r="BA662" s="38" t="str">
        <f>IF(ISNA(MATCH($N662,data!$A:$A,0)),"",INDEX(data!P:P,MATCH($N662,data!$A:$A,0)))</f>
        <v/>
      </c>
      <c r="BB662" s="38" t="str">
        <f>IF(ISNA(MATCH($N662,data!$A:$A,0)),"",INDEX(data!Q:Q,MATCH($N662,data!$A:$A,0)))</f>
        <v/>
      </c>
      <c r="BC662" s="38" t="str">
        <f>IF(ISNA(MATCH($N662,data!$A:$A,0)),"",INDEX(data!R:R,MATCH($N662,data!$A:$A,0)))</f>
        <v/>
      </c>
      <c r="BD662" s="38" t="str">
        <f>IF(ISNA(MATCH($N662,[1]data!$A:$A,0)),"",INDEX([1]data!U:U,MATCH($N662,[1]data!$A:$A,0)))</f>
        <v/>
      </c>
      <c r="BE662" s="61" t="e">
        <f>IF(COUNTIF([1]data!A:A,[1]!Table1[[#This Row],[UPC]])&lt;2,"","DUP")</f>
        <v>#VALUE!</v>
      </c>
      <c r="BF662" s="38" t="str">
        <f>IF(ISNA(MATCH($N662,data!$A:$A,0)),"",INDEX(data!W:W,MATCH($N662,data!$A:$A,0)))</f>
        <v/>
      </c>
    </row>
    <row r="663" spans="1:58">
      <c r="A663" s="35"/>
      <c r="B663" s="35"/>
      <c r="C663" s="35"/>
      <c r="D663" s="35"/>
      <c r="E663" s="67"/>
      <c r="F663" s="67"/>
      <c r="G663" s="36"/>
      <c r="H663" s="29"/>
      <c r="I663" s="78" t="str">
        <f t="shared" si="16"/>
        <v/>
      </c>
      <c r="J663" s="29"/>
      <c r="K663" s="29"/>
      <c r="L663" s="33"/>
      <c r="M663" s="33"/>
      <c r="N663" s="60"/>
      <c r="O663" s="71"/>
      <c r="P663" s="71"/>
      <c r="Q663" s="33"/>
      <c r="R663" s="31"/>
      <c r="S663" s="31"/>
      <c r="T663" s="59"/>
      <c r="U663" s="59"/>
      <c r="V663" s="59"/>
      <c r="W663" s="57">
        <f t="shared" si="17"/>
        <v>0</v>
      </c>
      <c r="X663" s="126" t="str">
        <f>IF(Table1[[#This Row],[Shipping Weight Pounds]]&gt;150,"See LTL Form","No")</f>
        <v>No</v>
      </c>
      <c r="Y663" s="28"/>
      <c r="Z663" s="33"/>
      <c r="AA663" s="34"/>
      <c r="AB663" s="30"/>
      <c r="AC663" s="30"/>
      <c r="AD663" s="32"/>
      <c r="AE663" s="32"/>
      <c r="AF663" s="2"/>
      <c r="AG663" s="2"/>
      <c r="AH663" s="2"/>
      <c r="AI663" s="2"/>
      <c r="AK663" s="73" t="str">
        <f>IF(ISNA(MATCH($N663,[1]data!$A:$A,0)),"",INDEX([1]data!S:S,MATCH($N663,[1]data!$A:$A,0)))</f>
        <v/>
      </c>
      <c r="AL663" s="73" t="str">
        <f>IF(ISNA(MATCH($N663,[1]data!$A:$A,0)),"",INDEX([1]data!V:V,MATCH($N663,[1]data!$A:$A,0)))</f>
        <v/>
      </c>
      <c r="AM663" s="38" t="str">
        <f>IF(ISNA(MATCH($N663,data!$A:$A,0)),"",INDEX(data!B:B,MATCH($N663,data!$A:$A,0)))</f>
        <v/>
      </c>
      <c r="AN663" s="38" t="str">
        <f>IF(ISNA(MATCH($N663,data!$A:$A,0)),"",INDEX(data!C:C,MATCH($N663,data!$A:$A,0)))</f>
        <v/>
      </c>
      <c r="AO663" s="38" t="str">
        <f>IF(ISNA(MATCH($N663,data!$A:$A,0)),"",INDEX(data!D:D,MATCH($N663,data!$A:$A,0)))</f>
        <v/>
      </c>
      <c r="AP663" s="38" t="str">
        <f>IF(ISNA(MATCH($N663,data!$A:$A,0)),"",INDEX(data!E:E,MATCH($N663,data!$A:$A,0)))</f>
        <v/>
      </c>
      <c r="AQ663" s="38" t="str">
        <f>IF(ISNA(MATCH($N663,data!$A:$A,0)),"",INDEX(data!F:F,MATCH($N663,data!$A:$A,0)))</f>
        <v/>
      </c>
      <c r="AR663" s="38" t="str">
        <f>IF(ISNA(MATCH($N663,data!$A:$A,0)),"",INDEX(data!G:G,MATCH($N663,data!$A:$A,0)))</f>
        <v/>
      </c>
      <c r="AS663" s="38" t="str">
        <f>IF(ISNA(MATCH($N663,data!$A:$A,0)),"",INDEX(data!H:H,MATCH($N663,data!$A:$A,0)))</f>
        <v/>
      </c>
      <c r="AT663" s="38" t="str">
        <f>IF(ISNA(MATCH($N663,data!$A:$A,0)),"",INDEX(data!I:I,MATCH($N663,data!$A:$A,0)))</f>
        <v/>
      </c>
      <c r="AU663" s="38" t="str">
        <f>IF(ISNA(MATCH($N663,[1]data!$A:$A,0)),"",INDEX([1]data!L:L,MATCH($N663,[1]data!$A:$A,0)))</f>
        <v/>
      </c>
      <c r="AV663" s="38" t="str">
        <f>IF(ISNA(MATCH($N663,[1]data!$A:$A,0)),"",INDEX([1]data!M:M,MATCH($N663,[1]data!$A:$A,0)))</f>
        <v/>
      </c>
      <c r="AW663" s="38" t="str">
        <f>IF(ISNA(MATCH($N663,data!$A:$A,0)),"",INDEX(data!J:J,MATCH($N663,data!$A:$A,0)))</f>
        <v/>
      </c>
      <c r="AX663" s="38" t="str">
        <f>IF(ISNA(MATCH($N663,data!$A:$A,0)),"",INDEX(data!K:K,MATCH($N663,data!$A:$A,0)))</f>
        <v/>
      </c>
      <c r="AY663" s="38" t="str">
        <f>IF(ISNA(MATCH($N663,data!$A:$A,0)),"",INDEX(data!O:O,MATCH($N663,data!$A:$A,0)))</f>
        <v/>
      </c>
      <c r="AZ663" s="38" t="str">
        <f>IF(ISNA(MATCH($N663,data!$A:$A,0)),"",INDEX(data!N:N,MATCH($N663,data!$A:$A,0)))</f>
        <v/>
      </c>
      <c r="BA663" s="38" t="str">
        <f>IF(ISNA(MATCH($N663,data!$A:$A,0)),"",INDEX(data!P:P,MATCH($N663,data!$A:$A,0)))</f>
        <v/>
      </c>
      <c r="BB663" s="38" t="str">
        <f>IF(ISNA(MATCH($N663,data!$A:$A,0)),"",INDEX(data!Q:Q,MATCH($N663,data!$A:$A,0)))</f>
        <v/>
      </c>
      <c r="BC663" s="38" t="str">
        <f>IF(ISNA(MATCH($N663,data!$A:$A,0)),"",INDEX(data!R:R,MATCH($N663,data!$A:$A,0)))</f>
        <v/>
      </c>
      <c r="BD663" s="38" t="str">
        <f>IF(ISNA(MATCH($N663,[1]data!$A:$A,0)),"",INDEX([1]data!U:U,MATCH($N663,[1]data!$A:$A,0)))</f>
        <v/>
      </c>
      <c r="BE663" s="61" t="e">
        <f>IF(COUNTIF([1]data!A:A,[1]!Table1[[#This Row],[UPC]])&lt;2,"","DUP")</f>
        <v>#VALUE!</v>
      </c>
      <c r="BF663" s="38" t="str">
        <f>IF(ISNA(MATCH($N663,data!$A:$A,0)),"",INDEX(data!W:W,MATCH($N663,data!$A:$A,0)))</f>
        <v/>
      </c>
    </row>
    <row r="664" spans="1:58">
      <c r="A664" s="35"/>
      <c r="B664" s="35"/>
      <c r="C664" s="35"/>
      <c r="D664" s="35"/>
      <c r="E664" s="67"/>
      <c r="F664" s="67"/>
      <c r="G664" s="36"/>
      <c r="H664" s="29"/>
      <c r="I664" s="78" t="str">
        <f t="shared" si="16"/>
        <v/>
      </c>
      <c r="J664" s="29"/>
      <c r="K664" s="29"/>
      <c r="L664" s="33"/>
      <c r="M664" s="33"/>
      <c r="N664" s="60"/>
      <c r="O664" s="71"/>
      <c r="P664" s="71"/>
      <c r="Q664" s="33"/>
      <c r="R664" s="31"/>
      <c r="S664" s="31"/>
      <c r="T664" s="59"/>
      <c r="U664" s="59"/>
      <c r="V664" s="59"/>
      <c r="W664" s="57">
        <f t="shared" si="17"/>
        <v>0</v>
      </c>
      <c r="X664" s="126" t="str">
        <f>IF(Table1[[#This Row],[Shipping Weight Pounds]]&gt;150,"See LTL Form","No")</f>
        <v>No</v>
      </c>
      <c r="Y664" s="28"/>
      <c r="Z664" s="33"/>
      <c r="AA664" s="34"/>
      <c r="AB664" s="30"/>
      <c r="AC664" s="30"/>
      <c r="AD664" s="32"/>
      <c r="AE664" s="32"/>
      <c r="AF664" s="2"/>
      <c r="AG664" s="2"/>
      <c r="AH664" s="2"/>
      <c r="AI664" s="2"/>
      <c r="AK664" s="73" t="str">
        <f>IF(ISNA(MATCH($N664,[1]data!$A:$A,0)),"",INDEX([1]data!S:S,MATCH($N664,[1]data!$A:$A,0)))</f>
        <v/>
      </c>
      <c r="AL664" s="73" t="str">
        <f>IF(ISNA(MATCH($N664,[1]data!$A:$A,0)),"",INDEX([1]data!V:V,MATCH($N664,[1]data!$A:$A,0)))</f>
        <v/>
      </c>
      <c r="AM664" s="38" t="str">
        <f>IF(ISNA(MATCH($N664,data!$A:$A,0)),"",INDEX(data!B:B,MATCH($N664,data!$A:$A,0)))</f>
        <v/>
      </c>
      <c r="AN664" s="38" t="str">
        <f>IF(ISNA(MATCH($N664,data!$A:$A,0)),"",INDEX(data!C:C,MATCH($N664,data!$A:$A,0)))</f>
        <v/>
      </c>
      <c r="AO664" s="38" t="str">
        <f>IF(ISNA(MATCH($N664,data!$A:$A,0)),"",INDEX(data!D:D,MATCH($N664,data!$A:$A,0)))</f>
        <v/>
      </c>
      <c r="AP664" s="38" t="str">
        <f>IF(ISNA(MATCH($N664,data!$A:$A,0)),"",INDEX(data!E:E,MATCH($N664,data!$A:$A,0)))</f>
        <v/>
      </c>
      <c r="AQ664" s="38" t="str">
        <f>IF(ISNA(MATCH($N664,data!$A:$A,0)),"",INDEX(data!F:F,MATCH($N664,data!$A:$A,0)))</f>
        <v/>
      </c>
      <c r="AR664" s="38" t="str">
        <f>IF(ISNA(MATCH($N664,data!$A:$A,0)),"",INDEX(data!G:G,MATCH($N664,data!$A:$A,0)))</f>
        <v/>
      </c>
      <c r="AS664" s="38" t="str">
        <f>IF(ISNA(MATCH($N664,data!$A:$A,0)),"",INDEX(data!H:H,MATCH($N664,data!$A:$A,0)))</f>
        <v/>
      </c>
      <c r="AT664" s="38" t="str">
        <f>IF(ISNA(MATCH($N664,data!$A:$A,0)),"",INDEX(data!I:I,MATCH($N664,data!$A:$A,0)))</f>
        <v/>
      </c>
      <c r="AU664" s="38" t="str">
        <f>IF(ISNA(MATCH($N664,[1]data!$A:$A,0)),"",INDEX([1]data!L:L,MATCH($N664,[1]data!$A:$A,0)))</f>
        <v/>
      </c>
      <c r="AV664" s="38" t="str">
        <f>IF(ISNA(MATCH($N664,[1]data!$A:$A,0)),"",INDEX([1]data!M:M,MATCH($N664,[1]data!$A:$A,0)))</f>
        <v/>
      </c>
      <c r="AW664" s="38" t="str">
        <f>IF(ISNA(MATCH($N664,data!$A:$A,0)),"",INDEX(data!J:J,MATCH($N664,data!$A:$A,0)))</f>
        <v/>
      </c>
      <c r="AX664" s="38" t="str">
        <f>IF(ISNA(MATCH($N664,data!$A:$A,0)),"",INDEX(data!K:K,MATCH($N664,data!$A:$A,0)))</f>
        <v/>
      </c>
      <c r="AY664" s="38" t="str">
        <f>IF(ISNA(MATCH($N664,data!$A:$A,0)),"",INDEX(data!O:O,MATCH($N664,data!$A:$A,0)))</f>
        <v/>
      </c>
      <c r="AZ664" s="38" t="str">
        <f>IF(ISNA(MATCH($N664,data!$A:$A,0)),"",INDEX(data!N:N,MATCH($N664,data!$A:$A,0)))</f>
        <v/>
      </c>
      <c r="BA664" s="38" t="str">
        <f>IF(ISNA(MATCH($N664,data!$A:$A,0)),"",INDEX(data!P:P,MATCH($N664,data!$A:$A,0)))</f>
        <v/>
      </c>
      <c r="BB664" s="38" t="str">
        <f>IF(ISNA(MATCH($N664,data!$A:$A,0)),"",INDEX(data!Q:Q,MATCH($N664,data!$A:$A,0)))</f>
        <v/>
      </c>
      <c r="BC664" s="38" t="str">
        <f>IF(ISNA(MATCH($N664,data!$A:$A,0)),"",INDEX(data!R:R,MATCH($N664,data!$A:$A,0)))</f>
        <v/>
      </c>
      <c r="BD664" s="38" t="str">
        <f>IF(ISNA(MATCH($N664,[1]data!$A:$A,0)),"",INDEX([1]data!U:U,MATCH($N664,[1]data!$A:$A,0)))</f>
        <v/>
      </c>
      <c r="BE664" s="61" t="e">
        <f>IF(COUNTIF([1]data!A:A,[1]!Table1[[#This Row],[UPC]])&lt;2,"","DUP")</f>
        <v>#VALUE!</v>
      </c>
      <c r="BF664" s="38" t="str">
        <f>IF(ISNA(MATCH($N664,data!$A:$A,0)),"",INDEX(data!W:W,MATCH($N664,data!$A:$A,0)))</f>
        <v/>
      </c>
    </row>
    <row r="665" spans="1:58">
      <c r="A665" s="35"/>
      <c r="B665" s="35"/>
      <c r="C665" s="35"/>
      <c r="D665" s="35"/>
      <c r="E665" s="67"/>
      <c r="F665" s="67"/>
      <c r="G665" s="36"/>
      <c r="H665" s="29"/>
      <c r="I665" s="78" t="str">
        <f t="shared" si="16"/>
        <v/>
      </c>
      <c r="J665" s="29"/>
      <c r="K665" s="29"/>
      <c r="L665" s="33"/>
      <c r="M665" s="33"/>
      <c r="N665" s="60"/>
      <c r="O665" s="71"/>
      <c r="P665" s="71"/>
      <c r="Q665" s="33"/>
      <c r="R665" s="31"/>
      <c r="S665" s="31"/>
      <c r="T665" s="59"/>
      <c r="U665" s="59"/>
      <c r="V665" s="59"/>
      <c r="W665" s="57">
        <f t="shared" si="17"/>
        <v>0</v>
      </c>
      <c r="X665" s="126" t="str">
        <f>IF(Table1[[#This Row],[Shipping Weight Pounds]]&gt;150,"See LTL Form","No")</f>
        <v>No</v>
      </c>
      <c r="Y665" s="28"/>
      <c r="Z665" s="33"/>
      <c r="AA665" s="34"/>
      <c r="AB665" s="30"/>
      <c r="AC665" s="30"/>
      <c r="AD665" s="32"/>
      <c r="AE665" s="32"/>
      <c r="AF665" s="2"/>
      <c r="AG665" s="2"/>
      <c r="AH665" s="2"/>
      <c r="AI665" s="2"/>
      <c r="AK665" s="73" t="str">
        <f>IF(ISNA(MATCH($N665,[1]data!$A:$A,0)),"",INDEX([1]data!S:S,MATCH($N665,[1]data!$A:$A,0)))</f>
        <v/>
      </c>
      <c r="AL665" s="73" t="str">
        <f>IF(ISNA(MATCH($N665,[1]data!$A:$A,0)),"",INDEX([1]data!V:V,MATCH($N665,[1]data!$A:$A,0)))</f>
        <v/>
      </c>
      <c r="AM665" s="38" t="str">
        <f>IF(ISNA(MATCH($N665,data!$A:$A,0)),"",INDEX(data!B:B,MATCH($N665,data!$A:$A,0)))</f>
        <v/>
      </c>
      <c r="AN665" s="38" t="str">
        <f>IF(ISNA(MATCH($N665,data!$A:$A,0)),"",INDEX(data!C:C,MATCH($N665,data!$A:$A,0)))</f>
        <v/>
      </c>
      <c r="AO665" s="38" t="str">
        <f>IF(ISNA(MATCH($N665,data!$A:$A,0)),"",INDEX(data!D:D,MATCH($N665,data!$A:$A,0)))</f>
        <v/>
      </c>
      <c r="AP665" s="38" t="str">
        <f>IF(ISNA(MATCH($N665,data!$A:$A,0)),"",INDEX(data!E:E,MATCH($N665,data!$A:$A,0)))</f>
        <v/>
      </c>
      <c r="AQ665" s="38" t="str">
        <f>IF(ISNA(MATCH($N665,data!$A:$A,0)),"",INDEX(data!F:F,MATCH($N665,data!$A:$A,0)))</f>
        <v/>
      </c>
      <c r="AR665" s="38" t="str">
        <f>IF(ISNA(MATCH($N665,data!$A:$A,0)),"",INDEX(data!G:G,MATCH($N665,data!$A:$A,0)))</f>
        <v/>
      </c>
      <c r="AS665" s="38" t="str">
        <f>IF(ISNA(MATCH($N665,data!$A:$A,0)),"",INDEX(data!H:H,MATCH($N665,data!$A:$A,0)))</f>
        <v/>
      </c>
      <c r="AT665" s="38" t="str">
        <f>IF(ISNA(MATCH($N665,data!$A:$A,0)),"",INDEX(data!I:I,MATCH($N665,data!$A:$A,0)))</f>
        <v/>
      </c>
      <c r="AU665" s="38" t="str">
        <f>IF(ISNA(MATCH($N665,[1]data!$A:$A,0)),"",INDEX([1]data!L:L,MATCH($N665,[1]data!$A:$A,0)))</f>
        <v/>
      </c>
      <c r="AV665" s="38" t="str">
        <f>IF(ISNA(MATCH($N665,[1]data!$A:$A,0)),"",INDEX([1]data!M:M,MATCH($N665,[1]data!$A:$A,0)))</f>
        <v/>
      </c>
      <c r="AW665" s="38" t="str">
        <f>IF(ISNA(MATCH($N665,data!$A:$A,0)),"",INDEX(data!J:J,MATCH($N665,data!$A:$A,0)))</f>
        <v/>
      </c>
      <c r="AX665" s="38" t="str">
        <f>IF(ISNA(MATCH($N665,data!$A:$A,0)),"",INDEX(data!K:K,MATCH($N665,data!$A:$A,0)))</f>
        <v/>
      </c>
      <c r="AY665" s="38" t="str">
        <f>IF(ISNA(MATCH($N665,data!$A:$A,0)),"",INDEX(data!O:O,MATCH($N665,data!$A:$A,0)))</f>
        <v/>
      </c>
      <c r="AZ665" s="38" t="str">
        <f>IF(ISNA(MATCH($N665,data!$A:$A,0)),"",INDEX(data!N:N,MATCH($N665,data!$A:$A,0)))</f>
        <v/>
      </c>
      <c r="BA665" s="38" t="str">
        <f>IF(ISNA(MATCH($N665,data!$A:$A,0)),"",INDEX(data!P:P,MATCH($N665,data!$A:$A,0)))</f>
        <v/>
      </c>
      <c r="BB665" s="38" t="str">
        <f>IF(ISNA(MATCH($N665,data!$A:$A,0)),"",INDEX(data!Q:Q,MATCH($N665,data!$A:$A,0)))</f>
        <v/>
      </c>
      <c r="BC665" s="38" t="str">
        <f>IF(ISNA(MATCH($N665,data!$A:$A,0)),"",INDEX(data!R:R,MATCH($N665,data!$A:$A,0)))</f>
        <v/>
      </c>
      <c r="BD665" s="38" t="str">
        <f>IF(ISNA(MATCH($N665,[1]data!$A:$A,0)),"",INDEX([1]data!U:U,MATCH($N665,[1]data!$A:$A,0)))</f>
        <v/>
      </c>
      <c r="BE665" s="61" t="e">
        <f>IF(COUNTIF([1]data!A:A,[1]!Table1[[#This Row],[UPC]])&lt;2,"","DUP")</f>
        <v>#VALUE!</v>
      </c>
      <c r="BF665" s="38" t="str">
        <f>IF(ISNA(MATCH($N665,data!$A:$A,0)),"",INDEX(data!W:W,MATCH($N665,data!$A:$A,0)))</f>
        <v/>
      </c>
    </row>
    <row r="666" spans="1:58">
      <c r="A666" s="35"/>
      <c r="B666" s="35"/>
      <c r="C666" s="35"/>
      <c r="D666" s="35"/>
      <c r="E666" s="67"/>
      <c r="F666" s="67"/>
      <c r="G666" s="36"/>
      <c r="H666" s="29"/>
      <c r="I666" s="78" t="str">
        <f t="shared" si="16"/>
        <v/>
      </c>
      <c r="J666" s="29"/>
      <c r="K666" s="29"/>
      <c r="L666" s="33"/>
      <c r="M666" s="33"/>
      <c r="N666" s="60"/>
      <c r="O666" s="71"/>
      <c r="P666" s="71"/>
      <c r="Q666" s="33"/>
      <c r="R666" s="31"/>
      <c r="S666" s="31"/>
      <c r="T666" s="59"/>
      <c r="U666" s="59"/>
      <c r="V666" s="59"/>
      <c r="W666" s="57">
        <f t="shared" si="17"/>
        <v>0</v>
      </c>
      <c r="X666" s="126" t="str">
        <f>IF(Table1[[#This Row],[Shipping Weight Pounds]]&gt;150,"See LTL Form","No")</f>
        <v>No</v>
      </c>
      <c r="Y666" s="28"/>
      <c r="Z666" s="33"/>
      <c r="AA666" s="34"/>
      <c r="AB666" s="30"/>
      <c r="AC666" s="30"/>
      <c r="AD666" s="32"/>
      <c r="AE666" s="32"/>
      <c r="AF666" s="2"/>
      <c r="AG666" s="2"/>
      <c r="AH666" s="2"/>
      <c r="AI666" s="2"/>
      <c r="AK666" s="73" t="str">
        <f>IF(ISNA(MATCH($N666,[1]data!$A:$A,0)),"",INDEX([1]data!S:S,MATCH($N666,[1]data!$A:$A,0)))</f>
        <v/>
      </c>
      <c r="AL666" s="73" t="str">
        <f>IF(ISNA(MATCH($N666,[1]data!$A:$A,0)),"",INDEX([1]data!V:V,MATCH($N666,[1]data!$A:$A,0)))</f>
        <v/>
      </c>
      <c r="AM666" s="38" t="str">
        <f>IF(ISNA(MATCH($N666,data!$A:$A,0)),"",INDEX(data!B:B,MATCH($N666,data!$A:$A,0)))</f>
        <v/>
      </c>
      <c r="AN666" s="38" t="str">
        <f>IF(ISNA(MATCH($N666,data!$A:$A,0)),"",INDEX(data!C:C,MATCH($N666,data!$A:$A,0)))</f>
        <v/>
      </c>
      <c r="AO666" s="38" t="str">
        <f>IF(ISNA(MATCH($N666,data!$A:$A,0)),"",INDEX(data!D:D,MATCH($N666,data!$A:$A,0)))</f>
        <v/>
      </c>
      <c r="AP666" s="38" t="str">
        <f>IF(ISNA(MATCH($N666,data!$A:$A,0)),"",INDEX(data!E:E,MATCH($N666,data!$A:$A,0)))</f>
        <v/>
      </c>
      <c r="AQ666" s="38" t="str">
        <f>IF(ISNA(MATCH($N666,data!$A:$A,0)),"",INDEX(data!F:F,MATCH($N666,data!$A:$A,0)))</f>
        <v/>
      </c>
      <c r="AR666" s="38" t="str">
        <f>IF(ISNA(MATCH($N666,data!$A:$A,0)),"",INDEX(data!G:G,MATCH($N666,data!$A:$A,0)))</f>
        <v/>
      </c>
      <c r="AS666" s="38" t="str">
        <f>IF(ISNA(MATCH($N666,data!$A:$A,0)),"",INDEX(data!H:H,MATCH($N666,data!$A:$A,0)))</f>
        <v/>
      </c>
      <c r="AT666" s="38" t="str">
        <f>IF(ISNA(MATCH($N666,data!$A:$A,0)),"",INDEX(data!I:I,MATCH($N666,data!$A:$A,0)))</f>
        <v/>
      </c>
      <c r="AU666" s="38" t="str">
        <f>IF(ISNA(MATCH($N666,[1]data!$A:$A,0)),"",INDEX([1]data!L:L,MATCH($N666,[1]data!$A:$A,0)))</f>
        <v/>
      </c>
      <c r="AV666" s="38" t="str">
        <f>IF(ISNA(MATCH($N666,[1]data!$A:$A,0)),"",INDEX([1]data!M:M,MATCH($N666,[1]data!$A:$A,0)))</f>
        <v/>
      </c>
      <c r="AW666" s="38" t="str">
        <f>IF(ISNA(MATCH($N666,data!$A:$A,0)),"",INDEX(data!J:J,MATCH($N666,data!$A:$A,0)))</f>
        <v/>
      </c>
      <c r="AX666" s="38" t="str">
        <f>IF(ISNA(MATCH($N666,data!$A:$A,0)),"",INDEX(data!K:K,MATCH($N666,data!$A:$A,0)))</f>
        <v/>
      </c>
      <c r="AY666" s="38" t="str">
        <f>IF(ISNA(MATCH($N666,data!$A:$A,0)),"",INDEX(data!O:O,MATCH($N666,data!$A:$A,0)))</f>
        <v/>
      </c>
      <c r="AZ666" s="38" t="str">
        <f>IF(ISNA(MATCH($N666,data!$A:$A,0)),"",INDEX(data!N:N,MATCH($N666,data!$A:$A,0)))</f>
        <v/>
      </c>
      <c r="BA666" s="38" t="str">
        <f>IF(ISNA(MATCH($N666,data!$A:$A,0)),"",INDEX(data!P:P,MATCH($N666,data!$A:$A,0)))</f>
        <v/>
      </c>
      <c r="BB666" s="38" t="str">
        <f>IF(ISNA(MATCH($N666,data!$A:$A,0)),"",INDEX(data!Q:Q,MATCH($N666,data!$A:$A,0)))</f>
        <v/>
      </c>
      <c r="BC666" s="38" t="str">
        <f>IF(ISNA(MATCH($N666,data!$A:$A,0)),"",INDEX(data!R:R,MATCH($N666,data!$A:$A,0)))</f>
        <v/>
      </c>
      <c r="BD666" s="38" t="str">
        <f>IF(ISNA(MATCH($N666,[1]data!$A:$A,0)),"",INDEX([1]data!U:U,MATCH($N666,[1]data!$A:$A,0)))</f>
        <v/>
      </c>
      <c r="BE666" s="61" t="e">
        <f>IF(COUNTIF([1]data!A:A,[1]!Table1[[#This Row],[UPC]])&lt;2,"","DUP")</f>
        <v>#VALUE!</v>
      </c>
      <c r="BF666" s="38" t="str">
        <f>IF(ISNA(MATCH($N666,data!$A:$A,0)),"",INDEX(data!W:W,MATCH($N666,data!$A:$A,0)))</f>
        <v/>
      </c>
    </row>
    <row r="667" spans="1:58">
      <c r="A667" s="35"/>
      <c r="B667" s="35"/>
      <c r="C667" s="35"/>
      <c r="D667" s="35"/>
      <c r="E667" s="67"/>
      <c r="F667" s="67"/>
      <c r="G667" s="36"/>
      <c r="H667" s="29"/>
      <c r="I667" s="78" t="str">
        <f t="shared" si="16"/>
        <v/>
      </c>
      <c r="J667" s="29"/>
      <c r="K667" s="29"/>
      <c r="L667" s="33"/>
      <c r="M667" s="33"/>
      <c r="N667" s="60"/>
      <c r="O667" s="71"/>
      <c r="P667" s="71"/>
      <c r="Q667" s="33"/>
      <c r="R667" s="31"/>
      <c r="S667" s="31"/>
      <c r="T667" s="59"/>
      <c r="U667" s="59"/>
      <c r="V667" s="59"/>
      <c r="W667" s="57">
        <f t="shared" si="17"/>
        <v>0</v>
      </c>
      <c r="X667" s="126" t="str">
        <f>IF(Table1[[#This Row],[Shipping Weight Pounds]]&gt;150,"See LTL Form","No")</f>
        <v>No</v>
      </c>
      <c r="Y667" s="28"/>
      <c r="Z667" s="33"/>
      <c r="AA667" s="34"/>
      <c r="AB667" s="30"/>
      <c r="AC667" s="30"/>
      <c r="AD667" s="32"/>
      <c r="AE667" s="32"/>
      <c r="AF667" s="2"/>
      <c r="AG667" s="2"/>
      <c r="AH667" s="2"/>
      <c r="AI667" s="2"/>
      <c r="AK667" s="73" t="str">
        <f>IF(ISNA(MATCH($N667,[1]data!$A:$A,0)),"",INDEX([1]data!S:S,MATCH($N667,[1]data!$A:$A,0)))</f>
        <v/>
      </c>
      <c r="AL667" s="73" t="str">
        <f>IF(ISNA(MATCH($N667,[1]data!$A:$A,0)),"",INDEX([1]data!V:V,MATCH($N667,[1]data!$A:$A,0)))</f>
        <v/>
      </c>
      <c r="AM667" s="38" t="str">
        <f>IF(ISNA(MATCH($N667,data!$A:$A,0)),"",INDEX(data!B:B,MATCH($N667,data!$A:$A,0)))</f>
        <v/>
      </c>
      <c r="AN667" s="38" t="str">
        <f>IF(ISNA(MATCH($N667,data!$A:$A,0)),"",INDEX(data!C:C,MATCH($N667,data!$A:$A,0)))</f>
        <v/>
      </c>
      <c r="AO667" s="38" t="str">
        <f>IF(ISNA(MATCH($N667,data!$A:$A,0)),"",INDEX(data!D:D,MATCH($N667,data!$A:$A,0)))</f>
        <v/>
      </c>
      <c r="AP667" s="38" t="str">
        <f>IF(ISNA(MATCH($N667,data!$A:$A,0)),"",INDEX(data!E:E,MATCH($N667,data!$A:$A,0)))</f>
        <v/>
      </c>
      <c r="AQ667" s="38" t="str">
        <f>IF(ISNA(MATCH($N667,data!$A:$A,0)),"",INDEX(data!F:F,MATCH($N667,data!$A:$A,0)))</f>
        <v/>
      </c>
      <c r="AR667" s="38" t="str">
        <f>IF(ISNA(MATCH($N667,data!$A:$A,0)),"",INDEX(data!G:G,MATCH($N667,data!$A:$A,0)))</f>
        <v/>
      </c>
      <c r="AS667" s="38" t="str">
        <f>IF(ISNA(MATCH($N667,data!$A:$A,0)),"",INDEX(data!H:H,MATCH($N667,data!$A:$A,0)))</f>
        <v/>
      </c>
      <c r="AT667" s="38" t="str">
        <f>IF(ISNA(MATCH($N667,data!$A:$A,0)),"",INDEX(data!I:I,MATCH($N667,data!$A:$A,0)))</f>
        <v/>
      </c>
      <c r="AU667" s="38" t="str">
        <f>IF(ISNA(MATCH($N667,[1]data!$A:$A,0)),"",INDEX([1]data!L:L,MATCH($N667,[1]data!$A:$A,0)))</f>
        <v/>
      </c>
      <c r="AV667" s="38" t="str">
        <f>IF(ISNA(MATCH($N667,[1]data!$A:$A,0)),"",INDEX([1]data!M:M,MATCH($N667,[1]data!$A:$A,0)))</f>
        <v/>
      </c>
      <c r="AW667" s="38" t="str">
        <f>IF(ISNA(MATCH($N667,data!$A:$A,0)),"",INDEX(data!J:J,MATCH($N667,data!$A:$A,0)))</f>
        <v/>
      </c>
      <c r="AX667" s="38" t="str">
        <f>IF(ISNA(MATCH($N667,data!$A:$A,0)),"",INDEX(data!K:K,MATCH($N667,data!$A:$A,0)))</f>
        <v/>
      </c>
      <c r="AY667" s="38" t="str">
        <f>IF(ISNA(MATCH($N667,data!$A:$A,0)),"",INDEX(data!O:O,MATCH($N667,data!$A:$A,0)))</f>
        <v/>
      </c>
      <c r="AZ667" s="38" t="str">
        <f>IF(ISNA(MATCH($N667,data!$A:$A,0)),"",INDEX(data!N:N,MATCH($N667,data!$A:$A,0)))</f>
        <v/>
      </c>
      <c r="BA667" s="38" t="str">
        <f>IF(ISNA(MATCH($N667,data!$A:$A,0)),"",INDEX(data!P:P,MATCH($N667,data!$A:$A,0)))</f>
        <v/>
      </c>
      <c r="BB667" s="38" t="str">
        <f>IF(ISNA(MATCH($N667,data!$A:$A,0)),"",INDEX(data!Q:Q,MATCH($N667,data!$A:$A,0)))</f>
        <v/>
      </c>
      <c r="BC667" s="38" t="str">
        <f>IF(ISNA(MATCH($N667,data!$A:$A,0)),"",INDEX(data!R:R,MATCH($N667,data!$A:$A,0)))</f>
        <v/>
      </c>
      <c r="BD667" s="38" t="str">
        <f>IF(ISNA(MATCH($N667,[1]data!$A:$A,0)),"",INDEX([1]data!U:U,MATCH($N667,[1]data!$A:$A,0)))</f>
        <v/>
      </c>
      <c r="BE667" s="61" t="e">
        <f>IF(COUNTIF([1]data!A:A,[1]!Table1[[#This Row],[UPC]])&lt;2,"","DUP")</f>
        <v>#VALUE!</v>
      </c>
      <c r="BF667" s="38" t="str">
        <f>IF(ISNA(MATCH($N667,data!$A:$A,0)),"",INDEX(data!W:W,MATCH($N667,data!$A:$A,0)))</f>
        <v/>
      </c>
    </row>
    <row r="668" spans="1:58">
      <c r="A668" s="35"/>
      <c r="B668" s="35"/>
      <c r="C668" s="35"/>
      <c r="D668" s="35"/>
      <c r="E668" s="67"/>
      <c r="F668" s="67"/>
      <c r="G668" s="36"/>
      <c r="H668" s="29"/>
      <c r="I668" s="78" t="str">
        <f t="shared" si="16"/>
        <v/>
      </c>
      <c r="J668" s="29"/>
      <c r="K668" s="29"/>
      <c r="L668" s="33"/>
      <c r="M668" s="33"/>
      <c r="N668" s="60"/>
      <c r="O668" s="71"/>
      <c r="P668" s="71"/>
      <c r="Q668" s="33"/>
      <c r="R668" s="31"/>
      <c r="S668" s="31"/>
      <c r="T668" s="59"/>
      <c r="U668" s="59"/>
      <c r="V668" s="59"/>
      <c r="W668" s="57">
        <f t="shared" si="17"/>
        <v>0</v>
      </c>
      <c r="X668" s="126" t="str">
        <f>IF(Table1[[#This Row],[Shipping Weight Pounds]]&gt;150,"See LTL Form","No")</f>
        <v>No</v>
      </c>
      <c r="Y668" s="28"/>
      <c r="Z668" s="33"/>
      <c r="AA668" s="34"/>
      <c r="AB668" s="30"/>
      <c r="AC668" s="30"/>
      <c r="AD668" s="32"/>
      <c r="AE668" s="32"/>
      <c r="AF668" s="2"/>
      <c r="AG668" s="2"/>
      <c r="AH668" s="2"/>
      <c r="AI668" s="2"/>
      <c r="AK668" s="73" t="str">
        <f>IF(ISNA(MATCH($N668,[1]data!$A:$A,0)),"",INDEX([1]data!S:S,MATCH($N668,[1]data!$A:$A,0)))</f>
        <v/>
      </c>
      <c r="AL668" s="73" t="str">
        <f>IF(ISNA(MATCH($N668,[1]data!$A:$A,0)),"",INDEX([1]data!V:V,MATCH($N668,[1]data!$A:$A,0)))</f>
        <v/>
      </c>
      <c r="AM668" s="38" t="str">
        <f>IF(ISNA(MATCH($N668,data!$A:$A,0)),"",INDEX(data!B:B,MATCH($N668,data!$A:$A,0)))</f>
        <v/>
      </c>
      <c r="AN668" s="38" t="str">
        <f>IF(ISNA(MATCH($N668,data!$A:$A,0)),"",INDEX(data!C:C,MATCH($N668,data!$A:$A,0)))</f>
        <v/>
      </c>
      <c r="AO668" s="38" t="str">
        <f>IF(ISNA(MATCH($N668,data!$A:$A,0)),"",INDEX(data!D:D,MATCH($N668,data!$A:$A,0)))</f>
        <v/>
      </c>
      <c r="AP668" s="38" t="str">
        <f>IF(ISNA(MATCH($N668,data!$A:$A,0)),"",INDEX(data!E:E,MATCH($N668,data!$A:$A,0)))</f>
        <v/>
      </c>
      <c r="AQ668" s="38" t="str">
        <f>IF(ISNA(MATCH($N668,data!$A:$A,0)),"",INDEX(data!F:F,MATCH($N668,data!$A:$A,0)))</f>
        <v/>
      </c>
      <c r="AR668" s="38" t="str">
        <f>IF(ISNA(MATCH($N668,data!$A:$A,0)),"",INDEX(data!G:G,MATCH($N668,data!$A:$A,0)))</f>
        <v/>
      </c>
      <c r="AS668" s="38" t="str">
        <f>IF(ISNA(MATCH($N668,data!$A:$A,0)),"",INDEX(data!H:H,MATCH($N668,data!$A:$A,0)))</f>
        <v/>
      </c>
      <c r="AT668" s="38" t="str">
        <f>IF(ISNA(MATCH($N668,data!$A:$A,0)),"",INDEX(data!I:I,MATCH($N668,data!$A:$A,0)))</f>
        <v/>
      </c>
      <c r="AU668" s="38" t="str">
        <f>IF(ISNA(MATCH($N668,[1]data!$A:$A,0)),"",INDEX([1]data!L:L,MATCH($N668,[1]data!$A:$A,0)))</f>
        <v/>
      </c>
      <c r="AV668" s="38" t="str">
        <f>IF(ISNA(MATCH($N668,[1]data!$A:$A,0)),"",INDEX([1]data!M:M,MATCH($N668,[1]data!$A:$A,0)))</f>
        <v/>
      </c>
      <c r="AW668" s="38" t="str">
        <f>IF(ISNA(MATCH($N668,data!$A:$A,0)),"",INDEX(data!J:J,MATCH($N668,data!$A:$A,0)))</f>
        <v/>
      </c>
      <c r="AX668" s="38" t="str">
        <f>IF(ISNA(MATCH($N668,data!$A:$A,0)),"",INDEX(data!K:K,MATCH($N668,data!$A:$A,0)))</f>
        <v/>
      </c>
      <c r="AY668" s="38" t="str">
        <f>IF(ISNA(MATCH($N668,data!$A:$A,0)),"",INDEX(data!O:O,MATCH($N668,data!$A:$A,0)))</f>
        <v/>
      </c>
      <c r="AZ668" s="38" t="str">
        <f>IF(ISNA(MATCH($N668,data!$A:$A,0)),"",INDEX(data!N:N,MATCH($N668,data!$A:$A,0)))</f>
        <v/>
      </c>
      <c r="BA668" s="38" t="str">
        <f>IF(ISNA(MATCH($N668,data!$A:$A,0)),"",INDEX(data!P:P,MATCH($N668,data!$A:$A,0)))</f>
        <v/>
      </c>
      <c r="BB668" s="38" t="str">
        <f>IF(ISNA(MATCH($N668,data!$A:$A,0)),"",INDEX(data!Q:Q,MATCH($N668,data!$A:$A,0)))</f>
        <v/>
      </c>
      <c r="BC668" s="38" t="str">
        <f>IF(ISNA(MATCH($N668,data!$A:$A,0)),"",INDEX(data!R:R,MATCH($N668,data!$A:$A,0)))</f>
        <v/>
      </c>
      <c r="BD668" s="38" t="str">
        <f>IF(ISNA(MATCH($N668,[1]data!$A:$A,0)),"",INDEX([1]data!U:U,MATCH($N668,[1]data!$A:$A,0)))</f>
        <v/>
      </c>
      <c r="BE668" s="61" t="e">
        <f>IF(COUNTIF([1]data!A:A,[1]!Table1[[#This Row],[UPC]])&lt;2,"","DUP")</f>
        <v>#VALUE!</v>
      </c>
      <c r="BF668" s="38" t="str">
        <f>IF(ISNA(MATCH($N668,data!$A:$A,0)),"",INDEX(data!W:W,MATCH($N668,data!$A:$A,0)))</f>
        <v/>
      </c>
    </row>
    <row r="669" spans="1:58">
      <c r="A669" s="35"/>
      <c r="B669" s="35"/>
      <c r="C669" s="35"/>
      <c r="D669" s="35"/>
      <c r="E669" s="67"/>
      <c r="F669" s="67"/>
      <c r="G669" s="36"/>
      <c r="H669" s="29"/>
      <c r="I669" s="78" t="str">
        <f t="shared" si="16"/>
        <v/>
      </c>
      <c r="J669" s="29"/>
      <c r="K669" s="29"/>
      <c r="L669" s="33"/>
      <c r="M669" s="33"/>
      <c r="N669" s="60"/>
      <c r="O669" s="71"/>
      <c r="P669" s="71"/>
      <c r="Q669" s="33"/>
      <c r="R669" s="31"/>
      <c r="S669" s="31"/>
      <c r="T669" s="59"/>
      <c r="U669" s="59"/>
      <c r="V669" s="59"/>
      <c r="W669" s="57">
        <f t="shared" si="17"/>
        <v>0</v>
      </c>
      <c r="X669" s="126" t="str">
        <f>IF(Table1[[#This Row],[Shipping Weight Pounds]]&gt;150,"See LTL Form","No")</f>
        <v>No</v>
      </c>
      <c r="Y669" s="28"/>
      <c r="Z669" s="33"/>
      <c r="AA669" s="34"/>
      <c r="AB669" s="30"/>
      <c r="AC669" s="30"/>
      <c r="AD669" s="32"/>
      <c r="AE669" s="32"/>
      <c r="AF669" s="2"/>
      <c r="AG669" s="2"/>
      <c r="AH669" s="2"/>
      <c r="AI669" s="2"/>
      <c r="AK669" s="73" t="str">
        <f>IF(ISNA(MATCH($N669,[1]data!$A:$A,0)),"",INDEX([1]data!S:S,MATCH($N669,[1]data!$A:$A,0)))</f>
        <v/>
      </c>
      <c r="AL669" s="73" t="str">
        <f>IF(ISNA(MATCH($N669,[1]data!$A:$A,0)),"",INDEX([1]data!V:V,MATCH($N669,[1]data!$A:$A,0)))</f>
        <v/>
      </c>
      <c r="AM669" s="38" t="str">
        <f>IF(ISNA(MATCH($N669,data!$A:$A,0)),"",INDEX(data!B:B,MATCH($N669,data!$A:$A,0)))</f>
        <v/>
      </c>
      <c r="AN669" s="38" t="str">
        <f>IF(ISNA(MATCH($N669,data!$A:$A,0)),"",INDEX(data!C:C,MATCH($N669,data!$A:$A,0)))</f>
        <v/>
      </c>
      <c r="AO669" s="38" t="str">
        <f>IF(ISNA(MATCH($N669,data!$A:$A,0)),"",INDEX(data!D:D,MATCH($N669,data!$A:$A,0)))</f>
        <v/>
      </c>
      <c r="AP669" s="38" t="str">
        <f>IF(ISNA(MATCH($N669,data!$A:$A,0)),"",INDEX(data!E:E,MATCH($N669,data!$A:$A,0)))</f>
        <v/>
      </c>
      <c r="AQ669" s="38" t="str">
        <f>IF(ISNA(MATCH($N669,data!$A:$A,0)),"",INDEX(data!F:F,MATCH($N669,data!$A:$A,0)))</f>
        <v/>
      </c>
      <c r="AR669" s="38" t="str">
        <f>IF(ISNA(MATCH($N669,data!$A:$A,0)),"",INDEX(data!G:G,MATCH($N669,data!$A:$A,0)))</f>
        <v/>
      </c>
      <c r="AS669" s="38" t="str">
        <f>IF(ISNA(MATCH($N669,data!$A:$A,0)),"",INDEX(data!H:H,MATCH($N669,data!$A:$A,0)))</f>
        <v/>
      </c>
      <c r="AT669" s="38" t="str">
        <f>IF(ISNA(MATCH($N669,data!$A:$A,0)),"",INDEX(data!I:I,MATCH($N669,data!$A:$A,0)))</f>
        <v/>
      </c>
      <c r="AU669" s="38" t="str">
        <f>IF(ISNA(MATCH($N669,[1]data!$A:$A,0)),"",INDEX([1]data!L:L,MATCH($N669,[1]data!$A:$A,0)))</f>
        <v/>
      </c>
      <c r="AV669" s="38" t="str">
        <f>IF(ISNA(MATCH($N669,[1]data!$A:$A,0)),"",INDEX([1]data!M:M,MATCH($N669,[1]data!$A:$A,0)))</f>
        <v/>
      </c>
      <c r="AW669" s="38" t="str">
        <f>IF(ISNA(MATCH($N669,data!$A:$A,0)),"",INDEX(data!J:J,MATCH($N669,data!$A:$A,0)))</f>
        <v/>
      </c>
      <c r="AX669" s="38" t="str">
        <f>IF(ISNA(MATCH($N669,data!$A:$A,0)),"",INDEX(data!K:K,MATCH($N669,data!$A:$A,0)))</f>
        <v/>
      </c>
      <c r="AY669" s="38" t="str">
        <f>IF(ISNA(MATCH($N669,data!$A:$A,0)),"",INDEX(data!O:O,MATCH($N669,data!$A:$A,0)))</f>
        <v/>
      </c>
      <c r="AZ669" s="38" t="str">
        <f>IF(ISNA(MATCH($N669,data!$A:$A,0)),"",INDEX(data!N:N,MATCH($N669,data!$A:$A,0)))</f>
        <v/>
      </c>
      <c r="BA669" s="38" t="str">
        <f>IF(ISNA(MATCH($N669,data!$A:$A,0)),"",INDEX(data!P:P,MATCH($N669,data!$A:$A,0)))</f>
        <v/>
      </c>
      <c r="BB669" s="38" t="str">
        <f>IF(ISNA(MATCH($N669,data!$A:$A,0)),"",INDEX(data!Q:Q,MATCH($N669,data!$A:$A,0)))</f>
        <v/>
      </c>
      <c r="BC669" s="38" t="str">
        <f>IF(ISNA(MATCH($N669,data!$A:$A,0)),"",INDEX(data!R:R,MATCH($N669,data!$A:$A,0)))</f>
        <v/>
      </c>
      <c r="BD669" s="38" t="str">
        <f>IF(ISNA(MATCH($N669,[1]data!$A:$A,0)),"",INDEX([1]data!U:U,MATCH($N669,[1]data!$A:$A,0)))</f>
        <v/>
      </c>
      <c r="BE669" s="61" t="e">
        <f>IF(COUNTIF([1]data!A:A,[1]!Table1[[#This Row],[UPC]])&lt;2,"","DUP")</f>
        <v>#VALUE!</v>
      </c>
      <c r="BF669" s="38" t="str">
        <f>IF(ISNA(MATCH($N669,data!$A:$A,0)),"",INDEX(data!W:W,MATCH($N669,data!$A:$A,0)))</f>
        <v/>
      </c>
    </row>
    <row r="670" spans="1:58">
      <c r="A670" s="35"/>
      <c r="B670" s="35"/>
      <c r="C670" s="35"/>
      <c r="D670" s="35"/>
      <c r="E670" s="67"/>
      <c r="F670" s="67"/>
      <c r="G670" s="36"/>
      <c r="H670" s="29"/>
      <c r="I670" s="78" t="str">
        <f t="shared" si="16"/>
        <v/>
      </c>
      <c r="J670" s="29"/>
      <c r="K670" s="29"/>
      <c r="L670" s="33"/>
      <c r="M670" s="33"/>
      <c r="N670" s="60"/>
      <c r="O670" s="71"/>
      <c r="P670" s="71"/>
      <c r="Q670" s="33"/>
      <c r="R670" s="31"/>
      <c r="S670" s="31"/>
      <c r="T670" s="59"/>
      <c r="U670" s="59"/>
      <c r="V670" s="59"/>
      <c r="W670" s="57">
        <f t="shared" si="17"/>
        <v>0</v>
      </c>
      <c r="X670" s="126" t="str">
        <f>IF(Table1[[#This Row],[Shipping Weight Pounds]]&gt;150,"See LTL Form","No")</f>
        <v>No</v>
      </c>
      <c r="Y670" s="28"/>
      <c r="Z670" s="33"/>
      <c r="AA670" s="34"/>
      <c r="AB670" s="30"/>
      <c r="AC670" s="30"/>
      <c r="AD670" s="32"/>
      <c r="AE670" s="32"/>
      <c r="AF670" s="2"/>
      <c r="AG670" s="2"/>
      <c r="AH670" s="2"/>
      <c r="AI670" s="2"/>
      <c r="AK670" s="73" t="str">
        <f>IF(ISNA(MATCH($N670,[1]data!$A:$A,0)),"",INDEX([1]data!S:S,MATCH($N670,[1]data!$A:$A,0)))</f>
        <v/>
      </c>
      <c r="AL670" s="73" t="str">
        <f>IF(ISNA(MATCH($N670,[1]data!$A:$A,0)),"",INDEX([1]data!V:V,MATCH($N670,[1]data!$A:$A,0)))</f>
        <v/>
      </c>
      <c r="AM670" s="38" t="str">
        <f>IF(ISNA(MATCH($N670,data!$A:$A,0)),"",INDEX(data!B:B,MATCH($N670,data!$A:$A,0)))</f>
        <v/>
      </c>
      <c r="AN670" s="38" t="str">
        <f>IF(ISNA(MATCH($N670,data!$A:$A,0)),"",INDEX(data!C:C,MATCH($N670,data!$A:$A,0)))</f>
        <v/>
      </c>
      <c r="AO670" s="38" t="str">
        <f>IF(ISNA(MATCH($N670,data!$A:$A,0)),"",INDEX(data!D:D,MATCH($N670,data!$A:$A,0)))</f>
        <v/>
      </c>
      <c r="AP670" s="38" t="str">
        <f>IF(ISNA(MATCH($N670,data!$A:$A,0)),"",INDEX(data!E:E,MATCH($N670,data!$A:$A,0)))</f>
        <v/>
      </c>
      <c r="AQ670" s="38" t="str">
        <f>IF(ISNA(MATCH($N670,data!$A:$A,0)),"",INDEX(data!F:F,MATCH($N670,data!$A:$A,0)))</f>
        <v/>
      </c>
      <c r="AR670" s="38" t="str">
        <f>IF(ISNA(MATCH($N670,data!$A:$A,0)),"",INDEX(data!G:G,MATCH($N670,data!$A:$A,0)))</f>
        <v/>
      </c>
      <c r="AS670" s="38" t="str">
        <f>IF(ISNA(MATCH($N670,data!$A:$A,0)),"",INDEX(data!H:H,MATCH($N670,data!$A:$A,0)))</f>
        <v/>
      </c>
      <c r="AT670" s="38" t="str">
        <f>IF(ISNA(MATCH($N670,data!$A:$A,0)),"",INDEX(data!I:I,MATCH($N670,data!$A:$A,0)))</f>
        <v/>
      </c>
      <c r="AU670" s="38" t="str">
        <f>IF(ISNA(MATCH($N670,[1]data!$A:$A,0)),"",INDEX([1]data!L:L,MATCH($N670,[1]data!$A:$A,0)))</f>
        <v/>
      </c>
      <c r="AV670" s="38" t="str">
        <f>IF(ISNA(MATCH($N670,[1]data!$A:$A,0)),"",INDEX([1]data!M:M,MATCH($N670,[1]data!$A:$A,0)))</f>
        <v/>
      </c>
      <c r="AW670" s="38" t="str">
        <f>IF(ISNA(MATCH($N670,data!$A:$A,0)),"",INDEX(data!J:J,MATCH($N670,data!$A:$A,0)))</f>
        <v/>
      </c>
      <c r="AX670" s="38" t="str">
        <f>IF(ISNA(MATCH($N670,data!$A:$A,0)),"",INDEX(data!K:K,MATCH($N670,data!$A:$A,0)))</f>
        <v/>
      </c>
      <c r="AY670" s="38" t="str">
        <f>IF(ISNA(MATCH($N670,data!$A:$A,0)),"",INDEX(data!O:O,MATCH($N670,data!$A:$A,0)))</f>
        <v/>
      </c>
      <c r="AZ670" s="38" t="str">
        <f>IF(ISNA(MATCH($N670,data!$A:$A,0)),"",INDEX(data!N:N,MATCH($N670,data!$A:$A,0)))</f>
        <v/>
      </c>
      <c r="BA670" s="38" t="str">
        <f>IF(ISNA(MATCH($N670,data!$A:$A,0)),"",INDEX(data!P:P,MATCH($N670,data!$A:$A,0)))</f>
        <v/>
      </c>
      <c r="BB670" s="38" t="str">
        <f>IF(ISNA(MATCH($N670,data!$A:$A,0)),"",INDEX(data!Q:Q,MATCH($N670,data!$A:$A,0)))</f>
        <v/>
      </c>
      <c r="BC670" s="38" t="str">
        <f>IF(ISNA(MATCH($N670,data!$A:$A,0)),"",INDEX(data!R:R,MATCH($N670,data!$A:$A,0)))</f>
        <v/>
      </c>
      <c r="BD670" s="38" t="str">
        <f>IF(ISNA(MATCH($N670,[1]data!$A:$A,0)),"",INDEX([1]data!U:U,MATCH($N670,[1]data!$A:$A,0)))</f>
        <v/>
      </c>
      <c r="BE670" s="61" t="e">
        <f>IF(COUNTIF([1]data!A:A,[1]!Table1[[#This Row],[UPC]])&lt;2,"","DUP")</f>
        <v>#VALUE!</v>
      </c>
      <c r="BF670" s="38" t="str">
        <f>IF(ISNA(MATCH($N670,data!$A:$A,0)),"",INDEX(data!W:W,MATCH($N670,data!$A:$A,0)))</f>
        <v/>
      </c>
    </row>
    <row r="671" spans="1:58">
      <c r="A671" s="35"/>
      <c r="B671" s="35"/>
      <c r="C671" s="35"/>
      <c r="D671" s="35"/>
      <c r="E671" s="67"/>
      <c r="F671" s="67"/>
      <c r="G671" s="36"/>
      <c r="H671" s="29"/>
      <c r="I671" s="78" t="str">
        <f t="shared" si="16"/>
        <v/>
      </c>
      <c r="J671" s="29"/>
      <c r="K671" s="29"/>
      <c r="L671" s="33"/>
      <c r="M671" s="33"/>
      <c r="N671" s="60"/>
      <c r="O671" s="71"/>
      <c r="P671" s="71"/>
      <c r="Q671" s="33"/>
      <c r="R671" s="31"/>
      <c r="S671" s="31"/>
      <c r="T671" s="59"/>
      <c r="U671" s="59"/>
      <c r="V671" s="59"/>
      <c r="W671" s="57">
        <f t="shared" si="17"/>
        <v>0</v>
      </c>
      <c r="X671" s="126" t="str">
        <f>IF(Table1[[#This Row],[Shipping Weight Pounds]]&gt;150,"See LTL Form","No")</f>
        <v>No</v>
      </c>
      <c r="Y671" s="28"/>
      <c r="Z671" s="33"/>
      <c r="AA671" s="34"/>
      <c r="AB671" s="30"/>
      <c r="AC671" s="30"/>
      <c r="AD671" s="32"/>
      <c r="AE671" s="32"/>
      <c r="AF671" s="2"/>
      <c r="AG671" s="2"/>
      <c r="AH671" s="2"/>
      <c r="AI671" s="2"/>
      <c r="AK671" s="73" t="str">
        <f>IF(ISNA(MATCH($N671,[1]data!$A:$A,0)),"",INDEX([1]data!S:S,MATCH($N671,[1]data!$A:$A,0)))</f>
        <v/>
      </c>
      <c r="AL671" s="73" t="str">
        <f>IF(ISNA(MATCH($N671,[1]data!$A:$A,0)),"",INDEX([1]data!V:V,MATCH($N671,[1]data!$A:$A,0)))</f>
        <v/>
      </c>
      <c r="AM671" s="38" t="str">
        <f>IF(ISNA(MATCH($N671,data!$A:$A,0)),"",INDEX(data!B:B,MATCH($N671,data!$A:$A,0)))</f>
        <v/>
      </c>
      <c r="AN671" s="38" t="str">
        <f>IF(ISNA(MATCH($N671,data!$A:$A,0)),"",INDEX(data!C:C,MATCH($N671,data!$A:$A,0)))</f>
        <v/>
      </c>
      <c r="AO671" s="38" t="str">
        <f>IF(ISNA(MATCH($N671,data!$A:$A,0)),"",INDEX(data!D:D,MATCH($N671,data!$A:$A,0)))</f>
        <v/>
      </c>
      <c r="AP671" s="38" t="str">
        <f>IF(ISNA(MATCH($N671,data!$A:$A,0)),"",INDEX(data!E:E,MATCH($N671,data!$A:$A,0)))</f>
        <v/>
      </c>
      <c r="AQ671" s="38" t="str">
        <f>IF(ISNA(MATCH($N671,data!$A:$A,0)),"",INDEX(data!F:F,MATCH($N671,data!$A:$A,0)))</f>
        <v/>
      </c>
      <c r="AR671" s="38" t="str">
        <f>IF(ISNA(MATCH($N671,data!$A:$A,0)),"",INDEX(data!G:G,MATCH($N671,data!$A:$A,0)))</f>
        <v/>
      </c>
      <c r="AS671" s="38" t="str">
        <f>IF(ISNA(MATCH($N671,data!$A:$A,0)),"",INDEX(data!H:H,MATCH($N671,data!$A:$A,0)))</f>
        <v/>
      </c>
      <c r="AT671" s="38" t="str">
        <f>IF(ISNA(MATCH($N671,data!$A:$A,0)),"",INDEX(data!I:I,MATCH($N671,data!$A:$A,0)))</f>
        <v/>
      </c>
      <c r="AU671" s="38" t="str">
        <f>IF(ISNA(MATCH($N671,[1]data!$A:$A,0)),"",INDEX([1]data!L:L,MATCH($N671,[1]data!$A:$A,0)))</f>
        <v/>
      </c>
      <c r="AV671" s="38" t="str">
        <f>IF(ISNA(MATCH($N671,[1]data!$A:$A,0)),"",INDEX([1]data!M:M,MATCH($N671,[1]data!$A:$A,0)))</f>
        <v/>
      </c>
      <c r="AW671" s="38" t="str">
        <f>IF(ISNA(MATCH($N671,data!$A:$A,0)),"",INDEX(data!J:J,MATCH($N671,data!$A:$A,0)))</f>
        <v/>
      </c>
      <c r="AX671" s="38" t="str">
        <f>IF(ISNA(MATCH($N671,data!$A:$A,0)),"",INDEX(data!K:K,MATCH($N671,data!$A:$A,0)))</f>
        <v/>
      </c>
      <c r="AY671" s="38" t="str">
        <f>IF(ISNA(MATCH($N671,data!$A:$A,0)),"",INDEX(data!O:O,MATCH($N671,data!$A:$A,0)))</f>
        <v/>
      </c>
      <c r="AZ671" s="38" t="str">
        <f>IF(ISNA(MATCH($N671,data!$A:$A,0)),"",INDEX(data!N:N,MATCH($N671,data!$A:$A,0)))</f>
        <v/>
      </c>
      <c r="BA671" s="38" t="str">
        <f>IF(ISNA(MATCH($N671,data!$A:$A,0)),"",INDEX(data!P:P,MATCH($N671,data!$A:$A,0)))</f>
        <v/>
      </c>
      <c r="BB671" s="38" t="str">
        <f>IF(ISNA(MATCH($N671,data!$A:$A,0)),"",INDEX(data!Q:Q,MATCH($N671,data!$A:$A,0)))</f>
        <v/>
      </c>
      <c r="BC671" s="38" t="str">
        <f>IF(ISNA(MATCH($N671,data!$A:$A,0)),"",INDEX(data!R:R,MATCH($N671,data!$A:$A,0)))</f>
        <v/>
      </c>
      <c r="BD671" s="38" t="str">
        <f>IF(ISNA(MATCH($N671,[1]data!$A:$A,0)),"",INDEX([1]data!U:U,MATCH($N671,[1]data!$A:$A,0)))</f>
        <v/>
      </c>
      <c r="BE671" s="61" t="e">
        <f>IF(COUNTIF([1]data!A:A,[1]!Table1[[#This Row],[UPC]])&lt;2,"","DUP")</f>
        <v>#VALUE!</v>
      </c>
      <c r="BF671" s="38" t="str">
        <f>IF(ISNA(MATCH($N671,data!$A:$A,0)),"",INDEX(data!W:W,MATCH($N671,data!$A:$A,0)))</f>
        <v/>
      </c>
    </row>
    <row r="672" spans="1:58">
      <c r="A672" s="35"/>
      <c r="B672" s="35"/>
      <c r="C672" s="35"/>
      <c r="D672" s="35"/>
      <c r="E672" s="67"/>
      <c r="F672" s="67"/>
      <c r="G672" s="36"/>
      <c r="H672" s="29"/>
      <c r="I672" s="78" t="str">
        <f t="shared" si="16"/>
        <v/>
      </c>
      <c r="J672" s="29"/>
      <c r="K672" s="29"/>
      <c r="L672" s="33"/>
      <c r="M672" s="33"/>
      <c r="N672" s="60"/>
      <c r="O672" s="71"/>
      <c r="P672" s="71"/>
      <c r="Q672" s="33"/>
      <c r="R672" s="31"/>
      <c r="S672" s="31"/>
      <c r="T672" s="59"/>
      <c r="U672" s="59"/>
      <c r="V672" s="59"/>
      <c r="W672" s="57">
        <f t="shared" si="17"/>
        <v>0</v>
      </c>
      <c r="X672" s="126" t="str">
        <f>IF(Table1[[#This Row],[Shipping Weight Pounds]]&gt;150,"See LTL Form","No")</f>
        <v>No</v>
      </c>
      <c r="Y672" s="28"/>
      <c r="Z672" s="33"/>
      <c r="AA672" s="34"/>
      <c r="AB672" s="30"/>
      <c r="AC672" s="30"/>
      <c r="AD672" s="32"/>
      <c r="AE672" s="32"/>
      <c r="AF672" s="2"/>
      <c r="AG672" s="2"/>
      <c r="AH672" s="2"/>
      <c r="AI672" s="2"/>
      <c r="AK672" s="73" t="str">
        <f>IF(ISNA(MATCH($N672,[1]data!$A:$A,0)),"",INDEX([1]data!S:S,MATCH($N672,[1]data!$A:$A,0)))</f>
        <v/>
      </c>
      <c r="AL672" s="73" t="str">
        <f>IF(ISNA(MATCH($N672,[1]data!$A:$A,0)),"",INDEX([1]data!V:V,MATCH($N672,[1]data!$A:$A,0)))</f>
        <v/>
      </c>
      <c r="AM672" s="38" t="str">
        <f>IF(ISNA(MATCH($N672,data!$A:$A,0)),"",INDEX(data!B:B,MATCH($N672,data!$A:$A,0)))</f>
        <v/>
      </c>
      <c r="AN672" s="38" t="str">
        <f>IF(ISNA(MATCH($N672,data!$A:$A,0)),"",INDEX(data!C:C,MATCH($N672,data!$A:$A,0)))</f>
        <v/>
      </c>
      <c r="AO672" s="38" t="str">
        <f>IF(ISNA(MATCH($N672,data!$A:$A,0)),"",INDEX(data!D:D,MATCH($N672,data!$A:$A,0)))</f>
        <v/>
      </c>
      <c r="AP672" s="38" t="str">
        <f>IF(ISNA(MATCH($N672,data!$A:$A,0)),"",INDEX(data!E:E,MATCH($N672,data!$A:$A,0)))</f>
        <v/>
      </c>
      <c r="AQ672" s="38" t="str">
        <f>IF(ISNA(MATCH($N672,data!$A:$A,0)),"",INDEX(data!F:F,MATCH($N672,data!$A:$A,0)))</f>
        <v/>
      </c>
      <c r="AR672" s="38" t="str">
        <f>IF(ISNA(MATCH($N672,data!$A:$A,0)),"",INDEX(data!G:G,MATCH($N672,data!$A:$A,0)))</f>
        <v/>
      </c>
      <c r="AS672" s="38" t="str">
        <f>IF(ISNA(MATCH($N672,data!$A:$A,0)),"",INDEX(data!H:H,MATCH($N672,data!$A:$A,0)))</f>
        <v/>
      </c>
      <c r="AT672" s="38" t="str">
        <f>IF(ISNA(MATCH($N672,data!$A:$A,0)),"",INDEX(data!I:I,MATCH($N672,data!$A:$A,0)))</f>
        <v/>
      </c>
      <c r="AU672" s="38" t="str">
        <f>IF(ISNA(MATCH($N672,[1]data!$A:$A,0)),"",INDEX([1]data!L:L,MATCH($N672,[1]data!$A:$A,0)))</f>
        <v/>
      </c>
      <c r="AV672" s="38" t="str">
        <f>IF(ISNA(MATCH($N672,[1]data!$A:$A,0)),"",INDEX([1]data!M:M,MATCH($N672,[1]data!$A:$A,0)))</f>
        <v/>
      </c>
      <c r="AW672" s="38" t="str">
        <f>IF(ISNA(MATCH($N672,data!$A:$A,0)),"",INDEX(data!J:J,MATCH($N672,data!$A:$A,0)))</f>
        <v/>
      </c>
      <c r="AX672" s="38" t="str">
        <f>IF(ISNA(MATCH($N672,data!$A:$A,0)),"",INDEX(data!K:K,MATCH($N672,data!$A:$A,0)))</f>
        <v/>
      </c>
      <c r="AY672" s="38" t="str">
        <f>IF(ISNA(MATCH($N672,data!$A:$A,0)),"",INDEX(data!O:O,MATCH($N672,data!$A:$A,0)))</f>
        <v/>
      </c>
      <c r="AZ672" s="38" t="str">
        <f>IF(ISNA(MATCH($N672,data!$A:$A,0)),"",INDEX(data!N:N,MATCH($N672,data!$A:$A,0)))</f>
        <v/>
      </c>
      <c r="BA672" s="38" t="str">
        <f>IF(ISNA(MATCH($N672,data!$A:$A,0)),"",INDEX(data!P:P,MATCH($N672,data!$A:$A,0)))</f>
        <v/>
      </c>
      <c r="BB672" s="38" t="str">
        <f>IF(ISNA(MATCH($N672,data!$A:$A,0)),"",INDEX(data!Q:Q,MATCH($N672,data!$A:$A,0)))</f>
        <v/>
      </c>
      <c r="BC672" s="38" t="str">
        <f>IF(ISNA(MATCH($N672,data!$A:$A,0)),"",INDEX(data!R:R,MATCH($N672,data!$A:$A,0)))</f>
        <v/>
      </c>
      <c r="BD672" s="38" t="str">
        <f>IF(ISNA(MATCH($N672,[1]data!$A:$A,0)),"",INDEX([1]data!U:U,MATCH($N672,[1]data!$A:$A,0)))</f>
        <v/>
      </c>
      <c r="BE672" s="61" t="e">
        <f>IF(COUNTIF([1]data!A:A,[1]!Table1[[#This Row],[UPC]])&lt;2,"","DUP")</f>
        <v>#VALUE!</v>
      </c>
      <c r="BF672" s="38" t="str">
        <f>IF(ISNA(MATCH($N672,data!$A:$A,0)),"",INDEX(data!W:W,MATCH($N672,data!$A:$A,0)))</f>
        <v/>
      </c>
    </row>
    <row r="673" spans="1:58">
      <c r="A673" s="35"/>
      <c r="B673" s="35"/>
      <c r="C673" s="35"/>
      <c r="D673" s="35"/>
      <c r="E673" s="67"/>
      <c r="F673" s="67"/>
      <c r="G673" s="36"/>
      <c r="H673" s="29"/>
      <c r="I673" s="78" t="str">
        <f t="shared" si="16"/>
        <v/>
      </c>
      <c r="J673" s="29"/>
      <c r="K673" s="29"/>
      <c r="L673" s="33"/>
      <c r="M673" s="33"/>
      <c r="N673" s="60"/>
      <c r="O673" s="71"/>
      <c r="P673" s="71"/>
      <c r="Q673" s="33"/>
      <c r="R673" s="31"/>
      <c r="S673" s="31"/>
      <c r="T673" s="59"/>
      <c r="U673" s="59"/>
      <c r="V673" s="59"/>
      <c r="W673" s="57">
        <f t="shared" si="17"/>
        <v>0</v>
      </c>
      <c r="X673" s="126" t="str">
        <f>IF(Table1[[#This Row],[Shipping Weight Pounds]]&gt;150,"See LTL Form","No")</f>
        <v>No</v>
      </c>
      <c r="Y673" s="28"/>
      <c r="Z673" s="33"/>
      <c r="AA673" s="34"/>
      <c r="AB673" s="30"/>
      <c r="AC673" s="30"/>
      <c r="AD673" s="32"/>
      <c r="AE673" s="32"/>
      <c r="AF673" s="2"/>
      <c r="AG673" s="2"/>
      <c r="AH673" s="2"/>
      <c r="AI673" s="2"/>
      <c r="AK673" s="73" t="str">
        <f>IF(ISNA(MATCH($N673,[1]data!$A:$A,0)),"",INDEX([1]data!S:S,MATCH($N673,[1]data!$A:$A,0)))</f>
        <v/>
      </c>
      <c r="AL673" s="73" t="str">
        <f>IF(ISNA(MATCH($N673,[1]data!$A:$A,0)),"",INDEX([1]data!V:V,MATCH($N673,[1]data!$A:$A,0)))</f>
        <v/>
      </c>
      <c r="AM673" s="38" t="str">
        <f>IF(ISNA(MATCH($N673,data!$A:$A,0)),"",INDEX(data!B:B,MATCH($N673,data!$A:$A,0)))</f>
        <v/>
      </c>
      <c r="AN673" s="38" t="str">
        <f>IF(ISNA(MATCH($N673,data!$A:$A,0)),"",INDEX(data!C:C,MATCH($N673,data!$A:$A,0)))</f>
        <v/>
      </c>
      <c r="AO673" s="38" t="str">
        <f>IF(ISNA(MATCH($N673,data!$A:$A,0)),"",INDEX(data!D:D,MATCH($N673,data!$A:$A,0)))</f>
        <v/>
      </c>
      <c r="AP673" s="38" t="str">
        <f>IF(ISNA(MATCH($N673,data!$A:$A,0)),"",INDEX(data!E:E,MATCH($N673,data!$A:$A,0)))</f>
        <v/>
      </c>
      <c r="AQ673" s="38" t="str">
        <f>IF(ISNA(MATCH($N673,data!$A:$A,0)),"",INDEX(data!F:F,MATCH($N673,data!$A:$A,0)))</f>
        <v/>
      </c>
      <c r="AR673" s="38" t="str">
        <f>IF(ISNA(MATCH($N673,data!$A:$A,0)),"",INDEX(data!G:G,MATCH($N673,data!$A:$A,0)))</f>
        <v/>
      </c>
      <c r="AS673" s="38" t="str">
        <f>IF(ISNA(MATCH($N673,data!$A:$A,0)),"",INDEX(data!H:H,MATCH($N673,data!$A:$A,0)))</f>
        <v/>
      </c>
      <c r="AT673" s="38" t="str">
        <f>IF(ISNA(MATCH($N673,data!$A:$A,0)),"",INDEX(data!I:I,MATCH($N673,data!$A:$A,0)))</f>
        <v/>
      </c>
      <c r="AU673" s="38" t="str">
        <f>IF(ISNA(MATCH($N673,[1]data!$A:$A,0)),"",INDEX([1]data!L:L,MATCH($N673,[1]data!$A:$A,0)))</f>
        <v/>
      </c>
      <c r="AV673" s="38" t="str">
        <f>IF(ISNA(MATCH($N673,[1]data!$A:$A,0)),"",INDEX([1]data!M:M,MATCH($N673,[1]data!$A:$A,0)))</f>
        <v/>
      </c>
      <c r="AW673" s="38" t="str">
        <f>IF(ISNA(MATCH($N673,data!$A:$A,0)),"",INDEX(data!J:J,MATCH($N673,data!$A:$A,0)))</f>
        <v/>
      </c>
      <c r="AX673" s="38" t="str">
        <f>IF(ISNA(MATCH($N673,data!$A:$A,0)),"",INDEX(data!K:K,MATCH($N673,data!$A:$A,0)))</f>
        <v/>
      </c>
      <c r="AY673" s="38" t="str">
        <f>IF(ISNA(MATCH($N673,data!$A:$A,0)),"",INDEX(data!O:O,MATCH($N673,data!$A:$A,0)))</f>
        <v/>
      </c>
      <c r="AZ673" s="38" t="str">
        <f>IF(ISNA(MATCH($N673,data!$A:$A,0)),"",INDEX(data!N:N,MATCH($N673,data!$A:$A,0)))</f>
        <v/>
      </c>
      <c r="BA673" s="38" t="str">
        <f>IF(ISNA(MATCH($N673,data!$A:$A,0)),"",INDEX(data!P:P,MATCH($N673,data!$A:$A,0)))</f>
        <v/>
      </c>
      <c r="BB673" s="38" t="str">
        <f>IF(ISNA(MATCH($N673,data!$A:$A,0)),"",INDEX(data!Q:Q,MATCH($N673,data!$A:$A,0)))</f>
        <v/>
      </c>
      <c r="BC673" s="38" t="str">
        <f>IF(ISNA(MATCH($N673,data!$A:$A,0)),"",INDEX(data!R:R,MATCH($N673,data!$A:$A,0)))</f>
        <v/>
      </c>
      <c r="BD673" s="38" t="str">
        <f>IF(ISNA(MATCH($N673,[1]data!$A:$A,0)),"",INDEX([1]data!U:U,MATCH($N673,[1]data!$A:$A,0)))</f>
        <v/>
      </c>
      <c r="BE673" s="61" t="e">
        <f>IF(COUNTIF([1]data!A:A,[1]!Table1[[#This Row],[UPC]])&lt;2,"","DUP")</f>
        <v>#VALUE!</v>
      </c>
      <c r="BF673" s="38" t="str">
        <f>IF(ISNA(MATCH($N673,data!$A:$A,0)),"",INDEX(data!W:W,MATCH($N673,data!$A:$A,0)))</f>
        <v/>
      </c>
    </row>
    <row r="674" spans="1:58">
      <c r="A674" s="35"/>
      <c r="B674" s="35"/>
      <c r="C674" s="35"/>
      <c r="D674" s="35"/>
      <c r="E674" s="67"/>
      <c r="F674" s="67"/>
      <c r="G674" s="36"/>
      <c r="H674" s="29"/>
      <c r="I674" s="78" t="str">
        <f t="shared" si="16"/>
        <v/>
      </c>
      <c r="J674" s="29"/>
      <c r="K674" s="29"/>
      <c r="L674" s="33"/>
      <c r="M674" s="33"/>
      <c r="N674" s="60"/>
      <c r="O674" s="71"/>
      <c r="P674" s="71"/>
      <c r="Q674" s="33"/>
      <c r="R674" s="31"/>
      <c r="S674" s="31"/>
      <c r="T674" s="59"/>
      <c r="U674" s="59"/>
      <c r="V674" s="59"/>
      <c r="W674" s="57">
        <f t="shared" si="17"/>
        <v>0</v>
      </c>
      <c r="X674" s="126" t="str">
        <f>IF(Table1[[#This Row],[Shipping Weight Pounds]]&gt;150,"See LTL Form","No")</f>
        <v>No</v>
      </c>
      <c r="Y674" s="28"/>
      <c r="Z674" s="33"/>
      <c r="AA674" s="34"/>
      <c r="AB674" s="30"/>
      <c r="AC674" s="30"/>
      <c r="AD674" s="32"/>
      <c r="AE674" s="32"/>
      <c r="AF674" s="2"/>
      <c r="AG674" s="2"/>
      <c r="AH674" s="2"/>
      <c r="AI674" s="2"/>
      <c r="AK674" s="73" t="str">
        <f>IF(ISNA(MATCH($N674,[1]data!$A:$A,0)),"",INDEX([1]data!S:S,MATCH($N674,[1]data!$A:$A,0)))</f>
        <v/>
      </c>
      <c r="AL674" s="73" t="str">
        <f>IF(ISNA(MATCH($N674,[1]data!$A:$A,0)),"",INDEX([1]data!V:V,MATCH($N674,[1]data!$A:$A,0)))</f>
        <v/>
      </c>
      <c r="AM674" s="38" t="str">
        <f>IF(ISNA(MATCH($N674,data!$A:$A,0)),"",INDEX(data!B:B,MATCH($N674,data!$A:$A,0)))</f>
        <v/>
      </c>
      <c r="AN674" s="38" t="str">
        <f>IF(ISNA(MATCH($N674,data!$A:$A,0)),"",INDEX(data!C:C,MATCH($N674,data!$A:$A,0)))</f>
        <v/>
      </c>
      <c r="AO674" s="38" t="str">
        <f>IF(ISNA(MATCH($N674,data!$A:$A,0)),"",INDEX(data!D:D,MATCH($N674,data!$A:$A,0)))</f>
        <v/>
      </c>
      <c r="AP674" s="38" t="str">
        <f>IF(ISNA(MATCH($N674,data!$A:$A,0)),"",INDEX(data!E:E,MATCH($N674,data!$A:$A,0)))</f>
        <v/>
      </c>
      <c r="AQ674" s="38" t="str">
        <f>IF(ISNA(MATCH($N674,data!$A:$A,0)),"",INDEX(data!F:F,MATCH($N674,data!$A:$A,0)))</f>
        <v/>
      </c>
      <c r="AR674" s="38" t="str">
        <f>IF(ISNA(MATCH($N674,data!$A:$A,0)),"",INDEX(data!G:G,MATCH($N674,data!$A:$A,0)))</f>
        <v/>
      </c>
      <c r="AS674" s="38" t="str">
        <f>IF(ISNA(MATCH($N674,data!$A:$A,0)),"",INDEX(data!H:H,MATCH($N674,data!$A:$A,0)))</f>
        <v/>
      </c>
      <c r="AT674" s="38" t="str">
        <f>IF(ISNA(MATCH($N674,data!$A:$A,0)),"",INDEX(data!I:I,MATCH($N674,data!$A:$A,0)))</f>
        <v/>
      </c>
      <c r="AU674" s="38" t="str">
        <f>IF(ISNA(MATCH($N674,[1]data!$A:$A,0)),"",INDEX([1]data!L:L,MATCH($N674,[1]data!$A:$A,0)))</f>
        <v/>
      </c>
      <c r="AV674" s="38" t="str">
        <f>IF(ISNA(MATCH($N674,[1]data!$A:$A,0)),"",INDEX([1]data!M:M,MATCH($N674,[1]data!$A:$A,0)))</f>
        <v/>
      </c>
      <c r="AW674" s="38" t="str">
        <f>IF(ISNA(MATCH($N674,data!$A:$A,0)),"",INDEX(data!J:J,MATCH($N674,data!$A:$A,0)))</f>
        <v/>
      </c>
      <c r="AX674" s="38" t="str">
        <f>IF(ISNA(MATCH($N674,data!$A:$A,0)),"",INDEX(data!K:K,MATCH($N674,data!$A:$A,0)))</f>
        <v/>
      </c>
      <c r="AY674" s="38" t="str">
        <f>IF(ISNA(MATCH($N674,data!$A:$A,0)),"",INDEX(data!O:O,MATCH($N674,data!$A:$A,0)))</f>
        <v/>
      </c>
      <c r="AZ674" s="38" t="str">
        <f>IF(ISNA(MATCH($N674,data!$A:$A,0)),"",INDEX(data!N:N,MATCH($N674,data!$A:$A,0)))</f>
        <v/>
      </c>
      <c r="BA674" s="38" t="str">
        <f>IF(ISNA(MATCH($N674,data!$A:$A,0)),"",INDEX(data!P:P,MATCH($N674,data!$A:$A,0)))</f>
        <v/>
      </c>
      <c r="BB674" s="38" t="str">
        <f>IF(ISNA(MATCH($N674,data!$A:$A,0)),"",INDEX(data!Q:Q,MATCH($N674,data!$A:$A,0)))</f>
        <v/>
      </c>
      <c r="BC674" s="38" t="str">
        <f>IF(ISNA(MATCH($N674,data!$A:$A,0)),"",INDEX(data!R:R,MATCH($N674,data!$A:$A,0)))</f>
        <v/>
      </c>
      <c r="BD674" s="38" t="str">
        <f>IF(ISNA(MATCH($N674,[1]data!$A:$A,0)),"",INDEX([1]data!U:U,MATCH($N674,[1]data!$A:$A,0)))</f>
        <v/>
      </c>
      <c r="BE674" s="61" t="e">
        <f>IF(COUNTIF([1]data!A:A,[1]!Table1[[#This Row],[UPC]])&lt;2,"","DUP")</f>
        <v>#VALUE!</v>
      </c>
      <c r="BF674" s="38" t="str">
        <f>IF(ISNA(MATCH($N674,data!$A:$A,0)),"",INDEX(data!W:W,MATCH($N674,data!$A:$A,0)))</f>
        <v/>
      </c>
    </row>
    <row r="675" spans="1:58">
      <c r="A675" s="35"/>
      <c r="B675" s="35"/>
      <c r="C675" s="35"/>
      <c r="D675" s="35"/>
      <c r="E675" s="67"/>
      <c r="F675" s="67"/>
      <c r="G675" s="36"/>
      <c r="H675" s="29"/>
      <c r="I675" s="78" t="str">
        <f t="shared" si="16"/>
        <v/>
      </c>
      <c r="J675" s="29"/>
      <c r="K675" s="29"/>
      <c r="L675" s="33"/>
      <c r="M675" s="33"/>
      <c r="N675" s="60"/>
      <c r="O675" s="71"/>
      <c r="P675" s="71"/>
      <c r="Q675" s="33"/>
      <c r="R675" s="31"/>
      <c r="S675" s="31"/>
      <c r="T675" s="59"/>
      <c r="U675" s="59"/>
      <c r="V675" s="59"/>
      <c r="W675" s="57">
        <f t="shared" si="17"/>
        <v>0</v>
      </c>
      <c r="X675" s="126" t="str">
        <f>IF(Table1[[#This Row],[Shipping Weight Pounds]]&gt;150,"See LTL Form","No")</f>
        <v>No</v>
      </c>
      <c r="Y675" s="28"/>
      <c r="Z675" s="33"/>
      <c r="AA675" s="34"/>
      <c r="AB675" s="30"/>
      <c r="AC675" s="30"/>
      <c r="AD675" s="32"/>
      <c r="AE675" s="32"/>
      <c r="AF675" s="2"/>
      <c r="AG675" s="2"/>
      <c r="AH675" s="2"/>
      <c r="AI675" s="2"/>
      <c r="AK675" s="73" t="str">
        <f>IF(ISNA(MATCH($N675,[1]data!$A:$A,0)),"",INDEX([1]data!S:S,MATCH($N675,[1]data!$A:$A,0)))</f>
        <v/>
      </c>
      <c r="AL675" s="73" t="str">
        <f>IF(ISNA(MATCH($N675,[1]data!$A:$A,0)),"",INDEX([1]data!V:V,MATCH($N675,[1]data!$A:$A,0)))</f>
        <v/>
      </c>
      <c r="AM675" s="38" t="str">
        <f>IF(ISNA(MATCH($N675,data!$A:$A,0)),"",INDEX(data!B:B,MATCH($N675,data!$A:$A,0)))</f>
        <v/>
      </c>
      <c r="AN675" s="38" t="str">
        <f>IF(ISNA(MATCH($N675,data!$A:$A,0)),"",INDEX(data!C:C,MATCH($N675,data!$A:$A,0)))</f>
        <v/>
      </c>
      <c r="AO675" s="38" t="str">
        <f>IF(ISNA(MATCH($N675,data!$A:$A,0)),"",INDEX(data!D:D,MATCH($N675,data!$A:$A,0)))</f>
        <v/>
      </c>
      <c r="AP675" s="38" t="str">
        <f>IF(ISNA(MATCH($N675,data!$A:$A,0)),"",INDEX(data!E:E,MATCH($N675,data!$A:$A,0)))</f>
        <v/>
      </c>
      <c r="AQ675" s="38" t="str">
        <f>IF(ISNA(MATCH($N675,data!$A:$A,0)),"",INDEX(data!F:F,MATCH($N675,data!$A:$A,0)))</f>
        <v/>
      </c>
      <c r="AR675" s="38" t="str">
        <f>IF(ISNA(MATCH($N675,data!$A:$A,0)),"",INDEX(data!G:G,MATCH($N675,data!$A:$A,0)))</f>
        <v/>
      </c>
      <c r="AS675" s="38" t="str">
        <f>IF(ISNA(MATCH($N675,data!$A:$A,0)),"",INDEX(data!H:H,MATCH($N675,data!$A:$A,0)))</f>
        <v/>
      </c>
      <c r="AT675" s="38" t="str">
        <f>IF(ISNA(MATCH($N675,data!$A:$A,0)),"",INDEX(data!I:I,MATCH($N675,data!$A:$A,0)))</f>
        <v/>
      </c>
      <c r="AU675" s="38" t="str">
        <f>IF(ISNA(MATCH($N675,[1]data!$A:$A,0)),"",INDEX([1]data!L:L,MATCH($N675,[1]data!$A:$A,0)))</f>
        <v/>
      </c>
      <c r="AV675" s="38" t="str">
        <f>IF(ISNA(MATCH($N675,[1]data!$A:$A,0)),"",INDEX([1]data!M:M,MATCH($N675,[1]data!$A:$A,0)))</f>
        <v/>
      </c>
      <c r="AW675" s="38" t="str">
        <f>IF(ISNA(MATCH($N675,data!$A:$A,0)),"",INDEX(data!J:J,MATCH($N675,data!$A:$A,0)))</f>
        <v/>
      </c>
      <c r="AX675" s="38" t="str">
        <f>IF(ISNA(MATCH($N675,data!$A:$A,0)),"",INDEX(data!K:K,MATCH($N675,data!$A:$A,0)))</f>
        <v/>
      </c>
      <c r="AY675" s="38" t="str">
        <f>IF(ISNA(MATCH($N675,data!$A:$A,0)),"",INDEX(data!O:O,MATCH($N675,data!$A:$A,0)))</f>
        <v/>
      </c>
      <c r="AZ675" s="38" t="str">
        <f>IF(ISNA(MATCH($N675,data!$A:$A,0)),"",INDEX(data!N:N,MATCH($N675,data!$A:$A,0)))</f>
        <v/>
      </c>
      <c r="BA675" s="38" t="str">
        <f>IF(ISNA(MATCH($N675,data!$A:$A,0)),"",INDEX(data!P:P,MATCH($N675,data!$A:$A,0)))</f>
        <v/>
      </c>
      <c r="BB675" s="38" t="str">
        <f>IF(ISNA(MATCH($N675,data!$A:$A,0)),"",INDEX(data!Q:Q,MATCH($N675,data!$A:$A,0)))</f>
        <v/>
      </c>
      <c r="BC675" s="38" t="str">
        <f>IF(ISNA(MATCH($N675,data!$A:$A,0)),"",INDEX(data!R:R,MATCH($N675,data!$A:$A,0)))</f>
        <v/>
      </c>
      <c r="BD675" s="38" t="str">
        <f>IF(ISNA(MATCH($N675,[1]data!$A:$A,0)),"",INDEX([1]data!U:U,MATCH($N675,[1]data!$A:$A,0)))</f>
        <v/>
      </c>
      <c r="BE675" s="61" t="e">
        <f>IF(COUNTIF([1]data!A:A,[1]!Table1[[#This Row],[UPC]])&lt;2,"","DUP")</f>
        <v>#VALUE!</v>
      </c>
      <c r="BF675" s="38" t="str">
        <f>IF(ISNA(MATCH($N675,data!$A:$A,0)),"",INDEX(data!W:W,MATCH($N675,data!$A:$A,0)))</f>
        <v/>
      </c>
    </row>
    <row r="676" spans="1:58">
      <c r="A676" s="35"/>
      <c r="B676" s="35"/>
      <c r="C676" s="35"/>
      <c r="D676" s="35"/>
      <c r="E676" s="67"/>
      <c r="F676" s="67"/>
      <c r="G676" s="36"/>
      <c r="H676" s="29"/>
      <c r="I676" s="78" t="str">
        <f t="shared" si="16"/>
        <v/>
      </c>
      <c r="J676" s="29"/>
      <c r="K676" s="29"/>
      <c r="L676" s="33"/>
      <c r="M676" s="33"/>
      <c r="N676" s="60"/>
      <c r="O676" s="71"/>
      <c r="P676" s="71"/>
      <c r="Q676" s="33"/>
      <c r="R676" s="31"/>
      <c r="S676" s="31"/>
      <c r="T676" s="59"/>
      <c r="U676" s="59"/>
      <c r="V676" s="59"/>
      <c r="W676" s="57">
        <f t="shared" si="17"/>
        <v>0</v>
      </c>
      <c r="X676" s="126" t="str">
        <f>IF(Table1[[#This Row],[Shipping Weight Pounds]]&gt;150,"See LTL Form","No")</f>
        <v>No</v>
      </c>
      <c r="Y676" s="28"/>
      <c r="Z676" s="33"/>
      <c r="AA676" s="34"/>
      <c r="AB676" s="30"/>
      <c r="AC676" s="30"/>
      <c r="AD676" s="32"/>
      <c r="AE676" s="32"/>
      <c r="AF676" s="2"/>
      <c r="AG676" s="2"/>
      <c r="AH676" s="2"/>
      <c r="AI676" s="2"/>
      <c r="AK676" s="73" t="str">
        <f>IF(ISNA(MATCH($N676,[1]data!$A:$A,0)),"",INDEX([1]data!S:S,MATCH($N676,[1]data!$A:$A,0)))</f>
        <v/>
      </c>
      <c r="AL676" s="73" t="str">
        <f>IF(ISNA(MATCH($N676,[1]data!$A:$A,0)),"",INDEX([1]data!V:V,MATCH($N676,[1]data!$A:$A,0)))</f>
        <v/>
      </c>
      <c r="AM676" s="38" t="str">
        <f>IF(ISNA(MATCH($N676,data!$A:$A,0)),"",INDEX(data!B:B,MATCH($N676,data!$A:$A,0)))</f>
        <v/>
      </c>
      <c r="AN676" s="38" t="str">
        <f>IF(ISNA(MATCH($N676,data!$A:$A,0)),"",INDEX(data!C:C,MATCH($N676,data!$A:$A,0)))</f>
        <v/>
      </c>
      <c r="AO676" s="38" t="str">
        <f>IF(ISNA(MATCH($N676,data!$A:$A,0)),"",INDEX(data!D:D,MATCH($N676,data!$A:$A,0)))</f>
        <v/>
      </c>
      <c r="AP676" s="38" t="str">
        <f>IF(ISNA(MATCH($N676,data!$A:$A,0)),"",INDEX(data!E:E,MATCH($N676,data!$A:$A,0)))</f>
        <v/>
      </c>
      <c r="AQ676" s="38" t="str">
        <f>IF(ISNA(MATCH($N676,data!$A:$A,0)),"",INDEX(data!F:F,MATCH($N676,data!$A:$A,0)))</f>
        <v/>
      </c>
      <c r="AR676" s="38" t="str">
        <f>IF(ISNA(MATCH($N676,data!$A:$A,0)),"",INDEX(data!G:G,MATCH($N676,data!$A:$A,0)))</f>
        <v/>
      </c>
      <c r="AS676" s="38" t="str">
        <f>IF(ISNA(MATCH($N676,data!$A:$A,0)),"",INDEX(data!H:H,MATCH($N676,data!$A:$A,0)))</f>
        <v/>
      </c>
      <c r="AT676" s="38" t="str">
        <f>IF(ISNA(MATCH($N676,data!$A:$A,0)),"",INDEX(data!I:I,MATCH($N676,data!$A:$A,0)))</f>
        <v/>
      </c>
      <c r="AU676" s="38" t="str">
        <f>IF(ISNA(MATCH($N676,[1]data!$A:$A,0)),"",INDEX([1]data!L:L,MATCH($N676,[1]data!$A:$A,0)))</f>
        <v/>
      </c>
      <c r="AV676" s="38" t="str">
        <f>IF(ISNA(MATCH($N676,[1]data!$A:$A,0)),"",INDEX([1]data!M:M,MATCH($N676,[1]data!$A:$A,0)))</f>
        <v/>
      </c>
      <c r="AW676" s="38" t="str">
        <f>IF(ISNA(MATCH($N676,data!$A:$A,0)),"",INDEX(data!J:J,MATCH($N676,data!$A:$A,0)))</f>
        <v/>
      </c>
      <c r="AX676" s="38" t="str">
        <f>IF(ISNA(MATCH($N676,data!$A:$A,0)),"",INDEX(data!K:K,MATCH($N676,data!$A:$A,0)))</f>
        <v/>
      </c>
      <c r="AY676" s="38" t="str">
        <f>IF(ISNA(MATCH($N676,data!$A:$A,0)),"",INDEX(data!O:O,MATCH($N676,data!$A:$A,0)))</f>
        <v/>
      </c>
      <c r="AZ676" s="38" t="str">
        <f>IF(ISNA(MATCH($N676,data!$A:$A,0)),"",INDEX(data!N:N,MATCH($N676,data!$A:$A,0)))</f>
        <v/>
      </c>
      <c r="BA676" s="38" t="str">
        <f>IF(ISNA(MATCH($N676,data!$A:$A,0)),"",INDEX(data!P:P,MATCH($N676,data!$A:$A,0)))</f>
        <v/>
      </c>
      <c r="BB676" s="38" t="str">
        <f>IF(ISNA(MATCH($N676,data!$A:$A,0)),"",INDEX(data!Q:Q,MATCH($N676,data!$A:$A,0)))</f>
        <v/>
      </c>
      <c r="BC676" s="38" t="str">
        <f>IF(ISNA(MATCH($N676,data!$A:$A,0)),"",INDEX(data!R:R,MATCH($N676,data!$A:$A,0)))</f>
        <v/>
      </c>
      <c r="BD676" s="38" t="str">
        <f>IF(ISNA(MATCH($N676,[1]data!$A:$A,0)),"",INDEX([1]data!U:U,MATCH($N676,[1]data!$A:$A,0)))</f>
        <v/>
      </c>
      <c r="BE676" s="61" t="e">
        <f>IF(COUNTIF([1]data!A:A,[1]!Table1[[#This Row],[UPC]])&lt;2,"","DUP")</f>
        <v>#VALUE!</v>
      </c>
      <c r="BF676" s="38" t="str">
        <f>IF(ISNA(MATCH($N676,data!$A:$A,0)),"",INDEX(data!W:W,MATCH($N676,data!$A:$A,0)))</f>
        <v/>
      </c>
    </row>
    <row r="677" spans="1:58">
      <c r="A677" s="35"/>
      <c r="B677" s="35"/>
      <c r="C677" s="35"/>
      <c r="D677" s="35"/>
      <c r="E677" s="67"/>
      <c r="F677" s="67"/>
      <c r="G677" s="36"/>
      <c r="H677" s="29"/>
      <c r="I677" s="78" t="str">
        <f t="shared" si="16"/>
        <v/>
      </c>
      <c r="J677" s="29"/>
      <c r="K677" s="29"/>
      <c r="L677" s="33"/>
      <c r="M677" s="33"/>
      <c r="N677" s="60"/>
      <c r="O677" s="71"/>
      <c r="P677" s="71"/>
      <c r="Q677" s="33"/>
      <c r="R677" s="31"/>
      <c r="S677" s="31"/>
      <c r="T677" s="59"/>
      <c r="U677" s="59"/>
      <c r="V677" s="59"/>
      <c r="W677" s="57">
        <f t="shared" si="17"/>
        <v>0</v>
      </c>
      <c r="X677" s="126" t="str">
        <f>IF(Table1[[#This Row],[Shipping Weight Pounds]]&gt;150,"See LTL Form","No")</f>
        <v>No</v>
      </c>
      <c r="Y677" s="28"/>
      <c r="Z677" s="33"/>
      <c r="AA677" s="34"/>
      <c r="AB677" s="30"/>
      <c r="AC677" s="30"/>
      <c r="AD677" s="32"/>
      <c r="AE677" s="32"/>
      <c r="AF677" s="2"/>
      <c r="AG677" s="2"/>
      <c r="AH677" s="2"/>
      <c r="AI677" s="2"/>
      <c r="AK677" s="73" t="str">
        <f>IF(ISNA(MATCH($N677,[1]data!$A:$A,0)),"",INDEX([1]data!S:S,MATCH($N677,[1]data!$A:$A,0)))</f>
        <v/>
      </c>
      <c r="AL677" s="73" t="str">
        <f>IF(ISNA(MATCH($N677,[1]data!$A:$A,0)),"",INDEX([1]data!V:V,MATCH($N677,[1]data!$A:$A,0)))</f>
        <v/>
      </c>
      <c r="AM677" s="38" t="str">
        <f>IF(ISNA(MATCH($N677,data!$A:$A,0)),"",INDEX(data!B:B,MATCH($N677,data!$A:$A,0)))</f>
        <v/>
      </c>
      <c r="AN677" s="38" t="str">
        <f>IF(ISNA(MATCH($N677,data!$A:$A,0)),"",INDEX(data!C:C,MATCH($N677,data!$A:$A,0)))</f>
        <v/>
      </c>
      <c r="AO677" s="38" t="str">
        <f>IF(ISNA(MATCH($N677,data!$A:$A,0)),"",INDEX(data!D:D,MATCH($N677,data!$A:$A,0)))</f>
        <v/>
      </c>
      <c r="AP677" s="38" t="str">
        <f>IF(ISNA(MATCH($N677,data!$A:$A,0)),"",INDEX(data!E:E,MATCH($N677,data!$A:$A,0)))</f>
        <v/>
      </c>
      <c r="AQ677" s="38" t="str">
        <f>IF(ISNA(MATCH($N677,data!$A:$A,0)),"",INDEX(data!F:F,MATCH($N677,data!$A:$A,0)))</f>
        <v/>
      </c>
      <c r="AR677" s="38" t="str">
        <f>IF(ISNA(MATCH($N677,data!$A:$A,0)),"",INDEX(data!G:G,MATCH($N677,data!$A:$A,0)))</f>
        <v/>
      </c>
      <c r="AS677" s="38" t="str">
        <f>IF(ISNA(MATCH($N677,data!$A:$A,0)),"",INDEX(data!H:H,MATCH($N677,data!$A:$A,0)))</f>
        <v/>
      </c>
      <c r="AT677" s="38" t="str">
        <f>IF(ISNA(MATCH($N677,data!$A:$A,0)),"",INDEX(data!I:I,MATCH($N677,data!$A:$A,0)))</f>
        <v/>
      </c>
      <c r="AU677" s="38" t="str">
        <f>IF(ISNA(MATCH($N677,[1]data!$A:$A,0)),"",INDEX([1]data!L:L,MATCH($N677,[1]data!$A:$A,0)))</f>
        <v/>
      </c>
      <c r="AV677" s="38" t="str">
        <f>IF(ISNA(MATCH($N677,[1]data!$A:$A,0)),"",INDEX([1]data!M:M,MATCH($N677,[1]data!$A:$A,0)))</f>
        <v/>
      </c>
      <c r="AW677" s="38" t="str">
        <f>IF(ISNA(MATCH($N677,data!$A:$A,0)),"",INDEX(data!J:J,MATCH($N677,data!$A:$A,0)))</f>
        <v/>
      </c>
      <c r="AX677" s="38" t="str">
        <f>IF(ISNA(MATCH($N677,data!$A:$A,0)),"",INDEX(data!K:K,MATCH($N677,data!$A:$A,0)))</f>
        <v/>
      </c>
      <c r="AY677" s="38" t="str">
        <f>IF(ISNA(MATCH($N677,data!$A:$A,0)),"",INDEX(data!O:O,MATCH($N677,data!$A:$A,0)))</f>
        <v/>
      </c>
      <c r="AZ677" s="38" t="str">
        <f>IF(ISNA(MATCH($N677,data!$A:$A,0)),"",INDEX(data!N:N,MATCH($N677,data!$A:$A,0)))</f>
        <v/>
      </c>
      <c r="BA677" s="38" t="str">
        <f>IF(ISNA(MATCH($N677,data!$A:$A,0)),"",INDEX(data!P:P,MATCH($N677,data!$A:$A,0)))</f>
        <v/>
      </c>
      <c r="BB677" s="38" t="str">
        <f>IF(ISNA(MATCH($N677,data!$A:$A,0)),"",INDEX(data!Q:Q,MATCH($N677,data!$A:$A,0)))</f>
        <v/>
      </c>
      <c r="BC677" s="38" t="str">
        <f>IF(ISNA(MATCH($N677,data!$A:$A,0)),"",INDEX(data!R:R,MATCH($N677,data!$A:$A,0)))</f>
        <v/>
      </c>
      <c r="BD677" s="38" t="str">
        <f>IF(ISNA(MATCH($N677,[1]data!$A:$A,0)),"",INDEX([1]data!U:U,MATCH($N677,[1]data!$A:$A,0)))</f>
        <v/>
      </c>
      <c r="BE677" s="61" t="e">
        <f>IF(COUNTIF([1]data!A:A,[1]!Table1[[#This Row],[UPC]])&lt;2,"","DUP")</f>
        <v>#VALUE!</v>
      </c>
      <c r="BF677" s="38" t="str">
        <f>IF(ISNA(MATCH($N677,data!$A:$A,0)),"",INDEX(data!W:W,MATCH($N677,data!$A:$A,0)))</f>
        <v/>
      </c>
    </row>
    <row r="678" spans="1:58">
      <c r="A678" s="35"/>
      <c r="B678" s="35"/>
      <c r="C678" s="35"/>
      <c r="D678" s="35"/>
      <c r="E678" s="67"/>
      <c r="F678" s="67"/>
      <c r="G678" s="36"/>
      <c r="H678" s="29"/>
      <c r="I678" s="78" t="str">
        <f t="shared" si="16"/>
        <v/>
      </c>
      <c r="J678" s="29"/>
      <c r="K678" s="29"/>
      <c r="L678" s="33"/>
      <c r="M678" s="33"/>
      <c r="N678" s="60"/>
      <c r="O678" s="71"/>
      <c r="P678" s="71"/>
      <c r="Q678" s="33"/>
      <c r="R678" s="31"/>
      <c r="S678" s="31"/>
      <c r="T678" s="59"/>
      <c r="U678" s="59"/>
      <c r="V678" s="59"/>
      <c r="W678" s="57">
        <f t="shared" si="17"/>
        <v>0</v>
      </c>
      <c r="X678" s="126" t="str">
        <f>IF(Table1[[#This Row],[Shipping Weight Pounds]]&gt;150,"See LTL Form","No")</f>
        <v>No</v>
      </c>
      <c r="Y678" s="28"/>
      <c r="Z678" s="33"/>
      <c r="AA678" s="34"/>
      <c r="AB678" s="30"/>
      <c r="AC678" s="30"/>
      <c r="AD678" s="32"/>
      <c r="AE678" s="32"/>
      <c r="AF678" s="2"/>
      <c r="AG678" s="2"/>
      <c r="AH678" s="2"/>
      <c r="AI678" s="2"/>
      <c r="AK678" s="73" t="str">
        <f>IF(ISNA(MATCH($N678,[1]data!$A:$A,0)),"",INDEX([1]data!S:S,MATCH($N678,[1]data!$A:$A,0)))</f>
        <v/>
      </c>
      <c r="AL678" s="73" t="str">
        <f>IF(ISNA(MATCH($N678,[1]data!$A:$A,0)),"",INDEX([1]data!V:V,MATCH($N678,[1]data!$A:$A,0)))</f>
        <v/>
      </c>
      <c r="AM678" s="38" t="str">
        <f>IF(ISNA(MATCH($N678,data!$A:$A,0)),"",INDEX(data!B:B,MATCH($N678,data!$A:$A,0)))</f>
        <v/>
      </c>
      <c r="AN678" s="38" t="str">
        <f>IF(ISNA(MATCH($N678,data!$A:$A,0)),"",INDEX(data!C:C,MATCH($N678,data!$A:$A,0)))</f>
        <v/>
      </c>
      <c r="AO678" s="38" t="str">
        <f>IF(ISNA(MATCH($N678,data!$A:$A,0)),"",INDEX(data!D:D,MATCH($N678,data!$A:$A,0)))</f>
        <v/>
      </c>
      <c r="AP678" s="38" t="str">
        <f>IF(ISNA(MATCH($N678,data!$A:$A,0)),"",INDEX(data!E:E,MATCH($N678,data!$A:$A,0)))</f>
        <v/>
      </c>
      <c r="AQ678" s="38" t="str">
        <f>IF(ISNA(MATCH($N678,data!$A:$A,0)),"",INDEX(data!F:F,MATCH($N678,data!$A:$A,0)))</f>
        <v/>
      </c>
      <c r="AR678" s="38" t="str">
        <f>IF(ISNA(MATCH($N678,data!$A:$A,0)),"",INDEX(data!G:G,MATCH($N678,data!$A:$A,0)))</f>
        <v/>
      </c>
      <c r="AS678" s="38" t="str">
        <f>IF(ISNA(MATCH($N678,data!$A:$A,0)),"",INDEX(data!H:H,MATCH($N678,data!$A:$A,0)))</f>
        <v/>
      </c>
      <c r="AT678" s="38" t="str">
        <f>IF(ISNA(MATCH($N678,data!$A:$A,0)),"",INDEX(data!I:I,MATCH($N678,data!$A:$A,0)))</f>
        <v/>
      </c>
      <c r="AU678" s="38" t="str">
        <f>IF(ISNA(MATCH($N678,[1]data!$A:$A,0)),"",INDEX([1]data!L:L,MATCH($N678,[1]data!$A:$A,0)))</f>
        <v/>
      </c>
      <c r="AV678" s="38" t="str">
        <f>IF(ISNA(MATCH($N678,[1]data!$A:$A,0)),"",INDEX([1]data!M:M,MATCH($N678,[1]data!$A:$A,0)))</f>
        <v/>
      </c>
      <c r="AW678" s="38" t="str">
        <f>IF(ISNA(MATCH($N678,data!$A:$A,0)),"",INDEX(data!J:J,MATCH($N678,data!$A:$A,0)))</f>
        <v/>
      </c>
      <c r="AX678" s="38" t="str">
        <f>IF(ISNA(MATCH($N678,data!$A:$A,0)),"",INDEX(data!K:K,MATCH($N678,data!$A:$A,0)))</f>
        <v/>
      </c>
      <c r="AY678" s="38" t="str">
        <f>IF(ISNA(MATCH($N678,data!$A:$A,0)),"",INDEX(data!O:O,MATCH($N678,data!$A:$A,0)))</f>
        <v/>
      </c>
      <c r="AZ678" s="38" t="str">
        <f>IF(ISNA(MATCH($N678,data!$A:$A,0)),"",INDEX(data!N:N,MATCH($N678,data!$A:$A,0)))</f>
        <v/>
      </c>
      <c r="BA678" s="38" t="str">
        <f>IF(ISNA(MATCH($N678,data!$A:$A,0)),"",INDEX(data!P:P,MATCH($N678,data!$A:$A,0)))</f>
        <v/>
      </c>
      <c r="BB678" s="38" t="str">
        <f>IF(ISNA(MATCH($N678,data!$A:$A,0)),"",INDEX(data!Q:Q,MATCH($N678,data!$A:$A,0)))</f>
        <v/>
      </c>
      <c r="BC678" s="38" t="str">
        <f>IF(ISNA(MATCH($N678,data!$A:$A,0)),"",INDEX(data!R:R,MATCH($N678,data!$A:$A,0)))</f>
        <v/>
      </c>
      <c r="BD678" s="38" t="str">
        <f>IF(ISNA(MATCH($N678,[1]data!$A:$A,0)),"",INDEX([1]data!U:U,MATCH($N678,[1]data!$A:$A,0)))</f>
        <v/>
      </c>
      <c r="BE678" s="61" t="e">
        <f>IF(COUNTIF([1]data!A:A,[1]!Table1[[#This Row],[UPC]])&lt;2,"","DUP")</f>
        <v>#VALUE!</v>
      </c>
      <c r="BF678" s="38" t="str">
        <f>IF(ISNA(MATCH($N678,data!$A:$A,0)),"",INDEX(data!W:W,MATCH($N678,data!$A:$A,0)))</f>
        <v/>
      </c>
    </row>
    <row r="679" spans="1:58">
      <c r="A679" s="35"/>
      <c r="B679" s="35"/>
      <c r="C679" s="35"/>
      <c r="D679" s="35"/>
      <c r="E679" s="67"/>
      <c r="F679" s="67"/>
      <c r="G679" s="36"/>
      <c r="H679" s="29"/>
      <c r="I679" s="78" t="str">
        <f t="shared" si="16"/>
        <v/>
      </c>
      <c r="J679" s="29"/>
      <c r="K679" s="29"/>
      <c r="L679" s="33"/>
      <c r="M679" s="33"/>
      <c r="N679" s="60"/>
      <c r="O679" s="71"/>
      <c r="P679" s="71"/>
      <c r="Q679" s="33"/>
      <c r="R679" s="31"/>
      <c r="S679" s="31"/>
      <c r="T679" s="59"/>
      <c r="U679" s="59"/>
      <c r="V679" s="59"/>
      <c r="W679" s="57">
        <f t="shared" si="17"/>
        <v>0</v>
      </c>
      <c r="X679" s="126" t="str">
        <f>IF(Table1[[#This Row],[Shipping Weight Pounds]]&gt;150,"See LTL Form","No")</f>
        <v>No</v>
      </c>
      <c r="Y679" s="28"/>
      <c r="Z679" s="33"/>
      <c r="AA679" s="34"/>
      <c r="AB679" s="30"/>
      <c r="AC679" s="30"/>
      <c r="AD679" s="32"/>
      <c r="AE679" s="32"/>
      <c r="AF679" s="2"/>
      <c r="AG679" s="2"/>
      <c r="AH679" s="2"/>
      <c r="AI679" s="2"/>
      <c r="AK679" s="73" t="str">
        <f>IF(ISNA(MATCH($N679,[1]data!$A:$A,0)),"",INDEX([1]data!S:S,MATCH($N679,[1]data!$A:$A,0)))</f>
        <v/>
      </c>
      <c r="AL679" s="73" t="str">
        <f>IF(ISNA(MATCH($N679,[1]data!$A:$A,0)),"",INDEX([1]data!V:V,MATCH($N679,[1]data!$A:$A,0)))</f>
        <v/>
      </c>
      <c r="AM679" s="38" t="str">
        <f>IF(ISNA(MATCH($N679,data!$A:$A,0)),"",INDEX(data!B:B,MATCH($N679,data!$A:$A,0)))</f>
        <v/>
      </c>
      <c r="AN679" s="38" t="str">
        <f>IF(ISNA(MATCH($N679,data!$A:$A,0)),"",INDEX(data!C:C,MATCH($N679,data!$A:$A,0)))</f>
        <v/>
      </c>
      <c r="AO679" s="38" t="str">
        <f>IF(ISNA(MATCH($N679,data!$A:$A,0)),"",INDEX(data!D:D,MATCH($N679,data!$A:$A,0)))</f>
        <v/>
      </c>
      <c r="AP679" s="38" t="str">
        <f>IF(ISNA(MATCH($N679,data!$A:$A,0)),"",INDEX(data!E:E,MATCH($N679,data!$A:$A,0)))</f>
        <v/>
      </c>
      <c r="AQ679" s="38" t="str">
        <f>IF(ISNA(MATCH($N679,data!$A:$A,0)),"",INDEX(data!F:F,MATCH($N679,data!$A:$A,0)))</f>
        <v/>
      </c>
      <c r="AR679" s="38" t="str">
        <f>IF(ISNA(MATCH($N679,data!$A:$A,0)),"",INDEX(data!G:G,MATCH($N679,data!$A:$A,0)))</f>
        <v/>
      </c>
      <c r="AS679" s="38" t="str">
        <f>IF(ISNA(MATCH($N679,data!$A:$A,0)),"",INDEX(data!H:H,MATCH($N679,data!$A:$A,0)))</f>
        <v/>
      </c>
      <c r="AT679" s="38" t="str">
        <f>IF(ISNA(MATCH($N679,data!$A:$A,0)),"",INDEX(data!I:I,MATCH($N679,data!$A:$A,0)))</f>
        <v/>
      </c>
      <c r="AU679" s="38" t="str">
        <f>IF(ISNA(MATCH($N679,[1]data!$A:$A,0)),"",INDEX([1]data!L:L,MATCH($N679,[1]data!$A:$A,0)))</f>
        <v/>
      </c>
      <c r="AV679" s="38" t="str">
        <f>IF(ISNA(MATCH($N679,[1]data!$A:$A,0)),"",INDEX([1]data!M:M,MATCH($N679,[1]data!$A:$A,0)))</f>
        <v/>
      </c>
      <c r="AW679" s="38" t="str">
        <f>IF(ISNA(MATCH($N679,data!$A:$A,0)),"",INDEX(data!J:J,MATCH($N679,data!$A:$A,0)))</f>
        <v/>
      </c>
      <c r="AX679" s="38" t="str">
        <f>IF(ISNA(MATCH($N679,data!$A:$A,0)),"",INDEX(data!K:K,MATCH($N679,data!$A:$A,0)))</f>
        <v/>
      </c>
      <c r="AY679" s="38" t="str">
        <f>IF(ISNA(MATCH($N679,data!$A:$A,0)),"",INDEX(data!O:O,MATCH($N679,data!$A:$A,0)))</f>
        <v/>
      </c>
      <c r="AZ679" s="38" t="str">
        <f>IF(ISNA(MATCH($N679,data!$A:$A,0)),"",INDEX(data!N:N,MATCH($N679,data!$A:$A,0)))</f>
        <v/>
      </c>
      <c r="BA679" s="38" t="str">
        <f>IF(ISNA(MATCH($N679,data!$A:$A,0)),"",INDEX(data!P:P,MATCH($N679,data!$A:$A,0)))</f>
        <v/>
      </c>
      <c r="BB679" s="38" t="str">
        <f>IF(ISNA(MATCH($N679,data!$A:$A,0)),"",INDEX(data!Q:Q,MATCH($N679,data!$A:$A,0)))</f>
        <v/>
      </c>
      <c r="BC679" s="38" t="str">
        <f>IF(ISNA(MATCH($N679,data!$A:$A,0)),"",INDEX(data!R:R,MATCH($N679,data!$A:$A,0)))</f>
        <v/>
      </c>
      <c r="BD679" s="38" t="str">
        <f>IF(ISNA(MATCH($N679,[1]data!$A:$A,0)),"",INDEX([1]data!U:U,MATCH($N679,[1]data!$A:$A,0)))</f>
        <v/>
      </c>
      <c r="BE679" s="61" t="e">
        <f>IF(COUNTIF([1]data!A:A,[1]!Table1[[#This Row],[UPC]])&lt;2,"","DUP")</f>
        <v>#VALUE!</v>
      </c>
      <c r="BF679" s="38" t="str">
        <f>IF(ISNA(MATCH($N679,data!$A:$A,0)),"",INDEX(data!W:W,MATCH($N679,data!$A:$A,0)))</f>
        <v/>
      </c>
    </row>
    <row r="680" spans="1:58">
      <c r="A680" s="35"/>
      <c r="B680" s="35"/>
      <c r="C680" s="35"/>
      <c r="D680" s="35"/>
      <c r="E680" s="67"/>
      <c r="F680" s="67"/>
      <c r="G680" s="36"/>
      <c r="H680" s="29"/>
      <c r="I680" s="78" t="str">
        <f t="shared" si="16"/>
        <v/>
      </c>
      <c r="J680" s="29"/>
      <c r="K680" s="29"/>
      <c r="L680" s="33"/>
      <c r="M680" s="33"/>
      <c r="N680" s="60"/>
      <c r="O680" s="71"/>
      <c r="P680" s="71"/>
      <c r="Q680" s="33"/>
      <c r="R680" s="31"/>
      <c r="S680" s="31"/>
      <c r="T680" s="59"/>
      <c r="U680" s="59"/>
      <c r="V680" s="59"/>
      <c r="W680" s="57">
        <f t="shared" si="17"/>
        <v>0</v>
      </c>
      <c r="X680" s="126" t="str">
        <f>IF(Table1[[#This Row],[Shipping Weight Pounds]]&gt;150,"See LTL Form","No")</f>
        <v>No</v>
      </c>
      <c r="Y680" s="28"/>
      <c r="Z680" s="33"/>
      <c r="AA680" s="34"/>
      <c r="AB680" s="30"/>
      <c r="AC680" s="30"/>
      <c r="AD680" s="32"/>
      <c r="AE680" s="32"/>
      <c r="AF680" s="2"/>
      <c r="AG680" s="2"/>
      <c r="AH680" s="2"/>
      <c r="AI680" s="2"/>
      <c r="AK680" s="73" t="str">
        <f>IF(ISNA(MATCH($N680,[1]data!$A:$A,0)),"",INDEX([1]data!S:S,MATCH($N680,[1]data!$A:$A,0)))</f>
        <v/>
      </c>
      <c r="AL680" s="73" t="str">
        <f>IF(ISNA(MATCH($N680,[1]data!$A:$A,0)),"",INDEX([1]data!V:V,MATCH($N680,[1]data!$A:$A,0)))</f>
        <v/>
      </c>
      <c r="AM680" s="38" t="str">
        <f>IF(ISNA(MATCH($N680,data!$A:$A,0)),"",INDEX(data!B:B,MATCH($N680,data!$A:$A,0)))</f>
        <v/>
      </c>
      <c r="AN680" s="38" t="str">
        <f>IF(ISNA(MATCH($N680,data!$A:$A,0)),"",INDEX(data!C:C,MATCH($N680,data!$A:$A,0)))</f>
        <v/>
      </c>
      <c r="AO680" s="38" t="str">
        <f>IF(ISNA(MATCH($N680,data!$A:$A,0)),"",INDEX(data!D:D,MATCH($N680,data!$A:$A,0)))</f>
        <v/>
      </c>
      <c r="AP680" s="38" t="str">
        <f>IF(ISNA(MATCH($N680,data!$A:$A,0)),"",INDEX(data!E:E,MATCH($N680,data!$A:$A,0)))</f>
        <v/>
      </c>
      <c r="AQ680" s="38" t="str">
        <f>IF(ISNA(MATCH($N680,data!$A:$A,0)),"",INDEX(data!F:F,MATCH($N680,data!$A:$A,0)))</f>
        <v/>
      </c>
      <c r="AR680" s="38" t="str">
        <f>IF(ISNA(MATCH($N680,data!$A:$A,0)),"",INDEX(data!G:G,MATCH($N680,data!$A:$A,0)))</f>
        <v/>
      </c>
      <c r="AS680" s="38" t="str">
        <f>IF(ISNA(MATCH($N680,data!$A:$A,0)),"",INDEX(data!H:H,MATCH($N680,data!$A:$A,0)))</f>
        <v/>
      </c>
      <c r="AT680" s="38" t="str">
        <f>IF(ISNA(MATCH($N680,data!$A:$A,0)),"",INDEX(data!I:I,MATCH($N680,data!$A:$A,0)))</f>
        <v/>
      </c>
      <c r="AU680" s="38" t="str">
        <f>IF(ISNA(MATCH($N680,[1]data!$A:$A,0)),"",INDEX([1]data!L:L,MATCH($N680,[1]data!$A:$A,0)))</f>
        <v/>
      </c>
      <c r="AV680" s="38" t="str">
        <f>IF(ISNA(MATCH($N680,[1]data!$A:$A,0)),"",INDEX([1]data!M:M,MATCH($N680,[1]data!$A:$A,0)))</f>
        <v/>
      </c>
      <c r="AW680" s="38" t="str">
        <f>IF(ISNA(MATCH($N680,data!$A:$A,0)),"",INDEX(data!J:J,MATCH($N680,data!$A:$A,0)))</f>
        <v/>
      </c>
      <c r="AX680" s="38" t="str">
        <f>IF(ISNA(MATCH($N680,data!$A:$A,0)),"",INDEX(data!K:K,MATCH($N680,data!$A:$A,0)))</f>
        <v/>
      </c>
      <c r="AY680" s="38" t="str">
        <f>IF(ISNA(MATCH($N680,data!$A:$A,0)),"",INDEX(data!O:O,MATCH($N680,data!$A:$A,0)))</f>
        <v/>
      </c>
      <c r="AZ680" s="38" t="str">
        <f>IF(ISNA(MATCH($N680,data!$A:$A,0)),"",INDEX(data!N:N,MATCH($N680,data!$A:$A,0)))</f>
        <v/>
      </c>
      <c r="BA680" s="38" t="str">
        <f>IF(ISNA(MATCH($N680,data!$A:$A,0)),"",INDEX(data!P:P,MATCH($N680,data!$A:$A,0)))</f>
        <v/>
      </c>
      <c r="BB680" s="38" t="str">
        <f>IF(ISNA(MATCH($N680,data!$A:$A,0)),"",INDEX(data!Q:Q,MATCH($N680,data!$A:$A,0)))</f>
        <v/>
      </c>
      <c r="BC680" s="38" t="str">
        <f>IF(ISNA(MATCH($N680,data!$A:$A,0)),"",INDEX(data!R:R,MATCH($N680,data!$A:$A,0)))</f>
        <v/>
      </c>
      <c r="BD680" s="38" t="str">
        <f>IF(ISNA(MATCH($N680,[1]data!$A:$A,0)),"",INDEX([1]data!U:U,MATCH($N680,[1]data!$A:$A,0)))</f>
        <v/>
      </c>
      <c r="BE680" s="61" t="e">
        <f>IF(COUNTIF([1]data!A:A,[1]!Table1[[#This Row],[UPC]])&lt;2,"","DUP")</f>
        <v>#VALUE!</v>
      </c>
      <c r="BF680" s="38" t="str">
        <f>IF(ISNA(MATCH($N680,data!$A:$A,0)),"",INDEX(data!W:W,MATCH($N680,data!$A:$A,0)))</f>
        <v/>
      </c>
    </row>
    <row r="681" spans="1:58">
      <c r="A681" s="35"/>
      <c r="B681" s="35"/>
      <c r="C681" s="35"/>
      <c r="D681" s="35"/>
      <c r="E681" s="67"/>
      <c r="F681" s="67"/>
      <c r="G681" s="36"/>
      <c r="H681" s="29"/>
      <c r="I681" s="78" t="str">
        <f t="shared" si="16"/>
        <v/>
      </c>
      <c r="J681" s="29"/>
      <c r="K681" s="29"/>
      <c r="L681" s="33"/>
      <c r="M681" s="33"/>
      <c r="N681" s="60"/>
      <c r="O681" s="71"/>
      <c r="P681" s="71"/>
      <c r="Q681" s="33"/>
      <c r="R681" s="31"/>
      <c r="S681" s="31"/>
      <c r="T681" s="59"/>
      <c r="U681" s="59"/>
      <c r="V681" s="59"/>
      <c r="W681" s="57">
        <f t="shared" si="17"/>
        <v>0</v>
      </c>
      <c r="X681" s="126" t="str">
        <f>IF(Table1[[#This Row],[Shipping Weight Pounds]]&gt;150,"See LTL Form","No")</f>
        <v>No</v>
      </c>
      <c r="Y681" s="28"/>
      <c r="Z681" s="33"/>
      <c r="AA681" s="34"/>
      <c r="AB681" s="30"/>
      <c r="AC681" s="30"/>
      <c r="AD681" s="32"/>
      <c r="AE681" s="32"/>
      <c r="AF681" s="2"/>
      <c r="AG681" s="2"/>
      <c r="AH681" s="2"/>
      <c r="AI681" s="2"/>
      <c r="AK681" s="73" t="str">
        <f>IF(ISNA(MATCH($N681,[1]data!$A:$A,0)),"",INDEX([1]data!S:S,MATCH($N681,[1]data!$A:$A,0)))</f>
        <v/>
      </c>
      <c r="AL681" s="73" t="str">
        <f>IF(ISNA(MATCH($N681,[1]data!$A:$A,0)),"",INDEX([1]data!V:V,MATCH($N681,[1]data!$A:$A,0)))</f>
        <v/>
      </c>
      <c r="AM681" s="38" t="str">
        <f>IF(ISNA(MATCH($N681,data!$A:$A,0)),"",INDEX(data!B:B,MATCH($N681,data!$A:$A,0)))</f>
        <v/>
      </c>
      <c r="AN681" s="38" t="str">
        <f>IF(ISNA(MATCH($N681,data!$A:$A,0)),"",INDEX(data!C:C,MATCH($N681,data!$A:$A,0)))</f>
        <v/>
      </c>
      <c r="AO681" s="38" t="str">
        <f>IF(ISNA(MATCH($N681,data!$A:$A,0)),"",INDEX(data!D:D,MATCH($N681,data!$A:$A,0)))</f>
        <v/>
      </c>
      <c r="AP681" s="38" t="str">
        <f>IF(ISNA(MATCH($N681,data!$A:$A,0)),"",INDEX(data!E:E,MATCH($N681,data!$A:$A,0)))</f>
        <v/>
      </c>
      <c r="AQ681" s="38" t="str">
        <f>IF(ISNA(MATCH($N681,data!$A:$A,0)),"",INDEX(data!F:F,MATCH($N681,data!$A:$A,0)))</f>
        <v/>
      </c>
      <c r="AR681" s="38" t="str">
        <f>IF(ISNA(MATCH($N681,data!$A:$A,0)),"",INDEX(data!G:G,MATCH($N681,data!$A:$A,0)))</f>
        <v/>
      </c>
      <c r="AS681" s="38" t="str">
        <f>IF(ISNA(MATCH($N681,data!$A:$A,0)),"",INDEX(data!H:H,MATCH($N681,data!$A:$A,0)))</f>
        <v/>
      </c>
      <c r="AT681" s="38" t="str">
        <f>IF(ISNA(MATCH($N681,data!$A:$A,0)),"",INDEX(data!I:I,MATCH($N681,data!$A:$A,0)))</f>
        <v/>
      </c>
      <c r="AU681" s="38" t="str">
        <f>IF(ISNA(MATCH($N681,[1]data!$A:$A,0)),"",INDEX([1]data!L:L,MATCH($N681,[1]data!$A:$A,0)))</f>
        <v/>
      </c>
      <c r="AV681" s="38" t="str">
        <f>IF(ISNA(MATCH($N681,[1]data!$A:$A,0)),"",INDEX([1]data!M:M,MATCH($N681,[1]data!$A:$A,0)))</f>
        <v/>
      </c>
      <c r="AW681" s="38" t="str">
        <f>IF(ISNA(MATCH($N681,data!$A:$A,0)),"",INDEX(data!J:J,MATCH($N681,data!$A:$A,0)))</f>
        <v/>
      </c>
      <c r="AX681" s="38" t="str">
        <f>IF(ISNA(MATCH($N681,data!$A:$A,0)),"",INDEX(data!K:K,MATCH($N681,data!$A:$A,0)))</f>
        <v/>
      </c>
      <c r="AY681" s="38" t="str">
        <f>IF(ISNA(MATCH($N681,data!$A:$A,0)),"",INDEX(data!O:O,MATCH($N681,data!$A:$A,0)))</f>
        <v/>
      </c>
      <c r="AZ681" s="38" t="str">
        <f>IF(ISNA(MATCH($N681,data!$A:$A,0)),"",INDEX(data!N:N,MATCH($N681,data!$A:$A,0)))</f>
        <v/>
      </c>
      <c r="BA681" s="38" t="str">
        <f>IF(ISNA(MATCH($N681,data!$A:$A,0)),"",INDEX(data!P:P,MATCH($N681,data!$A:$A,0)))</f>
        <v/>
      </c>
      <c r="BB681" s="38" t="str">
        <f>IF(ISNA(MATCH($N681,data!$A:$A,0)),"",INDEX(data!Q:Q,MATCH($N681,data!$A:$A,0)))</f>
        <v/>
      </c>
      <c r="BC681" s="38" t="str">
        <f>IF(ISNA(MATCH($N681,data!$A:$A,0)),"",INDEX(data!R:R,MATCH($N681,data!$A:$A,0)))</f>
        <v/>
      </c>
      <c r="BD681" s="38" t="str">
        <f>IF(ISNA(MATCH($N681,[1]data!$A:$A,0)),"",INDEX([1]data!U:U,MATCH($N681,[1]data!$A:$A,0)))</f>
        <v/>
      </c>
      <c r="BE681" s="61" t="e">
        <f>IF(COUNTIF([1]data!A:A,[1]!Table1[[#This Row],[UPC]])&lt;2,"","DUP")</f>
        <v>#VALUE!</v>
      </c>
      <c r="BF681" s="38" t="str">
        <f>IF(ISNA(MATCH($N681,data!$A:$A,0)),"",INDEX(data!W:W,MATCH($N681,data!$A:$A,0)))</f>
        <v/>
      </c>
    </row>
    <row r="682" spans="1:58">
      <c r="A682" s="35"/>
      <c r="B682" s="35"/>
      <c r="C682" s="35"/>
      <c r="D682" s="35"/>
      <c r="E682" s="67"/>
      <c r="F682" s="67"/>
      <c r="G682" s="36"/>
      <c r="H682" s="29"/>
      <c r="I682" s="78" t="str">
        <f t="shared" si="16"/>
        <v/>
      </c>
      <c r="J682" s="29"/>
      <c r="K682" s="29"/>
      <c r="L682" s="33"/>
      <c r="M682" s="33"/>
      <c r="N682" s="60"/>
      <c r="O682" s="71"/>
      <c r="P682" s="71"/>
      <c r="Q682" s="33"/>
      <c r="R682" s="31"/>
      <c r="S682" s="31"/>
      <c r="T682" s="59"/>
      <c r="U682" s="59"/>
      <c r="V682" s="59"/>
      <c r="W682" s="57">
        <f t="shared" si="17"/>
        <v>0</v>
      </c>
      <c r="X682" s="126" t="str">
        <f>IF(Table1[[#This Row],[Shipping Weight Pounds]]&gt;150,"See LTL Form","No")</f>
        <v>No</v>
      </c>
      <c r="Y682" s="28"/>
      <c r="Z682" s="33"/>
      <c r="AA682" s="34"/>
      <c r="AB682" s="30"/>
      <c r="AC682" s="30"/>
      <c r="AD682" s="32"/>
      <c r="AE682" s="32"/>
      <c r="AF682" s="2"/>
      <c r="AG682" s="2"/>
      <c r="AH682" s="2"/>
      <c r="AI682" s="2"/>
      <c r="AK682" s="73" t="str">
        <f>IF(ISNA(MATCH($N682,[1]data!$A:$A,0)),"",INDEX([1]data!S:S,MATCH($N682,[1]data!$A:$A,0)))</f>
        <v/>
      </c>
      <c r="AL682" s="73" t="str">
        <f>IF(ISNA(MATCH($N682,[1]data!$A:$A,0)),"",INDEX([1]data!V:V,MATCH($N682,[1]data!$A:$A,0)))</f>
        <v/>
      </c>
      <c r="AM682" s="38" t="str">
        <f>IF(ISNA(MATCH($N682,data!$A:$A,0)),"",INDEX(data!B:B,MATCH($N682,data!$A:$A,0)))</f>
        <v/>
      </c>
      <c r="AN682" s="38" t="str">
        <f>IF(ISNA(MATCH($N682,data!$A:$A,0)),"",INDEX(data!C:C,MATCH($N682,data!$A:$A,0)))</f>
        <v/>
      </c>
      <c r="AO682" s="38" t="str">
        <f>IF(ISNA(MATCH($N682,data!$A:$A,0)),"",INDEX(data!D:D,MATCH($N682,data!$A:$A,0)))</f>
        <v/>
      </c>
      <c r="AP682" s="38" t="str">
        <f>IF(ISNA(MATCH($N682,data!$A:$A,0)),"",INDEX(data!E:E,MATCH($N682,data!$A:$A,0)))</f>
        <v/>
      </c>
      <c r="AQ682" s="38" t="str">
        <f>IF(ISNA(MATCH($N682,data!$A:$A,0)),"",INDEX(data!F:F,MATCH($N682,data!$A:$A,0)))</f>
        <v/>
      </c>
      <c r="AR682" s="38" t="str">
        <f>IF(ISNA(MATCH($N682,data!$A:$A,0)),"",INDEX(data!G:G,MATCH($N682,data!$A:$A,0)))</f>
        <v/>
      </c>
      <c r="AS682" s="38" t="str">
        <f>IF(ISNA(MATCH($N682,data!$A:$A,0)),"",INDEX(data!H:H,MATCH($N682,data!$A:$A,0)))</f>
        <v/>
      </c>
      <c r="AT682" s="38" t="str">
        <f>IF(ISNA(MATCH($N682,data!$A:$A,0)),"",INDEX(data!I:I,MATCH($N682,data!$A:$A,0)))</f>
        <v/>
      </c>
      <c r="AU682" s="38" t="str">
        <f>IF(ISNA(MATCH($N682,[1]data!$A:$A,0)),"",INDEX([1]data!L:L,MATCH($N682,[1]data!$A:$A,0)))</f>
        <v/>
      </c>
      <c r="AV682" s="38" t="str">
        <f>IF(ISNA(MATCH($N682,[1]data!$A:$A,0)),"",INDEX([1]data!M:M,MATCH($N682,[1]data!$A:$A,0)))</f>
        <v/>
      </c>
      <c r="AW682" s="38" t="str">
        <f>IF(ISNA(MATCH($N682,data!$A:$A,0)),"",INDEX(data!J:J,MATCH($N682,data!$A:$A,0)))</f>
        <v/>
      </c>
      <c r="AX682" s="38" t="str">
        <f>IF(ISNA(MATCH($N682,data!$A:$A,0)),"",INDEX(data!K:K,MATCH($N682,data!$A:$A,0)))</f>
        <v/>
      </c>
      <c r="AY682" s="38" t="str">
        <f>IF(ISNA(MATCH($N682,data!$A:$A,0)),"",INDEX(data!O:O,MATCH($N682,data!$A:$A,0)))</f>
        <v/>
      </c>
      <c r="AZ682" s="38" t="str">
        <f>IF(ISNA(MATCH($N682,data!$A:$A,0)),"",INDEX(data!N:N,MATCH($N682,data!$A:$A,0)))</f>
        <v/>
      </c>
      <c r="BA682" s="38" t="str">
        <f>IF(ISNA(MATCH($N682,data!$A:$A,0)),"",INDEX(data!P:P,MATCH($N682,data!$A:$A,0)))</f>
        <v/>
      </c>
      <c r="BB682" s="38" t="str">
        <f>IF(ISNA(MATCH($N682,data!$A:$A,0)),"",INDEX(data!Q:Q,MATCH($N682,data!$A:$A,0)))</f>
        <v/>
      </c>
      <c r="BC682" s="38" t="str">
        <f>IF(ISNA(MATCH($N682,data!$A:$A,0)),"",INDEX(data!R:R,MATCH($N682,data!$A:$A,0)))</f>
        <v/>
      </c>
      <c r="BD682" s="38" t="str">
        <f>IF(ISNA(MATCH($N682,[1]data!$A:$A,0)),"",INDEX([1]data!U:U,MATCH($N682,[1]data!$A:$A,0)))</f>
        <v/>
      </c>
      <c r="BE682" s="61" t="e">
        <f>IF(COUNTIF([1]data!A:A,[1]!Table1[[#This Row],[UPC]])&lt;2,"","DUP")</f>
        <v>#VALUE!</v>
      </c>
      <c r="BF682" s="38" t="str">
        <f>IF(ISNA(MATCH($N682,data!$A:$A,0)),"",INDEX(data!W:W,MATCH($N682,data!$A:$A,0)))</f>
        <v/>
      </c>
    </row>
    <row r="683" spans="1:58">
      <c r="A683" s="35"/>
      <c r="B683" s="35"/>
      <c r="C683" s="35"/>
      <c r="D683" s="35"/>
      <c r="E683" s="67"/>
      <c r="F683" s="67"/>
      <c r="G683" s="36"/>
      <c r="H683" s="29"/>
      <c r="I683" s="78" t="str">
        <f t="shared" si="16"/>
        <v/>
      </c>
      <c r="J683" s="29"/>
      <c r="K683" s="29"/>
      <c r="L683" s="33"/>
      <c r="M683" s="33"/>
      <c r="N683" s="60"/>
      <c r="O683" s="71"/>
      <c r="P683" s="71"/>
      <c r="Q683" s="33"/>
      <c r="R683" s="31"/>
      <c r="S683" s="31"/>
      <c r="T683" s="59"/>
      <c r="U683" s="59"/>
      <c r="V683" s="59"/>
      <c r="W683" s="57">
        <f t="shared" si="17"/>
        <v>0</v>
      </c>
      <c r="X683" s="126" t="str">
        <f>IF(Table1[[#This Row],[Shipping Weight Pounds]]&gt;150,"See LTL Form","No")</f>
        <v>No</v>
      </c>
      <c r="Y683" s="28"/>
      <c r="Z683" s="33"/>
      <c r="AA683" s="34"/>
      <c r="AB683" s="30"/>
      <c r="AC683" s="30"/>
      <c r="AD683" s="32"/>
      <c r="AE683" s="32"/>
      <c r="AF683" s="2"/>
      <c r="AG683" s="2"/>
      <c r="AH683" s="2"/>
      <c r="AI683" s="2"/>
      <c r="AK683" s="73" t="str">
        <f>IF(ISNA(MATCH($N683,[1]data!$A:$A,0)),"",INDEX([1]data!S:S,MATCH($N683,[1]data!$A:$A,0)))</f>
        <v/>
      </c>
      <c r="AL683" s="73" t="str">
        <f>IF(ISNA(MATCH($N683,[1]data!$A:$A,0)),"",INDEX([1]data!V:V,MATCH($N683,[1]data!$A:$A,0)))</f>
        <v/>
      </c>
      <c r="AM683" s="38" t="str">
        <f>IF(ISNA(MATCH($N683,data!$A:$A,0)),"",INDEX(data!B:B,MATCH($N683,data!$A:$A,0)))</f>
        <v/>
      </c>
      <c r="AN683" s="38" t="str">
        <f>IF(ISNA(MATCH($N683,data!$A:$A,0)),"",INDEX(data!C:C,MATCH($N683,data!$A:$A,0)))</f>
        <v/>
      </c>
      <c r="AO683" s="38" t="str">
        <f>IF(ISNA(MATCH($N683,data!$A:$A,0)),"",INDEX(data!D:D,MATCH($N683,data!$A:$A,0)))</f>
        <v/>
      </c>
      <c r="AP683" s="38" t="str">
        <f>IF(ISNA(MATCH($N683,data!$A:$A,0)),"",INDEX(data!E:E,MATCH($N683,data!$A:$A,0)))</f>
        <v/>
      </c>
      <c r="AQ683" s="38" t="str">
        <f>IF(ISNA(MATCH($N683,data!$A:$A,0)),"",INDEX(data!F:F,MATCH($N683,data!$A:$A,0)))</f>
        <v/>
      </c>
      <c r="AR683" s="38" t="str">
        <f>IF(ISNA(MATCH($N683,data!$A:$A,0)),"",INDEX(data!G:G,MATCH($N683,data!$A:$A,0)))</f>
        <v/>
      </c>
      <c r="AS683" s="38" t="str">
        <f>IF(ISNA(MATCH($N683,data!$A:$A,0)),"",INDEX(data!H:H,MATCH($N683,data!$A:$A,0)))</f>
        <v/>
      </c>
      <c r="AT683" s="38" t="str">
        <f>IF(ISNA(MATCH($N683,data!$A:$A,0)),"",INDEX(data!I:I,MATCH($N683,data!$A:$A,0)))</f>
        <v/>
      </c>
      <c r="AU683" s="38" t="str">
        <f>IF(ISNA(MATCH($N683,[1]data!$A:$A,0)),"",INDEX([1]data!L:L,MATCH($N683,[1]data!$A:$A,0)))</f>
        <v/>
      </c>
      <c r="AV683" s="38" t="str">
        <f>IF(ISNA(MATCH($N683,[1]data!$A:$A,0)),"",INDEX([1]data!M:M,MATCH($N683,[1]data!$A:$A,0)))</f>
        <v/>
      </c>
      <c r="AW683" s="38" t="str">
        <f>IF(ISNA(MATCH($N683,data!$A:$A,0)),"",INDEX(data!J:J,MATCH($N683,data!$A:$A,0)))</f>
        <v/>
      </c>
      <c r="AX683" s="38" t="str">
        <f>IF(ISNA(MATCH($N683,data!$A:$A,0)),"",INDEX(data!K:K,MATCH($N683,data!$A:$A,0)))</f>
        <v/>
      </c>
      <c r="AY683" s="38" t="str">
        <f>IF(ISNA(MATCH($N683,data!$A:$A,0)),"",INDEX(data!O:O,MATCH($N683,data!$A:$A,0)))</f>
        <v/>
      </c>
      <c r="AZ683" s="38" t="str">
        <f>IF(ISNA(MATCH($N683,data!$A:$A,0)),"",INDEX(data!N:N,MATCH($N683,data!$A:$A,0)))</f>
        <v/>
      </c>
      <c r="BA683" s="38" t="str">
        <f>IF(ISNA(MATCH($N683,data!$A:$A,0)),"",INDEX(data!P:P,MATCH($N683,data!$A:$A,0)))</f>
        <v/>
      </c>
      <c r="BB683" s="38" t="str">
        <f>IF(ISNA(MATCH($N683,data!$A:$A,0)),"",INDEX(data!Q:Q,MATCH($N683,data!$A:$A,0)))</f>
        <v/>
      </c>
      <c r="BC683" s="38" t="str">
        <f>IF(ISNA(MATCH($N683,data!$A:$A,0)),"",INDEX(data!R:R,MATCH($N683,data!$A:$A,0)))</f>
        <v/>
      </c>
      <c r="BD683" s="38" t="str">
        <f>IF(ISNA(MATCH($N683,[1]data!$A:$A,0)),"",INDEX([1]data!U:U,MATCH($N683,[1]data!$A:$A,0)))</f>
        <v/>
      </c>
      <c r="BE683" s="61" t="e">
        <f>IF(COUNTIF([1]data!A:A,[1]!Table1[[#This Row],[UPC]])&lt;2,"","DUP")</f>
        <v>#VALUE!</v>
      </c>
      <c r="BF683" s="38" t="str">
        <f>IF(ISNA(MATCH($N683,data!$A:$A,0)),"",INDEX(data!W:W,MATCH($N683,data!$A:$A,0)))</f>
        <v/>
      </c>
    </row>
    <row r="684" spans="1:58">
      <c r="A684" s="35"/>
      <c r="B684" s="35"/>
      <c r="C684" s="35"/>
      <c r="D684" s="35"/>
      <c r="E684" s="67"/>
      <c r="F684" s="67"/>
      <c r="G684" s="36"/>
      <c r="H684" s="29"/>
      <c r="I684" s="78" t="str">
        <f t="shared" si="16"/>
        <v/>
      </c>
      <c r="J684" s="29"/>
      <c r="K684" s="29"/>
      <c r="L684" s="33"/>
      <c r="M684" s="33"/>
      <c r="N684" s="60"/>
      <c r="O684" s="71"/>
      <c r="P684" s="71"/>
      <c r="Q684" s="33"/>
      <c r="R684" s="31"/>
      <c r="S684" s="31"/>
      <c r="T684" s="59"/>
      <c r="U684" s="59"/>
      <c r="V684" s="59"/>
      <c r="W684" s="57">
        <f t="shared" si="17"/>
        <v>0</v>
      </c>
      <c r="X684" s="126" t="str">
        <f>IF(Table1[[#This Row],[Shipping Weight Pounds]]&gt;150,"See LTL Form","No")</f>
        <v>No</v>
      </c>
      <c r="Y684" s="28"/>
      <c r="Z684" s="33"/>
      <c r="AA684" s="34"/>
      <c r="AB684" s="30"/>
      <c r="AC684" s="30"/>
      <c r="AD684" s="32"/>
      <c r="AE684" s="32"/>
      <c r="AF684" s="2"/>
      <c r="AG684" s="2"/>
      <c r="AH684" s="2"/>
      <c r="AI684" s="2"/>
      <c r="AK684" s="73" t="str">
        <f>IF(ISNA(MATCH($N684,[1]data!$A:$A,0)),"",INDEX([1]data!S:S,MATCH($N684,[1]data!$A:$A,0)))</f>
        <v/>
      </c>
      <c r="AL684" s="73" t="str">
        <f>IF(ISNA(MATCH($N684,[1]data!$A:$A,0)),"",INDEX([1]data!V:V,MATCH($N684,[1]data!$A:$A,0)))</f>
        <v/>
      </c>
      <c r="AM684" s="38" t="str">
        <f>IF(ISNA(MATCH($N684,data!$A:$A,0)),"",INDEX(data!B:B,MATCH($N684,data!$A:$A,0)))</f>
        <v/>
      </c>
      <c r="AN684" s="38" t="str">
        <f>IF(ISNA(MATCH($N684,data!$A:$A,0)),"",INDEX(data!C:C,MATCH($N684,data!$A:$A,0)))</f>
        <v/>
      </c>
      <c r="AO684" s="38" t="str">
        <f>IF(ISNA(MATCH($N684,data!$A:$A,0)),"",INDEX(data!D:D,MATCH($N684,data!$A:$A,0)))</f>
        <v/>
      </c>
      <c r="AP684" s="38" t="str">
        <f>IF(ISNA(MATCH($N684,data!$A:$A,0)),"",INDEX(data!E:E,MATCH($N684,data!$A:$A,0)))</f>
        <v/>
      </c>
      <c r="AQ684" s="38" t="str">
        <f>IF(ISNA(MATCH($N684,data!$A:$A,0)),"",INDEX(data!F:F,MATCH($N684,data!$A:$A,0)))</f>
        <v/>
      </c>
      <c r="AR684" s="38" t="str">
        <f>IF(ISNA(MATCH($N684,data!$A:$A,0)),"",INDEX(data!G:G,MATCH($N684,data!$A:$A,0)))</f>
        <v/>
      </c>
      <c r="AS684" s="38" t="str">
        <f>IF(ISNA(MATCH($N684,data!$A:$A,0)),"",INDEX(data!H:H,MATCH($N684,data!$A:$A,0)))</f>
        <v/>
      </c>
      <c r="AT684" s="38" t="str">
        <f>IF(ISNA(MATCH($N684,data!$A:$A,0)),"",INDEX(data!I:I,MATCH($N684,data!$A:$A,0)))</f>
        <v/>
      </c>
      <c r="AU684" s="38" t="str">
        <f>IF(ISNA(MATCH($N684,[1]data!$A:$A,0)),"",INDEX([1]data!L:L,MATCH($N684,[1]data!$A:$A,0)))</f>
        <v/>
      </c>
      <c r="AV684" s="38" t="str">
        <f>IF(ISNA(MATCH($N684,[1]data!$A:$A,0)),"",INDEX([1]data!M:M,MATCH($N684,[1]data!$A:$A,0)))</f>
        <v/>
      </c>
      <c r="AW684" s="38" t="str">
        <f>IF(ISNA(MATCH($N684,data!$A:$A,0)),"",INDEX(data!J:J,MATCH($N684,data!$A:$A,0)))</f>
        <v/>
      </c>
      <c r="AX684" s="38" t="str">
        <f>IF(ISNA(MATCH($N684,data!$A:$A,0)),"",INDEX(data!K:K,MATCH($N684,data!$A:$A,0)))</f>
        <v/>
      </c>
      <c r="AY684" s="38" t="str">
        <f>IF(ISNA(MATCH($N684,data!$A:$A,0)),"",INDEX(data!O:O,MATCH($N684,data!$A:$A,0)))</f>
        <v/>
      </c>
      <c r="AZ684" s="38" t="str">
        <f>IF(ISNA(MATCH($N684,data!$A:$A,0)),"",INDEX(data!N:N,MATCH($N684,data!$A:$A,0)))</f>
        <v/>
      </c>
      <c r="BA684" s="38" t="str">
        <f>IF(ISNA(MATCH($N684,data!$A:$A,0)),"",INDEX(data!P:P,MATCH($N684,data!$A:$A,0)))</f>
        <v/>
      </c>
      <c r="BB684" s="38" t="str">
        <f>IF(ISNA(MATCH($N684,data!$A:$A,0)),"",INDEX(data!Q:Q,MATCH($N684,data!$A:$A,0)))</f>
        <v/>
      </c>
      <c r="BC684" s="38" t="str">
        <f>IF(ISNA(MATCH($N684,data!$A:$A,0)),"",INDEX(data!R:R,MATCH($N684,data!$A:$A,0)))</f>
        <v/>
      </c>
      <c r="BD684" s="38" t="str">
        <f>IF(ISNA(MATCH($N684,[1]data!$A:$A,0)),"",INDEX([1]data!U:U,MATCH($N684,[1]data!$A:$A,0)))</f>
        <v/>
      </c>
      <c r="BE684" s="61" t="e">
        <f>IF(COUNTIF([1]data!A:A,[1]!Table1[[#This Row],[UPC]])&lt;2,"","DUP")</f>
        <v>#VALUE!</v>
      </c>
      <c r="BF684" s="38" t="str">
        <f>IF(ISNA(MATCH($N684,data!$A:$A,0)),"",INDEX(data!W:W,MATCH($N684,data!$A:$A,0)))</f>
        <v/>
      </c>
    </row>
    <row r="685" spans="1:58">
      <c r="A685" s="35"/>
      <c r="B685" s="35"/>
      <c r="C685" s="35"/>
      <c r="D685" s="35"/>
      <c r="E685" s="67"/>
      <c r="F685" s="67"/>
      <c r="G685" s="36"/>
      <c r="H685" s="29"/>
      <c r="I685" s="78" t="str">
        <f t="shared" si="16"/>
        <v/>
      </c>
      <c r="J685" s="29"/>
      <c r="K685" s="29"/>
      <c r="L685" s="33"/>
      <c r="M685" s="33"/>
      <c r="N685" s="60"/>
      <c r="O685" s="71"/>
      <c r="P685" s="71"/>
      <c r="Q685" s="33"/>
      <c r="R685" s="31"/>
      <c r="S685" s="31"/>
      <c r="T685" s="59"/>
      <c r="U685" s="59"/>
      <c r="V685" s="59"/>
      <c r="W685" s="57">
        <f t="shared" si="17"/>
        <v>0</v>
      </c>
      <c r="X685" s="126" t="str">
        <f>IF(Table1[[#This Row],[Shipping Weight Pounds]]&gt;150,"See LTL Form","No")</f>
        <v>No</v>
      </c>
      <c r="Y685" s="28"/>
      <c r="Z685" s="33"/>
      <c r="AA685" s="34"/>
      <c r="AB685" s="30"/>
      <c r="AC685" s="30"/>
      <c r="AD685" s="32"/>
      <c r="AE685" s="32"/>
      <c r="AF685" s="2"/>
      <c r="AG685" s="2"/>
      <c r="AH685" s="2"/>
      <c r="AI685" s="2"/>
      <c r="AK685" s="73" t="str">
        <f>IF(ISNA(MATCH($N685,[1]data!$A:$A,0)),"",INDEX([1]data!S:S,MATCH($N685,[1]data!$A:$A,0)))</f>
        <v/>
      </c>
      <c r="AL685" s="73" t="str">
        <f>IF(ISNA(MATCH($N685,[1]data!$A:$A,0)),"",INDEX([1]data!V:V,MATCH($N685,[1]data!$A:$A,0)))</f>
        <v/>
      </c>
      <c r="AM685" s="38" t="str">
        <f>IF(ISNA(MATCH($N685,data!$A:$A,0)),"",INDEX(data!B:B,MATCH($N685,data!$A:$A,0)))</f>
        <v/>
      </c>
      <c r="AN685" s="38" t="str">
        <f>IF(ISNA(MATCH($N685,data!$A:$A,0)),"",INDEX(data!C:C,MATCH($N685,data!$A:$A,0)))</f>
        <v/>
      </c>
      <c r="AO685" s="38" t="str">
        <f>IF(ISNA(MATCH($N685,data!$A:$A,0)),"",INDEX(data!D:D,MATCH($N685,data!$A:$A,0)))</f>
        <v/>
      </c>
      <c r="AP685" s="38" t="str">
        <f>IF(ISNA(MATCH($N685,data!$A:$A,0)),"",INDEX(data!E:E,MATCH($N685,data!$A:$A,0)))</f>
        <v/>
      </c>
      <c r="AQ685" s="38" t="str">
        <f>IF(ISNA(MATCH($N685,data!$A:$A,0)),"",INDEX(data!F:F,MATCH($N685,data!$A:$A,0)))</f>
        <v/>
      </c>
      <c r="AR685" s="38" t="str">
        <f>IF(ISNA(MATCH($N685,data!$A:$A,0)),"",INDEX(data!G:G,MATCH($N685,data!$A:$A,0)))</f>
        <v/>
      </c>
      <c r="AS685" s="38" t="str">
        <f>IF(ISNA(MATCH($N685,data!$A:$A,0)),"",INDEX(data!H:H,MATCH($N685,data!$A:$A,0)))</f>
        <v/>
      </c>
      <c r="AT685" s="38" t="str">
        <f>IF(ISNA(MATCH($N685,data!$A:$A,0)),"",INDEX(data!I:I,MATCH($N685,data!$A:$A,0)))</f>
        <v/>
      </c>
      <c r="AU685" s="38" t="str">
        <f>IF(ISNA(MATCH($N685,[1]data!$A:$A,0)),"",INDEX([1]data!L:L,MATCH($N685,[1]data!$A:$A,0)))</f>
        <v/>
      </c>
      <c r="AV685" s="38" t="str">
        <f>IF(ISNA(MATCH($N685,[1]data!$A:$A,0)),"",INDEX([1]data!M:M,MATCH($N685,[1]data!$A:$A,0)))</f>
        <v/>
      </c>
      <c r="AW685" s="38" t="str">
        <f>IF(ISNA(MATCH($N685,data!$A:$A,0)),"",INDEX(data!J:J,MATCH($N685,data!$A:$A,0)))</f>
        <v/>
      </c>
      <c r="AX685" s="38" t="str">
        <f>IF(ISNA(MATCH($N685,data!$A:$A,0)),"",INDEX(data!K:K,MATCH($N685,data!$A:$A,0)))</f>
        <v/>
      </c>
      <c r="AY685" s="38" t="str">
        <f>IF(ISNA(MATCH($N685,data!$A:$A,0)),"",INDEX(data!O:O,MATCH($N685,data!$A:$A,0)))</f>
        <v/>
      </c>
      <c r="AZ685" s="38" t="str">
        <f>IF(ISNA(MATCH($N685,data!$A:$A,0)),"",INDEX(data!N:N,MATCH($N685,data!$A:$A,0)))</f>
        <v/>
      </c>
      <c r="BA685" s="38" t="str">
        <f>IF(ISNA(MATCH($N685,data!$A:$A,0)),"",INDEX(data!P:P,MATCH($N685,data!$A:$A,0)))</f>
        <v/>
      </c>
      <c r="BB685" s="38" t="str">
        <f>IF(ISNA(MATCH($N685,data!$A:$A,0)),"",INDEX(data!Q:Q,MATCH($N685,data!$A:$A,0)))</f>
        <v/>
      </c>
      <c r="BC685" s="38" t="str">
        <f>IF(ISNA(MATCH($N685,data!$A:$A,0)),"",INDEX(data!R:R,MATCH($N685,data!$A:$A,0)))</f>
        <v/>
      </c>
      <c r="BD685" s="38" t="str">
        <f>IF(ISNA(MATCH($N685,[1]data!$A:$A,0)),"",INDEX([1]data!U:U,MATCH($N685,[1]data!$A:$A,0)))</f>
        <v/>
      </c>
      <c r="BE685" s="61" t="e">
        <f>IF(COUNTIF([1]data!A:A,[1]!Table1[[#This Row],[UPC]])&lt;2,"","DUP")</f>
        <v>#VALUE!</v>
      </c>
      <c r="BF685" s="38" t="str">
        <f>IF(ISNA(MATCH($N685,data!$A:$A,0)),"",INDEX(data!W:W,MATCH($N685,data!$A:$A,0)))</f>
        <v/>
      </c>
    </row>
    <row r="686" spans="1:58">
      <c r="A686" s="35"/>
      <c r="B686" s="35"/>
      <c r="C686" s="35"/>
      <c r="D686" s="35"/>
      <c r="E686" s="67"/>
      <c r="F686" s="67"/>
      <c r="G686" s="36"/>
      <c r="H686" s="29"/>
      <c r="I686" s="78" t="str">
        <f t="shared" si="16"/>
        <v/>
      </c>
      <c r="J686" s="29"/>
      <c r="K686" s="29"/>
      <c r="L686" s="33"/>
      <c r="M686" s="33"/>
      <c r="N686" s="60"/>
      <c r="O686" s="71"/>
      <c r="P686" s="71"/>
      <c r="Q686" s="33"/>
      <c r="R686" s="31"/>
      <c r="S686" s="31"/>
      <c r="T686" s="59"/>
      <c r="U686" s="59"/>
      <c r="V686" s="59"/>
      <c r="W686" s="57">
        <f t="shared" si="17"/>
        <v>0</v>
      </c>
      <c r="X686" s="126" t="str">
        <f>IF(Table1[[#This Row],[Shipping Weight Pounds]]&gt;150,"See LTL Form","No")</f>
        <v>No</v>
      </c>
      <c r="Y686" s="28"/>
      <c r="Z686" s="33"/>
      <c r="AA686" s="34"/>
      <c r="AB686" s="30"/>
      <c r="AC686" s="30"/>
      <c r="AD686" s="32"/>
      <c r="AE686" s="32"/>
      <c r="AF686" s="2"/>
      <c r="AG686" s="2"/>
      <c r="AH686" s="2"/>
      <c r="AI686" s="2"/>
      <c r="AK686" s="73" t="str">
        <f>IF(ISNA(MATCH($N686,[1]data!$A:$A,0)),"",INDEX([1]data!S:S,MATCH($N686,[1]data!$A:$A,0)))</f>
        <v/>
      </c>
      <c r="AL686" s="73" t="str">
        <f>IF(ISNA(MATCH($N686,[1]data!$A:$A,0)),"",INDEX([1]data!V:V,MATCH($N686,[1]data!$A:$A,0)))</f>
        <v/>
      </c>
      <c r="AM686" s="38" t="str">
        <f>IF(ISNA(MATCH($N686,data!$A:$A,0)),"",INDEX(data!B:B,MATCH($N686,data!$A:$A,0)))</f>
        <v/>
      </c>
      <c r="AN686" s="38" t="str">
        <f>IF(ISNA(MATCH($N686,data!$A:$A,0)),"",INDEX(data!C:C,MATCH($N686,data!$A:$A,0)))</f>
        <v/>
      </c>
      <c r="AO686" s="38" t="str">
        <f>IF(ISNA(MATCH($N686,data!$A:$A,0)),"",INDEX(data!D:D,MATCH($N686,data!$A:$A,0)))</f>
        <v/>
      </c>
      <c r="AP686" s="38" t="str">
        <f>IF(ISNA(MATCH($N686,data!$A:$A,0)),"",INDEX(data!E:E,MATCH($N686,data!$A:$A,0)))</f>
        <v/>
      </c>
      <c r="AQ686" s="38" t="str">
        <f>IF(ISNA(MATCH($N686,data!$A:$A,0)),"",INDEX(data!F:F,MATCH($N686,data!$A:$A,0)))</f>
        <v/>
      </c>
      <c r="AR686" s="38" t="str">
        <f>IF(ISNA(MATCH($N686,data!$A:$A,0)),"",INDEX(data!G:G,MATCH($N686,data!$A:$A,0)))</f>
        <v/>
      </c>
      <c r="AS686" s="38" t="str">
        <f>IF(ISNA(MATCH($N686,data!$A:$A,0)),"",INDEX(data!H:H,MATCH($N686,data!$A:$A,0)))</f>
        <v/>
      </c>
      <c r="AT686" s="38" t="str">
        <f>IF(ISNA(MATCH($N686,data!$A:$A,0)),"",INDEX(data!I:I,MATCH($N686,data!$A:$A,0)))</f>
        <v/>
      </c>
      <c r="AU686" s="38" t="str">
        <f>IF(ISNA(MATCH($N686,[1]data!$A:$A,0)),"",INDEX([1]data!L:L,MATCH($N686,[1]data!$A:$A,0)))</f>
        <v/>
      </c>
      <c r="AV686" s="38" t="str">
        <f>IF(ISNA(MATCH($N686,[1]data!$A:$A,0)),"",INDEX([1]data!M:M,MATCH($N686,[1]data!$A:$A,0)))</f>
        <v/>
      </c>
      <c r="AW686" s="38" t="str">
        <f>IF(ISNA(MATCH($N686,data!$A:$A,0)),"",INDEX(data!J:J,MATCH($N686,data!$A:$A,0)))</f>
        <v/>
      </c>
      <c r="AX686" s="38" t="str">
        <f>IF(ISNA(MATCH($N686,data!$A:$A,0)),"",INDEX(data!K:K,MATCH($N686,data!$A:$A,0)))</f>
        <v/>
      </c>
      <c r="AY686" s="38" t="str">
        <f>IF(ISNA(MATCH($N686,data!$A:$A,0)),"",INDEX(data!O:O,MATCH($N686,data!$A:$A,0)))</f>
        <v/>
      </c>
      <c r="AZ686" s="38" t="str">
        <f>IF(ISNA(MATCH($N686,data!$A:$A,0)),"",INDEX(data!N:N,MATCH($N686,data!$A:$A,0)))</f>
        <v/>
      </c>
      <c r="BA686" s="38" t="str">
        <f>IF(ISNA(MATCH($N686,data!$A:$A,0)),"",INDEX(data!P:P,MATCH($N686,data!$A:$A,0)))</f>
        <v/>
      </c>
      <c r="BB686" s="38" t="str">
        <f>IF(ISNA(MATCH($N686,data!$A:$A,0)),"",INDEX(data!Q:Q,MATCH($N686,data!$A:$A,0)))</f>
        <v/>
      </c>
      <c r="BC686" s="38" t="str">
        <f>IF(ISNA(MATCH($N686,data!$A:$A,0)),"",INDEX(data!R:R,MATCH($N686,data!$A:$A,0)))</f>
        <v/>
      </c>
      <c r="BD686" s="38" t="str">
        <f>IF(ISNA(MATCH($N686,[1]data!$A:$A,0)),"",INDEX([1]data!U:U,MATCH($N686,[1]data!$A:$A,0)))</f>
        <v/>
      </c>
      <c r="BE686" s="61" t="e">
        <f>IF(COUNTIF([1]data!A:A,[1]!Table1[[#This Row],[UPC]])&lt;2,"","DUP")</f>
        <v>#VALUE!</v>
      </c>
      <c r="BF686" s="38" t="str">
        <f>IF(ISNA(MATCH($N686,data!$A:$A,0)),"",INDEX(data!W:W,MATCH($N686,data!$A:$A,0)))</f>
        <v/>
      </c>
    </row>
    <row r="687" spans="1:58">
      <c r="A687" s="35"/>
      <c r="B687" s="35"/>
      <c r="C687" s="35"/>
      <c r="D687" s="35"/>
      <c r="E687" s="67"/>
      <c r="F687" s="67"/>
      <c r="G687" s="36"/>
      <c r="H687" s="29"/>
      <c r="I687" s="78" t="str">
        <f t="shared" si="16"/>
        <v/>
      </c>
      <c r="J687" s="29"/>
      <c r="K687" s="29"/>
      <c r="L687" s="33"/>
      <c r="M687" s="33"/>
      <c r="N687" s="60"/>
      <c r="O687" s="71"/>
      <c r="P687" s="71"/>
      <c r="Q687" s="33"/>
      <c r="R687" s="31"/>
      <c r="S687" s="31"/>
      <c r="T687" s="59"/>
      <c r="U687" s="59"/>
      <c r="V687" s="59"/>
      <c r="W687" s="57">
        <f t="shared" si="17"/>
        <v>0</v>
      </c>
      <c r="X687" s="126" t="str">
        <f>IF(Table1[[#This Row],[Shipping Weight Pounds]]&gt;150,"See LTL Form","No")</f>
        <v>No</v>
      </c>
      <c r="Y687" s="28"/>
      <c r="Z687" s="33"/>
      <c r="AA687" s="34"/>
      <c r="AB687" s="30"/>
      <c r="AC687" s="30"/>
      <c r="AD687" s="32"/>
      <c r="AE687" s="32"/>
      <c r="AF687" s="2"/>
      <c r="AG687" s="2"/>
      <c r="AH687" s="2"/>
      <c r="AI687" s="2"/>
      <c r="AK687" s="73" t="str">
        <f>IF(ISNA(MATCH($N687,[1]data!$A:$A,0)),"",INDEX([1]data!S:S,MATCH($N687,[1]data!$A:$A,0)))</f>
        <v/>
      </c>
      <c r="AL687" s="73" t="str">
        <f>IF(ISNA(MATCH($N687,[1]data!$A:$A,0)),"",INDEX([1]data!V:V,MATCH($N687,[1]data!$A:$A,0)))</f>
        <v/>
      </c>
      <c r="AM687" s="38" t="str">
        <f>IF(ISNA(MATCH($N687,data!$A:$A,0)),"",INDEX(data!B:B,MATCH($N687,data!$A:$A,0)))</f>
        <v/>
      </c>
      <c r="AN687" s="38" t="str">
        <f>IF(ISNA(MATCH($N687,data!$A:$A,0)),"",INDEX(data!C:C,MATCH($N687,data!$A:$A,0)))</f>
        <v/>
      </c>
      <c r="AO687" s="38" t="str">
        <f>IF(ISNA(MATCH($N687,data!$A:$A,0)),"",INDEX(data!D:D,MATCH($N687,data!$A:$A,0)))</f>
        <v/>
      </c>
      <c r="AP687" s="38" t="str">
        <f>IF(ISNA(MATCH($N687,data!$A:$A,0)),"",INDEX(data!E:E,MATCH($N687,data!$A:$A,0)))</f>
        <v/>
      </c>
      <c r="AQ687" s="38" t="str">
        <f>IF(ISNA(MATCH($N687,data!$A:$A,0)),"",INDEX(data!F:F,MATCH($N687,data!$A:$A,0)))</f>
        <v/>
      </c>
      <c r="AR687" s="38" t="str">
        <f>IF(ISNA(MATCH($N687,data!$A:$A,0)),"",INDEX(data!G:G,MATCH($N687,data!$A:$A,0)))</f>
        <v/>
      </c>
      <c r="AS687" s="38" t="str">
        <f>IF(ISNA(MATCH($N687,data!$A:$A,0)),"",INDEX(data!H:H,MATCH($N687,data!$A:$A,0)))</f>
        <v/>
      </c>
      <c r="AT687" s="38" t="str">
        <f>IF(ISNA(MATCH($N687,data!$A:$A,0)),"",INDEX(data!I:I,MATCH($N687,data!$A:$A,0)))</f>
        <v/>
      </c>
      <c r="AU687" s="38" t="str">
        <f>IF(ISNA(MATCH($N687,[1]data!$A:$A,0)),"",INDEX([1]data!L:L,MATCH($N687,[1]data!$A:$A,0)))</f>
        <v/>
      </c>
      <c r="AV687" s="38" t="str">
        <f>IF(ISNA(MATCH($N687,[1]data!$A:$A,0)),"",INDEX([1]data!M:M,MATCH($N687,[1]data!$A:$A,0)))</f>
        <v/>
      </c>
      <c r="AW687" s="38" t="str">
        <f>IF(ISNA(MATCH($N687,data!$A:$A,0)),"",INDEX(data!J:J,MATCH($N687,data!$A:$A,0)))</f>
        <v/>
      </c>
      <c r="AX687" s="38" t="str">
        <f>IF(ISNA(MATCH($N687,data!$A:$A,0)),"",INDEX(data!K:K,MATCH($N687,data!$A:$A,0)))</f>
        <v/>
      </c>
      <c r="AY687" s="38" t="str">
        <f>IF(ISNA(MATCH($N687,data!$A:$A,0)),"",INDEX(data!O:O,MATCH($N687,data!$A:$A,0)))</f>
        <v/>
      </c>
      <c r="AZ687" s="38" t="str">
        <f>IF(ISNA(MATCH($N687,data!$A:$A,0)),"",INDEX(data!N:N,MATCH($N687,data!$A:$A,0)))</f>
        <v/>
      </c>
      <c r="BA687" s="38" t="str">
        <f>IF(ISNA(MATCH($N687,data!$A:$A,0)),"",INDEX(data!P:P,MATCH($N687,data!$A:$A,0)))</f>
        <v/>
      </c>
      <c r="BB687" s="38" t="str">
        <f>IF(ISNA(MATCH($N687,data!$A:$A,0)),"",INDEX(data!Q:Q,MATCH($N687,data!$A:$A,0)))</f>
        <v/>
      </c>
      <c r="BC687" s="38" t="str">
        <f>IF(ISNA(MATCH($N687,data!$A:$A,0)),"",INDEX(data!R:R,MATCH($N687,data!$A:$A,0)))</f>
        <v/>
      </c>
      <c r="BD687" s="38" t="str">
        <f>IF(ISNA(MATCH($N687,[1]data!$A:$A,0)),"",INDEX([1]data!U:U,MATCH($N687,[1]data!$A:$A,0)))</f>
        <v/>
      </c>
      <c r="BE687" s="61" t="e">
        <f>IF(COUNTIF([1]data!A:A,[1]!Table1[[#This Row],[UPC]])&lt;2,"","DUP")</f>
        <v>#VALUE!</v>
      </c>
      <c r="BF687" s="38" t="str">
        <f>IF(ISNA(MATCH($N687,data!$A:$A,0)),"",INDEX(data!W:W,MATCH($N687,data!$A:$A,0)))</f>
        <v/>
      </c>
    </row>
    <row r="688" spans="1:58">
      <c r="A688" s="35"/>
      <c r="B688" s="35"/>
      <c r="C688" s="35"/>
      <c r="D688" s="35"/>
      <c r="E688" s="67"/>
      <c r="F688" s="67"/>
      <c r="G688" s="36"/>
      <c r="H688" s="29"/>
      <c r="I688" s="78" t="str">
        <f t="shared" si="16"/>
        <v/>
      </c>
      <c r="J688" s="29"/>
      <c r="K688" s="29"/>
      <c r="L688" s="33"/>
      <c r="M688" s="33"/>
      <c r="N688" s="60"/>
      <c r="O688" s="71"/>
      <c r="P688" s="71"/>
      <c r="Q688" s="33"/>
      <c r="R688" s="31"/>
      <c r="S688" s="31"/>
      <c r="T688" s="59"/>
      <c r="U688" s="59"/>
      <c r="V688" s="59"/>
      <c r="W688" s="57">
        <f t="shared" si="17"/>
        <v>0</v>
      </c>
      <c r="X688" s="126" t="str">
        <f>IF(Table1[[#This Row],[Shipping Weight Pounds]]&gt;150,"See LTL Form","No")</f>
        <v>No</v>
      </c>
      <c r="Y688" s="28"/>
      <c r="Z688" s="33"/>
      <c r="AA688" s="34"/>
      <c r="AB688" s="30"/>
      <c r="AC688" s="30"/>
      <c r="AD688" s="32"/>
      <c r="AE688" s="32"/>
      <c r="AF688" s="2"/>
      <c r="AG688" s="2"/>
      <c r="AH688" s="2"/>
      <c r="AI688" s="2"/>
      <c r="AK688" s="73" t="str">
        <f>IF(ISNA(MATCH($N688,[1]data!$A:$A,0)),"",INDEX([1]data!S:S,MATCH($N688,[1]data!$A:$A,0)))</f>
        <v/>
      </c>
      <c r="AL688" s="73" t="str">
        <f>IF(ISNA(MATCH($N688,[1]data!$A:$A,0)),"",INDEX([1]data!V:V,MATCH($N688,[1]data!$A:$A,0)))</f>
        <v/>
      </c>
      <c r="AM688" s="38" t="str">
        <f>IF(ISNA(MATCH($N688,data!$A:$A,0)),"",INDEX(data!B:B,MATCH($N688,data!$A:$A,0)))</f>
        <v/>
      </c>
      <c r="AN688" s="38" t="str">
        <f>IF(ISNA(MATCH($N688,data!$A:$A,0)),"",INDEX(data!C:C,MATCH($N688,data!$A:$A,0)))</f>
        <v/>
      </c>
      <c r="AO688" s="38" t="str">
        <f>IF(ISNA(MATCH($N688,data!$A:$A,0)),"",INDEX(data!D:D,MATCH($N688,data!$A:$A,0)))</f>
        <v/>
      </c>
      <c r="AP688" s="38" t="str">
        <f>IF(ISNA(MATCH($N688,data!$A:$A,0)),"",INDEX(data!E:E,MATCH($N688,data!$A:$A,0)))</f>
        <v/>
      </c>
      <c r="AQ688" s="38" t="str">
        <f>IF(ISNA(MATCH($N688,data!$A:$A,0)),"",INDEX(data!F:F,MATCH($N688,data!$A:$A,0)))</f>
        <v/>
      </c>
      <c r="AR688" s="38" t="str">
        <f>IF(ISNA(MATCH($N688,data!$A:$A,0)),"",INDEX(data!G:G,MATCH($N688,data!$A:$A,0)))</f>
        <v/>
      </c>
      <c r="AS688" s="38" t="str">
        <f>IF(ISNA(MATCH($N688,data!$A:$A,0)),"",INDEX(data!H:H,MATCH($N688,data!$A:$A,0)))</f>
        <v/>
      </c>
      <c r="AT688" s="38" t="str">
        <f>IF(ISNA(MATCH($N688,data!$A:$A,0)),"",INDEX(data!I:I,MATCH($N688,data!$A:$A,0)))</f>
        <v/>
      </c>
      <c r="AU688" s="38" t="str">
        <f>IF(ISNA(MATCH($N688,[1]data!$A:$A,0)),"",INDEX([1]data!L:L,MATCH($N688,[1]data!$A:$A,0)))</f>
        <v/>
      </c>
      <c r="AV688" s="38" t="str">
        <f>IF(ISNA(MATCH($N688,[1]data!$A:$A,0)),"",INDEX([1]data!M:M,MATCH($N688,[1]data!$A:$A,0)))</f>
        <v/>
      </c>
      <c r="AW688" s="38" t="str">
        <f>IF(ISNA(MATCH($N688,data!$A:$A,0)),"",INDEX(data!J:J,MATCH($N688,data!$A:$A,0)))</f>
        <v/>
      </c>
      <c r="AX688" s="38" t="str">
        <f>IF(ISNA(MATCH($N688,data!$A:$A,0)),"",INDEX(data!K:K,MATCH($N688,data!$A:$A,0)))</f>
        <v/>
      </c>
      <c r="AY688" s="38" t="str">
        <f>IF(ISNA(MATCH($N688,data!$A:$A,0)),"",INDEX(data!O:O,MATCH($N688,data!$A:$A,0)))</f>
        <v/>
      </c>
      <c r="AZ688" s="38" t="str">
        <f>IF(ISNA(MATCH($N688,data!$A:$A,0)),"",INDEX(data!N:N,MATCH($N688,data!$A:$A,0)))</f>
        <v/>
      </c>
      <c r="BA688" s="38" t="str">
        <f>IF(ISNA(MATCH($N688,data!$A:$A,0)),"",INDEX(data!P:P,MATCH($N688,data!$A:$A,0)))</f>
        <v/>
      </c>
      <c r="BB688" s="38" t="str">
        <f>IF(ISNA(MATCH($N688,data!$A:$A,0)),"",INDEX(data!Q:Q,MATCH($N688,data!$A:$A,0)))</f>
        <v/>
      </c>
      <c r="BC688" s="38" t="str">
        <f>IF(ISNA(MATCH($N688,data!$A:$A,0)),"",INDEX(data!R:R,MATCH($N688,data!$A:$A,0)))</f>
        <v/>
      </c>
      <c r="BD688" s="38" t="str">
        <f>IF(ISNA(MATCH($N688,[1]data!$A:$A,0)),"",INDEX([1]data!U:U,MATCH($N688,[1]data!$A:$A,0)))</f>
        <v/>
      </c>
      <c r="BE688" s="61" t="e">
        <f>IF(COUNTIF([1]data!A:A,[1]!Table1[[#This Row],[UPC]])&lt;2,"","DUP")</f>
        <v>#VALUE!</v>
      </c>
      <c r="BF688" s="38" t="str">
        <f>IF(ISNA(MATCH($N688,data!$A:$A,0)),"",INDEX(data!W:W,MATCH($N688,data!$A:$A,0)))</f>
        <v/>
      </c>
    </row>
    <row r="689" spans="1:58">
      <c r="A689" s="35"/>
      <c r="B689" s="35"/>
      <c r="C689" s="35"/>
      <c r="D689" s="35"/>
      <c r="E689" s="67"/>
      <c r="F689" s="67"/>
      <c r="G689" s="36"/>
      <c r="H689" s="29"/>
      <c r="I689" s="78" t="str">
        <f t="shared" si="16"/>
        <v/>
      </c>
      <c r="J689" s="29"/>
      <c r="K689" s="29"/>
      <c r="L689" s="33"/>
      <c r="M689" s="33"/>
      <c r="N689" s="60"/>
      <c r="O689" s="71"/>
      <c r="P689" s="71"/>
      <c r="Q689" s="33"/>
      <c r="R689" s="31"/>
      <c r="S689" s="31"/>
      <c r="T689" s="59"/>
      <c r="U689" s="59"/>
      <c r="V689" s="59"/>
      <c r="W689" s="57">
        <f t="shared" si="17"/>
        <v>0</v>
      </c>
      <c r="X689" s="126" t="str">
        <f>IF(Table1[[#This Row],[Shipping Weight Pounds]]&gt;150,"See LTL Form","No")</f>
        <v>No</v>
      </c>
      <c r="Y689" s="28"/>
      <c r="Z689" s="33"/>
      <c r="AA689" s="34"/>
      <c r="AB689" s="30"/>
      <c r="AC689" s="30"/>
      <c r="AD689" s="32"/>
      <c r="AE689" s="32"/>
      <c r="AF689" s="2"/>
      <c r="AG689" s="2"/>
      <c r="AH689" s="2"/>
      <c r="AI689" s="2"/>
      <c r="AK689" s="73" t="str">
        <f>IF(ISNA(MATCH($N689,[1]data!$A:$A,0)),"",INDEX([1]data!S:S,MATCH($N689,[1]data!$A:$A,0)))</f>
        <v/>
      </c>
      <c r="AL689" s="73" t="str">
        <f>IF(ISNA(MATCH($N689,[1]data!$A:$A,0)),"",INDEX([1]data!V:V,MATCH($N689,[1]data!$A:$A,0)))</f>
        <v/>
      </c>
      <c r="AM689" s="38" t="str">
        <f>IF(ISNA(MATCH($N689,data!$A:$A,0)),"",INDEX(data!B:B,MATCH($N689,data!$A:$A,0)))</f>
        <v/>
      </c>
      <c r="AN689" s="38" t="str">
        <f>IF(ISNA(MATCH($N689,data!$A:$A,0)),"",INDEX(data!C:C,MATCH($N689,data!$A:$A,0)))</f>
        <v/>
      </c>
      <c r="AO689" s="38" t="str">
        <f>IF(ISNA(MATCH($N689,data!$A:$A,0)),"",INDEX(data!D:D,MATCH($N689,data!$A:$A,0)))</f>
        <v/>
      </c>
      <c r="AP689" s="38" t="str">
        <f>IF(ISNA(MATCH($N689,data!$A:$A,0)),"",INDEX(data!E:E,MATCH($N689,data!$A:$A,0)))</f>
        <v/>
      </c>
      <c r="AQ689" s="38" t="str">
        <f>IF(ISNA(MATCH($N689,data!$A:$A,0)),"",INDEX(data!F:F,MATCH($N689,data!$A:$A,0)))</f>
        <v/>
      </c>
      <c r="AR689" s="38" t="str">
        <f>IF(ISNA(MATCH($N689,data!$A:$A,0)),"",INDEX(data!G:G,MATCH($N689,data!$A:$A,0)))</f>
        <v/>
      </c>
      <c r="AS689" s="38" t="str">
        <f>IF(ISNA(MATCH($N689,data!$A:$A,0)),"",INDEX(data!H:H,MATCH($N689,data!$A:$A,0)))</f>
        <v/>
      </c>
      <c r="AT689" s="38" t="str">
        <f>IF(ISNA(MATCH($N689,data!$A:$A,0)),"",INDEX(data!I:I,MATCH($N689,data!$A:$A,0)))</f>
        <v/>
      </c>
      <c r="AU689" s="38" t="str">
        <f>IF(ISNA(MATCH($N689,[1]data!$A:$A,0)),"",INDEX([1]data!L:L,MATCH($N689,[1]data!$A:$A,0)))</f>
        <v/>
      </c>
      <c r="AV689" s="38" t="str">
        <f>IF(ISNA(MATCH($N689,[1]data!$A:$A,0)),"",INDEX([1]data!M:M,MATCH($N689,[1]data!$A:$A,0)))</f>
        <v/>
      </c>
      <c r="AW689" s="38" t="str">
        <f>IF(ISNA(MATCH($N689,data!$A:$A,0)),"",INDEX(data!J:J,MATCH($N689,data!$A:$A,0)))</f>
        <v/>
      </c>
      <c r="AX689" s="38" t="str">
        <f>IF(ISNA(MATCH($N689,data!$A:$A,0)),"",INDEX(data!K:K,MATCH($N689,data!$A:$A,0)))</f>
        <v/>
      </c>
      <c r="AY689" s="38" t="str">
        <f>IF(ISNA(MATCH($N689,data!$A:$A,0)),"",INDEX(data!O:O,MATCH($N689,data!$A:$A,0)))</f>
        <v/>
      </c>
      <c r="AZ689" s="38" t="str">
        <f>IF(ISNA(MATCH($N689,data!$A:$A,0)),"",INDEX(data!N:N,MATCH($N689,data!$A:$A,0)))</f>
        <v/>
      </c>
      <c r="BA689" s="38" t="str">
        <f>IF(ISNA(MATCH($N689,data!$A:$A,0)),"",INDEX(data!P:P,MATCH($N689,data!$A:$A,0)))</f>
        <v/>
      </c>
      <c r="BB689" s="38" t="str">
        <f>IF(ISNA(MATCH($N689,data!$A:$A,0)),"",INDEX(data!Q:Q,MATCH($N689,data!$A:$A,0)))</f>
        <v/>
      </c>
      <c r="BC689" s="38" t="str">
        <f>IF(ISNA(MATCH($N689,data!$A:$A,0)),"",INDEX(data!R:R,MATCH($N689,data!$A:$A,0)))</f>
        <v/>
      </c>
      <c r="BD689" s="38" t="str">
        <f>IF(ISNA(MATCH($N689,[1]data!$A:$A,0)),"",INDEX([1]data!U:U,MATCH($N689,[1]data!$A:$A,0)))</f>
        <v/>
      </c>
      <c r="BE689" s="61" t="e">
        <f>IF(COUNTIF([1]data!A:A,[1]!Table1[[#This Row],[UPC]])&lt;2,"","DUP")</f>
        <v>#VALUE!</v>
      </c>
      <c r="BF689" s="38" t="str">
        <f>IF(ISNA(MATCH($N689,data!$A:$A,0)),"",INDEX(data!W:W,MATCH($N689,data!$A:$A,0)))</f>
        <v/>
      </c>
    </row>
    <row r="690" spans="1:58">
      <c r="A690" s="35"/>
      <c r="B690" s="35"/>
      <c r="C690" s="35"/>
      <c r="D690" s="35"/>
      <c r="E690" s="67"/>
      <c r="F690" s="67"/>
      <c r="G690" s="36"/>
      <c r="H690" s="29"/>
      <c r="I690" s="78" t="str">
        <f t="shared" si="16"/>
        <v/>
      </c>
      <c r="J690" s="29"/>
      <c r="K690" s="29"/>
      <c r="L690" s="33"/>
      <c r="M690" s="33"/>
      <c r="N690" s="60"/>
      <c r="O690" s="71"/>
      <c r="P690" s="71"/>
      <c r="Q690" s="33"/>
      <c r="R690" s="31"/>
      <c r="S690" s="31"/>
      <c r="T690" s="59"/>
      <c r="U690" s="59"/>
      <c r="V690" s="59"/>
      <c r="W690" s="57">
        <f t="shared" si="17"/>
        <v>0</v>
      </c>
      <c r="X690" s="126" t="str">
        <f>IF(Table1[[#This Row],[Shipping Weight Pounds]]&gt;150,"See LTL Form","No")</f>
        <v>No</v>
      </c>
      <c r="Y690" s="28"/>
      <c r="Z690" s="33"/>
      <c r="AA690" s="34"/>
      <c r="AB690" s="30"/>
      <c r="AC690" s="30"/>
      <c r="AD690" s="32"/>
      <c r="AE690" s="32"/>
      <c r="AF690" s="2"/>
      <c r="AG690" s="2"/>
      <c r="AH690" s="2"/>
      <c r="AI690" s="2"/>
      <c r="AK690" s="73" t="str">
        <f>IF(ISNA(MATCH($N690,[1]data!$A:$A,0)),"",INDEX([1]data!S:S,MATCH($N690,[1]data!$A:$A,0)))</f>
        <v/>
      </c>
      <c r="AL690" s="73" t="str">
        <f>IF(ISNA(MATCH($N690,[1]data!$A:$A,0)),"",INDEX([1]data!V:V,MATCH($N690,[1]data!$A:$A,0)))</f>
        <v/>
      </c>
      <c r="AM690" s="38" t="str">
        <f>IF(ISNA(MATCH($N690,data!$A:$A,0)),"",INDEX(data!B:B,MATCH($N690,data!$A:$A,0)))</f>
        <v/>
      </c>
      <c r="AN690" s="38" t="str">
        <f>IF(ISNA(MATCH($N690,data!$A:$A,0)),"",INDEX(data!C:C,MATCH($N690,data!$A:$A,0)))</f>
        <v/>
      </c>
      <c r="AO690" s="38" t="str">
        <f>IF(ISNA(MATCH($N690,data!$A:$A,0)),"",INDEX(data!D:D,MATCH($N690,data!$A:$A,0)))</f>
        <v/>
      </c>
      <c r="AP690" s="38" t="str">
        <f>IF(ISNA(MATCH($N690,data!$A:$A,0)),"",INDEX(data!E:E,MATCH($N690,data!$A:$A,0)))</f>
        <v/>
      </c>
      <c r="AQ690" s="38" t="str">
        <f>IF(ISNA(MATCH($N690,data!$A:$A,0)),"",INDEX(data!F:F,MATCH($N690,data!$A:$A,0)))</f>
        <v/>
      </c>
      <c r="AR690" s="38" t="str">
        <f>IF(ISNA(MATCH($N690,data!$A:$A,0)),"",INDEX(data!G:G,MATCH($N690,data!$A:$A,0)))</f>
        <v/>
      </c>
      <c r="AS690" s="38" t="str">
        <f>IF(ISNA(MATCH($N690,data!$A:$A,0)),"",INDEX(data!H:H,MATCH($N690,data!$A:$A,0)))</f>
        <v/>
      </c>
      <c r="AT690" s="38" t="str">
        <f>IF(ISNA(MATCH($N690,data!$A:$A,0)),"",INDEX(data!I:I,MATCH($N690,data!$A:$A,0)))</f>
        <v/>
      </c>
      <c r="AU690" s="38" t="str">
        <f>IF(ISNA(MATCH($N690,[1]data!$A:$A,0)),"",INDEX([1]data!L:L,MATCH($N690,[1]data!$A:$A,0)))</f>
        <v/>
      </c>
      <c r="AV690" s="38" t="str">
        <f>IF(ISNA(MATCH($N690,[1]data!$A:$A,0)),"",INDEX([1]data!M:M,MATCH($N690,[1]data!$A:$A,0)))</f>
        <v/>
      </c>
      <c r="AW690" s="38" t="str">
        <f>IF(ISNA(MATCH($N690,data!$A:$A,0)),"",INDEX(data!J:J,MATCH($N690,data!$A:$A,0)))</f>
        <v/>
      </c>
      <c r="AX690" s="38" t="str">
        <f>IF(ISNA(MATCH($N690,data!$A:$A,0)),"",INDEX(data!K:K,MATCH($N690,data!$A:$A,0)))</f>
        <v/>
      </c>
      <c r="AY690" s="38" t="str">
        <f>IF(ISNA(MATCH($N690,data!$A:$A,0)),"",INDEX(data!O:O,MATCH($N690,data!$A:$A,0)))</f>
        <v/>
      </c>
      <c r="AZ690" s="38" t="str">
        <f>IF(ISNA(MATCH($N690,data!$A:$A,0)),"",INDEX(data!N:N,MATCH($N690,data!$A:$A,0)))</f>
        <v/>
      </c>
      <c r="BA690" s="38" t="str">
        <f>IF(ISNA(MATCH($N690,data!$A:$A,0)),"",INDEX(data!P:P,MATCH($N690,data!$A:$A,0)))</f>
        <v/>
      </c>
      <c r="BB690" s="38" t="str">
        <f>IF(ISNA(MATCH($N690,data!$A:$A,0)),"",INDEX(data!Q:Q,MATCH($N690,data!$A:$A,0)))</f>
        <v/>
      </c>
      <c r="BC690" s="38" t="str">
        <f>IF(ISNA(MATCH($N690,data!$A:$A,0)),"",INDEX(data!R:R,MATCH($N690,data!$A:$A,0)))</f>
        <v/>
      </c>
      <c r="BD690" s="38" t="str">
        <f>IF(ISNA(MATCH($N690,[1]data!$A:$A,0)),"",INDEX([1]data!U:U,MATCH($N690,[1]data!$A:$A,0)))</f>
        <v/>
      </c>
      <c r="BE690" s="61" t="e">
        <f>IF(COUNTIF([1]data!A:A,[1]!Table1[[#This Row],[UPC]])&lt;2,"","DUP")</f>
        <v>#VALUE!</v>
      </c>
      <c r="BF690" s="38" t="str">
        <f>IF(ISNA(MATCH($N690,data!$A:$A,0)),"",INDEX(data!W:W,MATCH($N690,data!$A:$A,0)))</f>
        <v/>
      </c>
    </row>
    <row r="691" spans="1:58">
      <c r="A691" s="35"/>
      <c r="B691" s="35"/>
      <c r="C691" s="35"/>
      <c r="D691" s="35"/>
      <c r="E691" s="67"/>
      <c r="F691" s="67"/>
      <c r="G691" s="36"/>
      <c r="H691" s="29"/>
      <c r="I691" s="78" t="str">
        <f t="shared" si="16"/>
        <v/>
      </c>
      <c r="J691" s="29"/>
      <c r="K691" s="29"/>
      <c r="L691" s="33"/>
      <c r="M691" s="33"/>
      <c r="N691" s="60"/>
      <c r="O691" s="71"/>
      <c r="P691" s="71"/>
      <c r="Q691" s="33"/>
      <c r="R691" s="31"/>
      <c r="S691" s="31"/>
      <c r="T691" s="59"/>
      <c r="U691" s="59"/>
      <c r="V691" s="59"/>
      <c r="W691" s="57">
        <f t="shared" si="17"/>
        <v>0</v>
      </c>
      <c r="X691" s="126" t="str">
        <f>IF(Table1[[#This Row],[Shipping Weight Pounds]]&gt;150,"See LTL Form","No")</f>
        <v>No</v>
      </c>
      <c r="Y691" s="28"/>
      <c r="Z691" s="33"/>
      <c r="AA691" s="34"/>
      <c r="AB691" s="30"/>
      <c r="AC691" s="30"/>
      <c r="AD691" s="32"/>
      <c r="AE691" s="32"/>
      <c r="AF691" s="2"/>
      <c r="AG691" s="2"/>
      <c r="AH691" s="2"/>
      <c r="AI691" s="2"/>
      <c r="AK691" s="73" t="str">
        <f>IF(ISNA(MATCH($N691,[1]data!$A:$A,0)),"",INDEX([1]data!S:S,MATCH($N691,[1]data!$A:$A,0)))</f>
        <v/>
      </c>
      <c r="AL691" s="73" t="str">
        <f>IF(ISNA(MATCH($N691,[1]data!$A:$A,0)),"",INDEX([1]data!V:V,MATCH($N691,[1]data!$A:$A,0)))</f>
        <v/>
      </c>
      <c r="AM691" s="38" t="str">
        <f>IF(ISNA(MATCH($N691,data!$A:$A,0)),"",INDEX(data!B:B,MATCH($N691,data!$A:$A,0)))</f>
        <v/>
      </c>
      <c r="AN691" s="38" t="str">
        <f>IF(ISNA(MATCH($N691,data!$A:$A,0)),"",INDEX(data!C:C,MATCH($N691,data!$A:$A,0)))</f>
        <v/>
      </c>
      <c r="AO691" s="38" t="str">
        <f>IF(ISNA(MATCH($N691,data!$A:$A,0)),"",INDEX(data!D:D,MATCH($N691,data!$A:$A,0)))</f>
        <v/>
      </c>
      <c r="AP691" s="38" t="str">
        <f>IF(ISNA(MATCH($N691,data!$A:$A,0)),"",INDEX(data!E:E,MATCH($N691,data!$A:$A,0)))</f>
        <v/>
      </c>
      <c r="AQ691" s="38" t="str">
        <f>IF(ISNA(MATCH($N691,data!$A:$A,0)),"",INDEX(data!F:F,MATCH($N691,data!$A:$A,0)))</f>
        <v/>
      </c>
      <c r="AR691" s="38" t="str">
        <f>IF(ISNA(MATCH($N691,data!$A:$A,0)),"",INDEX(data!G:G,MATCH($N691,data!$A:$A,0)))</f>
        <v/>
      </c>
      <c r="AS691" s="38" t="str">
        <f>IF(ISNA(MATCH($N691,data!$A:$A,0)),"",INDEX(data!H:H,MATCH($N691,data!$A:$A,0)))</f>
        <v/>
      </c>
      <c r="AT691" s="38" t="str">
        <f>IF(ISNA(MATCH($N691,data!$A:$A,0)),"",INDEX(data!I:I,MATCH($N691,data!$A:$A,0)))</f>
        <v/>
      </c>
      <c r="AU691" s="38" t="str">
        <f>IF(ISNA(MATCH($N691,[1]data!$A:$A,0)),"",INDEX([1]data!L:L,MATCH($N691,[1]data!$A:$A,0)))</f>
        <v/>
      </c>
      <c r="AV691" s="38" t="str">
        <f>IF(ISNA(MATCH($N691,[1]data!$A:$A,0)),"",INDEX([1]data!M:M,MATCH($N691,[1]data!$A:$A,0)))</f>
        <v/>
      </c>
      <c r="AW691" s="38" t="str">
        <f>IF(ISNA(MATCH($N691,data!$A:$A,0)),"",INDEX(data!J:J,MATCH($N691,data!$A:$A,0)))</f>
        <v/>
      </c>
      <c r="AX691" s="38" t="str">
        <f>IF(ISNA(MATCH($N691,data!$A:$A,0)),"",INDEX(data!K:K,MATCH($N691,data!$A:$A,0)))</f>
        <v/>
      </c>
      <c r="AY691" s="38" t="str">
        <f>IF(ISNA(MATCH($N691,data!$A:$A,0)),"",INDEX(data!O:O,MATCH($N691,data!$A:$A,0)))</f>
        <v/>
      </c>
      <c r="AZ691" s="38" t="str">
        <f>IF(ISNA(MATCH($N691,data!$A:$A,0)),"",INDEX(data!N:N,MATCH($N691,data!$A:$A,0)))</f>
        <v/>
      </c>
      <c r="BA691" s="38" t="str">
        <f>IF(ISNA(MATCH($N691,data!$A:$A,0)),"",INDEX(data!P:P,MATCH($N691,data!$A:$A,0)))</f>
        <v/>
      </c>
      <c r="BB691" s="38" t="str">
        <f>IF(ISNA(MATCH($N691,data!$A:$A,0)),"",INDEX(data!Q:Q,MATCH($N691,data!$A:$A,0)))</f>
        <v/>
      </c>
      <c r="BC691" s="38" t="str">
        <f>IF(ISNA(MATCH($N691,data!$A:$A,0)),"",INDEX(data!R:R,MATCH($N691,data!$A:$A,0)))</f>
        <v/>
      </c>
      <c r="BD691" s="38" t="str">
        <f>IF(ISNA(MATCH($N691,[1]data!$A:$A,0)),"",INDEX([1]data!U:U,MATCH($N691,[1]data!$A:$A,0)))</f>
        <v/>
      </c>
      <c r="BE691" s="61" t="e">
        <f>IF(COUNTIF([1]data!A:A,[1]!Table1[[#This Row],[UPC]])&lt;2,"","DUP")</f>
        <v>#VALUE!</v>
      </c>
      <c r="BF691" s="38" t="str">
        <f>IF(ISNA(MATCH($N691,data!$A:$A,0)),"",INDEX(data!W:W,MATCH($N691,data!$A:$A,0)))</f>
        <v/>
      </c>
    </row>
    <row r="692" spans="1:58">
      <c r="A692" s="35"/>
      <c r="B692" s="35"/>
      <c r="C692" s="35"/>
      <c r="D692" s="35"/>
      <c r="E692" s="67"/>
      <c r="F692" s="67"/>
      <c r="G692" s="36"/>
      <c r="H692" s="29"/>
      <c r="I692" s="78" t="str">
        <f t="shared" si="16"/>
        <v/>
      </c>
      <c r="J692" s="29"/>
      <c r="K692" s="29"/>
      <c r="L692" s="33"/>
      <c r="M692" s="33"/>
      <c r="N692" s="60"/>
      <c r="O692" s="71"/>
      <c r="P692" s="71"/>
      <c r="Q692" s="33"/>
      <c r="R692" s="31"/>
      <c r="S692" s="31"/>
      <c r="T692" s="59"/>
      <c r="U692" s="59"/>
      <c r="V692" s="59"/>
      <c r="W692" s="57">
        <f t="shared" si="17"/>
        <v>0</v>
      </c>
      <c r="X692" s="126" t="str">
        <f>IF(Table1[[#This Row],[Shipping Weight Pounds]]&gt;150,"See LTL Form","No")</f>
        <v>No</v>
      </c>
      <c r="Y692" s="28"/>
      <c r="Z692" s="33"/>
      <c r="AA692" s="34"/>
      <c r="AB692" s="30"/>
      <c r="AC692" s="30"/>
      <c r="AD692" s="32"/>
      <c r="AE692" s="32"/>
      <c r="AF692" s="2"/>
      <c r="AG692" s="2"/>
      <c r="AH692" s="2"/>
      <c r="AI692" s="2"/>
      <c r="AK692" s="73" t="str">
        <f>IF(ISNA(MATCH($N692,[1]data!$A:$A,0)),"",INDEX([1]data!S:S,MATCH($N692,[1]data!$A:$A,0)))</f>
        <v/>
      </c>
      <c r="AL692" s="73" t="str">
        <f>IF(ISNA(MATCH($N692,[1]data!$A:$A,0)),"",INDEX([1]data!V:V,MATCH($N692,[1]data!$A:$A,0)))</f>
        <v/>
      </c>
      <c r="AM692" s="38" t="str">
        <f>IF(ISNA(MATCH($N692,data!$A:$A,0)),"",INDEX(data!B:B,MATCH($N692,data!$A:$A,0)))</f>
        <v/>
      </c>
      <c r="AN692" s="38" t="str">
        <f>IF(ISNA(MATCH($N692,data!$A:$A,0)),"",INDEX(data!C:C,MATCH($N692,data!$A:$A,0)))</f>
        <v/>
      </c>
      <c r="AO692" s="38" t="str">
        <f>IF(ISNA(MATCH($N692,data!$A:$A,0)),"",INDEX(data!D:D,MATCH($N692,data!$A:$A,0)))</f>
        <v/>
      </c>
      <c r="AP692" s="38" t="str">
        <f>IF(ISNA(MATCH($N692,data!$A:$A,0)),"",INDEX(data!E:E,MATCH($N692,data!$A:$A,0)))</f>
        <v/>
      </c>
      <c r="AQ692" s="38" t="str">
        <f>IF(ISNA(MATCH($N692,data!$A:$A,0)),"",INDEX(data!F:F,MATCH($N692,data!$A:$A,0)))</f>
        <v/>
      </c>
      <c r="AR692" s="38" t="str">
        <f>IF(ISNA(MATCH($N692,data!$A:$A,0)),"",INDEX(data!G:G,MATCH($N692,data!$A:$A,0)))</f>
        <v/>
      </c>
      <c r="AS692" s="38" t="str">
        <f>IF(ISNA(MATCH($N692,data!$A:$A,0)),"",INDEX(data!H:H,MATCH($N692,data!$A:$A,0)))</f>
        <v/>
      </c>
      <c r="AT692" s="38" t="str">
        <f>IF(ISNA(MATCH($N692,data!$A:$A,0)),"",INDEX(data!I:I,MATCH($N692,data!$A:$A,0)))</f>
        <v/>
      </c>
      <c r="AU692" s="38" t="str">
        <f>IF(ISNA(MATCH($N692,[1]data!$A:$A,0)),"",INDEX([1]data!L:L,MATCH($N692,[1]data!$A:$A,0)))</f>
        <v/>
      </c>
      <c r="AV692" s="38" t="str">
        <f>IF(ISNA(MATCH($N692,[1]data!$A:$A,0)),"",INDEX([1]data!M:M,MATCH($N692,[1]data!$A:$A,0)))</f>
        <v/>
      </c>
      <c r="AW692" s="38" t="str">
        <f>IF(ISNA(MATCH($N692,data!$A:$A,0)),"",INDEX(data!J:J,MATCH($N692,data!$A:$A,0)))</f>
        <v/>
      </c>
      <c r="AX692" s="38" t="str">
        <f>IF(ISNA(MATCH($N692,data!$A:$A,0)),"",INDEX(data!K:K,MATCH($N692,data!$A:$A,0)))</f>
        <v/>
      </c>
      <c r="AY692" s="38" t="str">
        <f>IF(ISNA(MATCH($N692,data!$A:$A,0)),"",INDEX(data!O:O,MATCH($N692,data!$A:$A,0)))</f>
        <v/>
      </c>
      <c r="AZ692" s="38" t="str">
        <f>IF(ISNA(MATCH($N692,data!$A:$A,0)),"",INDEX(data!N:N,MATCH($N692,data!$A:$A,0)))</f>
        <v/>
      </c>
      <c r="BA692" s="38" t="str">
        <f>IF(ISNA(MATCH($N692,data!$A:$A,0)),"",INDEX(data!P:P,MATCH($N692,data!$A:$A,0)))</f>
        <v/>
      </c>
      <c r="BB692" s="38" t="str">
        <f>IF(ISNA(MATCH($N692,data!$A:$A,0)),"",INDEX(data!Q:Q,MATCH($N692,data!$A:$A,0)))</f>
        <v/>
      </c>
      <c r="BC692" s="38" t="str">
        <f>IF(ISNA(MATCH($N692,data!$A:$A,0)),"",INDEX(data!R:R,MATCH($N692,data!$A:$A,0)))</f>
        <v/>
      </c>
      <c r="BD692" s="38" t="str">
        <f>IF(ISNA(MATCH($N692,[1]data!$A:$A,0)),"",INDEX([1]data!U:U,MATCH($N692,[1]data!$A:$A,0)))</f>
        <v/>
      </c>
      <c r="BE692" s="61" t="e">
        <f>IF(COUNTIF([1]data!A:A,[1]!Table1[[#This Row],[UPC]])&lt;2,"","DUP")</f>
        <v>#VALUE!</v>
      </c>
      <c r="BF692" s="38" t="str">
        <f>IF(ISNA(MATCH($N692,data!$A:$A,0)),"",INDEX(data!W:W,MATCH($N692,data!$A:$A,0)))</f>
        <v/>
      </c>
    </row>
    <row r="693" spans="1:58">
      <c r="A693" s="35"/>
      <c r="B693" s="35"/>
      <c r="C693" s="35"/>
      <c r="D693" s="35"/>
      <c r="E693" s="67"/>
      <c r="F693" s="67"/>
      <c r="G693" s="36"/>
      <c r="H693" s="29"/>
      <c r="I693" s="78" t="str">
        <f t="shared" si="16"/>
        <v/>
      </c>
      <c r="J693" s="29"/>
      <c r="K693" s="29"/>
      <c r="L693" s="33"/>
      <c r="M693" s="33"/>
      <c r="N693" s="60"/>
      <c r="O693" s="71"/>
      <c r="P693" s="71"/>
      <c r="Q693" s="33"/>
      <c r="R693" s="31"/>
      <c r="S693" s="31"/>
      <c r="T693" s="59"/>
      <c r="U693" s="59"/>
      <c r="V693" s="59"/>
      <c r="W693" s="57">
        <f t="shared" si="17"/>
        <v>0</v>
      </c>
      <c r="X693" s="126" t="str">
        <f>IF(Table1[[#This Row],[Shipping Weight Pounds]]&gt;150,"See LTL Form","No")</f>
        <v>No</v>
      </c>
      <c r="Y693" s="28"/>
      <c r="Z693" s="33"/>
      <c r="AA693" s="34"/>
      <c r="AB693" s="30"/>
      <c r="AC693" s="30"/>
      <c r="AD693" s="32"/>
      <c r="AE693" s="32"/>
      <c r="AF693" s="2"/>
      <c r="AG693" s="2"/>
      <c r="AH693" s="2"/>
      <c r="AI693" s="2"/>
      <c r="AK693" s="73" t="str">
        <f>IF(ISNA(MATCH($N693,[1]data!$A:$A,0)),"",INDEX([1]data!S:S,MATCH($N693,[1]data!$A:$A,0)))</f>
        <v/>
      </c>
      <c r="AL693" s="73" t="str">
        <f>IF(ISNA(MATCH($N693,[1]data!$A:$A,0)),"",INDEX([1]data!V:V,MATCH($N693,[1]data!$A:$A,0)))</f>
        <v/>
      </c>
      <c r="AM693" s="38" t="str">
        <f>IF(ISNA(MATCH($N693,data!$A:$A,0)),"",INDEX(data!B:B,MATCH($N693,data!$A:$A,0)))</f>
        <v/>
      </c>
      <c r="AN693" s="38" t="str">
        <f>IF(ISNA(MATCH($N693,data!$A:$A,0)),"",INDEX(data!C:C,MATCH($N693,data!$A:$A,0)))</f>
        <v/>
      </c>
      <c r="AO693" s="38" t="str">
        <f>IF(ISNA(MATCH($N693,data!$A:$A,0)),"",INDEX(data!D:D,MATCH($N693,data!$A:$A,0)))</f>
        <v/>
      </c>
      <c r="AP693" s="38" t="str">
        <f>IF(ISNA(MATCH($N693,data!$A:$A,0)),"",INDEX(data!E:E,MATCH($N693,data!$A:$A,0)))</f>
        <v/>
      </c>
      <c r="AQ693" s="38" t="str">
        <f>IF(ISNA(MATCH($N693,data!$A:$A,0)),"",INDEX(data!F:F,MATCH($N693,data!$A:$A,0)))</f>
        <v/>
      </c>
      <c r="AR693" s="38" t="str">
        <f>IF(ISNA(MATCH($N693,data!$A:$A,0)),"",INDEX(data!G:G,MATCH($N693,data!$A:$A,0)))</f>
        <v/>
      </c>
      <c r="AS693" s="38" t="str">
        <f>IF(ISNA(MATCH($N693,data!$A:$A,0)),"",INDEX(data!H:H,MATCH($N693,data!$A:$A,0)))</f>
        <v/>
      </c>
      <c r="AT693" s="38" t="str">
        <f>IF(ISNA(MATCH($N693,data!$A:$A,0)),"",INDEX(data!I:I,MATCH($N693,data!$A:$A,0)))</f>
        <v/>
      </c>
      <c r="AU693" s="38" t="str">
        <f>IF(ISNA(MATCH($N693,[1]data!$A:$A,0)),"",INDEX([1]data!L:L,MATCH($N693,[1]data!$A:$A,0)))</f>
        <v/>
      </c>
      <c r="AV693" s="38" t="str">
        <f>IF(ISNA(MATCH($N693,[1]data!$A:$A,0)),"",INDEX([1]data!M:M,MATCH($N693,[1]data!$A:$A,0)))</f>
        <v/>
      </c>
      <c r="AW693" s="38" t="str">
        <f>IF(ISNA(MATCH($N693,data!$A:$A,0)),"",INDEX(data!J:J,MATCH($N693,data!$A:$A,0)))</f>
        <v/>
      </c>
      <c r="AX693" s="38" t="str">
        <f>IF(ISNA(MATCH($N693,data!$A:$A,0)),"",INDEX(data!K:K,MATCH($N693,data!$A:$A,0)))</f>
        <v/>
      </c>
      <c r="AY693" s="38" t="str">
        <f>IF(ISNA(MATCH($N693,data!$A:$A,0)),"",INDEX(data!O:O,MATCH($N693,data!$A:$A,0)))</f>
        <v/>
      </c>
      <c r="AZ693" s="38" t="str">
        <f>IF(ISNA(MATCH($N693,data!$A:$A,0)),"",INDEX(data!N:N,MATCH($N693,data!$A:$A,0)))</f>
        <v/>
      </c>
      <c r="BA693" s="38" t="str">
        <f>IF(ISNA(MATCH($N693,data!$A:$A,0)),"",INDEX(data!P:P,MATCH($N693,data!$A:$A,0)))</f>
        <v/>
      </c>
      <c r="BB693" s="38" t="str">
        <f>IF(ISNA(MATCH($N693,data!$A:$A,0)),"",INDEX(data!Q:Q,MATCH($N693,data!$A:$A,0)))</f>
        <v/>
      </c>
      <c r="BC693" s="38" t="str">
        <f>IF(ISNA(MATCH($N693,data!$A:$A,0)),"",INDEX(data!R:R,MATCH($N693,data!$A:$A,0)))</f>
        <v/>
      </c>
      <c r="BD693" s="38" t="str">
        <f>IF(ISNA(MATCH($N693,[1]data!$A:$A,0)),"",INDEX([1]data!U:U,MATCH($N693,[1]data!$A:$A,0)))</f>
        <v/>
      </c>
      <c r="BE693" s="61" t="e">
        <f>IF(COUNTIF([1]data!A:A,[1]!Table1[[#This Row],[UPC]])&lt;2,"","DUP")</f>
        <v>#VALUE!</v>
      </c>
      <c r="BF693" s="38" t="str">
        <f>IF(ISNA(MATCH($N693,data!$A:$A,0)),"",INDEX(data!W:W,MATCH($N693,data!$A:$A,0)))</f>
        <v/>
      </c>
    </row>
    <row r="694" spans="1:58">
      <c r="A694" s="35"/>
      <c r="B694" s="35"/>
      <c r="C694" s="35"/>
      <c r="D694" s="35"/>
      <c r="E694" s="67"/>
      <c r="F694" s="67"/>
      <c r="G694" s="36"/>
      <c r="H694" s="29"/>
      <c r="I694" s="78" t="str">
        <f t="shared" si="16"/>
        <v/>
      </c>
      <c r="J694" s="29"/>
      <c r="K694" s="29"/>
      <c r="L694" s="33"/>
      <c r="M694" s="33"/>
      <c r="N694" s="60"/>
      <c r="O694" s="71"/>
      <c r="P694" s="71"/>
      <c r="Q694" s="33"/>
      <c r="R694" s="31"/>
      <c r="S694" s="31"/>
      <c r="T694" s="59"/>
      <c r="U694" s="59"/>
      <c r="V694" s="59"/>
      <c r="W694" s="57">
        <f t="shared" si="17"/>
        <v>0</v>
      </c>
      <c r="X694" s="126" t="str">
        <f>IF(Table1[[#This Row],[Shipping Weight Pounds]]&gt;150,"See LTL Form","No")</f>
        <v>No</v>
      </c>
      <c r="Y694" s="28"/>
      <c r="Z694" s="33"/>
      <c r="AA694" s="34"/>
      <c r="AB694" s="30"/>
      <c r="AC694" s="30"/>
      <c r="AD694" s="32"/>
      <c r="AE694" s="32"/>
      <c r="AF694" s="2"/>
      <c r="AG694" s="2"/>
      <c r="AH694" s="2"/>
      <c r="AI694" s="2"/>
      <c r="AK694" s="73" t="str">
        <f>IF(ISNA(MATCH($N694,[1]data!$A:$A,0)),"",INDEX([1]data!S:S,MATCH($N694,[1]data!$A:$A,0)))</f>
        <v/>
      </c>
      <c r="AL694" s="73" t="str">
        <f>IF(ISNA(MATCH($N694,[1]data!$A:$A,0)),"",INDEX([1]data!V:V,MATCH($N694,[1]data!$A:$A,0)))</f>
        <v/>
      </c>
      <c r="AM694" s="38" t="str">
        <f>IF(ISNA(MATCH($N694,data!$A:$A,0)),"",INDEX(data!B:B,MATCH($N694,data!$A:$A,0)))</f>
        <v/>
      </c>
      <c r="AN694" s="38" t="str">
        <f>IF(ISNA(MATCH($N694,data!$A:$A,0)),"",INDEX(data!C:C,MATCH($N694,data!$A:$A,0)))</f>
        <v/>
      </c>
      <c r="AO694" s="38" t="str">
        <f>IF(ISNA(MATCH($N694,data!$A:$A,0)),"",INDEX(data!D:D,MATCH($N694,data!$A:$A,0)))</f>
        <v/>
      </c>
      <c r="AP694" s="38" t="str">
        <f>IF(ISNA(MATCH($N694,data!$A:$A,0)),"",INDEX(data!E:E,MATCH($N694,data!$A:$A,0)))</f>
        <v/>
      </c>
      <c r="AQ694" s="38" t="str">
        <f>IF(ISNA(MATCH($N694,data!$A:$A,0)),"",INDEX(data!F:F,MATCH($N694,data!$A:$A,0)))</f>
        <v/>
      </c>
      <c r="AR694" s="38" t="str">
        <f>IF(ISNA(MATCH($N694,data!$A:$A,0)),"",INDEX(data!G:G,MATCH($N694,data!$A:$A,0)))</f>
        <v/>
      </c>
      <c r="AS694" s="38" t="str">
        <f>IF(ISNA(MATCH($N694,data!$A:$A,0)),"",INDEX(data!H:H,MATCH($N694,data!$A:$A,0)))</f>
        <v/>
      </c>
      <c r="AT694" s="38" t="str">
        <f>IF(ISNA(MATCH($N694,data!$A:$A,0)),"",INDEX(data!I:I,MATCH($N694,data!$A:$A,0)))</f>
        <v/>
      </c>
      <c r="AU694" s="38" t="str">
        <f>IF(ISNA(MATCH($N694,[1]data!$A:$A,0)),"",INDEX([1]data!L:L,MATCH($N694,[1]data!$A:$A,0)))</f>
        <v/>
      </c>
      <c r="AV694" s="38" t="str">
        <f>IF(ISNA(MATCH($N694,[1]data!$A:$A,0)),"",INDEX([1]data!M:M,MATCH($N694,[1]data!$A:$A,0)))</f>
        <v/>
      </c>
      <c r="AW694" s="38" t="str">
        <f>IF(ISNA(MATCH($N694,data!$A:$A,0)),"",INDEX(data!J:J,MATCH($N694,data!$A:$A,0)))</f>
        <v/>
      </c>
      <c r="AX694" s="38" t="str">
        <f>IF(ISNA(MATCH($N694,data!$A:$A,0)),"",INDEX(data!K:K,MATCH($N694,data!$A:$A,0)))</f>
        <v/>
      </c>
      <c r="AY694" s="38" t="str">
        <f>IF(ISNA(MATCH($N694,data!$A:$A,0)),"",INDEX(data!O:O,MATCH($N694,data!$A:$A,0)))</f>
        <v/>
      </c>
      <c r="AZ694" s="38" t="str">
        <f>IF(ISNA(MATCH($N694,data!$A:$A,0)),"",INDEX(data!N:N,MATCH($N694,data!$A:$A,0)))</f>
        <v/>
      </c>
      <c r="BA694" s="38" t="str">
        <f>IF(ISNA(MATCH($N694,data!$A:$A,0)),"",INDEX(data!P:P,MATCH($N694,data!$A:$A,0)))</f>
        <v/>
      </c>
      <c r="BB694" s="38" t="str">
        <f>IF(ISNA(MATCH($N694,data!$A:$A,0)),"",INDEX(data!Q:Q,MATCH($N694,data!$A:$A,0)))</f>
        <v/>
      </c>
      <c r="BC694" s="38" t="str">
        <f>IF(ISNA(MATCH($N694,data!$A:$A,0)),"",INDEX(data!R:R,MATCH($N694,data!$A:$A,0)))</f>
        <v/>
      </c>
      <c r="BD694" s="38" t="str">
        <f>IF(ISNA(MATCH($N694,[1]data!$A:$A,0)),"",INDEX([1]data!U:U,MATCH($N694,[1]data!$A:$A,0)))</f>
        <v/>
      </c>
      <c r="BE694" s="61" t="e">
        <f>IF(COUNTIF([1]data!A:A,[1]!Table1[[#This Row],[UPC]])&lt;2,"","DUP")</f>
        <v>#VALUE!</v>
      </c>
      <c r="BF694" s="38" t="str">
        <f>IF(ISNA(MATCH($N694,data!$A:$A,0)),"",INDEX(data!W:W,MATCH($N694,data!$A:$A,0)))</f>
        <v/>
      </c>
    </row>
    <row r="695" spans="1:58">
      <c r="A695" s="35"/>
      <c r="B695" s="35"/>
      <c r="C695" s="35"/>
      <c r="D695" s="35"/>
      <c r="E695" s="67"/>
      <c r="F695" s="67"/>
      <c r="G695" s="36"/>
      <c r="H695" s="29"/>
      <c r="I695" s="78" t="str">
        <f t="shared" si="16"/>
        <v/>
      </c>
      <c r="J695" s="29"/>
      <c r="K695" s="29"/>
      <c r="L695" s="33"/>
      <c r="M695" s="33"/>
      <c r="N695" s="60"/>
      <c r="O695" s="71"/>
      <c r="P695" s="71"/>
      <c r="Q695" s="33"/>
      <c r="R695" s="31"/>
      <c r="S695" s="31"/>
      <c r="T695" s="59"/>
      <c r="U695" s="59"/>
      <c r="V695" s="59"/>
      <c r="W695" s="57">
        <f t="shared" si="17"/>
        <v>0</v>
      </c>
      <c r="X695" s="126" t="str">
        <f>IF(Table1[[#This Row],[Shipping Weight Pounds]]&gt;150,"See LTL Form","No")</f>
        <v>No</v>
      </c>
      <c r="Y695" s="28"/>
      <c r="Z695" s="33"/>
      <c r="AA695" s="34"/>
      <c r="AB695" s="30"/>
      <c r="AC695" s="30"/>
      <c r="AD695" s="32"/>
      <c r="AE695" s="32"/>
      <c r="AF695" s="2"/>
      <c r="AG695" s="2"/>
      <c r="AH695" s="2"/>
      <c r="AI695" s="2"/>
      <c r="AK695" s="73" t="str">
        <f>IF(ISNA(MATCH($N695,[1]data!$A:$A,0)),"",INDEX([1]data!S:S,MATCH($N695,[1]data!$A:$A,0)))</f>
        <v/>
      </c>
      <c r="AL695" s="73" t="str">
        <f>IF(ISNA(MATCH($N695,[1]data!$A:$A,0)),"",INDEX([1]data!V:V,MATCH($N695,[1]data!$A:$A,0)))</f>
        <v/>
      </c>
      <c r="AM695" s="38" t="str">
        <f>IF(ISNA(MATCH($N695,data!$A:$A,0)),"",INDEX(data!B:B,MATCH($N695,data!$A:$A,0)))</f>
        <v/>
      </c>
      <c r="AN695" s="38" t="str">
        <f>IF(ISNA(MATCH($N695,data!$A:$A,0)),"",INDEX(data!C:C,MATCH($N695,data!$A:$A,0)))</f>
        <v/>
      </c>
      <c r="AO695" s="38" t="str">
        <f>IF(ISNA(MATCH($N695,data!$A:$A,0)),"",INDEX(data!D:D,MATCH($N695,data!$A:$A,0)))</f>
        <v/>
      </c>
      <c r="AP695" s="38" t="str">
        <f>IF(ISNA(MATCH($N695,data!$A:$A,0)),"",INDEX(data!E:E,MATCH($N695,data!$A:$A,0)))</f>
        <v/>
      </c>
      <c r="AQ695" s="38" t="str">
        <f>IF(ISNA(MATCH($N695,data!$A:$A,0)),"",INDEX(data!F:F,MATCH($N695,data!$A:$A,0)))</f>
        <v/>
      </c>
      <c r="AR695" s="38" t="str">
        <f>IF(ISNA(MATCH($N695,data!$A:$A,0)),"",INDEX(data!G:G,MATCH($N695,data!$A:$A,0)))</f>
        <v/>
      </c>
      <c r="AS695" s="38" t="str">
        <f>IF(ISNA(MATCH($N695,data!$A:$A,0)),"",INDEX(data!H:H,MATCH($N695,data!$A:$A,0)))</f>
        <v/>
      </c>
      <c r="AT695" s="38" t="str">
        <f>IF(ISNA(MATCH($N695,data!$A:$A,0)),"",INDEX(data!I:I,MATCH($N695,data!$A:$A,0)))</f>
        <v/>
      </c>
      <c r="AU695" s="38" t="str">
        <f>IF(ISNA(MATCH($N695,[1]data!$A:$A,0)),"",INDEX([1]data!L:L,MATCH($N695,[1]data!$A:$A,0)))</f>
        <v/>
      </c>
      <c r="AV695" s="38" t="str">
        <f>IF(ISNA(MATCH($N695,[1]data!$A:$A,0)),"",INDEX([1]data!M:M,MATCH($N695,[1]data!$A:$A,0)))</f>
        <v/>
      </c>
      <c r="AW695" s="38" t="str">
        <f>IF(ISNA(MATCH($N695,data!$A:$A,0)),"",INDEX(data!J:J,MATCH($N695,data!$A:$A,0)))</f>
        <v/>
      </c>
      <c r="AX695" s="38" t="str">
        <f>IF(ISNA(MATCH($N695,data!$A:$A,0)),"",INDEX(data!K:K,MATCH($N695,data!$A:$A,0)))</f>
        <v/>
      </c>
      <c r="AY695" s="38" t="str">
        <f>IF(ISNA(MATCH($N695,data!$A:$A,0)),"",INDEX(data!O:O,MATCH($N695,data!$A:$A,0)))</f>
        <v/>
      </c>
      <c r="AZ695" s="38" t="str">
        <f>IF(ISNA(MATCH($N695,data!$A:$A,0)),"",INDEX(data!N:N,MATCH($N695,data!$A:$A,0)))</f>
        <v/>
      </c>
      <c r="BA695" s="38" t="str">
        <f>IF(ISNA(MATCH($N695,data!$A:$A,0)),"",INDEX(data!P:P,MATCH($N695,data!$A:$A,0)))</f>
        <v/>
      </c>
      <c r="BB695" s="38" t="str">
        <f>IF(ISNA(MATCH($N695,data!$A:$A,0)),"",INDEX(data!Q:Q,MATCH($N695,data!$A:$A,0)))</f>
        <v/>
      </c>
      <c r="BC695" s="38" t="str">
        <f>IF(ISNA(MATCH($N695,data!$A:$A,0)),"",INDEX(data!R:R,MATCH($N695,data!$A:$A,0)))</f>
        <v/>
      </c>
      <c r="BD695" s="38" t="str">
        <f>IF(ISNA(MATCH($N695,[1]data!$A:$A,0)),"",INDEX([1]data!U:U,MATCH($N695,[1]data!$A:$A,0)))</f>
        <v/>
      </c>
      <c r="BE695" s="61" t="e">
        <f>IF(COUNTIF([1]data!A:A,[1]!Table1[[#This Row],[UPC]])&lt;2,"","DUP")</f>
        <v>#VALUE!</v>
      </c>
      <c r="BF695" s="38" t="str">
        <f>IF(ISNA(MATCH($N695,data!$A:$A,0)),"",INDEX(data!W:W,MATCH($N695,data!$A:$A,0)))</f>
        <v/>
      </c>
    </row>
    <row r="696" spans="1:58">
      <c r="A696" s="35"/>
      <c r="B696" s="35"/>
      <c r="C696" s="35"/>
      <c r="D696" s="35"/>
      <c r="E696" s="67"/>
      <c r="F696" s="67"/>
      <c r="G696" s="36"/>
      <c r="H696" s="29"/>
      <c r="I696" s="78" t="str">
        <f t="shared" si="16"/>
        <v/>
      </c>
      <c r="J696" s="29"/>
      <c r="K696" s="29"/>
      <c r="L696" s="33"/>
      <c r="M696" s="33"/>
      <c r="N696" s="60"/>
      <c r="O696" s="71"/>
      <c r="P696" s="71"/>
      <c r="Q696" s="33"/>
      <c r="R696" s="31"/>
      <c r="S696" s="31"/>
      <c r="T696" s="59"/>
      <c r="U696" s="59"/>
      <c r="V696" s="59"/>
      <c r="W696" s="57">
        <f t="shared" si="17"/>
        <v>0</v>
      </c>
      <c r="X696" s="126" t="str">
        <f>IF(Table1[[#This Row],[Shipping Weight Pounds]]&gt;150,"See LTL Form","No")</f>
        <v>No</v>
      </c>
      <c r="Y696" s="28"/>
      <c r="Z696" s="33"/>
      <c r="AA696" s="34"/>
      <c r="AB696" s="30"/>
      <c r="AC696" s="30"/>
      <c r="AD696" s="32"/>
      <c r="AE696" s="32"/>
      <c r="AF696" s="2"/>
      <c r="AG696" s="2"/>
      <c r="AH696" s="2"/>
      <c r="AI696" s="2"/>
      <c r="AK696" s="73" t="str">
        <f>IF(ISNA(MATCH($N696,[1]data!$A:$A,0)),"",INDEX([1]data!S:S,MATCH($N696,[1]data!$A:$A,0)))</f>
        <v/>
      </c>
      <c r="AL696" s="73" t="str">
        <f>IF(ISNA(MATCH($N696,[1]data!$A:$A,0)),"",INDEX([1]data!V:V,MATCH($N696,[1]data!$A:$A,0)))</f>
        <v/>
      </c>
      <c r="AM696" s="38" t="str">
        <f>IF(ISNA(MATCH($N696,data!$A:$A,0)),"",INDEX(data!B:B,MATCH($N696,data!$A:$A,0)))</f>
        <v/>
      </c>
      <c r="AN696" s="38" t="str">
        <f>IF(ISNA(MATCH($N696,data!$A:$A,0)),"",INDEX(data!C:C,MATCH($N696,data!$A:$A,0)))</f>
        <v/>
      </c>
      <c r="AO696" s="38" t="str">
        <f>IF(ISNA(MATCH($N696,data!$A:$A,0)),"",INDEX(data!D:D,MATCH($N696,data!$A:$A,0)))</f>
        <v/>
      </c>
      <c r="AP696" s="38" t="str">
        <f>IF(ISNA(MATCH($N696,data!$A:$A,0)),"",INDEX(data!E:E,MATCH($N696,data!$A:$A,0)))</f>
        <v/>
      </c>
      <c r="AQ696" s="38" t="str">
        <f>IF(ISNA(MATCH($N696,data!$A:$A,0)),"",INDEX(data!F:F,MATCH($N696,data!$A:$A,0)))</f>
        <v/>
      </c>
      <c r="AR696" s="38" t="str">
        <f>IF(ISNA(MATCH($N696,data!$A:$A,0)),"",INDEX(data!G:G,MATCH($N696,data!$A:$A,0)))</f>
        <v/>
      </c>
      <c r="AS696" s="38" t="str">
        <f>IF(ISNA(MATCH($N696,data!$A:$A,0)),"",INDEX(data!H:H,MATCH($N696,data!$A:$A,0)))</f>
        <v/>
      </c>
      <c r="AT696" s="38" t="str">
        <f>IF(ISNA(MATCH($N696,data!$A:$A,0)),"",INDEX(data!I:I,MATCH($N696,data!$A:$A,0)))</f>
        <v/>
      </c>
      <c r="AU696" s="38" t="str">
        <f>IF(ISNA(MATCH($N696,[1]data!$A:$A,0)),"",INDEX([1]data!L:L,MATCH($N696,[1]data!$A:$A,0)))</f>
        <v/>
      </c>
      <c r="AV696" s="38" t="str">
        <f>IF(ISNA(MATCH($N696,[1]data!$A:$A,0)),"",INDEX([1]data!M:M,MATCH($N696,[1]data!$A:$A,0)))</f>
        <v/>
      </c>
      <c r="AW696" s="38" t="str">
        <f>IF(ISNA(MATCH($N696,data!$A:$A,0)),"",INDEX(data!J:J,MATCH($N696,data!$A:$A,0)))</f>
        <v/>
      </c>
      <c r="AX696" s="38" t="str">
        <f>IF(ISNA(MATCH($N696,data!$A:$A,0)),"",INDEX(data!K:K,MATCH($N696,data!$A:$A,0)))</f>
        <v/>
      </c>
      <c r="AY696" s="38" t="str">
        <f>IF(ISNA(MATCH($N696,data!$A:$A,0)),"",INDEX(data!O:O,MATCH($N696,data!$A:$A,0)))</f>
        <v/>
      </c>
      <c r="AZ696" s="38" t="str">
        <f>IF(ISNA(MATCH($N696,data!$A:$A,0)),"",INDEX(data!N:N,MATCH($N696,data!$A:$A,0)))</f>
        <v/>
      </c>
      <c r="BA696" s="38" t="str">
        <f>IF(ISNA(MATCH($N696,data!$A:$A,0)),"",INDEX(data!P:P,MATCH($N696,data!$A:$A,0)))</f>
        <v/>
      </c>
      <c r="BB696" s="38" t="str">
        <f>IF(ISNA(MATCH($N696,data!$A:$A,0)),"",INDEX(data!Q:Q,MATCH($N696,data!$A:$A,0)))</f>
        <v/>
      </c>
      <c r="BC696" s="38" t="str">
        <f>IF(ISNA(MATCH($N696,data!$A:$A,0)),"",INDEX(data!R:R,MATCH($N696,data!$A:$A,0)))</f>
        <v/>
      </c>
      <c r="BD696" s="38" t="str">
        <f>IF(ISNA(MATCH($N696,[1]data!$A:$A,0)),"",INDEX([1]data!U:U,MATCH($N696,[1]data!$A:$A,0)))</f>
        <v/>
      </c>
      <c r="BE696" s="61" t="e">
        <f>IF(COUNTIF([1]data!A:A,[1]!Table1[[#This Row],[UPC]])&lt;2,"","DUP")</f>
        <v>#VALUE!</v>
      </c>
      <c r="BF696" s="38" t="str">
        <f>IF(ISNA(MATCH($N696,data!$A:$A,0)),"",INDEX(data!W:W,MATCH($N696,data!$A:$A,0)))</f>
        <v/>
      </c>
    </row>
    <row r="697" spans="1:58">
      <c r="A697" s="35"/>
      <c r="B697" s="35"/>
      <c r="C697" s="35"/>
      <c r="D697" s="35"/>
      <c r="E697" s="67"/>
      <c r="F697" s="67"/>
      <c r="G697" s="36"/>
      <c r="H697" s="29"/>
      <c r="I697" s="78" t="str">
        <f t="shared" si="16"/>
        <v/>
      </c>
      <c r="J697" s="29"/>
      <c r="K697" s="29"/>
      <c r="L697" s="33"/>
      <c r="M697" s="33"/>
      <c r="N697" s="60"/>
      <c r="O697" s="71"/>
      <c r="P697" s="71"/>
      <c r="Q697" s="33"/>
      <c r="R697" s="31"/>
      <c r="S697" s="31"/>
      <c r="T697" s="59"/>
      <c r="U697" s="59"/>
      <c r="V697" s="59"/>
      <c r="W697" s="57">
        <f t="shared" si="17"/>
        <v>0</v>
      </c>
      <c r="X697" s="126" t="str">
        <f>IF(Table1[[#This Row],[Shipping Weight Pounds]]&gt;150,"See LTL Form","No")</f>
        <v>No</v>
      </c>
      <c r="Y697" s="28"/>
      <c r="Z697" s="33"/>
      <c r="AA697" s="34"/>
      <c r="AB697" s="30"/>
      <c r="AC697" s="30"/>
      <c r="AD697" s="32"/>
      <c r="AE697" s="32"/>
      <c r="AF697" s="2"/>
      <c r="AG697" s="2"/>
      <c r="AH697" s="2"/>
      <c r="AI697" s="2"/>
      <c r="AK697" s="73" t="str">
        <f>IF(ISNA(MATCH($N697,[1]data!$A:$A,0)),"",INDEX([1]data!S:S,MATCH($N697,[1]data!$A:$A,0)))</f>
        <v/>
      </c>
      <c r="AL697" s="73" t="str">
        <f>IF(ISNA(MATCH($N697,[1]data!$A:$A,0)),"",INDEX([1]data!V:V,MATCH($N697,[1]data!$A:$A,0)))</f>
        <v/>
      </c>
      <c r="AM697" s="38" t="str">
        <f>IF(ISNA(MATCH($N697,data!$A:$A,0)),"",INDEX(data!B:B,MATCH($N697,data!$A:$A,0)))</f>
        <v/>
      </c>
      <c r="AN697" s="38" t="str">
        <f>IF(ISNA(MATCH($N697,data!$A:$A,0)),"",INDEX(data!C:C,MATCH($N697,data!$A:$A,0)))</f>
        <v/>
      </c>
      <c r="AO697" s="38" t="str">
        <f>IF(ISNA(MATCH($N697,data!$A:$A,0)),"",INDEX(data!D:D,MATCH($N697,data!$A:$A,0)))</f>
        <v/>
      </c>
      <c r="AP697" s="38" t="str">
        <f>IF(ISNA(MATCH($N697,data!$A:$A,0)),"",INDEX(data!E:E,MATCH($N697,data!$A:$A,0)))</f>
        <v/>
      </c>
      <c r="AQ697" s="38" t="str">
        <f>IF(ISNA(MATCH($N697,data!$A:$A,0)),"",INDEX(data!F:F,MATCH($N697,data!$A:$A,0)))</f>
        <v/>
      </c>
      <c r="AR697" s="38" t="str">
        <f>IF(ISNA(MATCH($N697,data!$A:$A,0)),"",INDEX(data!G:G,MATCH($N697,data!$A:$A,0)))</f>
        <v/>
      </c>
      <c r="AS697" s="38" t="str">
        <f>IF(ISNA(MATCH($N697,data!$A:$A,0)),"",INDEX(data!H:H,MATCH($N697,data!$A:$A,0)))</f>
        <v/>
      </c>
      <c r="AT697" s="38" t="str">
        <f>IF(ISNA(MATCH($N697,data!$A:$A,0)),"",INDEX(data!I:I,MATCH($N697,data!$A:$A,0)))</f>
        <v/>
      </c>
      <c r="AU697" s="38" t="str">
        <f>IF(ISNA(MATCH($N697,[1]data!$A:$A,0)),"",INDEX([1]data!L:L,MATCH($N697,[1]data!$A:$A,0)))</f>
        <v/>
      </c>
      <c r="AV697" s="38" t="str">
        <f>IF(ISNA(MATCH($N697,[1]data!$A:$A,0)),"",INDEX([1]data!M:M,MATCH($N697,[1]data!$A:$A,0)))</f>
        <v/>
      </c>
      <c r="AW697" s="38" t="str">
        <f>IF(ISNA(MATCH($N697,data!$A:$A,0)),"",INDEX(data!J:J,MATCH($N697,data!$A:$A,0)))</f>
        <v/>
      </c>
      <c r="AX697" s="38" t="str">
        <f>IF(ISNA(MATCH($N697,data!$A:$A,0)),"",INDEX(data!K:K,MATCH($N697,data!$A:$A,0)))</f>
        <v/>
      </c>
      <c r="AY697" s="38" t="str">
        <f>IF(ISNA(MATCH($N697,data!$A:$A,0)),"",INDEX(data!O:O,MATCH($N697,data!$A:$A,0)))</f>
        <v/>
      </c>
      <c r="AZ697" s="38" t="str">
        <f>IF(ISNA(MATCH($N697,data!$A:$A,0)),"",INDEX(data!N:N,MATCH($N697,data!$A:$A,0)))</f>
        <v/>
      </c>
      <c r="BA697" s="38" t="str">
        <f>IF(ISNA(MATCH($N697,data!$A:$A,0)),"",INDEX(data!P:P,MATCH($N697,data!$A:$A,0)))</f>
        <v/>
      </c>
      <c r="BB697" s="38" t="str">
        <f>IF(ISNA(MATCH($N697,data!$A:$A,0)),"",INDEX(data!Q:Q,MATCH($N697,data!$A:$A,0)))</f>
        <v/>
      </c>
      <c r="BC697" s="38" t="str">
        <f>IF(ISNA(MATCH($N697,data!$A:$A,0)),"",INDEX(data!R:R,MATCH($N697,data!$A:$A,0)))</f>
        <v/>
      </c>
      <c r="BD697" s="38" t="str">
        <f>IF(ISNA(MATCH($N697,[1]data!$A:$A,0)),"",INDEX([1]data!U:U,MATCH($N697,[1]data!$A:$A,0)))</f>
        <v/>
      </c>
      <c r="BE697" s="61" t="e">
        <f>IF(COUNTIF([1]data!A:A,[1]!Table1[[#This Row],[UPC]])&lt;2,"","DUP")</f>
        <v>#VALUE!</v>
      </c>
      <c r="BF697" s="38" t="str">
        <f>IF(ISNA(MATCH($N697,data!$A:$A,0)),"",INDEX(data!W:W,MATCH($N697,data!$A:$A,0)))</f>
        <v/>
      </c>
    </row>
    <row r="698" spans="1:58">
      <c r="A698" s="35"/>
      <c r="B698" s="35"/>
      <c r="C698" s="35"/>
      <c r="D698" s="35"/>
      <c r="E698" s="67"/>
      <c r="F698" s="67"/>
      <c r="G698" s="36"/>
      <c r="H698" s="29"/>
      <c r="I698" s="78" t="str">
        <f t="shared" si="16"/>
        <v/>
      </c>
      <c r="J698" s="29"/>
      <c r="K698" s="29"/>
      <c r="L698" s="33"/>
      <c r="M698" s="33"/>
      <c r="N698" s="60"/>
      <c r="O698" s="71"/>
      <c r="P698" s="71"/>
      <c r="Q698" s="33"/>
      <c r="R698" s="31"/>
      <c r="S698" s="31"/>
      <c r="T698" s="59"/>
      <c r="U698" s="59"/>
      <c r="V698" s="59"/>
      <c r="W698" s="57">
        <f t="shared" si="17"/>
        <v>0</v>
      </c>
      <c r="X698" s="126" t="str">
        <f>IF(Table1[[#This Row],[Shipping Weight Pounds]]&gt;150,"See LTL Form","No")</f>
        <v>No</v>
      </c>
      <c r="Y698" s="28"/>
      <c r="Z698" s="33"/>
      <c r="AA698" s="34"/>
      <c r="AB698" s="30"/>
      <c r="AC698" s="30"/>
      <c r="AD698" s="32"/>
      <c r="AE698" s="32"/>
      <c r="AF698" s="2"/>
      <c r="AG698" s="2"/>
      <c r="AH698" s="2"/>
      <c r="AI698" s="2"/>
      <c r="AK698" s="73" t="str">
        <f>IF(ISNA(MATCH($N698,[1]data!$A:$A,0)),"",INDEX([1]data!S:S,MATCH($N698,[1]data!$A:$A,0)))</f>
        <v/>
      </c>
      <c r="AL698" s="73" t="str">
        <f>IF(ISNA(MATCH($N698,[1]data!$A:$A,0)),"",INDEX([1]data!V:V,MATCH($N698,[1]data!$A:$A,0)))</f>
        <v/>
      </c>
      <c r="AM698" s="38" t="str">
        <f>IF(ISNA(MATCH($N698,data!$A:$A,0)),"",INDEX(data!B:B,MATCH($N698,data!$A:$A,0)))</f>
        <v/>
      </c>
      <c r="AN698" s="38" t="str">
        <f>IF(ISNA(MATCH($N698,data!$A:$A,0)),"",INDEX(data!C:C,MATCH($N698,data!$A:$A,0)))</f>
        <v/>
      </c>
      <c r="AO698" s="38" t="str">
        <f>IF(ISNA(MATCH($N698,data!$A:$A,0)),"",INDEX(data!D:D,MATCH($N698,data!$A:$A,0)))</f>
        <v/>
      </c>
      <c r="AP698" s="38" t="str">
        <f>IF(ISNA(MATCH($N698,data!$A:$A,0)),"",INDEX(data!E:E,MATCH($N698,data!$A:$A,0)))</f>
        <v/>
      </c>
      <c r="AQ698" s="38" t="str">
        <f>IF(ISNA(MATCH($N698,data!$A:$A,0)),"",INDEX(data!F:F,MATCH($N698,data!$A:$A,0)))</f>
        <v/>
      </c>
      <c r="AR698" s="38" t="str">
        <f>IF(ISNA(MATCH($N698,data!$A:$A,0)),"",INDEX(data!G:G,MATCH($N698,data!$A:$A,0)))</f>
        <v/>
      </c>
      <c r="AS698" s="38" t="str">
        <f>IF(ISNA(MATCH($N698,data!$A:$A,0)),"",INDEX(data!H:H,MATCH($N698,data!$A:$A,0)))</f>
        <v/>
      </c>
      <c r="AT698" s="38" t="str">
        <f>IF(ISNA(MATCH($N698,data!$A:$A,0)),"",INDEX(data!I:I,MATCH($N698,data!$A:$A,0)))</f>
        <v/>
      </c>
      <c r="AU698" s="38" t="str">
        <f>IF(ISNA(MATCH($N698,[1]data!$A:$A,0)),"",INDEX([1]data!L:L,MATCH($N698,[1]data!$A:$A,0)))</f>
        <v/>
      </c>
      <c r="AV698" s="38" t="str">
        <f>IF(ISNA(MATCH($N698,[1]data!$A:$A,0)),"",INDEX([1]data!M:M,MATCH($N698,[1]data!$A:$A,0)))</f>
        <v/>
      </c>
      <c r="AW698" s="38" t="str">
        <f>IF(ISNA(MATCH($N698,data!$A:$A,0)),"",INDEX(data!J:J,MATCH($N698,data!$A:$A,0)))</f>
        <v/>
      </c>
      <c r="AX698" s="38" t="str">
        <f>IF(ISNA(MATCH($N698,data!$A:$A,0)),"",INDEX(data!K:K,MATCH($N698,data!$A:$A,0)))</f>
        <v/>
      </c>
      <c r="AY698" s="38" t="str">
        <f>IF(ISNA(MATCH($N698,data!$A:$A,0)),"",INDEX(data!O:O,MATCH($N698,data!$A:$A,0)))</f>
        <v/>
      </c>
      <c r="AZ698" s="38" t="str">
        <f>IF(ISNA(MATCH($N698,data!$A:$A,0)),"",INDEX(data!N:N,MATCH($N698,data!$A:$A,0)))</f>
        <v/>
      </c>
      <c r="BA698" s="38" t="str">
        <f>IF(ISNA(MATCH($N698,data!$A:$A,0)),"",INDEX(data!P:P,MATCH($N698,data!$A:$A,0)))</f>
        <v/>
      </c>
      <c r="BB698" s="38" t="str">
        <f>IF(ISNA(MATCH($N698,data!$A:$A,0)),"",INDEX(data!Q:Q,MATCH($N698,data!$A:$A,0)))</f>
        <v/>
      </c>
      <c r="BC698" s="38" t="str">
        <f>IF(ISNA(MATCH($N698,data!$A:$A,0)),"",INDEX(data!R:R,MATCH($N698,data!$A:$A,0)))</f>
        <v/>
      </c>
      <c r="BD698" s="38" t="str">
        <f>IF(ISNA(MATCH($N698,[1]data!$A:$A,0)),"",INDEX([1]data!U:U,MATCH($N698,[1]data!$A:$A,0)))</f>
        <v/>
      </c>
      <c r="BE698" s="61" t="e">
        <f>IF(COUNTIF([1]data!A:A,[1]!Table1[[#This Row],[UPC]])&lt;2,"","DUP")</f>
        <v>#VALUE!</v>
      </c>
      <c r="BF698" s="38" t="str">
        <f>IF(ISNA(MATCH($N698,data!$A:$A,0)),"",INDEX(data!W:W,MATCH($N698,data!$A:$A,0)))</f>
        <v/>
      </c>
    </row>
    <row r="699" spans="1:58">
      <c r="A699" s="35"/>
      <c r="B699" s="35"/>
      <c r="C699" s="35"/>
      <c r="D699" s="35"/>
      <c r="E699" s="67"/>
      <c r="F699" s="67"/>
      <c r="G699" s="36"/>
      <c r="H699" s="29"/>
      <c r="I699" s="78" t="str">
        <f t="shared" si="16"/>
        <v/>
      </c>
      <c r="J699" s="29"/>
      <c r="K699" s="29"/>
      <c r="L699" s="33"/>
      <c r="M699" s="33"/>
      <c r="N699" s="60"/>
      <c r="O699" s="71"/>
      <c r="P699" s="71"/>
      <c r="Q699" s="33"/>
      <c r="R699" s="31"/>
      <c r="S699" s="31"/>
      <c r="T699" s="59"/>
      <c r="U699" s="59"/>
      <c r="V699" s="59"/>
      <c r="W699" s="57">
        <f t="shared" si="17"/>
        <v>0</v>
      </c>
      <c r="X699" s="126" t="str">
        <f>IF(Table1[[#This Row],[Shipping Weight Pounds]]&gt;150,"See LTL Form","No")</f>
        <v>No</v>
      </c>
      <c r="Y699" s="28"/>
      <c r="Z699" s="33"/>
      <c r="AA699" s="34"/>
      <c r="AB699" s="30"/>
      <c r="AC699" s="30"/>
      <c r="AD699" s="32"/>
      <c r="AE699" s="32"/>
      <c r="AF699" s="2"/>
      <c r="AG699" s="2"/>
      <c r="AH699" s="2"/>
      <c r="AI699" s="2"/>
      <c r="AK699" s="73" t="str">
        <f>IF(ISNA(MATCH($N699,[1]data!$A:$A,0)),"",INDEX([1]data!S:S,MATCH($N699,[1]data!$A:$A,0)))</f>
        <v/>
      </c>
      <c r="AL699" s="73" t="str">
        <f>IF(ISNA(MATCH($N699,[1]data!$A:$A,0)),"",INDEX([1]data!V:V,MATCH($N699,[1]data!$A:$A,0)))</f>
        <v/>
      </c>
      <c r="AM699" s="38" t="str">
        <f>IF(ISNA(MATCH($N699,data!$A:$A,0)),"",INDEX(data!B:B,MATCH($N699,data!$A:$A,0)))</f>
        <v/>
      </c>
      <c r="AN699" s="38" t="str">
        <f>IF(ISNA(MATCH($N699,data!$A:$A,0)),"",INDEX(data!C:C,MATCH($N699,data!$A:$A,0)))</f>
        <v/>
      </c>
      <c r="AO699" s="38" t="str">
        <f>IF(ISNA(MATCH($N699,data!$A:$A,0)),"",INDEX(data!D:D,MATCH($N699,data!$A:$A,0)))</f>
        <v/>
      </c>
      <c r="AP699" s="38" t="str">
        <f>IF(ISNA(MATCH($N699,data!$A:$A,0)),"",INDEX(data!E:E,MATCH($N699,data!$A:$A,0)))</f>
        <v/>
      </c>
      <c r="AQ699" s="38" t="str">
        <f>IF(ISNA(MATCH($N699,data!$A:$A,0)),"",INDEX(data!F:F,MATCH($N699,data!$A:$A,0)))</f>
        <v/>
      </c>
      <c r="AR699" s="38" t="str">
        <f>IF(ISNA(MATCH($N699,data!$A:$A,0)),"",INDEX(data!G:G,MATCH($N699,data!$A:$A,0)))</f>
        <v/>
      </c>
      <c r="AS699" s="38" t="str">
        <f>IF(ISNA(MATCH($N699,data!$A:$A,0)),"",INDEX(data!H:H,MATCH($N699,data!$A:$A,0)))</f>
        <v/>
      </c>
      <c r="AT699" s="38" t="str">
        <f>IF(ISNA(MATCH($N699,data!$A:$A,0)),"",INDEX(data!I:I,MATCH($N699,data!$A:$A,0)))</f>
        <v/>
      </c>
      <c r="AU699" s="38" t="str">
        <f>IF(ISNA(MATCH($N699,[1]data!$A:$A,0)),"",INDEX([1]data!L:L,MATCH($N699,[1]data!$A:$A,0)))</f>
        <v/>
      </c>
      <c r="AV699" s="38" t="str">
        <f>IF(ISNA(MATCH($N699,[1]data!$A:$A,0)),"",INDEX([1]data!M:M,MATCH($N699,[1]data!$A:$A,0)))</f>
        <v/>
      </c>
      <c r="AW699" s="38" t="str">
        <f>IF(ISNA(MATCH($N699,data!$A:$A,0)),"",INDEX(data!J:J,MATCH($N699,data!$A:$A,0)))</f>
        <v/>
      </c>
      <c r="AX699" s="38" t="str">
        <f>IF(ISNA(MATCH($N699,data!$A:$A,0)),"",INDEX(data!K:K,MATCH($N699,data!$A:$A,0)))</f>
        <v/>
      </c>
      <c r="AY699" s="38" t="str">
        <f>IF(ISNA(MATCH($N699,data!$A:$A,0)),"",INDEX(data!O:O,MATCH($N699,data!$A:$A,0)))</f>
        <v/>
      </c>
      <c r="AZ699" s="38" t="str">
        <f>IF(ISNA(MATCH($N699,data!$A:$A,0)),"",INDEX(data!N:N,MATCH($N699,data!$A:$A,0)))</f>
        <v/>
      </c>
      <c r="BA699" s="38" t="str">
        <f>IF(ISNA(MATCH($N699,data!$A:$A,0)),"",INDEX(data!P:P,MATCH($N699,data!$A:$A,0)))</f>
        <v/>
      </c>
      <c r="BB699" s="38" t="str">
        <f>IF(ISNA(MATCH($N699,data!$A:$A,0)),"",INDEX(data!Q:Q,MATCH($N699,data!$A:$A,0)))</f>
        <v/>
      </c>
      <c r="BC699" s="38" t="str">
        <f>IF(ISNA(MATCH($N699,data!$A:$A,0)),"",INDEX(data!R:R,MATCH($N699,data!$A:$A,0)))</f>
        <v/>
      </c>
      <c r="BD699" s="38" t="str">
        <f>IF(ISNA(MATCH($N699,[1]data!$A:$A,0)),"",INDEX([1]data!U:U,MATCH($N699,[1]data!$A:$A,0)))</f>
        <v/>
      </c>
      <c r="BE699" s="61" t="e">
        <f>IF(COUNTIF([1]data!A:A,[1]!Table1[[#This Row],[UPC]])&lt;2,"","DUP")</f>
        <v>#VALUE!</v>
      </c>
      <c r="BF699" s="38" t="str">
        <f>IF(ISNA(MATCH($N699,data!$A:$A,0)),"",INDEX(data!W:W,MATCH($N699,data!$A:$A,0)))</f>
        <v/>
      </c>
    </row>
    <row r="700" spans="1:58">
      <c r="A700" s="35"/>
      <c r="B700" s="35"/>
      <c r="C700" s="35"/>
      <c r="D700" s="35"/>
      <c r="E700" s="67"/>
      <c r="F700" s="67"/>
      <c r="G700" s="36"/>
      <c r="H700" s="29"/>
      <c r="I700" s="78" t="str">
        <f t="shared" si="16"/>
        <v/>
      </c>
      <c r="J700" s="29"/>
      <c r="K700" s="29"/>
      <c r="L700" s="33"/>
      <c r="M700" s="33"/>
      <c r="N700" s="60"/>
      <c r="O700" s="71"/>
      <c r="P700" s="71"/>
      <c r="Q700" s="33"/>
      <c r="R700" s="31"/>
      <c r="S700" s="31"/>
      <c r="T700" s="59"/>
      <c r="U700" s="59"/>
      <c r="V700" s="59"/>
      <c r="W700" s="57">
        <f t="shared" si="17"/>
        <v>0</v>
      </c>
      <c r="X700" s="126" t="str">
        <f>IF(Table1[[#This Row],[Shipping Weight Pounds]]&gt;150,"See LTL Form","No")</f>
        <v>No</v>
      </c>
      <c r="Y700" s="28"/>
      <c r="Z700" s="33"/>
      <c r="AA700" s="34"/>
      <c r="AB700" s="30"/>
      <c r="AC700" s="30"/>
      <c r="AD700" s="32"/>
      <c r="AE700" s="32"/>
      <c r="AF700" s="2"/>
      <c r="AG700" s="2"/>
      <c r="AH700" s="2"/>
      <c r="AI700" s="2"/>
      <c r="AK700" s="73" t="str">
        <f>IF(ISNA(MATCH($N700,[1]data!$A:$A,0)),"",INDEX([1]data!S:S,MATCH($N700,[1]data!$A:$A,0)))</f>
        <v/>
      </c>
      <c r="AL700" s="73" t="str">
        <f>IF(ISNA(MATCH($N700,[1]data!$A:$A,0)),"",INDEX([1]data!V:V,MATCH($N700,[1]data!$A:$A,0)))</f>
        <v/>
      </c>
      <c r="AM700" s="38" t="str">
        <f>IF(ISNA(MATCH($N700,data!$A:$A,0)),"",INDEX(data!B:B,MATCH($N700,data!$A:$A,0)))</f>
        <v/>
      </c>
      <c r="AN700" s="38" t="str">
        <f>IF(ISNA(MATCH($N700,data!$A:$A,0)),"",INDEX(data!C:C,MATCH($N700,data!$A:$A,0)))</f>
        <v/>
      </c>
      <c r="AO700" s="38" t="str">
        <f>IF(ISNA(MATCH($N700,data!$A:$A,0)),"",INDEX(data!D:D,MATCH($N700,data!$A:$A,0)))</f>
        <v/>
      </c>
      <c r="AP700" s="38" t="str">
        <f>IF(ISNA(MATCH($N700,data!$A:$A,0)),"",INDEX(data!E:E,MATCH($N700,data!$A:$A,0)))</f>
        <v/>
      </c>
      <c r="AQ700" s="38" t="str">
        <f>IF(ISNA(MATCH($N700,data!$A:$A,0)),"",INDEX(data!F:F,MATCH($N700,data!$A:$A,0)))</f>
        <v/>
      </c>
      <c r="AR700" s="38" t="str">
        <f>IF(ISNA(MATCH($N700,data!$A:$A,0)),"",INDEX(data!G:G,MATCH($N700,data!$A:$A,0)))</f>
        <v/>
      </c>
      <c r="AS700" s="38" t="str">
        <f>IF(ISNA(MATCH($N700,data!$A:$A,0)),"",INDEX(data!H:H,MATCH($N700,data!$A:$A,0)))</f>
        <v/>
      </c>
      <c r="AT700" s="38" t="str">
        <f>IF(ISNA(MATCH($N700,data!$A:$A,0)),"",INDEX(data!I:I,MATCH($N700,data!$A:$A,0)))</f>
        <v/>
      </c>
      <c r="AU700" s="38" t="str">
        <f>IF(ISNA(MATCH($N700,[1]data!$A:$A,0)),"",INDEX([1]data!L:L,MATCH($N700,[1]data!$A:$A,0)))</f>
        <v/>
      </c>
      <c r="AV700" s="38" t="str">
        <f>IF(ISNA(MATCH($N700,[1]data!$A:$A,0)),"",INDEX([1]data!M:M,MATCH($N700,[1]data!$A:$A,0)))</f>
        <v/>
      </c>
      <c r="AW700" s="38" t="str">
        <f>IF(ISNA(MATCH($N700,data!$A:$A,0)),"",INDEX(data!J:J,MATCH($N700,data!$A:$A,0)))</f>
        <v/>
      </c>
      <c r="AX700" s="38" t="str">
        <f>IF(ISNA(MATCH($N700,data!$A:$A,0)),"",INDEX(data!K:K,MATCH($N700,data!$A:$A,0)))</f>
        <v/>
      </c>
      <c r="AY700" s="38" t="str">
        <f>IF(ISNA(MATCH($N700,data!$A:$A,0)),"",INDEX(data!O:O,MATCH($N700,data!$A:$A,0)))</f>
        <v/>
      </c>
      <c r="AZ700" s="38" t="str">
        <f>IF(ISNA(MATCH($N700,data!$A:$A,0)),"",INDEX(data!N:N,MATCH($N700,data!$A:$A,0)))</f>
        <v/>
      </c>
      <c r="BA700" s="38" t="str">
        <f>IF(ISNA(MATCH($N700,data!$A:$A,0)),"",INDEX(data!P:P,MATCH($N700,data!$A:$A,0)))</f>
        <v/>
      </c>
      <c r="BB700" s="38" t="str">
        <f>IF(ISNA(MATCH($N700,data!$A:$A,0)),"",INDEX(data!Q:Q,MATCH($N700,data!$A:$A,0)))</f>
        <v/>
      </c>
      <c r="BC700" s="38" t="str">
        <f>IF(ISNA(MATCH($N700,data!$A:$A,0)),"",INDEX(data!R:R,MATCH($N700,data!$A:$A,0)))</f>
        <v/>
      </c>
      <c r="BD700" s="38" t="str">
        <f>IF(ISNA(MATCH($N700,[1]data!$A:$A,0)),"",INDEX([1]data!U:U,MATCH($N700,[1]data!$A:$A,0)))</f>
        <v/>
      </c>
      <c r="BE700" s="61" t="e">
        <f>IF(COUNTIF([1]data!A:A,[1]!Table1[[#This Row],[UPC]])&lt;2,"","DUP")</f>
        <v>#VALUE!</v>
      </c>
      <c r="BF700" s="38" t="str">
        <f>IF(ISNA(MATCH($N700,data!$A:$A,0)),"",INDEX(data!W:W,MATCH($N700,data!$A:$A,0)))</f>
        <v/>
      </c>
    </row>
    <row r="701" spans="1:58">
      <c r="A701" s="35"/>
      <c r="B701" s="35"/>
      <c r="C701" s="35"/>
      <c r="D701" s="35"/>
      <c r="E701" s="67"/>
      <c r="F701" s="67"/>
      <c r="G701" s="36"/>
      <c r="H701" s="29"/>
      <c r="I701" s="78" t="str">
        <f t="shared" si="16"/>
        <v/>
      </c>
      <c r="J701" s="29"/>
      <c r="K701" s="29"/>
      <c r="L701" s="33"/>
      <c r="M701" s="33"/>
      <c r="N701" s="60"/>
      <c r="O701" s="71"/>
      <c r="P701" s="71"/>
      <c r="Q701" s="33"/>
      <c r="R701" s="31"/>
      <c r="S701" s="31"/>
      <c r="T701" s="59"/>
      <c r="U701" s="59"/>
      <c r="V701" s="59"/>
      <c r="W701" s="57">
        <f t="shared" si="17"/>
        <v>0</v>
      </c>
      <c r="X701" s="126" t="str">
        <f>IF(Table1[[#This Row],[Shipping Weight Pounds]]&gt;150,"See LTL Form","No")</f>
        <v>No</v>
      </c>
      <c r="Y701" s="28"/>
      <c r="Z701" s="33"/>
      <c r="AA701" s="34"/>
      <c r="AB701" s="30"/>
      <c r="AC701" s="30"/>
      <c r="AD701" s="32"/>
      <c r="AE701" s="32"/>
      <c r="AF701" s="2"/>
      <c r="AG701" s="2"/>
      <c r="AH701" s="2"/>
      <c r="AI701" s="2"/>
      <c r="AK701" s="73" t="str">
        <f>IF(ISNA(MATCH($N701,[1]data!$A:$A,0)),"",INDEX([1]data!S:S,MATCH($N701,[1]data!$A:$A,0)))</f>
        <v/>
      </c>
      <c r="AL701" s="73" t="str">
        <f>IF(ISNA(MATCH($N701,[1]data!$A:$A,0)),"",INDEX([1]data!V:V,MATCH($N701,[1]data!$A:$A,0)))</f>
        <v/>
      </c>
      <c r="AM701" s="38" t="str">
        <f>IF(ISNA(MATCH($N701,data!$A:$A,0)),"",INDEX(data!B:B,MATCH($N701,data!$A:$A,0)))</f>
        <v/>
      </c>
      <c r="AN701" s="38" t="str">
        <f>IF(ISNA(MATCH($N701,data!$A:$A,0)),"",INDEX(data!C:C,MATCH($N701,data!$A:$A,0)))</f>
        <v/>
      </c>
      <c r="AO701" s="38" t="str">
        <f>IF(ISNA(MATCH($N701,data!$A:$A,0)),"",INDEX(data!D:D,MATCH($N701,data!$A:$A,0)))</f>
        <v/>
      </c>
      <c r="AP701" s="38" t="str">
        <f>IF(ISNA(MATCH($N701,data!$A:$A,0)),"",INDEX(data!E:E,MATCH($N701,data!$A:$A,0)))</f>
        <v/>
      </c>
      <c r="AQ701" s="38" t="str">
        <f>IF(ISNA(MATCH($N701,data!$A:$A,0)),"",INDEX(data!F:F,MATCH($N701,data!$A:$A,0)))</f>
        <v/>
      </c>
      <c r="AR701" s="38" t="str">
        <f>IF(ISNA(MATCH($N701,data!$A:$A,0)),"",INDEX(data!G:G,MATCH($N701,data!$A:$A,0)))</f>
        <v/>
      </c>
      <c r="AS701" s="38" t="str">
        <f>IF(ISNA(MATCH($N701,data!$A:$A,0)),"",INDEX(data!H:H,MATCH($N701,data!$A:$A,0)))</f>
        <v/>
      </c>
      <c r="AT701" s="38" t="str">
        <f>IF(ISNA(MATCH($N701,data!$A:$A,0)),"",INDEX(data!I:I,MATCH($N701,data!$A:$A,0)))</f>
        <v/>
      </c>
      <c r="AU701" s="38" t="str">
        <f>IF(ISNA(MATCH($N701,[1]data!$A:$A,0)),"",INDEX([1]data!L:L,MATCH($N701,[1]data!$A:$A,0)))</f>
        <v/>
      </c>
      <c r="AV701" s="38" t="str">
        <f>IF(ISNA(MATCH($N701,[1]data!$A:$A,0)),"",INDEX([1]data!M:M,MATCH($N701,[1]data!$A:$A,0)))</f>
        <v/>
      </c>
      <c r="AW701" s="38" t="str">
        <f>IF(ISNA(MATCH($N701,data!$A:$A,0)),"",INDEX(data!J:J,MATCH($N701,data!$A:$A,0)))</f>
        <v/>
      </c>
      <c r="AX701" s="38" t="str">
        <f>IF(ISNA(MATCH($N701,data!$A:$A,0)),"",INDEX(data!K:K,MATCH($N701,data!$A:$A,0)))</f>
        <v/>
      </c>
      <c r="AY701" s="38" t="str">
        <f>IF(ISNA(MATCH($N701,data!$A:$A,0)),"",INDEX(data!O:O,MATCH($N701,data!$A:$A,0)))</f>
        <v/>
      </c>
      <c r="AZ701" s="38" t="str">
        <f>IF(ISNA(MATCH($N701,data!$A:$A,0)),"",INDEX(data!N:N,MATCH($N701,data!$A:$A,0)))</f>
        <v/>
      </c>
      <c r="BA701" s="38" t="str">
        <f>IF(ISNA(MATCH($N701,data!$A:$A,0)),"",INDEX(data!P:P,MATCH($N701,data!$A:$A,0)))</f>
        <v/>
      </c>
      <c r="BB701" s="38" t="str">
        <f>IF(ISNA(MATCH($N701,data!$A:$A,0)),"",INDEX(data!Q:Q,MATCH($N701,data!$A:$A,0)))</f>
        <v/>
      </c>
      <c r="BC701" s="38" t="str">
        <f>IF(ISNA(MATCH($N701,data!$A:$A,0)),"",INDEX(data!R:R,MATCH($N701,data!$A:$A,0)))</f>
        <v/>
      </c>
      <c r="BD701" s="38" t="str">
        <f>IF(ISNA(MATCH($N701,[1]data!$A:$A,0)),"",INDEX([1]data!U:U,MATCH($N701,[1]data!$A:$A,0)))</f>
        <v/>
      </c>
      <c r="BE701" s="61" t="e">
        <f>IF(COUNTIF([1]data!A:A,[1]!Table1[[#This Row],[UPC]])&lt;2,"","DUP")</f>
        <v>#VALUE!</v>
      </c>
      <c r="BF701" s="38" t="str">
        <f>IF(ISNA(MATCH($N701,data!$A:$A,0)),"",INDEX(data!W:W,MATCH($N701,data!$A:$A,0)))</f>
        <v/>
      </c>
    </row>
    <row r="702" spans="1:58">
      <c r="A702" s="35"/>
      <c r="B702" s="35"/>
      <c r="C702" s="35"/>
      <c r="D702" s="35"/>
      <c r="E702" s="67"/>
      <c r="F702" s="67"/>
      <c r="G702" s="36"/>
      <c r="H702" s="29"/>
      <c r="I702" s="78" t="str">
        <f t="shared" si="16"/>
        <v/>
      </c>
      <c r="J702" s="29"/>
      <c r="K702" s="29"/>
      <c r="L702" s="33"/>
      <c r="M702" s="33"/>
      <c r="N702" s="60"/>
      <c r="O702" s="71"/>
      <c r="P702" s="71"/>
      <c r="Q702" s="33"/>
      <c r="R702" s="31"/>
      <c r="S702" s="31"/>
      <c r="T702" s="59"/>
      <c r="U702" s="59"/>
      <c r="V702" s="59"/>
      <c r="W702" s="57">
        <f t="shared" si="17"/>
        <v>0</v>
      </c>
      <c r="X702" s="126" t="str">
        <f>IF(Table1[[#This Row],[Shipping Weight Pounds]]&gt;150,"See LTL Form","No")</f>
        <v>No</v>
      </c>
      <c r="Y702" s="28"/>
      <c r="Z702" s="33"/>
      <c r="AA702" s="34"/>
      <c r="AB702" s="30"/>
      <c r="AC702" s="30"/>
      <c r="AD702" s="32"/>
      <c r="AE702" s="32"/>
      <c r="AF702" s="2"/>
      <c r="AG702" s="2"/>
      <c r="AH702" s="2"/>
      <c r="AI702" s="2"/>
      <c r="AK702" s="73" t="str">
        <f>IF(ISNA(MATCH($N702,[1]data!$A:$A,0)),"",INDEX([1]data!S:S,MATCH($N702,[1]data!$A:$A,0)))</f>
        <v/>
      </c>
      <c r="AL702" s="73" t="str">
        <f>IF(ISNA(MATCH($N702,[1]data!$A:$A,0)),"",INDEX([1]data!V:V,MATCH($N702,[1]data!$A:$A,0)))</f>
        <v/>
      </c>
      <c r="AM702" s="38" t="str">
        <f>IF(ISNA(MATCH($N702,data!$A:$A,0)),"",INDEX(data!B:B,MATCH($N702,data!$A:$A,0)))</f>
        <v/>
      </c>
      <c r="AN702" s="38" t="str">
        <f>IF(ISNA(MATCH($N702,data!$A:$A,0)),"",INDEX(data!C:C,MATCH($N702,data!$A:$A,0)))</f>
        <v/>
      </c>
      <c r="AO702" s="38" t="str">
        <f>IF(ISNA(MATCH($N702,data!$A:$A,0)),"",INDEX(data!D:D,MATCH($N702,data!$A:$A,0)))</f>
        <v/>
      </c>
      <c r="AP702" s="38" t="str">
        <f>IF(ISNA(MATCH($N702,data!$A:$A,0)),"",INDEX(data!E:E,MATCH($N702,data!$A:$A,0)))</f>
        <v/>
      </c>
      <c r="AQ702" s="38" t="str">
        <f>IF(ISNA(MATCH($N702,data!$A:$A,0)),"",INDEX(data!F:F,MATCH($N702,data!$A:$A,0)))</f>
        <v/>
      </c>
      <c r="AR702" s="38" t="str">
        <f>IF(ISNA(MATCH($N702,data!$A:$A,0)),"",INDEX(data!G:G,MATCH($N702,data!$A:$A,0)))</f>
        <v/>
      </c>
      <c r="AS702" s="38" t="str">
        <f>IF(ISNA(MATCH($N702,data!$A:$A,0)),"",INDEX(data!H:H,MATCH($N702,data!$A:$A,0)))</f>
        <v/>
      </c>
      <c r="AT702" s="38" t="str">
        <f>IF(ISNA(MATCH($N702,data!$A:$A,0)),"",INDEX(data!I:I,MATCH($N702,data!$A:$A,0)))</f>
        <v/>
      </c>
      <c r="AU702" s="38" t="str">
        <f>IF(ISNA(MATCH($N702,[1]data!$A:$A,0)),"",INDEX([1]data!L:L,MATCH($N702,[1]data!$A:$A,0)))</f>
        <v/>
      </c>
      <c r="AV702" s="38" t="str">
        <f>IF(ISNA(MATCH($N702,[1]data!$A:$A,0)),"",INDEX([1]data!M:M,MATCH($N702,[1]data!$A:$A,0)))</f>
        <v/>
      </c>
      <c r="AW702" s="38" t="str">
        <f>IF(ISNA(MATCH($N702,data!$A:$A,0)),"",INDEX(data!J:J,MATCH($N702,data!$A:$A,0)))</f>
        <v/>
      </c>
      <c r="AX702" s="38" t="str">
        <f>IF(ISNA(MATCH($N702,data!$A:$A,0)),"",INDEX(data!K:K,MATCH($N702,data!$A:$A,0)))</f>
        <v/>
      </c>
      <c r="AY702" s="38" t="str">
        <f>IF(ISNA(MATCH($N702,data!$A:$A,0)),"",INDEX(data!O:O,MATCH($N702,data!$A:$A,0)))</f>
        <v/>
      </c>
      <c r="AZ702" s="38" t="str">
        <f>IF(ISNA(MATCH($N702,data!$A:$A,0)),"",INDEX(data!N:N,MATCH($N702,data!$A:$A,0)))</f>
        <v/>
      </c>
      <c r="BA702" s="38" t="str">
        <f>IF(ISNA(MATCH($N702,data!$A:$A,0)),"",INDEX(data!P:P,MATCH($N702,data!$A:$A,0)))</f>
        <v/>
      </c>
      <c r="BB702" s="38" t="str">
        <f>IF(ISNA(MATCH($N702,data!$A:$A,0)),"",INDEX(data!Q:Q,MATCH($N702,data!$A:$A,0)))</f>
        <v/>
      </c>
      <c r="BC702" s="38" t="str">
        <f>IF(ISNA(MATCH($N702,data!$A:$A,0)),"",INDEX(data!R:R,MATCH($N702,data!$A:$A,0)))</f>
        <v/>
      </c>
      <c r="BD702" s="38" t="str">
        <f>IF(ISNA(MATCH($N702,[1]data!$A:$A,0)),"",INDEX([1]data!U:U,MATCH($N702,[1]data!$A:$A,0)))</f>
        <v/>
      </c>
      <c r="BE702" s="61" t="e">
        <f>IF(COUNTIF([1]data!A:A,[1]!Table1[[#This Row],[UPC]])&lt;2,"","DUP")</f>
        <v>#VALUE!</v>
      </c>
      <c r="BF702" s="38" t="str">
        <f>IF(ISNA(MATCH($N702,data!$A:$A,0)),"",INDEX(data!W:W,MATCH($N702,data!$A:$A,0)))</f>
        <v/>
      </c>
    </row>
    <row r="703" spans="1:58">
      <c r="A703" s="35"/>
      <c r="B703" s="35"/>
      <c r="C703" s="35"/>
      <c r="D703" s="35"/>
      <c r="E703" s="67"/>
      <c r="F703" s="67"/>
      <c r="G703" s="36"/>
      <c r="H703" s="29"/>
      <c r="I703" s="78" t="str">
        <f t="shared" si="16"/>
        <v/>
      </c>
      <c r="J703" s="29"/>
      <c r="K703" s="29"/>
      <c r="L703" s="33"/>
      <c r="M703" s="33"/>
      <c r="N703" s="60"/>
      <c r="O703" s="71"/>
      <c r="P703" s="71"/>
      <c r="Q703" s="33"/>
      <c r="R703" s="31"/>
      <c r="S703" s="31"/>
      <c r="T703" s="59"/>
      <c r="U703" s="59"/>
      <c r="V703" s="59"/>
      <c r="W703" s="57">
        <f t="shared" si="17"/>
        <v>0</v>
      </c>
      <c r="X703" s="126" t="str">
        <f>IF(Table1[[#This Row],[Shipping Weight Pounds]]&gt;150,"See LTL Form","No")</f>
        <v>No</v>
      </c>
      <c r="Y703" s="28"/>
      <c r="Z703" s="33"/>
      <c r="AA703" s="34"/>
      <c r="AB703" s="30"/>
      <c r="AC703" s="30"/>
      <c r="AD703" s="32"/>
      <c r="AE703" s="32"/>
      <c r="AF703" s="2"/>
      <c r="AG703" s="2"/>
      <c r="AH703" s="2"/>
      <c r="AI703" s="2"/>
      <c r="AK703" s="73" t="str">
        <f>IF(ISNA(MATCH($N703,[1]data!$A:$A,0)),"",INDEX([1]data!S:S,MATCH($N703,[1]data!$A:$A,0)))</f>
        <v/>
      </c>
      <c r="AL703" s="73" t="str">
        <f>IF(ISNA(MATCH($N703,[1]data!$A:$A,0)),"",INDEX([1]data!V:V,MATCH($N703,[1]data!$A:$A,0)))</f>
        <v/>
      </c>
      <c r="AM703" s="38" t="str">
        <f>IF(ISNA(MATCH($N703,data!$A:$A,0)),"",INDEX(data!B:B,MATCH($N703,data!$A:$A,0)))</f>
        <v/>
      </c>
      <c r="AN703" s="38" t="str">
        <f>IF(ISNA(MATCH($N703,data!$A:$A,0)),"",INDEX(data!C:C,MATCH($N703,data!$A:$A,0)))</f>
        <v/>
      </c>
      <c r="AO703" s="38" t="str">
        <f>IF(ISNA(MATCH($N703,data!$A:$A,0)),"",INDEX(data!D:D,MATCH($N703,data!$A:$A,0)))</f>
        <v/>
      </c>
      <c r="AP703" s="38" t="str">
        <f>IF(ISNA(MATCH($N703,data!$A:$A,0)),"",INDEX(data!E:E,MATCH($N703,data!$A:$A,0)))</f>
        <v/>
      </c>
      <c r="AQ703" s="38" t="str">
        <f>IF(ISNA(MATCH($N703,data!$A:$A,0)),"",INDEX(data!F:F,MATCH($N703,data!$A:$A,0)))</f>
        <v/>
      </c>
      <c r="AR703" s="38" t="str">
        <f>IF(ISNA(MATCH($N703,data!$A:$A,0)),"",INDEX(data!G:G,MATCH($N703,data!$A:$A,0)))</f>
        <v/>
      </c>
      <c r="AS703" s="38" t="str">
        <f>IF(ISNA(MATCH($N703,data!$A:$A,0)),"",INDEX(data!H:H,MATCH($N703,data!$A:$A,0)))</f>
        <v/>
      </c>
      <c r="AT703" s="38" t="str">
        <f>IF(ISNA(MATCH($N703,data!$A:$A,0)),"",INDEX(data!I:I,MATCH($N703,data!$A:$A,0)))</f>
        <v/>
      </c>
      <c r="AU703" s="38" t="str">
        <f>IF(ISNA(MATCH($N703,[1]data!$A:$A,0)),"",INDEX([1]data!L:L,MATCH($N703,[1]data!$A:$A,0)))</f>
        <v/>
      </c>
      <c r="AV703" s="38" t="str">
        <f>IF(ISNA(MATCH($N703,[1]data!$A:$A,0)),"",INDEX([1]data!M:M,MATCH($N703,[1]data!$A:$A,0)))</f>
        <v/>
      </c>
      <c r="AW703" s="38" t="str">
        <f>IF(ISNA(MATCH($N703,data!$A:$A,0)),"",INDEX(data!J:J,MATCH($N703,data!$A:$A,0)))</f>
        <v/>
      </c>
      <c r="AX703" s="38" t="str">
        <f>IF(ISNA(MATCH($N703,data!$A:$A,0)),"",INDEX(data!K:K,MATCH($N703,data!$A:$A,0)))</f>
        <v/>
      </c>
      <c r="AY703" s="38" t="str">
        <f>IF(ISNA(MATCH($N703,data!$A:$A,0)),"",INDEX(data!O:O,MATCH($N703,data!$A:$A,0)))</f>
        <v/>
      </c>
      <c r="AZ703" s="38" t="str">
        <f>IF(ISNA(MATCH($N703,data!$A:$A,0)),"",INDEX(data!N:N,MATCH($N703,data!$A:$A,0)))</f>
        <v/>
      </c>
      <c r="BA703" s="38" t="str">
        <f>IF(ISNA(MATCH($N703,data!$A:$A,0)),"",INDEX(data!P:P,MATCH($N703,data!$A:$A,0)))</f>
        <v/>
      </c>
      <c r="BB703" s="38" t="str">
        <f>IF(ISNA(MATCH($N703,data!$A:$A,0)),"",INDEX(data!Q:Q,MATCH($N703,data!$A:$A,0)))</f>
        <v/>
      </c>
      <c r="BC703" s="38" t="str">
        <f>IF(ISNA(MATCH($N703,data!$A:$A,0)),"",INDEX(data!R:R,MATCH($N703,data!$A:$A,0)))</f>
        <v/>
      </c>
      <c r="BD703" s="38" t="str">
        <f>IF(ISNA(MATCH($N703,[1]data!$A:$A,0)),"",INDEX([1]data!U:U,MATCH($N703,[1]data!$A:$A,0)))</f>
        <v/>
      </c>
      <c r="BE703" s="61" t="e">
        <f>IF(COUNTIF([1]data!A:A,[1]!Table1[[#This Row],[UPC]])&lt;2,"","DUP")</f>
        <v>#VALUE!</v>
      </c>
      <c r="BF703" s="38" t="str">
        <f>IF(ISNA(MATCH($N703,data!$A:$A,0)),"",INDEX(data!W:W,MATCH($N703,data!$A:$A,0)))</f>
        <v/>
      </c>
    </row>
    <row r="704" spans="1:58">
      <c r="A704" s="35"/>
      <c r="B704" s="35"/>
      <c r="C704" s="35"/>
      <c r="D704" s="35"/>
      <c r="E704" s="67"/>
      <c r="F704" s="67"/>
      <c r="G704" s="36"/>
      <c r="H704" s="29"/>
      <c r="I704" s="78" t="str">
        <f t="shared" si="16"/>
        <v/>
      </c>
      <c r="J704" s="29"/>
      <c r="K704" s="29"/>
      <c r="L704" s="33"/>
      <c r="M704" s="33"/>
      <c r="N704" s="60"/>
      <c r="O704" s="71"/>
      <c r="P704" s="71"/>
      <c r="Q704" s="33"/>
      <c r="R704" s="31"/>
      <c r="S704" s="31"/>
      <c r="T704" s="59"/>
      <c r="U704" s="59"/>
      <c r="V704" s="59"/>
      <c r="W704" s="57">
        <f t="shared" si="17"/>
        <v>0</v>
      </c>
      <c r="X704" s="126" t="str">
        <f>IF(Table1[[#This Row],[Shipping Weight Pounds]]&gt;150,"See LTL Form","No")</f>
        <v>No</v>
      </c>
      <c r="Y704" s="28"/>
      <c r="Z704" s="33"/>
      <c r="AA704" s="34"/>
      <c r="AB704" s="30"/>
      <c r="AC704" s="30"/>
      <c r="AD704" s="32"/>
      <c r="AE704" s="32"/>
      <c r="AF704" s="2"/>
      <c r="AG704" s="2"/>
      <c r="AH704" s="2"/>
      <c r="AI704" s="2"/>
      <c r="AK704" s="73" t="str">
        <f>IF(ISNA(MATCH($N704,[1]data!$A:$A,0)),"",INDEX([1]data!S:S,MATCH($N704,[1]data!$A:$A,0)))</f>
        <v/>
      </c>
      <c r="AL704" s="73" t="str">
        <f>IF(ISNA(MATCH($N704,[1]data!$A:$A,0)),"",INDEX([1]data!V:V,MATCH($N704,[1]data!$A:$A,0)))</f>
        <v/>
      </c>
      <c r="AM704" s="38" t="str">
        <f>IF(ISNA(MATCH($N704,data!$A:$A,0)),"",INDEX(data!B:B,MATCH($N704,data!$A:$A,0)))</f>
        <v/>
      </c>
      <c r="AN704" s="38" t="str">
        <f>IF(ISNA(MATCH($N704,data!$A:$A,0)),"",INDEX(data!C:C,MATCH($N704,data!$A:$A,0)))</f>
        <v/>
      </c>
      <c r="AO704" s="38" t="str">
        <f>IF(ISNA(MATCH($N704,data!$A:$A,0)),"",INDEX(data!D:D,MATCH($N704,data!$A:$A,0)))</f>
        <v/>
      </c>
      <c r="AP704" s="38" t="str">
        <f>IF(ISNA(MATCH($N704,data!$A:$A,0)),"",INDEX(data!E:E,MATCH($N704,data!$A:$A,0)))</f>
        <v/>
      </c>
      <c r="AQ704" s="38" t="str">
        <f>IF(ISNA(MATCH($N704,data!$A:$A,0)),"",INDEX(data!F:F,MATCH($N704,data!$A:$A,0)))</f>
        <v/>
      </c>
      <c r="AR704" s="38" t="str">
        <f>IF(ISNA(MATCH($N704,data!$A:$A,0)),"",INDEX(data!G:G,MATCH($N704,data!$A:$A,0)))</f>
        <v/>
      </c>
      <c r="AS704" s="38" t="str">
        <f>IF(ISNA(MATCH($N704,data!$A:$A,0)),"",INDEX(data!H:H,MATCH($N704,data!$A:$A,0)))</f>
        <v/>
      </c>
      <c r="AT704" s="38" t="str">
        <f>IF(ISNA(MATCH($N704,data!$A:$A,0)),"",INDEX(data!I:I,MATCH($N704,data!$A:$A,0)))</f>
        <v/>
      </c>
      <c r="AU704" s="38" t="str">
        <f>IF(ISNA(MATCH($N704,[1]data!$A:$A,0)),"",INDEX([1]data!L:L,MATCH($N704,[1]data!$A:$A,0)))</f>
        <v/>
      </c>
      <c r="AV704" s="38" t="str">
        <f>IF(ISNA(MATCH($N704,[1]data!$A:$A,0)),"",INDEX([1]data!M:M,MATCH($N704,[1]data!$A:$A,0)))</f>
        <v/>
      </c>
      <c r="AW704" s="38" t="str">
        <f>IF(ISNA(MATCH($N704,data!$A:$A,0)),"",INDEX(data!J:J,MATCH($N704,data!$A:$A,0)))</f>
        <v/>
      </c>
      <c r="AX704" s="38" t="str">
        <f>IF(ISNA(MATCH($N704,data!$A:$A,0)),"",INDEX(data!K:K,MATCH($N704,data!$A:$A,0)))</f>
        <v/>
      </c>
      <c r="AY704" s="38" t="str">
        <f>IF(ISNA(MATCH($N704,data!$A:$A,0)),"",INDEX(data!O:O,MATCH($N704,data!$A:$A,0)))</f>
        <v/>
      </c>
      <c r="AZ704" s="38" t="str">
        <f>IF(ISNA(MATCH($N704,data!$A:$A,0)),"",INDEX(data!N:N,MATCH($N704,data!$A:$A,0)))</f>
        <v/>
      </c>
      <c r="BA704" s="38" t="str">
        <f>IF(ISNA(MATCH($N704,data!$A:$A,0)),"",INDEX(data!P:P,MATCH($N704,data!$A:$A,0)))</f>
        <v/>
      </c>
      <c r="BB704" s="38" t="str">
        <f>IF(ISNA(MATCH($N704,data!$A:$A,0)),"",INDEX(data!Q:Q,MATCH($N704,data!$A:$A,0)))</f>
        <v/>
      </c>
      <c r="BC704" s="38" t="str">
        <f>IF(ISNA(MATCH($N704,data!$A:$A,0)),"",INDEX(data!R:R,MATCH($N704,data!$A:$A,0)))</f>
        <v/>
      </c>
      <c r="BD704" s="38" t="str">
        <f>IF(ISNA(MATCH($N704,[1]data!$A:$A,0)),"",INDEX([1]data!U:U,MATCH($N704,[1]data!$A:$A,0)))</f>
        <v/>
      </c>
      <c r="BE704" s="61" t="e">
        <f>IF(COUNTIF([1]data!A:A,[1]!Table1[[#This Row],[UPC]])&lt;2,"","DUP")</f>
        <v>#VALUE!</v>
      </c>
      <c r="BF704" s="38" t="str">
        <f>IF(ISNA(MATCH($N704,data!$A:$A,0)),"",INDEX(data!W:W,MATCH($N704,data!$A:$A,0)))</f>
        <v/>
      </c>
    </row>
    <row r="705" spans="1:58">
      <c r="A705" s="35"/>
      <c r="B705" s="35"/>
      <c r="C705" s="35"/>
      <c r="D705" s="35"/>
      <c r="E705" s="67"/>
      <c r="F705" s="67"/>
      <c r="G705" s="36"/>
      <c r="H705" s="29"/>
      <c r="I705" s="78" t="str">
        <f t="shared" si="16"/>
        <v/>
      </c>
      <c r="J705" s="29"/>
      <c r="K705" s="29"/>
      <c r="L705" s="33"/>
      <c r="M705" s="33"/>
      <c r="N705" s="60"/>
      <c r="O705" s="71"/>
      <c r="P705" s="71"/>
      <c r="Q705" s="33"/>
      <c r="R705" s="31"/>
      <c r="S705" s="31"/>
      <c r="T705" s="59"/>
      <c r="U705" s="59"/>
      <c r="V705" s="59"/>
      <c r="W705" s="57">
        <f t="shared" si="17"/>
        <v>0</v>
      </c>
      <c r="X705" s="126" t="str">
        <f>IF(Table1[[#This Row],[Shipping Weight Pounds]]&gt;150,"See LTL Form","No")</f>
        <v>No</v>
      </c>
      <c r="Y705" s="28"/>
      <c r="Z705" s="33"/>
      <c r="AA705" s="34"/>
      <c r="AB705" s="30"/>
      <c r="AC705" s="30"/>
      <c r="AD705" s="32"/>
      <c r="AE705" s="32"/>
      <c r="AF705" s="2"/>
      <c r="AG705" s="2"/>
      <c r="AH705" s="2"/>
      <c r="AI705" s="2"/>
      <c r="AK705" s="73" t="str">
        <f>IF(ISNA(MATCH($N705,[1]data!$A:$A,0)),"",INDEX([1]data!S:S,MATCH($N705,[1]data!$A:$A,0)))</f>
        <v/>
      </c>
      <c r="AL705" s="73" t="str">
        <f>IF(ISNA(MATCH($N705,[1]data!$A:$A,0)),"",INDEX([1]data!V:V,MATCH($N705,[1]data!$A:$A,0)))</f>
        <v/>
      </c>
      <c r="AM705" s="38" t="str">
        <f>IF(ISNA(MATCH($N705,data!$A:$A,0)),"",INDEX(data!B:B,MATCH($N705,data!$A:$A,0)))</f>
        <v/>
      </c>
      <c r="AN705" s="38" t="str">
        <f>IF(ISNA(MATCH($N705,data!$A:$A,0)),"",INDEX(data!C:C,MATCH($N705,data!$A:$A,0)))</f>
        <v/>
      </c>
      <c r="AO705" s="38" t="str">
        <f>IF(ISNA(MATCH($N705,data!$A:$A,0)),"",INDEX(data!D:D,MATCH($N705,data!$A:$A,0)))</f>
        <v/>
      </c>
      <c r="AP705" s="38" t="str">
        <f>IF(ISNA(MATCH($N705,data!$A:$A,0)),"",INDEX(data!E:E,MATCH($N705,data!$A:$A,0)))</f>
        <v/>
      </c>
      <c r="AQ705" s="38" t="str">
        <f>IF(ISNA(MATCH($N705,data!$A:$A,0)),"",INDEX(data!F:F,MATCH($N705,data!$A:$A,0)))</f>
        <v/>
      </c>
      <c r="AR705" s="38" t="str">
        <f>IF(ISNA(MATCH($N705,data!$A:$A,0)),"",INDEX(data!G:G,MATCH($N705,data!$A:$A,0)))</f>
        <v/>
      </c>
      <c r="AS705" s="38" t="str">
        <f>IF(ISNA(MATCH($N705,data!$A:$A,0)),"",INDEX(data!H:H,MATCH($N705,data!$A:$A,0)))</f>
        <v/>
      </c>
      <c r="AT705" s="38" t="str">
        <f>IF(ISNA(MATCH($N705,data!$A:$A,0)),"",INDEX(data!I:I,MATCH($N705,data!$A:$A,0)))</f>
        <v/>
      </c>
      <c r="AU705" s="38" t="str">
        <f>IF(ISNA(MATCH($N705,[1]data!$A:$A,0)),"",INDEX([1]data!L:L,MATCH($N705,[1]data!$A:$A,0)))</f>
        <v/>
      </c>
      <c r="AV705" s="38" t="str">
        <f>IF(ISNA(MATCH($N705,[1]data!$A:$A,0)),"",INDEX([1]data!M:M,MATCH($N705,[1]data!$A:$A,0)))</f>
        <v/>
      </c>
      <c r="AW705" s="38" t="str">
        <f>IF(ISNA(MATCH($N705,data!$A:$A,0)),"",INDEX(data!J:J,MATCH($N705,data!$A:$A,0)))</f>
        <v/>
      </c>
      <c r="AX705" s="38" t="str">
        <f>IF(ISNA(MATCH($N705,data!$A:$A,0)),"",INDEX(data!K:K,MATCH($N705,data!$A:$A,0)))</f>
        <v/>
      </c>
      <c r="AY705" s="38" t="str">
        <f>IF(ISNA(MATCH($N705,data!$A:$A,0)),"",INDEX(data!O:O,MATCH($N705,data!$A:$A,0)))</f>
        <v/>
      </c>
      <c r="AZ705" s="38" t="str">
        <f>IF(ISNA(MATCH($N705,data!$A:$A,0)),"",INDEX(data!N:N,MATCH($N705,data!$A:$A,0)))</f>
        <v/>
      </c>
      <c r="BA705" s="38" t="str">
        <f>IF(ISNA(MATCH($N705,data!$A:$A,0)),"",INDEX(data!P:P,MATCH($N705,data!$A:$A,0)))</f>
        <v/>
      </c>
      <c r="BB705" s="38" t="str">
        <f>IF(ISNA(MATCH($N705,data!$A:$A,0)),"",INDEX(data!Q:Q,MATCH($N705,data!$A:$A,0)))</f>
        <v/>
      </c>
      <c r="BC705" s="38" t="str">
        <f>IF(ISNA(MATCH($N705,data!$A:$A,0)),"",INDEX(data!R:R,MATCH($N705,data!$A:$A,0)))</f>
        <v/>
      </c>
      <c r="BD705" s="38" t="str">
        <f>IF(ISNA(MATCH($N705,[1]data!$A:$A,0)),"",INDEX([1]data!U:U,MATCH($N705,[1]data!$A:$A,0)))</f>
        <v/>
      </c>
      <c r="BE705" s="61" t="e">
        <f>IF(COUNTIF([1]data!A:A,[1]!Table1[[#This Row],[UPC]])&lt;2,"","DUP")</f>
        <v>#VALUE!</v>
      </c>
      <c r="BF705" s="38" t="str">
        <f>IF(ISNA(MATCH($N705,data!$A:$A,0)),"",INDEX(data!W:W,MATCH($N705,data!$A:$A,0)))</f>
        <v/>
      </c>
    </row>
    <row r="706" spans="1:58">
      <c r="A706" s="35"/>
      <c r="B706" s="35"/>
      <c r="C706" s="35"/>
      <c r="D706" s="35"/>
      <c r="E706" s="67"/>
      <c r="F706" s="67"/>
      <c r="G706" s="36"/>
      <c r="H706" s="29"/>
      <c r="I706" s="78" t="str">
        <f t="shared" si="16"/>
        <v/>
      </c>
      <c r="J706" s="29"/>
      <c r="K706" s="29"/>
      <c r="L706" s="33"/>
      <c r="M706" s="33"/>
      <c r="N706" s="60"/>
      <c r="O706" s="71"/>
      <c r="P706" s="71"/>
      <c r="Q706" s="33"/>
      <c r="R706" s="31"/>
      <c r="S706" s="31"/>
      <c r="T706" s="59"/>
      <c r="U706" s="59"/>
      <c r="V706" s="59"/>
      <c r="W706" s="57">
        <f t="shared" si="17"/>
        <v>0</v>
      </c>
      <c r="X706" s="126" t="str">
        <f>IF(Table1[[#This Row],[Shipping Weight Pounds]]&gt;150,"See LTL Form","No")</f>
        <v>No</v>
      </c>
      <c r="Y706" s="28"/>
      <c r="Z706" s="33"/>
      <c r="AA706" s="34"/>
      <c r="AB706" s="30"/>
      <c r="AC706" s="30"/>
      <c r="AD706" s="32"/>
      <c r="AE706" s="32"/>
      <c r="AF706" s="2"/>
      <c r="AG706" s="2"/>
      <c r="AH706" s="2"/>
      <c r="AI706" s="2"/>
      <c r="AK706" s="73" t="str">
        <f>IF(ISNA(MATCH($N706,[1]data!$A:$A,0)),"",INDEX([1]data!S:S,MATCH($N706,[1]data!$A:$A,0)))</f>
        <v/>
      </c>
      <c r="AL706" s="73" t="str">
        <f>IF(ISNA(MATCH($N706,[1]data!$A:$A,0)),"",INDEX([1]data!V:V,MATCH($N706,[1]data!$A:$A,0)))</f>
        <v/>
      </c>
      <c r="AM706" s="38" t="str">
        <f>IF(ISNA(MATCH($N706,data!$A:$A,0)),"",INDEX(data!B:B,MATCH($N706,data!$A:$A,0)))</f>
        <v/>
      </c>
      <c r="AN706" s="38" t="str">
        <f>IF(ISNA(MATCH($N706,data!$A:$A,0)),"",INDEX(data!C:C,MATCH($N706,data!$A:$A,0)))</f>
        <v/>
      </c>
      <c r="AO706" s="38" t="str">
        <f>IF(ISNA(MATCH($N706,data!$A:$A,0)),"",INDEX(data!D:D,MATCH($N706,data!$A:$A,0)))</f>
        <v/>
      </c>
      <c r="AP706" s="38" t="str">
        <f>IF(ISNA(MATCH($N706,data!$A:$A,0)),"",INDEX(data!E:E,MATCH($N706,data!$A:$A,0)))</f>
        <v/>
      </c>
      <c r="AQ706" s="38" t="str">
        <f>IF(ISNA(MATCH($N706,data!$A:$A,0)),"",INDEX(data!F:F,MATCH($N706,data!$A:$A,0)))</f>
        <v/>
      </c>
      <c r="AR706" s="38" t="str">
        <f>IF(ISNA(MATCH($N706,data!$A:$A,0)),"",INDEX(data!G:G,MATCH($N706,data!$A:$A,0)))</f>
        <v/>
      </c>
      <c r="AS706" s="38" t="str">
        <f>IF(ISNA(MATCH($N706,data!$A:$A,0)),"",INDEX(data!H:H,MATCH($N706,data!$A:$A,0)))</f>
        <v/>
      </c>
      <c r="AT706" s="38" t="str">
        <f>IF(ISNA(MATCH($N706,data!$A:$A,0)),"",INDEX(data!I:I,MATCH($N706,data!$A:$A,0)))</f>
        <v/>
      </c>
      <c r="AU706" s="38" t="str">
        <f>IF(ISNA(MATCH($N706,[1]data!$A:$A,0)),"",INDEX([1]data!L:L,MATCH($N706,[1]data!$A:$A,0)))</f>
        <v/>
      </c>
      <c r="AV706" s="38" t="str">
        <f>IF(ISNA(MATCH($N706,[1]data!$A:$A,0)),"",INDEX([1]data!M:M,MATCH($N706,[1]data!$A:$A,0)))</f>
        <v/>
      </c>
      <c r="AW706" s="38" t="str">
        <f>IF(ISNA(MATCH($N706,data!$A:$A,0)),"",INDEX(data!J:J,MATCH($N706,data!$A:$A,0)))</f>
        <v/>
      </c>
      <c r="AX706" s="38" t="str">
        <f>IF(ISNA(MATCH($N706,data!$A:$A,0)),"",INDEX(data!K:K,MATCH($N706,data!$A:$A,0)))</f>
        <v/>
      </c>
      <c r="AY706" s="38" t="str">
        <f>IF(ISNA(MATCH($N706,data!$A:$A,0)),"",INDEX(data!O:O,MATCH($N706,data!$A:$A,0)))</f>
        <v/>
      </c>
      <c r="AZ706" s="38" t="str">
        <f>IF(ISNA(MATCH($N706,data!$A:$A,0)),"",INDEX(data!N:N,MATCH($N706,data!$A:$A,0)))</f>
        <v/>
      </c>
      <c r="BA706" s="38" t="str">
        <f>IF(ISNA(MATCH($N706,data!$A:$A,0)),"",INDEX(data!P:P,MATCH($N706,data!$A:$A,0)))</f>
        <v/>
      </c>
      <c r="BB706" s="38" t="str">
        <f>IF(ISNA(MATCH($N706,data!$A:$A,0)),"",INDEX(data!Q:Q,MATCH($N706,data!$A:$A,0)))</f>
        <v/>
      </c>
      <c r="BC706" s="38" t="str">
        <f>IF(ISNA(MATCH($N706,data!$A:$A,0)),"",INDEX(data!R:R,MATCH($N706,data!$A:$A,0)))</f>
        <v/>
      </c>
      <c r="BD706" s="38" t="str">
        <f>IF(ISNA(MATCH($N706,[1]data!$A:$A,0)),"",INDEX([1]data!U:U,MATCH($N706,[1]data!$A:$A,0)))</f>
        <v/>
      </c>
      <c r="BE706" s="61" t="e">
        <f>IF(COUNTIF([1]data!A:A,[1]!Table1[[#This Row],[UPC]])&lt;2,"","DUP")</f>
        <v>#VALUE!</v>
      </c>
      <c r="BF706" s="38" t="str">
        <f>IF(ISNA(MATCH($N706,data!$A:$A,0)),"",INDEX(data!W:W,MATCH($N706,data!$A:$A,0)))</f>
        <v/>
      </c>
    </row>
    <row r="707" spans="1:58">
      <c r="A707" s="35"/>
      <c r="B707" s="35"/>
      <c r="C707" s="35"/>
      <c r="D707" s="35"/>
      <c r="E707" s="67"/>
      <c r="F707" s="67"/>
      <c r="G707" s="36"/>
      <c r="H707" s="29"/>
      <c r="I707" s="78" t="str">
        <f t="shared" si="16"/>
        <v/>
      </c>
      <c r="J707" s="29"/>
      <c r="K707" s="29"/>
      <c r="L707" s="33"/>
      <c r="M707" s="33"/>
      <c r="N707" s="60"/>
      <c r="O707" s="71"/>
      <c r="P707" s="71"/>
      <c r="Q707" s="33"/>
      <c r="R707" s="31"/>
      <c r="S707" s="31"/>
      <c r="T707" s="59"/>
      <c r="U707" s="59"/>
      <c r="V707" s="59"/>
      <c r="W707" s="57">
        <f t="shared" si="17"/>
        <v>0</v>
      </c>
      <c r="X707" s="126" t="str">
        <f>IF(Table1[[#This Row],[Shipping Weight Pounds]]&gt;150,"See LTL Form","No")</f>
        <v>No</v>
      </c>
      <c r="Y707" s="28"/>
      <c r="Z707" s="33"/>
      <c r="AA707" s="34"/>
      <c r="AB707" s="30"/>
      <c r="AC707" s="30"/>
      <c r="AD707" s="32"/>
      <c r="AE707" s="32"/>
      <c r="AF707" s="2"/>
      <c r="AG707" s="2"/>
      <c r="AH707" s="2"/>
      <c r="AI707" s="2"/>
      <c r="AK707" s="73" t="str">
        <f>IF(ISNA(MATCH($N707,[1]data!$A:$A,0)),"",INDEX([1]data!S:S,MATCH($N707,[1]data!$A:$A,0)))</f>
        <v/>
      </c>
      <c r="AL707" s="73" t="str">
        <f>IF(ISNA(MATCH($N707,[1]data!$A:$A,0)),"",INDEX([1]data!V:V,MATCH($N707,[1]data!$A:$A,0)))</f>
        <v/>
      </c>
      <c r="AM707" s="38" t="str">
        <f>IF(ISNA(MATCH($N707,data!$A:$A,0)),"",INDEX(data!B:B,MATCH($N707,data!$A:$A,0)))</f>
        <v/>
      </c>
      <c r="AN707" s="38" t="str">
        <f>IF(ISNA(MATCH($N707,data!$A:$A,0)),"",INDEX(data!C:C,MATCH($N707,data!$A:$A,0)))</f>
        <v/>
      </c>
      <c r="AO707" s="38" t="str">
        <f>IF(ISNA(MATCH($N707,data!$A:$A,0)),"",INDEX(data!D:D,MATCH($N707,data!$A:$A,0)))</f>
        <v/>
      </c>
      <c r="AP707" s="38" t="str">
        <f>IF(ISNA(MATCH($N707,data!$A:$A,0)),"",INDEX(data!E:E,MATCH($N707,data!$A:$A,0)))</f>
        <v/>
      </c>
      <c r="AQ707" s="38" t="str">
        <f>IF(ISNA(MATCH($N707,data!$A:$A,0)),"",INDEX(data!F:F,MATCH($N707,data!$A:$A,0)))</f>
        <v/>
      </c>
      <c r="AR707" s="38" t="str">
        <f>IF(ISNA(MATCH($N707,data!$A:$A,0)),"",INDEX(data!G:G,MATCH($N707,data!$A:$A,0)))</f>
        <v/>
      </c>
      <c r="AS707" s="38" t="str">
        <f>IF(ISNA(MATCH($N707,data!$A:$A,0)),"",INDEX(data!H:H,MATCH($N707,data!$A:$A,0)))</f>
        <v/>
      </c>
      <c r="AT707" s="38" t="str">
        <f>IF(ISNA(MATCH($N707,data!$A:$A,0)),"",INDEX(data!I:I,MATCH($N707,data!$A:$A,0)))</f>
        <v/>
      </c>
      <c r="AU707" s="38" t="str">
        <f>IF(ISNA(MATCH($N707,[1]data!$A:$A,0)),"",INDEX([1]data!L:L,MATCH($N707,[1]data!$A:$A,0)))</f>
        <v/>
      </c>
      <c r="AV707" s="38" t="str">
        <f>IF(ISNA(MATCH($N707,[1]data!$A:$A,0)),"",INDEX([1]data!M:M,MATCH($N707,[1]data!$A:$A,0)))</f>
        <v/>
      </c>
      <c r="AW707" s="38" t="str">
        <f>IF(ISNA(MATCH($N707,data!$A:$A,0)),"",INDEX(data!J:J,MATCH($N707,data!$A:$A,0)))</f>
        <v/>
      </c>
      <c r="AX707" s="38" t="str">
        <f>IF(ISNA(MATCH($N707,data!$A:$A,0)),"",INDEX(data!K:K,MATCH($N707,data!$A:$A,0)))</f>
        <v/>
      </c>
      <c r="AY707" s="38" t="str">
        <f>IF(ISNA(MATCH($N707,data!$A:$A,0)),"",INDEX(data!O:O,MATCH($N707,data!$A:$A,0)))</f>
        <v/>
      </c>
      <c r="AZ707" s="38" t="str">
        <f>IF(ISNA(MATCH($N707,data!$A:$A,0)),"",INDEX(data!N:N,MATCH($N707,data!$A:$A,0)))</f>
        <v/>
      </c>
      <c r="BA707" s="38" t="str">
        <f>IF(ISNA(MATCH($N707,data!$A:$A,0)),"",INDEX(data!P:P,MATCH($N707,data!$A:$A,0)))</f>
        <v/>
      </c>
      <c r="BB707" s="38" t="str">
        <f>IF(ISNA(MATCH($N707,data!$A:$A,0)),"",INDEX(data!Q:Q,MATCH($N707,data!$A:$A,0)))</f>
        <v/>
      </c>
      <c r="BC707" s="38" t="str">
        <f>IF(ISNA(MATCH($N707,data!$A:$A,0)),"",INDEX(data!R:R,MATCH($N707,data!$A:$A,0)))</f>
        <v/>
      </c>
      <c r="BD707" s="38" t="str">
        <f>IF(ISNA(MATCH($N707,[1]data!$A:$A,0)),"",INDEX([1]data!U:U,MATCH($N707,[1]data!$A:$A,0)))</f>
        <v/>
      </c>
      <c r="BE707" s="61" t="e">
        <f>IF(COUNTIF([1]data!A:A,[1]!Table1[[#This Row],[UPC]])&lt;2,"","DUP")</f>
        <v>#VALUE!</v>
      </c>
      <c r="BF707" s="38" t="str">
        <f>IF(ISNA(MATCH($N707,data!$A:$A,0)),"",INDEX(data!W:W,MATCH($N707,data!$A:$A,0)))</f>
        <v/>
      </c>
    </row>
    <row r="708" spans="1:58">
      <c r="A708" s="35"/>
      <c r="B708" s="35"/>
      <c r="C708" s="35"/>
      <c r="D708" s="35"/>
      <c r="E708" s="67"/>
      <c r="F708" s="67"/>
      <c r="G708" s="36"/>
      <c r="H708" s="29"/>
      <c r="I708" s="78" t="str">
        <f t="shared" si="16"/>
        <v/>
      </c>
      <c r="J708" s="29"/>
      <c r="K708" s="29"/>
      <c r="L708" s="33"/>
      <c r="M708" s="33"/>
      <c r="N708" s="60"/>
      <c r="O708" s="71"/>
      <c r="P708" s="71"/>
      <c r="Q708" s="33"/>
      <c r="R708" s="31"/>
      <c r="S708" s="31"/>
      <c r="T708" s="59"/>
      <c r="U708" s="59"/>
      <c r="V708" s="59"/>
      <c r="W708" s="57">
        <f t="shared" si="17"/>
        <v>0</v>
      </c>
      <c r="X708" s="126" t="str">
        <f>IF(Table1[[#This Row],[Shipping Weight Pounds]]&gt;150,"See LTL Form","No")</f>
        <v>No</v>
      </c>
      <c r="Y708" s="28"/>
      <c r="Z708" s="33"/>
      <c r="AA708" s="34"/>
      <c r="AB708" s="30"/>
      <c r="AC708" s="30"/>
      <c r="AD708" s="32"/>
      <c r="AE708" s="32"/>
      <c r="AF708" s="2"/>
      <c r="AG708" s="2"/>
      <c r="AH708" s="2"/>
      <c r="AI708" s="2"/>
      <c r="AK708" s="73" t="str">
        <f>IF(ISNA(MATCH($N708,[1]data!$A:$A,0)),"",INDEX([1]data!S:S,MATCH($N708,[1]data!$A:$A,0)))</f>
        <v/>
      </c>
      <c r="AL708" s="73" t="str">
        <f>IF(ISNA(MATCH($N708,[1]data!$A:$A,0)),"",INDEX([1]data!V:V,MATCH($N708,[1]data!$A:$A,0)))</f>
        <v/>
      </c>
      <c r="AM708" s="38" t="str">
        <f>IF(ISNA(MATCH($N708,data!$A:$A,0)),"",INDEX(data!B:B,MATCH($N708,data!$A:$A,0)))</f>
        <v/>
      </c>
      <c r="AN708" s="38" t="str">
        <f>IF(ISNA(MATCH($N708,data!$A:$A,0)),"",INDEX(data!C:C,MATCH($N708,data!$A:$A,0)))</f>
        <v/>
      </c>
      <c r="AO708" s="38" t="str">
        <f>IF(ISNA(MATCH($N708,data!$A:$A,0)),"",INDEX(data!D:D,MATCH($N708,data!$A:$A,0)))</f>
        <v/>
      </c>
      <c r="AP708" s="38" t="str">
        <f>IF(ISNA(MATCH($N708,data!$A:$A,0)),"",INDEX(data!E:E,MATCH($N708,data!$A:$A,0)))</f>
        <v/>
      </c>
      <c r="AQ708" s="38" t="str">
        <f>IF(ISNA(MATCH($N708,data!$A:$A,0)),"",INDEX(data!F:F,MATCH($N708,data!$A:$A,0)))</f>
        <v/>
      </c>
      <c r="AR708" s="38" t="str">
        <f>IF(ISNA(MATCH($N708,data!$A:$A,0)),"",INDEX(data!G:G,MATCH($N708,data!$A:$A,0)))</f>
        <v/>
      </c>
      <c r="AS708" s="38" t="str">
        <f>IF(ISNA(MATCH($N708,data!$A:$A,0)),"",INDEX(data!H:H,MATCH($N708,data!$A:$A,0)))</f>
        <v/>
      </c>
      <c r="AT708" s="38" t="str">
        <f>IF(ISNA(MATCH($N708,data!$A:$A,0)),"",INDEX(data!I:I,MATCH($N708,data!$A:$A,0)))</f>
        <v/>
      </c>
      <c r="AU708" s="38" t="str">
        <f>IF(ISNA(MATCH($N708,[1]data!$A:$A,0)),"",INDEX([1]data!L:L,MATCH($N708,[1]data!$A:$A,0)))</f>
        <v/>
      </c>
      <c r="AV708" s="38" t="str">
        <f>IF(ISNA(MATCH($N708,[1]data!$A:$A,0)),"",INDEX([1]data!M:M,MATCH($N708,[1]data!$A:$A,0)))</f>
        <v/>
      </c>
      <c r="AW708" s="38" t="str">
        <f>IF(ISNA(MATCH($N708,data!$A:$A,0)),"",INDEX(data!J:J,MATCH($N708,data!$A:$A,0)))</f>
        <v/>
      </c>
      <c r="AX708" s="38" t="str">
        <f>IF(ISNA(MATCH($N708,data!$A:$A,0)),"",INDEX(data!K:K,MATCH($N708,data!$A:$A,0)))</f>
        <v/>
      </c>
      <c r="AY708" s="38" t="str">
        <f>IF(ISNA(MATCH($N708,data!$A:$A,0)),"",INDEX(data!O:O,MATCH($N708,data!$A:$A,0)))</f>
        <v/>
      </c>
      <c r="AZ708" s="38" t="str">
        <f>IF(ISNA(MATCH($N708,data!$A:$A,0)),"",INDEX(data!N:N,MATCH($N708,data!$A:$A,0)))</f>
        <v/>
      </c>
      <c r="BA708" s="38" t="str">
        <f>IF(ISNA(MATCH($N708,data!$A:$A,0)),"",INDEX(data!P:P,MATCH($N708,data!$A:$A,0)))</f>
        <v/>
      </c>
      <c r="BB708" s="38" t="str">
        <f>IF(ISNA(MATCH($N708,data!$A:$A,0)),"",INDEX(data!Q:Q,MATCH($N708,data!$A:$A,0)))</f>
        <v/>
      </c>
      <c r="BC708" s="38" t="str">
        <f>IF(ISNA(MATCH($N708,data!$A:$A,0)),"",INDEX(data!R:R,MATCH($N708,data!$A:$A,0)))</f>
        <v/>
      </c>
      <c r="BD708" s="38" t="str">
        <f>IF(ISNA(MATCH($N708,[1]data!$A:$A,0)),"",INDEX([1]data!U:U,MATCH($N708,[1]data!$A:$A,0)))</f>
        <v/>
      </c>
      <c r="BE708" s="61" t="e">
        <f>IF(COUNTIF([1]data!A:A,[1]!Table1[[#This Row],[UPC]])&lt;2,"","DUP")</f>
        <v>#VALUE!</v>
      </c>
      <c r="BF708" s="38" t="str">
        <f>IF(ISNA(MATCH($N708,data!$A:$A,0)),"",INDEX(data!W:W,MATCH($N708,data!$A:$A,0)))</f>
        <v/>
      </c>
    </row>
    <row r="709" spans="1:58">
      <c r="A709" s="35"/>
      <c r="B709" s="35"/>
      <c r="C709" s="35"/>
      <c r="D709" s="35"/>
      <c r="E709" s="67"/>
      <c r="F709" s="67"/>
      <c r="G709" s="36"/>
      <c r="H709" s="29"/>
      <c r="I709" s="78" t="str">
        <f t="shared" si="16"/>
        <v/>
      </c>
      <c r="J709" s="29"/>
      <c r="K709" s="29"/>
      <c r="L709" s="33"/>
      <c r="M709" s="33"/>
      <c r="N709" s="60"/>
      <c r="O709" s="71"/>
      <c r="P709" s="71"/>
      <c r="Q709" s="33"/>
      <c r="R709" s="31"/>
      <c r="S709" s="31"/>
      <c r="T709" s="59"/>
      <c r="U709" s="59"/>
      <c r="V709" s="59"/>
      <c r="W709" s="57">
        <f t="shared" si="17"/>
        <v>0</v>
      </c>
      <c r="X709" s="126" t="str">
        <f>IF(Table1[[#This Row],[Shipping Weight Pounds]]&gt;150,"See LTL Form","No")</f>
        <v>No</v>
      </c>
      <c r="Y709" s="28"/>
      <c r="Z709" s="33"/>
      <c r="AA709" s="34"/>
      <c r="AB709" s="30"/>
      <c r="AC709" s="30"/>
      <c r="AD709" s="32"/>
      <c r="AE709" s="32"/>
      <c r="AF709" s="2"/>
      <c r="AG709" s="2"/>
      <c r="AH709" s="2"/>
      <c r="AI709" s="2"/>
      <c r="AK709" s="73" t="str">
        <f>IF(ISNA(MATCH($N709,[1]data!$A:$A,0)),"",INDEX([1]data!S:S,MATCH($N709,[1]data!$A:$A,0)))</f>
        <v/>
      </c>
      <c r="AL709" s="73" t="str">
        <f>IF(ISNA(MATCH($N709,[1]data!$A:$A,0)),"",INDEX([1]data!V:V,MATCH($N709,[1]data!$A:$A,0)))</f>
        <v/>
      </c>
      <c r="AM709" s="38" t="str">
        <f>IF(ISNA(MATCH($N709,data!$A:$A,0)),"",INDEX(data!B:B,MATCH($N709,data!$A:$A,0)))</f>
        <v/>
      </c>
      <c r="AN709" s="38" t="str">
        <f>IF(ISNA(MATCH($N709,data!$A:$A,0)),"",INDEX(data!C:C,MATCH($N709,data!$A:$A,0)))</f>
        <v/>
      </c>
      <c r="AO709" s="38" t="str">
        <f>IF(ISNA(MATCH($N709,data!$A:$A,0)),"",INDEX(data!D:D,MATCH($N709,data!$A:$A,0)))</f>
        <v/>
      </c>
      <c r="AP709" s="38" t="str">
        <f>IF(ISNA(MATCH($N709,data!$A:$A,0)),"",INDEX(data!E:E,MATCH($N709,data!$A:$A,0)))</f>
        <v/>
      </c>
      <c r="AQ709" s="38" t="str">
        <f>IF(ISNA(MATCH($N709,data!$A:$A,0)),"",INDEX(data!F:F,MATCH($N709,data!$A:$A,0)))</f>
        <v/>
      </c>
      <c r="AR709" s="38" t="str">
        <f>IF(ISNA(MATCH($N709,data!$A:$A,0)),"",INDEX(data!G:G,MATCH($N709,data!$A:$A,0)))</f>
        <v/>
      </c>
      <c r="AS709" s="38" t="str">
        <f>IF(ISNA(MATCH($N709,data!$A:$A,0)),"",INDEX(data!H:H,MATCH($N709,data!$A:$A,0)))</f>
        <v/>
      </c>
      <c r="AT709" s="38" t="str">
        <f>IF(ISNA(MATCH($N709,data!$A:$A,0)),"",INDEX(data!I:I,MATCH($N709,data!$A:$A,0)))</f>
        <v/>
      </c>
      <c r="AU709" s="38" t="str">
        <f>IF(ISNA(MATCH($N709,[1]data!$A:$A,0)),"",INDEX([1]data!L:L,MATCH($N709,[1]data!$A:$A,0)))</f>
        <v/>
      </c>
      <c r="AV709" s="38" t="str">
        <f>IF(ISNA(MATCH($N709,[1]data!$A:$A,0)),"",INDEX([1]data!M:M,MATCH($N709,[1]data!$A:$A,0)))</f>
        <v/>
      </c>
      <c r="AW709" s="38" t="str">
        <f>IF(ISNA(MATCH($N709,data!$A:$A,0)),"",INDEX(data!J:J,MATCH($N709,data!$A:$A,0)))</f>
        <v/>
      </c>
      <c r="AX709" s="38" t="str">
        <f>IF(ISNA(MATCH($N709,data!$A:$A,0)),"",INDEX(data!K:K,MATCH($N709,data!$A:$A,0)))</f>
        <v/>
      </c>
      <c r="AY709" s="38" t="str">
        <f>IF(ISNA(MATCH($N709,data!$A:$A,0)),"",INDEX(data!O:O,MATCH($N709,data!$A:$A,0)))</f>
        <v/>
      </c>
      <c r="AZ709" s="38" t="str">
        <f>IF(ISNA(MATCH($N709,data!$A:$A,0)),"",INDEX(data!N:N,MATCH($N709,data!$A:$A,0)))</f>
        <v/>
      </c>
      <c r="BA709" s="38" t="str">
        <f>IF(ISNA(MATCH($N709,data!$A:$A,0)),"",INDEX(data!P:P,MATCH($N709,data!$A:$A,0)))</f>
        <v/>
      </c>
      <c r="BB709" s="38" t="str">
        <f>IF(ISNA(MATCH($N709,data!$A:$A,0)),"",INDEX(data!Q:Q,MATCH($N709,data!$A:$A,0)))</f>
        <v/>
      </c>
      <c r="BC709" s="38" t="str">
        <f>IF(ISNA(MATCH($N709,data!$A:$A,0)),"",INDEX(data!R:R,MATCH($N709,data!$A:$A,0)))</f>
        <v/>
      </c>
      <c r="BD709" s="38" t="str">
        <f>IF(ISNA(MATCH($N709,[1]data!$A:$A,0)),"",INDEX([1]data!U:U,MATCH($N709,[1]data!$A:$A,0)))</f>
        <v/>
      </c>
      <c r="BE709" s="61" t="e">
        <f>IF(COUNTIF([1]data!A:A,[1]!Table1[[#This Row],[UPC]])&lt;2,"","DUP")</f>
        <v>#VALUE!</v>
      </c>
      <c r="BF709" s="38" t="str">
        <f>IF(ISNA(MATCH($N709,data!$A:$A,0)),"",INDEX(data!W:W,MATCH($N709,data!$A:$A,0)))</f>
        <v/>
      </c>
    </row>
    <row r="710" spans="1:58">
      <c r="A710" s="35"/>
      <c r="B710" s="35"/>
      <c r="C710" s="35"/>
      <c r="D710" s="35"/>
      <c r="E710" s="67"/>
      <c r="F710" s="67"/>
      <c r="G710" s="36"/>
      <c r="H710" s="29"/>
      <c r="I710" s="78" t="str">
        <f t="shared" si="16"/>
        <v/>
      </c>
      <c r="J710" s="29"/>
      <c r="K710" s="29"/>
      <c r="L710" s="33"/>
      <c r="M710" s="33"/>
      <c r="N710" s="60"/>
      <c r="O710" s="71"/>
      <c r="P710" s="71"/>
      <c r="Q710" s="33"/>
      <c r="R710" s="31"/>
      <c r="S710" s="31"/>
      <c r="T710" s="59"/>
      <c r="U710" s="59"/>
      <c r="V710" s="59"/>
      <c r="W710" s="57">
        <f t="shared" si="17"/>
        <v>0</v>
      </c>
      <c r="X710" s="126" t="str">
        <f>IF(Table1[[#This Row],[Shipping Weight Pounds]]&gt;150,"See LTL Form","No")</f>
        <v>No</v>
      </c>
      <c r="Y710" s="28"/>
      <c r="Z710" s="33"/>
      <c r="AA710" s="34"/>
      <c r="AB710" s="30"/>
      <c r="AC710" s="30"/>
      <c r="AD710" s="32"/>
      <c r="AE710" s="32"/>
      <c r="AF710" s="2"/>
      <c r="AG710" s="2"/>
      <c r="AH710" s="2"/>
      <c r="AI710" s="2"/>
      <c r="AK710" s="73" t="str">
        <f>IF(ISNA(MATCH($N710,[1]data!$A:$A,0)),"",INDEX([1]data!S:S,MATCH($N710,[1]data!$A:$A,0)))</f>
        <v/>
      </c>
      <c r="AL710" s="73" t="str">
        <f>IF(ISNA(MATCH($N710,[1]data!$A:$A,0)),"",INDEX([1]data!V:V,MATCH($N710,[1]data!$A:$A,0)))</f>
        <v/>
      </c>
      <c r="AM710" s="38" t="str">
        <f>IF(ISNA(MATCH($N710,data!$A:$A,0)),"",INDEX(data!B:B,MATCH($N710,data!$A:$A,0)))</f>
        <v/>
      </c>
      <c r="AN710" s="38" t="str">
        <f>IF(ISNA(MATCH($N710,data!$A:$A,0)),"",INDEX(data!C:C,MATCH($N710,data!$A:$A,0)))</f>
        <v/>
      </c>
      <c r="AO710" s="38" t="str">
        <f>IF(ISNA(MATCH($N710,data!$A:$A,0)),"",INDEX(data!D:D,MATCH($N710,data!$A:$A,0)))</f>
        <v/>
      </c>
      <c r="AP710" s="38" t="str">
        <f>IF(ISNA(MATCH($N710,data!$A:$A,0)),"",INDEX(data!E:E,MATCH($N710,data!$A:$A,0)))</f>
        <v/>
      </c>
      <c r="AQ710" s="38" t="str">
        <f>IF(ISNA(MATCH($N710,data!$A:$A,0)),"",INDEX(data!F:F,MATCH($N710,data!$A:$A,0)))</f>
        <v/>
      </c>
      <c r="AR710" s="38" t="str">
        <f>IF(ISNA(MATCH($N710,data!$A:$A,0)),"",INDEX(data!G:G,MATCH($N710,data!$A:$A,0)))</f>
        <v/>
      </c>
      <c r="AS710" s="38" t="str">
        <f>IF(ISNA(MATCH($N710,data!$A:$A,0)),"",INDEX(data!H:H,MATCH($N710,data!$A:$A,0)))</f>
        <v/>
      </c>
      <c r="AT710" s="38" t="str">
        <f>IF(ISNA(MATCH($N710,data!$A:$A,0)),"",INDEX(data!I:I,MATCH($N710,data!$A:$A,0)))</f>
        <v/>
      </c>
      <c r="AU710" s="38" t="str">
        <f>IF(ISNA(MATCH($N710,[1]data!$A:$A,0)),"",INDEX([1]data!L:L,MATCH($N710,[1]data!$A:$A,0)))</f>
        <v/>
      </c>
      <c r="AV710" s="38" t="str">
        <f>IF(ISNA(MATCH($N710,[1]data!$A:$A,0)),"",INDEX([1]data!M:M,MATCH($N710,[1]data!$A:$A,0)))</f>
        <v/>
      </c>
      <c r="AW710" s="38" t="str">
        <f>IF(ISNA(MATCH($N710,data!$A:$A,0)),"",INDEX(data!J:J,MATCH($N710,data!$A:$A,0)))</f>
        <v/>
      </c>
      <c r="AX710" s="38" t="str">
        <f>IF(ISNA(MATCH($N710,data!$A:$A,0)),"",INDEX(data!K:K,MATCH($N710,data!$A:$A,0)))</f>
        <v/>
      </c>
      <c r="AY710" s="38" t="str">
        <f>IF(ISNA(MATCH($N710,data!$A:$A,0)),"",INDEX(data!O:O,MATCH($N710,data!$A:$A,0)))</f>
        <v/>
      </c>
      <c r="AZ710" s="38" t="str">
        <f>IF(ISNA(MATCH($N710,data!$A:$A,0)),"",INDEX(data!N:N,MATCH($N710,data!$A:$A,0)))</f>
        <v/>
      </c>
      <c r="BA710" s="38" t="str">
        <f>IF(ISNA(MATCH($N710,data!$A:$A,0)),"",INDEX(data!P:P,MATCH($N710,data!$A:$A,0)))</f>
        <v/>
      </c>
      <c r="BB710" s="38" t="str">
        <f>IF(ISNA(MATCH($N710,data!$A:$A,0)),"",INDEX(data!Q:Q,MATCH($N710,data!$A:$A,0)))</f>
        <v/>
      </c>
      <c r="BC710" s="38" t="str">
        <f>IF(ISNA(MATCH($N710,data!$A:$A,0)),"",INDEX(data!R:R,MATCH($N710,data!$A:$A,0)))</f>
        <v/>
      </c>
      <c r="BD710" s="38" t="str">
        <f>IF(ISNA(MATCH($N710,[1]data!$A:$A,0)),"",INDEX([1]data!U:U,MATCH($N710,[1]data!$A:$A,0)))</f>
        <v/>
      </c>
      <c r="BE710" s="61" t="e">
        <f>IF(COUNTIF([1]data!A:A,[1]!Table1[[#This Row],[UPC]])&lt;2,"","DUP")</f>
        <v>#VALUE!</v>
      </c>
      <c r="BF710" s="38" t="str">
        <f>IF(ISNA(MATCH($N710,data!$A:$A,0)),"",INDEX(data!W:W,MATCH($N710,data!$A:$A,0)))</f>
        <v/>
      </c>
    </row>
    <row r="711" spans="1:58">
      <c r="A711" s="35"/>
      <c r="B711" s="35"/>
      <c r="C711" s="35"/>
      <c r="D711" s="35"/>
      <c r="E711" s="67"/>
      <c r="F711" s="67"/>
      <c r="G711" s="36"/>
      <c r="H711" s="29"/>
      <c r="I711" s="78" t="str">
        <f t="shared" si="16"/>
        <v/>
      </c>
      <c r="J711" s="29"/>
      <c r="K711" s="29"/>
      <c r="L711" s="33"/>
      <c r="M711" s="33"/>
      <c r="N711" s="60"/>
      <c r="O711" s="71"/>
      <c r="P711" s="71"/>
      <c r="Q711" s="33"/>
      <c r="R711" s="31"/>
      <c r="S711" s="31"/>
      <c r="T711" s="59"/>
      <c r="U711" s="59"/>
      <c r="V711" s="59"/>
      <c r="W711" s="57">
        <f t="shared" si="17"/>
        <v>0</v>
      </c>
      <c r="X711" s="126" t="str">
        <f>IF(Table1[[#This Row],[Shipping Weight Pounds]]&gt;150,"See LTL Form","No")</f>
        <v>No</v>
      </c>
      <c r="Y711" s="28"/>
      <c r="Z711" s="33"/>
      <c r="AA711" s="34"/>
      <c r="AB711" s="30"/>
      <c r="AC711" s="30"/>
      <c r="AD711" s="32"/>
      <c r="AE711" s="32"/>
      <c r="AF711" s="2"/>
      <c r="AG711" s="2"/>
      <c r="AH711" s="2"/>
      <c r="AI711" s="2"/>
      <c r="AK711" s="73" t="str">
        <f>IF(ISNA(MATCH($N711,[1]data!$A:$A,0)),"",INDEX([1]data!S:S,MATCH($N711,[1]data!$A:$A,0)))</f>
        <v/>
      </c>
      <c r="AL711" s="73" t="str">
        <f>IF(ISNA(MATCH($N711,[1]data!$A:$A,0)),"",INDEX([1]data!V:V,MATCH($N711,[1]data!$A:$A,0)))</f>
        <v/>
      </c>
      <c r="AM711" s="38" t="str">
        <f>IF(ISNA(MATCH($N711,data!$A:$A,0)),"",INDEX(data!B:B,MATCH($N711,data!$A:$A,0)))</f>
        <v/>
      </c>
      <c r="AN711" s="38" t="str">
        <f>IF(ISNA(MATCH($N711,data!$A:$A,0)),"",INDEX(data!C:C,MATCH($N711,data!$A:$A,0)))</f>
        <v/>
      </c>
      <c r="AO711" s="38" t="str">
        <f>IF(ISNA(MATCH($N711,data!$A:$A,0)),"",INDEX(data!D:D,MATCH($N711,data!$A:$A,0)))</f>
        <v/>
      </c>
      <c r="AP711" s="38" t="str">
        <f>IF(ISNA(MATCH($N711,data!$A:$A,0)),"",INDEX(data!E:E,MATCH($N711,data!$A:$A,0)))</f>
        <v/>
      </c>
      <c r="AQ711" s="38" t="str">
        <f>IF(ISNA(MATCH($N711,data!$A:$A,0)),"",INDEX(data!F:F,MATCH($N711,data!$A:$A,0)))</f>
        <v/>
      </c>
      <c r="AR711" s="38" t="str">
        <f>IF(ISNA(MATCH($N711,data!$A:$A,0)),"",INDEX(data!G:G,MATCH($N711,data!$A:$A,0)))</f>
        <v/>
      </c>
      <c r="AS711" s="38" t="str">
        <f>IF(ISNA(MATCH($N711,data!$A:$A,0)),"",INDEX(data!H:H,MATCH($N711,data!$A:$A,0)))</f>
        <v/>
      </c>
      <c r="AT711" s="38" t="str">
        <f>IF(ISNA(MATCH($N711,data!$A:$A,0)),"",INDEX(data!I:I,MATCH($N711,data!$A:$A,0)))</f>
        <v/>
      </c>
      <c r="AU711" s="38" t="str">
        <f>IF(ISNA(MATCH($N711,[1]data!$A:$A,0)),"",INDEX([1]data!L:L,MATCH($N711,[1]data!$A:$A,0)))</f>
        <v/>
      </c>
      <c r="AV711" s="38" t="str">
        <f>IF(ISNA(MATCH($N711,[1]data!$A:$A,0)),"",INDEX([1]data!M:M,MATCH($N711,[1]data!$A:$A,0)))</f>
        <v/>
      </c>
      <c r="AW711" s="38" t="str">
        <f>IF(ISNA(MATCH($N711,data!$A:$A,0)),"",INDEX(data!J:J,MATCH($N711,data!$A:$A,0)))</f>
        <v/>
      </c>
      <c r="AX711" s="38" t="str">
        <f>IF(ISNA(MATCH($N711,data!$A:$A,0)),"",INDEX(data!K:K,MATCH($N711,data!$A:$A,0)))</f>
        <v/>
      </c>
      <c r="AY711" s="38" t="str">
        <f>IF(ISNA(MATCH($N711,data!$A:$A,0)),"",INDEX(data!O:O,MATCH($N711,data!$A:$A,0)))</f>
        <v/>
      </c>
      <c r="AZ711" s="38" t="str">
        <f>IF(ISNA(MATCH($N711,data!$A:$A,0)),"",INDEX(data!N:N,MATCH($N711,data!$A:$A,0)))</f>
        <v/>
      </c>
      <c r="BA711" s="38" t="str">
        <f>IF(ISNA(MATCH($N711,data!$A:$A,0)),"",INDEX(data!P:P,MATCH($N711,data!$A:$A,0)))</f>
        <v/>
      </c>
      <c r="BB711" s="38" t="str">
        <f>IF(ISNA(MATCH($N711,data!$A:$A,0)),"",INDEX(data!Q:Q,MATCH($N711,data!$A:$A,0)))</f>
        <v/>
      </c>
      <c r="BC711" s="38" t="str">
        <f>IF(ISNA(MATCH($N711,data!$A:$A,0)),"",INDEX(data!R:R,MATCH($N711,data!$A:$A,0)))</f>
        <v/>
      </c>
      <c r="BD711" s="38" t="str">
        <f>IF(ISNA(MATCH($N711,[1]data!$A:$A,0)),"",INDEX([1]data!U:U,MATCH($N711,[1]data!$A:$A,0)))</f>
        <v/>
      </c>
      <c r="BE711" s="61" t="e">
        <f>IF(COUNTIF([1]data!A:A,[1]!Table1[[#This Row],[UPC]])&lt;2,"","DUP")</f>
        <v>#VALUE!</v>
      </c>
      <c r="BF711" s="38" t="str">
        <f>IF(ISNA(MATCH($N711,data!$A:$A,0)),"",INDEX(data!W:W,MATCH($N711,data!$A:$A,0)))</f>
        <v/>
      </c>
    </row>
    <row r="712" spans="1:58">
      <c r="A712" s="35"/>
      <c r="B712" s="35"/>
      <c r="C712" s="35"/>
      <c r="D712" s="35"/>
      <c r="E712" s="67"/>
      <c r="F712" s="67"/>
      <c r="G712" s="36"/>
      <c r="H712" s="29"/>
      <c r="I712" s="78" t="str">
        <f t="shared" ref="I712:I775" si="18">IF(H712&lt;&gt;0,(H712-G712)/H712,"")</f>
        <v/>
      </c>
      <c r="J712" s="29"/>
      <c r="K712" s="29"/>
      <c r="L712" s="33"/>
      <c r="M712" s="33"/>
      <c r="N712" s="60"/>
      <c r="O712" s="71"/>
      <c r="P712" s="71"/>
      <c r="Q712" s="33"/>
      <c r="R712" s="31"/>
      <c r="S712" s="31"/>
      <c r="T712" s="59"/>
      <c r="U712" s="59"/>
      <c r="V712" s="59"/>
      <c r="W712" s="57">
        <f t="shared" ref="W712:W775" si="19">IF(ISERR(Q712*R712*S712),"",(Q712*R712*S712))</f>
        <v>0</v>
      </c>
      <c r="X712" s="126" t="str">
        <f>IF(Table1[[#This Row],[Shipping Weight Pounds]]&gt;150,"See LTL Form","No")</f>
        <v>No</v>
      </c>
      <c r="Y712" s="28"/>
      <c r="Z712" s="33"/>
      <c r="AA712" s="34"/>
      <c r="AB712" s="30"/>
      <c r="AC712" s="30"/>
      <c r="AD712" s="32"/>
      <c r="AE712" s="32"/>
      <c r="AF712" s="2"/>
      <c r="AG712" s="2"/>
      <c r="AH712" s="2"/>
      <c r="AI712" s="2"/>
      <c r="AK712" s="73" t="str">
        <f>IF(ISNA(MATCH($N712,[1]data!$A:$A,0)),"",INDEX([1]data!S:S,MATCH($N712,[1]data!$A:$A,0)))</f>
        <v/>
      </c>
      <c r="AL712" s="73" t="str">
        <f>IF(ISNA(MATCH($N712,[1]data!$A:$A,0)),"",INDEX([1]data!V:V,MATCH($N712,[1]data!$A:$A,0)))</f>
        <v/>
      </c>
      <c r="AM712" s="38" t="str">
        <f>IF(ISNA(MATCH($N712,data!$A:$A,0)),"",INDEX(data!B:B,MATCH($N712,data!$A:$A,0)))</f>
        <v/>
      </c>
      <c r="AN712" s="38" t="str">
        <f>IF(ISNA(MATCH($N712,data!$A:$A,0)),"",INDEX(data!C:C,MATCH($N712,data!$A:$A,0)))</f>
        <v/>
      </c>
      <c r="AO712" s="38" t="str">
        <f>IF(ISNA(MATCH($N712,data!$A:$A,0)),"",INDEX(data!D:D,MATCH($N712,data!$A:$A,0)))</f>
        <v/>
      </c>
      <c r="AP712" s="38" t="str">
        <f>IF(ISNA(MATCH($N712,data!$A:$A,0)),"",INDEX(data!E:E,MATCH($N712,data!$A:$A,0)))</f>
        <v/>
      </c>
      <c r="AQ712" s="38" t="str">
        <f>IF(ISNA(MATCH($N712,data!$A:$A,0)),"",INDEX(data!F:F,MATCH($N712,data!$A:$A,0)))</f>
        <v/>
      </c>
      <c r="AR712" s="38" t="str">
        <f>IF(ISNA(MATCH($N712,data!$A:$A,0)),"",INDEX(data!G:G,MATCH($N712,data!$A:$A,0)))</f>
        <v/>
      </c>
      <c r="AS712" s="38" t="str">
        <f>IF(ISNA(MATCH($N712,data!$A:$A,0)),"",INDEX(data!H:H,MATCH($N712,data!$A:$A,0)))</f>
        <v/>
      </c>
      <c r="AT712" s="38" t="str">
        <f>IF(ISNA(MATCH($N712,data!$A:$A,0)),"",INDEX(data!I:I,MATCH($N712,data!$A:$A,0)))</f>
        <v/>
      </c>
      <c r="AU712" s="38" t="str">
        <f>IF(ISNA(MATCH($N712,[1]data!$A:$A,0)),"",INDEX([1]data!L:L,MATCH($N712,[1]data!$A:$A,0)))</f>
        <v/>
      </c>
      <c r="AV712" s="38" t="str">
        <f>IF(ISNA(MATCH($N712,[1]data!$A:$A,0)),"",INDEX([1]data!M:M,MATCH($N712,[1]data!$A:$A,0)))</f>
        <v/>
      </c>
      <c r="AW712" s="38" t="str">
        <f>IF(ISNA(MATCH($N712,data!$A:$A,0)),"",INDEX(data!J:J,MATCH($N712,data!$A:$A,0)))</f>
        <v/>
      </c>
      <c r="AX712" s="38" t="str">
        <f>IF(ISNA(MATCH($N712,data!$A:$A,0)),"",INDEX(data!K:K,MATCH($N712,data!$A:$A,0)))</f>
        <v/>
      </c>
      <c r="AY712" s="38" t="str">
        <f>IF(ISNA(MATCH($N712,data!$A:$A,0)),"",INDEX(data!O:O,MATCH($N712,data!$A:$A,0)))</f>
        <v/>
      </c>
      <c r="AZ712" s="38" t="str">
        <f>IF(ISNA(MATCH($N712,data!$A:$A,0)),"",INDEX(data!N:N,MATCH($N712,data!$A:$A,0)))</f>
        <v/>
      </c>
      <c r="BA712" s="38" t="str">
        <f>IF(ISNA(MATCH($N712,data!$A:$A,0)),"",INDEX(data!P:P,MATCH($N712,data!$A:$A,0)))</f>
        <v/>
      </c>
      <c r="BB712" s="38" t="str">
        <f>IF(ISNA(MATCH($N712,data!$A:$A,0)),"",INDEX(data!Q:Q,MATCH($N712,data!$A:$A,0)))</f>
        <v/>
      </c>
      <c r="BC712" s="38" t="str">
        <f>IF(ISNA(MATCH($N712,data!$A:$A,0)),"",INDEX(data!R:R,MATCH($N712,data!$A:$A,0)))</f>
        <v/>
      </c>
      <c r="BD712" s="38" t="str">
        <f>IF(ISNA(MATCH($N712,[1]data!$A:$A,0)),"",INDEX([1]data!U:U,MATCH($N712,[1]data!$A:$A,0)))</f>
        <v/>
      </c>
      <c r="BE712" s="61" t="e">
        <f>IF(COUNTIF([1]data!A:A,[1]!Table1[[#This Row],[UPC]])&lt;2,"","DUP")</f>
        <v>#VALUE!</v>
      </c>
      <c r="BF712" s="38" t="str">
        <f>IF(ISNA(MATCH($N712,data!$A:$A,0)),"",INDEX(data!W:W,MATCH($N712,data!$A:$A,0)))</f>
        <v/>
      </c>
    </row>
    <row r="713" spans="1:58">
      <c r="A713" s="35"/>
      <c r="B713" s="35"/>
      <c r="C713" s="35"/>
      <c r="D713" s="35"/>
      <c r="E713" s="67"/>
      <c r="F713" s="67"/>
      <c r="G713" s="36"/>
      <c r="H713" s="29"/>
      <c r="I713" s="78" t="str">
        <f t="shared" si="18"/>
        <v/>
      </c>
      <c r="J713" s="29"/>
      <c r="K713" s="29"/>
      <c r="L713" s="33"/>
      <c r="M713" s="33"/>
      <c r="N713" s="60"/>
      <c r="O713" s="71"/>
      <c r="P713" s="71"/>
      <c r="Q713" s="33"/>
      <c r="R713" s="31"/>
      <c r="S713" s="31"/>
      <c r="T713" s="59"/>
      <c r="U713" s="59"/>
      <c r="V713" s="59"/>
      <c r="W713" s="57">
        <f t="shared" si="19"/>
        <v>0</v>
      </c>
      <c r="X713" s="126" t="str">
        <f>IF(Table1[[#This Row],[Shipping Weight Pounds]]&gt;150,"See LTL Form","No")</f>
        <v>No</v>
      </c>
      <c r="Y713" s="28"/>
      <c r="Z713" s="33"/>
      <c r="AA713" s="34"/>
      <c r="AB713" s="30"/>
      <c r="AC713" s="30"/>
      <c r="AD713" s="32"/>
      <c r="AE713" s="32"/>
      <c r="AF713" s="2"/>
      <c r="AG713" s="2"/>
      <c r="AH713" s="2"/>
      <c r="AI713" s="2"/>
      <c r="AK713" s="73" t="str">
        <f>IF(ISNA(MATCH($N713,[1]data!$A:$A,0)),"",INDEX([1]data!S:S,MATCH($N713,[1]data!$A:$A,0)))</f>
        <v/>
      </c>
      <c r="AL713" s="73" t="str">
        <f>IF(ISNA(MATCH($N713,[1]data!$A:$A,0)),"",INDEX([1]data!V:V,MATCH($N713,[1]data!$A:$A,0)))</f>
        <v/>
      </c>
      <c r="AM713" s="38" t="str">
        <f>IF(ISNA(MATCH($N713,data!$A:$A,0)),"",INDEX(data!B:B,MATCH($N713,data!$A:$A,0)))</f>
        <v/>
      </c>
      <c r="AN713" s="38" t="str">
        <f>IF(ISNA(MATCH($N713,data!$A:$A,0)),"",INDEX(data!C:C,MATCH($N713,data!$A:$A,0)))</f>
        <v/>
      </c>
      <c r="AO713" s="38" t="str">
        <f>IF(ISNA(MATCH($N713,data!$A:$A,0)),"",INDEX(data!D:D,MATCH($N713,data!$A:$A,0)))</f>
        <v/>
      </c>
      <c r="AP713" s="38" t="str">
        <f>IF(ISNA(MATCH($N713,data!$A:$A,0)),"",INDEX(data!E:E,MATCH($N713,data!$A:$A,0)))</f>
        <v/>
      </c>
      <c r="AQ713" s="38" t="str">
        <f>IF(ISNA(MATCH($N713,data!$A:$A,0)),"",INDEX(data!F:F,MATCH($N713,data!$A:$A,0)))</f>
        <v/>
      </c>
      <c r="AR713" s="38" t="str">
        <f>IF(ISNA(MATCH($N713,data!$A:$A,0)),"",INDEX(data!G:G,MATCH($N713,data!$A:$A,0)))</f>
        <v/>
      </c>
      <c r="AS713" s="38" t="str">
        <f>IF(ISNA(MATCH($N713,data!$A:$A,0)),"",INDEX(data!H:H,MATCH($N713,data!$A:$A,0)))</f>
        <v/>
      </c>
      <c r="AT713" s="38" t="str">
        <f>IF(ISNA(MATCH($N713,data!$A:$A,0)),"",INDEX(data!I:I,MATCH($N713,data!$A:$A,0)))</f>
        <v/>
      </c>
      <c r="AU713" s="38" t="str">
        <f>IF(ISNA(MATCH($N713,[1]data!$A:$A,0)),"",INDEX([1]data!L:L,MATCH($N713,[1]data!$A:$A,0)))</f>
        <v/>
      </c>
      <c r="AV713" s="38" t="str">
        <f>IF(ISNA(MATCH($N713,[1]data!$A:$A,0)),"",INDEX([1]data!M:M,MATCH($N713,[1]data!$A:$A,0)))</f>
        <v/>
      </c>
      <c r="AW713" s="38" t="str">
        <f>IF(ISNA(MATCH($N713,data!$A:$A,0)),"",INDEX(data!J:J,MATCH($N713,data!$A:$A,0)))</f>
        <v/>
      </c>
      <c r="AX713" s="38" t="str">
        <f>IF(ISNA(MATCH($N713,data!$A:$A,0)),"",INDEX(data!K:K,MATCH($N713,data!$A:$A,0)))</f>
        <v/>
      </c>
      <c r="AY713" s="38" t="str">
        <f>IF(ISNA(MATCH($N713,data!$A:$A,0)),"",INDEX(data!O:O,MATCH($N713,data!$A:$A,0)))</f>
        <v/>
      </c>
      <c r="AZ713" s="38" t="str">
        <f>IF(ISNA(MATCH($N713,data!$A:$A,0)),"",INDEX(data!N:N,MATCH($N713,data!$A:$A,0)))</f>
        <v/>
      </c>
      <c r="BA713" s="38" t="str">
        <f>IF(ISNA(MATCH($N713,data!$A:$A,0)),"",INDEX(data!P:P,MATCH($N713,data!$A:$A,0)))</f>
        <v/>
      </c>
      <c r="BB713" s="38" t="str">
        <f>IF(ISNA(MATCH($N713,data!$A:$A,0)),"",INDEX(data!Q:Q,MATCH($N713,data!$A:$A,0)))</f>
        <v/>
      </c>
      <c r="BC713" s="38" t="str">
        <f>IF(ISNA(MATCH($N713,data!$A:$A,0)),"",INDEX(data!R:R,MATCH($N713,data!$A:$A,0)))</f>
        <v/>
      </c>
      <c r="BD713" s="38" t="str">
        <f>IF(ISNA(MATCH($N713,[1]data!$A:$A,0)),"",INDEX([1]data!U:U,MATCH($N713,[1]data!$A:$A,0)))</f>
        <v/>
      </c>
      <c r="BE713" s="61" t="e">
        <f>IF(COUNTIF([1]data!A:A,[1]!Table1[[#This Row],[UPC]])&lt;2,"","DUP")</f>
        <v>#VALUE!</v>
      </c>
      <c r="BF713" s="38" t="str">
        <f>IF(ISNA(MATCH($N713,data!$A:$A,0)),"",INDEX(data!W:W,MATCH($N713,data!$A:$A,0)))</f>
        <v/>
      </c>
    </row>
    <row r="714" spans="1:58">
      <c r="A714" s="35"/>
      <c r="B714" s="35"/>
      <c r="C714" s="35"/>
      <c r="D714" s="35"/>
      <c r="E714" s="67"/>
      <c r="F714" s="67"/>
      <c r="G714" s="36"/>
      <c r="H714" s="29"/>
      <c r="I714" s="78" t="str">
        <f t="shared" si="18"/>
        <v/>
      </c>
      <c r="J714" s="29"/>
      <c r="K714" s="29"/>
      <c r="L714" s="33"/>
      <c r="M714" s="33"/>
      <c r="N714" s="60"/>
      <c r="O714" s="71"/>
      <c r="P714" s="71"/>
      <c r="Q714" s="33"/>
      <c r="R714" s="31"/>
      <c r="S714" s="31"/>
      <c r="T714" s="59"/>
      <c r="U714" s="59"/>
      <c r="V714" s="59"/>
      <c r="W714" s="57">
        <f t="shared" si="19"/>
        <v>0</v>
      </c>
      <c r="X714" s="126" t="str">
        <f>IF(Table1[[#This Row],[Shipping Weight Pounds]]&gt;150,"See LTL Form","No")</f>
        <v>No</v>
      </c>
      <c r="Y714" s="28"/>
      <c r="Z714" s="33"/>
      <c r="AA714" s="34"/>
      <c r="AB714" s="30"/>
      <c r="AC714" s="30"/>
      <c r="AD714" s="32"/>
      <c r="AE714" s="32"/>
      <c r="AF714" s="2"/>
      <c r="AG714" s="2"/>
      <c r="AH714" s="2"/>
      <c r="AI714" s="2"/>
      <c r="AK714" s="73" t="str">
        <f>IF(ISNA(MATCH($N714,[1]data!$A:$A,0)),"",INDEX([1]data!S:S,MATCH($N714,[1]data!$A:$A,0)))</f>
        <v/>
      </c>
      <c r="AL714" s="73" t="str">
        <f>IF(ISNA(MATCH($N714,[1]data!$A:$A,0)),"",INDEX([1]data!V:V,MATCH($N714,[1]data!$A:$A,0)))</f>
        <v/>
      </c>
      <c r="AM714" s="38" t="str">
        <f>IF(ISNA(MATCH($N714,data!$A:$A,0)),"",INDEX(data!B:B,MATCH($N714,data!$A:$A,0)))</f>
        <v/>
      </c>
      <c r="AN714" s="38" t="str">
        <f>IF(ISNA(MATCH($N714,data!$A:$A,0)),"",INDEX(data!C:C,MATCH($N714,data!$A:$A,0)))</f>
        <v/>
      </c>
      <c r="AO714" s="38" t="str">
        <f>IF(ISNA(MATCH($N714,data!$A:$A,0)),"",INDEX(data!D:D,MATCH($N714,data!$A:$A,0)))</f>
        <v/>
      </c>
      <c r="AP714" s="38" t="str">
        <f>IF(ISNA(MATCH($N714,data!$A:$A,0)),"",INDEX(data!E:E,MATCH($N714,data!$A:$A,0)))</f>
        <v/>
      </c>
      <c r="AQ714" s="38" t="str">
        <f>IF(ISNA(MATCH($N714,data!$A:$A,0)),"",INDEX(data!F:F,MATCH($N714,data!$A:$A,0)))</f>
        <v/>
      </c>
      <c r="AR714" s="38" t="str">
        <f>IF(ISNA(MATCH($N714,data!$A:$A,0)),"",INDEX(data!G:G,MATCH($N714,data!$A:$A,0)))</f>
        <v/>
      </c>
      <c r="AS714" s="38" t="str">
        <f>IF(ISNA(MATCH($N714,data!$A:$A,0)),"",INDEX(data!H:H,MATCH($N714,data!$A:$A,0)))</f>
        <v/>
      </c>
      <c r="AT714" s="38" t="str">
        <f>IF(ISNA(MATCH($N714,data!$A:$A,0)),"",INDEX(data!I:I,MATCH($N714,data!$A:$A,0)))</f>
        <v/>
      </c>
      <c r="AU714" s="38" t="str">
        <f>IF(ISNA(MATCH($N714,[1]data!$A:$A,0)),"",INDEX([1]data!L:L,MATCH($N714,[1]data!$A:$A,0)))</f>
        <v/>
      </c>
      <c r="AV714" s="38" t="str">
        <f>IF(ISNA(MATCH($N714,[1]data!$A:$A,0)),"",INDEX([1]data!M:M,MATCH($N714,[1]data!$A:$A,0)))</f>
        <v/>
      </c>
      <c r="AW714" s="38" t="str">
        <f>IF(ISNA(MATCH($N714,data!$A:$A,0)),"",INDEX(data!J:J,MATCH($N714,data!$A:$A,0)))</f>
        <v/>
      </c>
      <c r="AX714" s="38" t="str">
        <f>IF(ISNA(MATCH($N714,data!$A:$A,0)),"",INDEX(data!K:K,MATCH($N714,data!$A:$A,0)))</f>
        <v/>
      </c>
      <c r="AY714" s="38" t="str">
        <f>IF(ISNA(MATCH($N714,data!$A:$A,0)),"",INDEX(data!O:O,MATCH($N714,data!$A:$A,0)))</f>
        <v/>
      </c>
      <c r="AZ714" s="38" t="str">
        <f>IF(ISNA(MATCH($N714,data!$A:$A,0)),"",INDEX(data!N:N,MATCH($N714,data!$A:$A,0)))</f>
        <v/>
      </c>
      <c r="BA714" s="38" t="str">
        <f>IF(ISNA(MATCH($N714,data!$A:$A,0)),"",INDEX(data!P:P,MATCH($N714,data!$A:$A,0)))</f>
        <v/>
      </c>
      <c r="BB714" s="38" t="str">
        <f>IF(ISNA(MATCH($N714,data!$A:$A,0)),"",INDEX(data!Q:Q,MATCH($N714,data!$A:$A,0)))</f>
        <v/>
      </c>
      <c r="BC714" s="38" t="str">
        <f>IF(ISNA(MATCH($N714,data!$A:$A,0)),"",INDEX(data!R:R,MATCH($N714,data!$A:$A,0)))</f>
        <v/>
      </c>
      <c r="BD714" s="38" t="str">
        <f>IF(ISNA(MATCH($N714,[1]data!$A:$A,0)),"",INDEX([1]data!U:U,MATCH($N714,[1]data!$A:$A,0)))</f>
        <v/>
      </c>
      <c r="BE714" s="61" t="e">
        <f>IF(COUNTIF([1]data!A:A,[1]!Table1[[#This Row],[UPC]])&lt;2,"","DUP")</f>
        <v>#VALUE!</v>
      </c>
      <c r="BF714" s="38" t="str">
        <f>IF(ISNA(MATCH($N714,data!$A:$A,0)),"",INDEX(data!W:W,MATCH($N714,data!$A:$A,0)))</f>
        <v/>
      </c>
    </row>
    <row r="715" spans="1:58">
      <c r="A715" s="35"/>
      <c r="B715" s="35"/>
      <c r="C715" s="35"/>
      <c r="D715" s="35"/>
      <c r="E715" s="67"/>
      <c r="F715" s="67"/>
      <c r="G715" s="36"/>
      <c r="H715" s="29"/>
      <c r="I715" s="78" t="str">
        <f t="shared" si="18"/>
        <v/>
      </c>
      <c r="J715" s="29"/>
      <c r="K715" s="29"/>
      <c r="L715" s="33"/>
      <c r="M715" s="33"/>
      <c r="N715" s="60"/>
      <c r="O715" s="71"/>
      <c r="P715" s="71"/>
      <c r="Q715" s="33"/>
      <c r="R715" s="31"/>
      <c r="S715" s="31"/>
      <c r="T715" s="59"/>
      <c r="U715" s="59"/>
      <c r="V715" s="59"/>
      <c r="W715" s="57">
        <f t="shared" si="19"/>
        <v>0</v>
      </c>
      <c r="X715" s="126" t="str">
        <f>IF(Table1[[#This Row],[Shipping Weight Pounds]]&gt;150,"See LTL Form","No")</f>
        <v>No</v>
      </c>
      <c r="Y715" s="28"/>
      <c r="Z715" s="33"/>
      <c r="AA715" s="34"/>
      <c r="AB715" s="30"/>
      <c r="AC715" s="30"/>
      <c r="AD715" s="32"/>
      <c r="AE715" s="32"/>
      <c r="AF715" s="2"/>
      <c r="AG715" s="2"/>
      <c r="AH715" s="2"/>
      <c r="AI715" s="2"/>
      <c r="AK715" s="73" t="str">
        <f>IF(ISNA(MATCH($N715,[1]data!$A:$A,0)),"",INDEX([1]data!S:S,MATCH($N715,[1]data!$A:$A,0)))</f>
        <v/>
      </c>
      <c r="AL715" s="73" t="str">
        <f>IF(ISNA(MATCH($N715,[1]data!$A:$A,0)),"",INDEX([1]data!V:V,MATCH($N715,[1]data!$A:$A,0)))</f>
        <v/>
      </c>
      <c r="AM715" s="38" t="str">
        <f>IF(ISNA(MATCH($N715,data!$A:$A,0)),"",INDEX(data!B:B,MATCH($N715,data!$A:$A,0)))</f>
        <v/>
      </c>
      <c r="AN715" s="38" t="str">
        <f>IF(ISNA(MATCH($N715,data!$A:$A,0)),"",INDEX(data!C:C,MATCH($N715,data!$A:$A,0)))</f>
        <v/>
      </c>
      <c r="AO715" s="38" t="str">
        <f>IF(ISNA(MATCH($N715,data!$A:$A,0)),"",INDEX(data!D:D,MATCH($N715,data!$A:$A,0)))</f>
        <v/>
      </c>
      <c r="AP715" s="38" t="str">
        <f>IF(ISNA(MATCH($N715,data!$A:$A,0)),"",INDEX(data!E:E,MATCH($N715,data!$A:$A,0)))</f>
        <v/>
      </c>
      <c r="AQ715" s="38" t="str">
        <f>IF(ISNA(MATCH($N715,data!$A:$A,0)),"",INDEX(data!F:F,MATCH($N715,data!$A:$A,0)))</f>
        <v/>
      </c>
      <c r="AR715" s="38" t="str">
        <f>IF(ISNA(MATCH($N715,data!$A:$A,0)),"",INDEX(data!G:G,MATCH($N715,data!$A:$A,0)))</f>
        <v/>
      </c>
      <c r="AS715" s="38" t="str">
        <f>IF(ISNA(MATCH($N715,data!$A:$A,0)),"",INDEX(data!H:H,MATCH($N715,data!$A:$A,0)))</f>
        <v/>
      </c>
      <c r="AT715" s="38" t="str">
        <f>IF(ISNA(MATCH($N715,data!$A:$A,0)),"",INDEX(data!I:I,MATCH($N715,data!$A:$A,0)))</f>
        <v/>
      </c>
      <c r="AU715" s="38" t="str">
        <f>IF(ISNA(MATCH($N715,[1]data!$A:$A,0)),"",INDEX([1]data!L:L,MATCH($N715,[1]data!$A:$A,0)))</f>
        <v/>
      </c>
      <c r="AV715" s="38" t="str">
        <f>IF(ISNA(MATCH($N715,[1]data!$A:$A,0)),"",INDEX([1]data!M:M,MATCH($N715,[1]data!$A:$A,0)))</f>
        <v/>
      </c>
      <c r="AW715" s="38" t="str">
        <f>IF(ISNA(MATCH($N715,data!$A:$A,0)),"",INDEX(data!J:J,MATCH($N715,data!$A:$A,0)))</f>
        <v/>
      </c>
      <c r="AX715" s="38" t="str">
        <f>IF(ISNA(MATCH($N715,data!$A:$A,0)),"",INDEX(data!K:K,MATCH($N715,data!$A:$A,0)))</f>
        <v/>
      </c>
      <c r="AY715" s="38" t="str">
        <f>IF(ISNA(MATCH($N715,data!$A:$A,0)),"",INDEX(data!O:O,MATCH($N715,data!$A:$A,0)))</f>
        <v/>
      </c>
      <c r="AZ715" s="38" t="str">
        <f>IF(ISNA(MATCH($N715,data!$A:$A,0)),"",INDEX(data!N:N,MATCH($N715,data!$A:$A,0)))</f>
        <v/>
      </c>
      <c r="BA715" s="38" t="str">
        <f>IF(ISNA(MATCH($N715,data!$A:$A,0)),"",INDEX(data!P:P,MATCH($N715,data!$A:$A,0)))</f>
        <v/>
      </c>
      <c r="BB715" s="38" t="str">
        <f>IF(ISNA(MATCH($N715,data!$A:$A,0)),"",INDEX(data!Q:Q,MATCH($N715,data!$A:$A,0)))</f>
        <v/>
      </c>
      <c r="BC715" s="38" t="str">
        <f>IF(ISNA(MATCH($N715,data!$A:$A,0)),"",INDEX(data!R:R,MATCH($N715,data!$A:$A,0)))</f>
        <v/>
      </c>
      <c r="BD715" s="38" t="str">
        <f>IF(ISNA(MATCH($N715,[1]data!$A:$A,0)),"",INDEX([1]data!U:U,MATCH($N715,[1]data!$A:$A,0)))</f>
        <v/>
      </c>
      <c r="BE715" s="61" t="e">
        <f>IF(COUNTIF([1]data!A:A,[1]!Table1[[#This Row],[UPC]])&lt;2,"","DUP")</f>
        <v>#VALUE!</v>
      </c>
      <c r="BF715" s="38" t="str">
        <f>IF(ISNA(MATCH($N715,data!$A:$A,0)),"",INDEX(data!W:W,MATCH($N715,data!$A:$A,0)))</f>
        <v/>
      </c>
    </row>
    <row r="716" spans="1:58">
      <c r="A716" s="35"/>
      <c r="B716" s="35"/>
      <c r="C716" s="35"/>
      <c r="D716" s="35"/>
      <c r="E716" s="67"/>
      <c r="F716" s="67"/>
      <c r="G716" s="36"/>
      <c r="H716" s="29"/>
      <c r="I716" s="78" t="str">
        <f t="shared" si="18"/>
        <v/>
      </c>
      <c r="J716" s="29"/>
      <c r="K716" s="29"/>
      <c r="L716" s="33"/>
      <c r="M716" s="33"/>
      <c r="N716" s="60"/>
      <c r="O716" s="71"/>
      <c r="P716" s="71"/>
      <c r="Q716" s="33"/>
      <c r="R716" s="31"/>
      <c r="S716" s="31"/>
      <c r="T716" s="59"/>
      <c r="U716" s="59"/>
      <c r="V716" s="59"/>
      <c r="W716" s="57">
        <f t="shared" si="19"/>
        <v>0</v>
      </c>
      <c r="X716" s="126" t="str">
        <f>IF(Table1[[#This Row],[Shipping Weight Pounds]]&gt;150,"See LTL Form","No")</f>
        <v>No</v>
      </c>
      <c r="Y716" s="28"/>
      <c r="Z716" s="33"/>
      <c r="AA716" s="34"/>
      <c r="AB716" s="30"/>
      <c r="AC716" s="30"/>
      <c r="AD716" s="32"/>
      <c r="AE716" s="32"/>
      <c r="AF716" s="2"/>
      <c r="AG716" s="2"/>
      <c r="AH716" s="2"/>
      <c r="AI716" s="2"/>
      <c r="AK716" s="73" t="str">
        <f>IF(ISNA(MATCH($N716,[1]data!$A:$A,0)),"",INDEX([1]data!S:S,MATCH($N716,[1]data!$A:$A,0)))</f>
        <v/>
      </c>
      <c r="AL716" s="73" t="str">
        <f>IF(ISNA(MATCH($N716,[1]data!$A:$A,0)),"",INDEX([1]data!V:V,MATCH($N716,[1]data!$A:$A,0)))</f>
        <v/>
      </c>
      <c r="AM716" s="38" t="str">
        <f>IF(ISNA(MATCH($N716,data!$A:$A,0)),"",INDEX(data!B:B,MATCH($N716,data!$A:$A,0)))</f>
        <v/>
      </c>
      <c r="AN716" s="38" t="str">
        <f>IF(ISNA(MATCH($N716,data!$A:$A,0)),"",INDEX(data!C:C,MATCH($N716,data!$A:$A,0)))</f>
        <v/>
      </c>
      <c r="AO716" s="38" t="str">
        <f>IF(ISNA(MATCH($N716,data!$A:$A,0)),"",INDEX(data!D:D,MATCH($N716,data!$A:$A,0)))</f>
        <v/>
      </c>
      <c r="AP716" s="38" t="str">
        <f>IF(ISNA(MATCH($N716,data!$A:$A,0)),"",INDEX(data!E:E,MATCH($N716,data!$A:$A,0)))</f>
        <v/>
      </c>
      <c r="AQ716" s="38" t="str">
        <f>IF(ISNA(MATCH($N716,data!$A:$A,0)),"",INDEX(data!F:F,MATCH($N716,data!$A:$A,0)))</f>
        <v/>
      </c>
      <c r="AR716" s="38" t="str">
        <f>IF(ISNA(MATCH($N716,data!$A:$A,0)),"",INDEX(data!G:G,MATCH($N716,data!$A:$A,0)))</f>
        <v/>
      </c>
      <c r="AS716" s="38" t="str">
        <f>IF(ISNA(MATCH($N716,data!$A:$A,0)),"",INDEX(data!H:H,MATCH($N716,data!$A:$A,0)))</f>
        <v/>
      </c>
      <c r="AT716" s="38" t="str">
        <f>IF(ISNA(MATCH($N716,data!$A:$A,0)),"",INDEX(data!I:I,MATCH($N716,data!$A:$A,0)))</f>
        <v/>
      </c>
      <c r="AU716" s="38" t="str">
        <f>IF(ISNA(MATCH($N716,[1]data!$A:$A,0)),"",INDEX([1]data!L:L,MATCH($N716,[1]data!$A:$A,0)))</f>
        <v/>
      </c>
      <c r="AV716" s="38" t="str">
        <f>IF(ISNA(MATCH($N716,[1]data!$A:$A,0)),"",INDEX([1]data!M:M,MATCH($N716,[1]data!$A:$A,0)))</f>
        <v/>
      </c>
      <c r="AW716" s="38" t="str">
        <f>IF(ISNA(MATCH($N716,data!$A:$A,0)),"",INDEX(data!J:J,MATCH($N716,data!$A:$A,0)))</f>
        <v/>
      </c>
      <c r="AX716" s="38" t="str">
        <f>IF(ISNA(MATCH($N716,data!$A:$A,0)),"",INDEX(data!K:K,MATCH($N716,data!$A:$A,0)))</f>
        <v/>
      </c>
      <c r="AY716" s="38" t="str">
        <f>IF(ISNA(MATCH($N716,data!$A:$A,0)),"",INDEX(data!O:O,MATCH($N716,data!$A:$A,0)))</f>
        <v/>
      </c>
      <c r="AZ716" s="38" t="str">
        <f>IF(ISNA(MATCH($N716,data!$A:$A,0)),"",INDEX(data!N:N,MATCH($N716,data!$A:$A,0)))</f>
        <v/>
      </c>
      <c r="BA716" s="38" t="str">
        <f>IF(ISNA(MATCH($N716,data!$A:$A,0)),"",INDEX(data!P:P,MATCH($N716,data!$A:$A,0)))</f>
        <v/>
      </c>
      <c r="BB716" s="38" t="str">
        <f>IF(ISNA(MATCH($N716,data!$A:$A,0)),"",INDEX(data!Q:Q,MATCH($N716,data!$A:$A,0)))</f>
        <v/>
      </c>
      <c r="BC716" s="38" t="str">
        <f>IF(ISNA(MATCH($N716,data!$A:$A,0)),"",INDEX(data!R:R,MATCH($N716,data!$A:$A,0)))</f>
        <v/>
      </c>
      <c r="BD716" s="38" t="str">
        <f>IF(ISNA(MATCH($N716,[1]data!$A:$A,0)),"",INDEX([1]data!U:U,MATCH($N716,[1]data!$A:$A,0)))</f>
        <v/>
      </c>
      <c r="BE716" s="61" t="e">
        <f>IF(COUNTIF([1]data!A:A,[1]!Table1[[#This Row],[UPC]])&lt;2,"","DUP")</f>
        <v>#VALUE!</v>
      </c>
      <c r="BF716" s="38" t="str">
        <f>IF(ISNA(MATCH($N716,data!$A:$A,0)),"",INDEX(data!W:W,MATCH($N716,data!$A:$A,0)))</f>
        <v/>
      </c>
    </row>
    <row r="717" spans="1:58">
      <c r="A717" s="35"/>
      <c r="B717" s="35"/>
      <c r="C717" s="35"/>
      <c r="D717" s="35"/>
      <c r="E717" s="67"/>
      <c r="F717" s="67"/>
      <c r="G717" s="36"/>
      <c r="H717" s="29"/>
      <c r="I717" s="78" t="str">
        <f t="shared" si="18"/>
        <v/>
      </c>
      <c r="J717" s="29"/>
      <c r="K717" s="29"/>
      <c r="L717" s="33"/>
      <c r="M717" s="33"/>
      <c r="N717" s="60"/>
      <c r="O717" s="71"/>
      <c r="P717" s="71"/>
      <c r="Q717" s="33"/>
      <c r="R717" s="31"/>
      <c r="S717" s="31"/>
      <c r="T717" s="59"/>
      <c r="U717" s="59"/>
      <c r="V717" s="59"/>
      <c r="W717" s="57">
        <f t="shared" si="19"/>
        <v>0</v>
      </c>
      <c r="X717" s="126" t="str">
        <f>IF(Table1[[#This Row],[Shipping Weight Pounds]]&gt;150,"See LTL Form","No")</f>
        <v>No</v>
      </c>
      <c r="Y717" s="28"/>
      <c r="Z717" s="33"/>
      <c r="AA717" s="34"/>
      <c r="AB717" s="30"/>
      <c r="AC717" s="30"/>
      <c r="AD717" s="32"/>
      <c r="AE717" s="32"/>
      <c r="AF717" s="2"/>
      <c r="AG717" s="2"/>
      <c r="AH717" s="2"/>
      <c r="AI717" s="2"/>
      <c r="AK717" s="73" t="str">
        <f>IF(ISNA(MATCH($N717,[1]data!$A:$A,0)),"",INDEX([1]data!S:S,MATCH($N717,[1]data!$A:$A,0)))</f>
        <v/>
      </c>
      <c r="AL717" s="73" t="str">
        <f>IF(ISNA(MATCH($N717,[1]data!$A:$A,0)),"",INDEX([1]data!V:V,MATCH($N717,[1]data!$A:$A,0)))</f>
        <v/>
      </c>
      <c r="AM717" s="38" t="str">
        <f>IF(ISNA(MATCH($N717,data!$A:$A,0)),"",INDEX(data!B:B,MATCH($N717,data!$A:$A,0)))</f>
        <v/>
      </c>
      <c r="AN717" s="38" t="str">
        <f>IF(ISNA(MATCH($N717,data!$A:$A,0)),"",INDEX(data!C:C,MATCH($N717,data!$A:$A,0)))</f>
        <v/>
      </c>
      <c r="AO717" s="38" t="str">
        <f>IF(ISNA(MATCH($N717,data!$A:$A,0)),"",INDEX(data!D:D,MATCH($N717,data!$A:$A,0)))</f>
        <v/>
      </c>
      <c r="AP717" s="38" t="str">
        <f>IF(ISNA(MATCH($N717,data!$A:$A,0)),"",INDEX(data!E:E,MATCH($N717,data!$A:$A,0)))</f>
        <v/>
      </c>
      <c r="AQ717" s="38" t="str">
        <f>IF(ISNA(MATCH($N717,data!$A:$A,0)),"",INDEX(data!F:F,MATCH($N717,data!$A:$A,0)))</f>
        <v/>
      </c>
      <c r="AR717" s="38" t="str">
        <f>IF(ISNA(MATCH($N717,data!$A:$A,0)),"",INDEX(data!G:G,MATCH($N717,data!$A:$A,0)))</f>
        <v/>
      </c>
      <c r="AS717" s="38" t="str">
        <f>IF(ISNA(MATCH($N717,data!$A:$A,0)),"",INDEX(data!H:H,MATCH($N717,data!$A:$A,0)))</f>
        <v/>
      </c>
      <c r="AT717" s="38" t="str">
        <f>IF(ISNA(MATCH($N717,data!$A:$A,0)),"",INDEX(data!I:I,MATCH($N717,data!$A:$A,0)))</f>
        <v/>
      </c>
      <c r="AU717" s="38" t="str">
        <f>IF(ISNA(MATCH($N717,[1]data!$A:$A,0)),"",INDEX([1]data!L:L,MATCH($N717,[1]data!$A:$A,0)))</f>
        <v/>
      </c>
      <c r="AV717" s="38" t="str">
        <f>IF(ISNA(MATCH($N717,[1]data!$A:$A,0)),"",INDEX([1]data!M:M,MATCH($N717,[1]data!$A:$A,0)))</f>
        <v/>
      </c>
      <c r="AW717" s="38" t="str">
        <f>IF(ISNA(MATCH($N717,data!$A:$A,0)),"",INDEX(data!J:J,MATCH($N717,data!$A:$A,0)))</f>
        <v/>
      </c>
      <c r="AX717" s="38" t="str">
        <f>IF(ISNA(MATCH($N717,data!$A:$A,0)),"",INDEX(data!K:K,MATCH($N717,data!$A:$A,0)))</f>
        <v/>
      </c>
      <c r="AY717" s="38" t="str">
        <f>IF(ISNA(MATCH($N717,data!$A:$A,0)),"",INDEX(data!O:O,MATCH($N717,data!$A:$A,0)))</f>
        <v/>
      </c>
      <c r="AZ717" s="38" t="str">
        <f>IF(ISNA(MATCH($N717,data!$A:$A,0)),"",INDEX(data!N:N,MATCH($N717,data!$A:$A,0)))</f>
        <v/>
      </c>
      <c r="BA717" s="38" t="str">
        <f>IF(ISNA(MATCH($N717,data!$A:$A,0)),"",INDEX(data!P:P,MATCH($N717,data!$A:$A,0)))</f>
        <v/>
      </c>
      <c r="BB717" s="38" t="str">
        <f>IF(ISNA(MATCH($N717,data!$A:$A,0)),"",INDEX(data!Q:Q,MATCH($N717,data!$A:$A,0)))</f>
        <v/>
      </c>
      <c r="BC717" s="38" t="str">
        <f>IF(ISNA(MATCH($N717,data!$A:$A,0)),"",INDEX(data!R:R,MATCH($N717,data!$A:$A,0)))</f>
        <v/>
      </c>
      <c r="BD717" s="38" t="str">
        <f>IF(ISNA(MATCH($N717,[1]data!$A:$A,0)),"",INDEX([1]data!U:U,MATCH($N717,[1]data!$A:$A,0)))</f>
        <v/>
      </c>
      <c r="BE717" s="61" t="e">
        <f>IF(COUNTIF([1]data!A:A,[1]!Table1[[#This Row],[UPC]])&lt;2,"","DUP")</f>
        <v>#VALUE!</v>
      </c>
      <c r="BF717" s="38" t="str">
        <f>IF(ISNA(MATCH($N717,data!$A:$A,0)),"",INDEX(data!W:W,MATCH($N717,data!$A:$A,0)))</f>
        <v/>
      </c>
    </row>
    <row r="718" spans="1:58">
      <c r="A718" s="35"/>
      <c r="B718" s="35"/>
      <c r="C718" s="35"/>
      <c r="D718" s="35"/>
      <c r="E718" s="67"/>
      <c r="F718" s="67"/>
      <c r="G718" s="36"/>
      <c r="H718" s="29"/>
      <c r="I718" s="78" t="str">
        <f t="shared" si="18"/>
        <v/>
      </c>
      <c r="J718" s="29"/>
      <c r="K718" s="29"/>
      <c r="L718" s="33"/>
      <c r="M718" s="33"/>
      <c r="N718" s="60"/>
      <c r="O718" s="71"/>
      <c r="P718" s="71"/>
      <c r="Q718" s="33"/>
      <c r="R718" s="31"/>
      <c r="S718" s="31"/>
      <c r="T718" s="59"/>
      <c r="U718" s="59"/>
      <c r="V718" s="59"/>
      <c r="W718" s="57">
        <f t="shared" si="19"/>
        <v>0</v>
      </c>
      <c r="X718" s="126" t="str">
        <f>IF(Table1[[#This Row],[Shipping Weight Pounds]]&gt;150,"See LTL Form","No")</f>
        <v>No</v>
      </c>
      <c r="Y718" s="28"/>
      <c r="Z718" s="33"/>
      <c r="AA718" s="34"/>
      <c r="AB718" s="30"/>
      <c r="AC718" s="30"/>
      <c r="AD718" s="32"/>
      <c r="AE718" s="32"/>
      <c r="AF718" s="2"/>
      <c r="AG718" s="2"/>
      <c r="AH718" s="2"/>
      <c r="AI718" s="2"/>
      <c r="AK718" s="73" t="str">
        <f>IF(ISNA(MATCH($N718,[1]data!$A:$A,0)),"",INDEX([1]data!S:S,MATCH($N718,[1]data!$A:$A,0)))</f>
        <v/>
      </c>
      <c r="AL718" s="73" t="str">
        <f>IF(ISNA(MATCH($N718,[1]data!$A:$A,0)),"",INDEX([1]data!V:V,MATCH($N718,[1]data!$A:$A,0)))</f>
        <v/>
      </c>
      <c r="AM718" s="38" t="str">
        <f>IF(ISNA(MATCH($N718,data!$A:$A,0)),"",INDEX(data!B:B,MATCH($N718,data!$A:$A,0)))</f>
        <v/>
      </c>
      <c r="AN718" s="38" t="str">
        <f>IF(ISNA(MATCH($N718,data!$A:$A,0)),"",INDEX(data!C:C,MATCH($N718,data!$A:$A,0)))</f>
        <v/>
      </c>
      <c r="AO718" s="38" t="str">
        <f>IF(ISNA(MATCH($N718,data!$A:$A,0)),"",INDEX(data!D:D,MATCH($N718,data!$A:$A,0)))</f>
        <v/>
      </c>
      <c r="AP718" s="38" t="str">
        <f>IF(ISNA(MATCH($N718,data!$A:$A,0)),"",INDEX(data!E:E,MATCH($N718,data!$A:$A,0)))</f>
        <v/>
      </c>
      <c r="AQ718" s="38" t="str">
        <f>IF(ISNA(MATCH($N718,data!$A:$A,0)),"",INDEX(data!F:F,MATCH($N718,data!$A:$A,0)))</f>
        <v/>
      </c>
      <c r="AR718" s="38" t="str">
        <f>IF(ISNA(MATCH($N718,data!$A:$A,0)),"",INDEX(data!G:G,MATCH($N718,data!$A:$A,0)))</f>
        <v/>
      </c>
      <c r="AS718" s="38" t="str">
        <f>IF(ISNA(MATCH($N718,data!$A:$A,0)),"",INDEX(data!H:H,MATCH($N718,data!$A:$A,0)))</f>
        <v/>
      </c>
      <c r="AT718" s="38" t="str">
        <f>IF(ISNA(MATCH($N718,data!$A:$A,0)),"",INDEX(data!I:I,MATCH($N718,data!$A:$A,0)))</f>
        <v/>
      </c>
      <c r="AU718" s="38" t="str">
        <f>IF(ISNA(MATCH($N718,[1]data!$A:$A,0)),"",INDEX([1]data!L:L,MATCH($N718,[1]data!$A:$A,0)))</f>
        <v/>
      </c>
      <c r="AV718" s="38" t="str">
        <f>IF(ISNA(MATCH($N718,[1]data!$A:$A,0)),"",INDEX([1]data!M:M,MATCH($N718,[1]data!$A:$A,0)))</f>
        <v/>
      </c>
      <c r="AW718" s="38" t="str">
        <f>IF(ISNA(MATCH($N718,data!$A:$A,0)),"",INDEX(data!J:J,MATCH($N718,data!$A:$A,0)))</f>
        <v/>
      </c>
      <c r="AX718" s="38" t="str">
        <f>IF(ISNA(MATCH($N718,data!$A:$A,0)),"",INDEX(data!K:K,MATCH($N718,data!$A:$A,0)))</f>
        <v/>
      </c>
      <c r="AY718" s="38" t="str">
        <f>IF(ISNA(MATCH($N718,data!$A:$A,0)),"",INDEX(data!O:O,MATCH($N718,data!$A:$A,0)))</f>
        <v/>
      </c>
      <c r="AZ718" s="38" t="str">
        <f>IF(ISNA(MATCH($N718,data!$A:$A,0)),"",INDEX(data!N:N,MATCH($N718,data!$A:$A,0)))</f>
        <v/>
      </c>
      <c r="BA718" s="38" t="str">
        <f>IF(ISNA(MATCH($N718,data!$A:$A,0)),"",INDEX(data!P:P,MATCH($N718,data!$A:$A,0)))</f>
        <v/>
      </c>
      <c r="BB718" s="38" t="str">
        <f>IF(ISNA(MATCH($N718,data!$A:$A,0)),"",INDEX(data!Q:Q,MATCH($N718,data!$A:$A,0)))</f>
        <v/>
      </c>
      <c r="BC718" s="38" t="str">
        <f>IF(ISNA(MATCH($N718,data!$A:$A,0)),"",INDEX(data!R:R,MATCH($N718,data!$A:$A,0)))</f>
        <v/>
      </c>
      <c r="BD718" s="38" t="str">
        <f>IF(ISNA(MATCH($N718,[1]data!$A:$A,0)),"",INDEX([1]data!U:U,MATCH($N718,[1]data!$A:$A,0)))</f>
        <v/>
      </c>
      <c r="BE718" s="61" t="e">
        <f>IF(COUNTIF([1]data!A:A,[1]!Table1[[#This Row],[UPC]])&lt;2,"","DUP")</f>
        <v>#VALUE!</v>
      </c>
      <c r="BF718" s="38" t="str">
        <f>IF(ISNA(MATCH($N718,data!$A:$A,0)),"",INDEX(data!W:W,MATCH($N718,data!$A:$A,0)))</f>
        <v/>
      </c>
    </row>
    <row r="719" spans="1:58">
      <c r="A719" s="35"/>
      <c r="B719" s="35"/>
      <c r="C719" s="35"/>
      <c r="D719" s="35"/>
      <c r="E719" s="67"/>
      <c r="F719" s="67"/>
      <c r="G719" s="36"/>
      <c r="H719" s="29"/>
      <c r="I719" s="78" t="str">
        <f t="shared" si="18"/>
        <v/>
      </c>
      <c r="J719" s="29"/>
      <c r="K719" s="29"/>
      <c r="L719" s="33"/>
      <c r="M719" s="33"/>
      <c r="N719" s="60"/>
      <c r="O719" s="71"/>
      <c r="P719" s="71"/>
      <c r="Q719" s="33"/>
      <c r="R719" s="31"/>
      <c r="S719" s="31"/>
      <c r="T719" s="59"/>
      <c r="U719" s="59"/>
      <c r="V719" s="59"/>
      <c r="W719" s="57">
        <f t="shared" si="19"/>
        <v>0</v>
      </c>
      <c r="X719" s="126" t="str">
        <f>IF(Table1[[#This Row],[Shipping Weight Pounds]]&gt;150,"See LTL Form","No")</f>
        <v>No</v>
      </c>
      <c r="Y719" s="28"/>
      <c r="Z719" s="33"/>
      <c r="AA719" s="34"/>
      <c r="AB719" s="30"/>
      <c r="AC719" s="30"/>
      <c r="AD719" s="32"/>
      <c r="AE719" s="32"/>
      <c r="AF719" s="2"/>
      <c r="AG719" s="2"/>
      <c r="AH719" s="2"/>
      <c r="AI719" s="2"/>
      <c r="AK719" s="73" t="str">
        <f>IF(ISNA(MATCH($N719,[1]data!$A:$A,0)),"",INDEX([1]data!S:S,MATCH($N719,[1]data!$A:$A,0)))</f>
        <v/>
      </c>
      <c r="AL719" s="73" t="str">
        <f>IF(ISNA(MATCH($N719,[1]data!$A:$A,0)),"",INDEX([1]data!V:V,MATCH($N719,[1]data!$A:$A,0)))</f>
        <v/>
      </c>
      <c r="AM719" s="38" t="str">
        <f>IF(ISNA(MATCH($N719,data!$A:$A,0)),"",INDEX(data!B:B,MATCH($N719,data!$A:$A,0)))</f>
        <v/>
      </c>
      <c r="AN719" s="38" t="str">
        <f>IF(ISNA(MATCH($N719,data!$A:$A,0)),"",INDEX(data!C:C,MATCH($N719,data!$A:$A,0)))</f>
        <v/>
      </c>
      <c r="AO719" s="38" t="str">
        <f>IF(ISNA(MATCH($N719,data!$A:$A,0)),"",INDEX(data!D:D,MATCH($N719,data!$A:$A,0)))</f>
        <v/>
      </c>
      <c r="AP719" s="38" t="str">
        <f>IF(ISNA(MATCH($N719,data!$A:$A,0)),"",INDEX(data!E:E,MATCH($N719,data!$A:$A,0)))</f>
        <v/>
      </c>
      <c r="AQ719" s="38" t="str">
        <f>IF(ISNA(MATCH($N719,data!$A:$A,0)),"",INDEX(data!F:F,MATCH($N719,data!$A:$A,0)))</f>
        <v/>
      </c>
      <c r="AR719" s="38" t="str">
        <f>IF(ISNA(MATCH($N719,data!$A:$A,0)),"",INDEX(data!G:G,MATCH($N719,data!$A:$A,0)))</f>
        <v/>
      </c>
      <c r="AS719" s="38" t="str">
        <f>IF(ISNA(MATCH($N719,data!$A:$A,0)),"",INDEX(data!H:H,MATCH($N719,data!$A:$A,0)))</f>
        <v/>
      </c>
      <c r="AT719" s="38" t="str">
        <f>IF(ISNA(MATCH($N719,data!$A:$A,0)),"",INDEX(data!I:I,MATCH($N719,data!$A:$A,0)))</f>
        <v/>
      </c>
      <c r="AU719" s="38" t="str">
        <f>IF(ISNA(MATCH($N719,[1]data!$A:$A,0)),"",INDEX([1]data!L:L,MATCH($N719,[1]data!$A:$A,0)))</f>
        <v/>
      </c>
      <c r="AV719" s="38" t="str">
        <f>IF(ISNA(MATCH($N719,[1]data!$A:$A,0)),"",INDEX([1]data!M:M,MATCH($N719,[1]data!$A:$A,0)))</f>
        <v/>
      </c>
      <c r="AW719" s="38" t="str">
        <f>IF(ISNA(MATCH($N719,data!$A:$A,0)),"",INDEX(data!J:J,MATCH($N719,data!$A:$A,0)))</f>
        <v/>
      </c>
      <c r="AX719" s="38" t="str">
        <f>IF(ISNA(MATCH($N719,data!$A:$A,0)),"",INDEX(data!K:K,MATCH($N719,data!$A:$A,0)))</f>
        <v/>
      </c>
      <c r="AY719" s="38" t="str">
        <f>IF(ISNA(MATCH($N719,data!$A:$A,0)),"",INDEX(data!O:O,MATCH($N719,data!$A:$A,0)))</f>
        <v/>
      </c>
      <c r="AZ719" s="38" t="str">
        <f>IF(ISNA(MATCH($N719,data!$A:$A,0)),"",INDEX(data!N:N,MATCH($N719,data!$A:$A,0)))</f>
        <v/>
      </c>
      <c r="BA719" s="38" t="str">
        <f>IF(ISNA(MATCH($N719,data!$A:$A,0)),"",INDEX(data!P:P,MATCH($N719,data!$A:$A,0)))</f>
        <v/>
      </c>
      <c r="BB719" s="38" t="str">
        <f>IF(ISNA(MATCH($N719,data!$A:$A,0)),"",INDEX(data!Q:Q,MATCH($N719,data!$A:$A,0)))</f>
        <v/>
      </c>
      <c r="BC719" s="38" t="str">
        <f>IF(ISNA(MATCH($N719,data!$A:$A,0)),"",INDEX(data!R:R,MATCH($N719,data!$A:$A,0)))</f>
        <v/>
      </c>
      <c r="BD719" s="38" t="str">
        <f>IF(ISNA(MATCH($N719,[1]data!$A:$A,0)),"",INDEX([1]data!U:U,MATCH($N719,[1]data!$A:$A,0)))</f>
        <v/>
      </c>
      <c r="BE719" s="61" t="e">
        <f>IF(COUNTIF([1]data!A:A,[1]!Table1[[#This Row],[UPC]])&lt;2,"","DUP")</f>
        <v>#VALUE!</v>
      </c>
      <c r="BF719" s="38" t="str">
        <f>IF(ISNA(MATCH($N719,data!$A:$A,0)),"",INDEX(data!W:W,MATCH($N719,data!$A:$A,0)))</f>
        <v/>
      </c>
    </row>
    <row r="720" spans="1:58">
      <c r="A720" s="35"/>
      <c r="B720" s="35"/>
      <c r="C720" s="35"/>
      <c r="D720" s="35"/>
      <c r="E720" s="67"/>
      <c r="F720" s="67"/>
      <c r="G720" s="36"/>
      <c r="H720" s="29"/>
      <c r="I720" s="78" t="str">
        <f t="shared" si="18"/>
        <v/>
      </c>
      <c r="J720" s="29"/>
      <c r="K720" s="29"/>
      <c r="L720" s="33"/>
      <c r="M720" s="33"/>
      <c r="N720" s="60"/>
      <c r="O720" s="71"/>
      <c r="P720" s="71"/>
      <c r="Q720" s="33"/>
      <c r="R720" s="31"/>
      <c r="S720" s="31"/>
      <c r="T720" s="59"/>
      <c r="U720" s="59"/>
      <c r="V720" s="59"/>
      <c r="W720" s="57">
        <f t="shared" si="19"/>
        <v>0</v>
      </c>
      <c r="X720" s="126" t="str">
        <f>IF(Table1[[#This Row],[Shipping Weight Pounds]]&gt;150,"See LTL Form","No")</f>
        <v>No</v>
      </c>
      <c r="Y720" s="28"/>
      <c r="Z720" s="33"/>
      <c r="AA720" s="34"/>
      <c r="AB720" s="30"/>
      <c r="AC720" s="30"/>
      <c r="AD720" s="32"/>
      <c r="AE720" s="32"/>
      <c r="AF720" s="2"/>
      <c r="AG720" s="2"/>
      <c r="AH720" s="2"/>
      <c r="AI720" s="2"/>
      <c r="AK720" s="73" t="str">
        <f>IF(ISNA(MATCH($N720,[1]data!$A:$A,0)),"",INDEX([1]data!S:S,MATCH($N720,[1]data!$A:$A,0)))</f>
        <v/>
      </c>
      <c r="AL720" s="73" t="str">
        <f>IF(ISNA(MATCH($N720,[1]data!$A:$A,0)),"",INDEX([1]data!V:V,MATCH($N720,[1]data!$A:$A,0)))</f>
        <v/>
      </c>
      <c r="AM720" s="38" t="str">
        <f>IF(ISNA(MATCH($N720,data!$A:$A,0)),"",INDEX(data!B:B,MATCH($N720,data!$A:$A,0)))</f>
        <v/>
      </c>
      <c r="AN720" s="38" t="str">
        <f>IF(ISNA(MATCH($N720,data!$A:$A,0)),"",INDEX(data!C:C,MATCH($N720,data!$A:$A,0)))</f>
        <v/>
      </c>
      <c r="AO720" s="38" t="str">
        <f>IF(ISNA(MATCH($N720,data!$A:$A,0)),"",INDEX(data!D:D,MATCH($N720,data!$A:$A,0)))</f>
        <v/>
      </c>
      <c r="AP720" s="38" t="str">
        <f>IF(ISNA(MATCH($N720,data!$A:$A,0)),"",INDEX(data!E:E,MATCH($N720,data!$A:$A,0)))</f>
        <v/>
      </c>
      <c r="AQ720" s="38" t="str">
        <f>IF(ISNA(MATCH($N720,data!$A:$A,0)),"",INDEX(data!F:F,MATCH($N720,data!$A:$A,0)))</f>
        <v/>
      </c>
      <c r="AR720" s="38" t="str">
        <f>IF(ISNA(MATCH($N720,data!$A:$A,0)),"",INDEX(data!G:G,MATCH($N720,data!$A:$A,0)))</f>
        <v/>
      </c>
      <c r="AS720" s="38" t="str">
        <f>IF(ISNA(MATCH($N720,data!$A:$A,0)),"",INDEX(data!H:H,MATCH($N720,data!$A:$A,0)))</f>
        <v/>
      </c>
      <c r="AT720" s="38" t="str">
        <f>IF(ISNA(MATCH($N720,data!$A:$A,0)),"",INDEX(data!I:I,MATCH($N720,data!$A:$A,0)))</f>
        <v/>
      </c>
      <c r="AU720" s="38" t="str">
        <f>IF(ISNA(MATCH($N720,[1]data!$A:$A,0)),"",INDEX([1]data!L:L,MATCH($N720,[1]data!$A:$A,0)))</f>
        <v/>
      </c>
      <c r="AV720" s="38" t="str">
        <f>IF(ISNA(MATCH($N720,[1]data!$A:$A,0)),"",INDEX([1]data!M:M,MATCH($N720,[1]data!$A:$A,0)))</f>
        <v/>
      </c>
      <c r="AW720" s="38" t="str">
        <f>IF(ISNA(MATCH($N720,data!$A:$A,0)),"",INDEX(data!J:J,MATCH($N720,data!$A:$A,0)))</f>
        <v/>
      </c>
      <c r="AX720" s="38" t="str">
        <f>IF(ISNA(MATCH($N720,data!$A:$A,0)),"",INDEX(data!K:K,MATCH($N720,data!$A:$A,0)))</f>
        <v/>
      </c>
      <c r="AY720" s="38" t="str">
        <f>IF(ISNA(MATCH($N720,data!$A:$A,0)),"",INDEX(data!O:O,MATCH($N720,data!$A:$A,0)))</f>
        <v/>
      </c>
      <c r="AZ720" s="38" t="str">
        <f>IF(ISNA(MATCH($N720,data!$A:$A,0)),"",INDEX(data!N:N,MATCH($N720,data!$A:$A,0)))</f>
        <v/>
      </c>
      <c r="BA720" s="38" t="str">
        <f>IF(ISNA(MATCH($N720,data!$A:$A,0)),"",INDEX(data!P:P,MATCH($N720,data!$A:$A,0)))</f>
        <v/>
      </c>
      <c r="BB720" s="38" t="str">
        <f>IF(ISNA(MATCH($N720,data!$A:$A,0)),"",INDEX(data!Q:Q,MATCH($N720,data!$A:$A,0)))</f>
        <v/>
      </c>
      <c r="BC720" s="38" t="str">
        <f>IF(ISNA(MATCH($N720,data!$A:$A,0)),"",INDEX(data!R:R,MATCH($N720,data!$A:$A,0)))</f>
        <v/>
      </c>
      <c r="BD720" s="38" t="str">
        <f>IF(ISNA(MATCH($N720,[1]data!$A:$A,0)),"",INDEX([1]data!U:U,MATCH($N720,[1]data!$A:$A,0)))</f>
        <v/>
      </c>
      <c r="BE720" s="61" t="e">
        <f>IF(COUNTIF([1]data!A:A,[1]!Table1[[#This Row],[UPC]])&lt;2,"","DUP")</f>
        <v>#VALUE!</v>
      </c>
      <c r="BF720" s="38" t="str">
        <f>IF(ISNA(MATCH($N720,data!$A:$A,0)),"",INDEX(data!W:W,MATCH($N720,data!$A:$A,0)))</f>
        <v/>
      </c>
    </row>
    <row r="721" spans="1:58">
      <c r="A721" s="35"/>
      <c r="B721" s="35"/>
      <c r="C721" s="35"/>
      <c r="D721" s="35"/>
      <c r="E721" s="67"/>
      <c r="F721" s="67"/>
      <c r="G721" s="36"/>
      <c r="H721" s="29"/>
      <c r="I721" s="78" t="str">
        <f t="shared" si="18"/>
        <v/>
      </c>
      <c r="J721" s="29"/>
      <c r="K721" s="29"/>
      <c r="L721" s="33"/>
      <c r="M721" s="33"/>
      <c r="N721" s="60"/>
      <c r="O721" s="71"/>
      <c r="P721" s="71"/>
      <c r="Q721" s="33"/>
      <c r="R721" s="31"/>
      <c r="S721" s="31"/>
      <c r="T721" s="59"/>
      <c r="U721" s="59"/>
      <c r="V721" s="59"/>
      <c r="W721" s="57">
        <f t="shared" si="19"/>
        <v>0</v>
      </c>
      <c r="X721" s="126" t="str">
        <f>IF(Table1[[#This Row],[Shipping Weight Pounds]]&gt;150,"See LTL Form","No")</f>
        <v>No</v>
      </c>
      <c r="Y721" s="28"/>
      <c r="Z721" s="33"/>
      <c r="AA721" s="34"/>
      <c r="AB721" s="30"/>
      <c r="AC721" s="30"/>
      <c r="AD721" s="32"/>
      <c r="AE721" s="32"/>
      <c r="AF721" s="2"/>
      <c r="AG721" s="2"/>
      <c r="AH721" s="2"/>
      <c r="AI721" s="2"/>
      <c r="AK721" s="73" t="str">
        <f>IF(ISNA(MATCH($N721,[1]data!$A:$A,0)),"",INDEX([1]data!S:S,MATCH($N721,[1]data!$A:$A,0)))</f>
        <v/>
      </c>
      <c r="AL721" s="73" t="str">
        <f>IF(ISNA(MATCH($N721,[1]data!$A:$A,0)),"",INDEX([1]data!V:V,MATCH($N721,[1]data!$A:$A,0)))</f>
        <v/>
      </c>
      <c r="AM721" s="38" t="str">
        <f>IF(ISNA(MATCH($N721,data!$A:$A,0)),"",INDEX(data!B:B,MATCH($N721,data!$A:$A,0)))</f>
        <v/>
      </c>
      <c r="AN721" s="38" t="str">
        <f>IF(ISNA(MATCH($N721,data!$A:$A,0)),"",INDEX(data!C:C,MATCH($N721,data!$A:$A,0)))</f>
        <v/>
      </c>
      <c r="AO721" s="38" t="str">
        <f>IF(ISNA(MATCH($N721,data!$A:$A,0)),"",INDEX(data!D:D,MATCH($N721,data!$A:$A,0)))</f>
        <v/>
      </c>
      <c r="AP721" s="38" t="str">
        <f>IF(ISNA(MATCH($N721,data!$A:$A,0)),"",INDEX(data!E:E,MATCH($N721,data!$A:$A,0)))</f>
        <v/>
      </c>
      <c r="AQ721" s="38" t="str">
        <f>IF(ISNA(MATCH($N721,data!$A:$A,0)),"",INDEX(data!F:F,MATCH($N721,data!$A:$A,0)))</f>
        <v/>
      </c>
      <c r="AR721" s="38" t="str">
        <f>IF(ISNA(MATCH($N721,data!$A:$A,0)),"",INDEX(data!G:G,MATCH($N721,data!$A:$A,0)))</f>
        <v/>
      </c>
      <c r="AS721" s="38" t="str">
        <f>IF(ISNA(MATCH($N721,data!$A:$A,0)),"",INDEX(data!H:H,MATCH($N721,data!$A:$A,0)))</f>
        <v/>
      </c>
      <c r="AT721" s="38" t="str">
        <f>IF(ISNA(MATCH($N721,data!$A:$A,0)),"",INDEX(data!I:I,MATCH($N721,data!$A:$A,0)))</f>
        <v/>
      </c>
      <c r="AU721" s="38" t="str">
        <f>IF(ISNA(MATCH($N721,[1]data!$A:$A,0)),"",INDEX([1]data!L:L,MATCH($N721,[1]data!$A:$A,0)))</f>
        <v/>
      </c>
      <c r="AV721" s="38" t="str">
        <f>IF(ISNA(MATCH($N721,[1]data!$A:$A,0)),"",INDEX([1]data!M:M,MATCH($N721,[1]data!$A:$A,0)))</f>
        <v/>
      </c>
      <c r="AW721" s="38" t="str">
        <f>IF(ISNA(MATCH($N721,data!$A:$A,0)),"",INDEX(data!J:J,MATCH($N721,data!$A:$A,0)))</f>
        <v/>
      </c>
      <c r="AX721" s="38" t="str">
        <f>IF(ISNA(MATCH($N721,data!$A:$A,0)),"",INDEX(data!K:K,MATCH($N721,data!$A:$A,0)))</f>
        <v/>
      </c>
      <c r="AY721" s="38" t="str">
        <f>IF(ISNA(MATCH($N721,data!$A:$A,0)),"",INDEX(data!O:O,MATCH($N721,data!$A:$A,0)))</f>
        <v/>
      </c>
      <c r="AZ721" s="38" t="str">
        <f>IF(ISNA(MATCH($N721,data!$A:$A,0)),"",INDEX(data!N:N,MATCH($N721,data!$A:$A,0)))</f>
        <v/>
      </c>
      <c r="BA721" s="38" t="str">
        <f>IF(ISNA(MATCH($N721,data!$A:$A,0)),"",INDEX(data!P:P,MATCH($N721,data!$A:$A,0)))</f>
        <v/>
      </c>
      <c r="BB721" s="38" t="str">
        <f>IF(ISNA(MATCH($N721,data!$A:$A,0)),"",INDEX(data!Q:Q,MATCH($N721,data!$A:$A,0)))</f>
        <v/>
      </c>
      <c r="BC721" s="38" t="str">
        <f>IF(ISNA(MATCH($N721,data!$A:$A,0)),"",INDEX(data!R:R,MATCH($N721,data!$A:$A,0)))</f>
        <v/>
      </c>
      <c r="BD721" s="38" t="str">
        <f>IF(ISNA(MATCH($N721,[1]data!$A:$A,0)),"",INDEX([1]data!U:U,MATCH($N721,[1]data!$A:$A,0)))</f>
        <v/>
      </c>
      <c r="BE721" s="61" t="e">
        <f>IF(COUNTIF([1]data!A:A,[1]!Table1[[#This Row],[UPC]])&lt;2,"","DUP")</f>
        <v>#VALUE!</v>
      </c>
      <c r="BF721" s="38" t="str">
        <f>IF(ISNA(MATCH($N721,data!$A:$A,0)),"",INDEX(data!W:W,MATCH($N721,data!$A:$A,0)))</f>
        <v/>
      </c>
    </row>
    <row r="722" spans="1:58">
      <c r="A722" s="35"/>
      <c r="B722" s="35"/>
      <c r="C722" s="35"/>
      <c r="D722" s="35"/>
      <c r="E722" s="67"/>
      <c r="F722" s="67"/>
      <c r="G722" s="36"/>
      <c r="H722" s="29"/>
      <c r="I722" s="78" t="str">
        <f t="shared" si="18"/>
        <v/>
      </c>
      <c r="J722" s="29"/>
      <c r="K722" s="29"/>
      <c r="L722" s="33"/>
      <c r="M722" s="33"/>
      <c r="N722" s="60"/>
      <c r="O722" s="71"/>
      <c r="P722" s="71"/>
      <c r="Q722" s="33"/>
      <c r="R722" s="31"/>
      <c r="S722" s="31"/>
      <c r="T722" s="59"/>
      <c r="U722" s="59"/>
      <c r="V722" s="59"/>
      <c r="W722" s="57">
        <f t="shared" si="19"/>
        <v>0</v>
      </c>
      <c r="X722" s="126" t="str">
        <f>IF(Table1[[#This Row],[Shipping Weight Pounds]]&gt;150,"See LTL Form","No")</f>
        <v>No</v>
      </c>
      <c r="Y722" s="28"/>
      <c r="Z722" s="33"/>
      <c r="AA722" s="34"/>
      <c r="AB722" s="30"/>
      <c r="AC722" s="30"/>
      <c r="AD722" s="32"/>
      <c r="AE722" s="32"/>
      <c r="AF722" s="2"/>
      <c r="AG722" s="2"/>
      <c r="AH722" s="2"/>
      <c r="AI722" s="2"/>
      <c r="AK722" s="73" t="str">
        <f>IF(ISNA(MATCH($N722,[1]data!$A:$A,0)),"",INDEX([1]data!S:S,MATCH($N722,[1]data!$A:$A,0)))</f>
        <v/>
      </c>
      <c r="AL722" s="73" t="str">
        <f>IF(ISNA(MATCH($N722,[1]data!$A:$A,0)),"",INDEX([1]data!V:V,MATCH($N722,[1]data!$A:$A,0)))</f>
        <v/>
      </c>
      <c r="AM722" s="38" t="str">
        <f>IF(ISNA(MATCH($N722,data!$A:$A,0)),"",INDEX(data!B:B,MATCH($N722,data!$A:$A,0)))</f>
        <v/>
      </c>
      <c r="AN722" s="38" t="str">
        <f>IF(ISNA(MATCH($N722,data!$A:$A,0)),"",INDEX(data!C:C,MATCH($N722,data!$A:$A,0)))</f>
        <v/>
      </c>
      <c r="AO722" s="38" t="str">
        <f>IF(ISNA(MATCH($N722,data!$A:$A,0)),"",INDEX(data!D:D,MATCH($N722,data!$A:$A,0)))</f>
        <v/>
      </c>
      <c r="AP722" s="38" t="str">
        <f>IF(ISNA(MATCH($N722,data!$A:$A,0)),"",INDEX(data!E:E,MATCH($N722,data!$A:$A,0)))</f>
        <v/>
      </c>
      <c r="AQ722" s="38" t="str">
        <f>IF(ISNA(MATCH($N722,data!$A:$A,0)),"",INDEX(data!F:F,MATCH($N722,data!$A:$A,0)))</f>
        <v/>
      </c>
      <c r="AR722" s="38" t="str">
        <f>IF(ISNA(MATCH($N722,data!$A:$A,0)),"",INDEX(data!G:G,MATCH($N722,data!$A:$A,0)))</f>
        <v/>
      </c>
      <c r="AS722" s="38" t="str">
        <f>IF(ISNA(MATCH($N722,data!$A:$A,0)),"",INDEX(data!H:H,MATCH($N722,data!$A:$A,0)))</f>
        <v/>
      </c>
      <c r="AT722" s="38" t="str">
        <f>IF(ISNA(MATCH($N722,data!$A:$A,0)),"",INDEX(data!I:I,MATCH($N722,data!$A:$A,0)))</f>
        <v/>
      </c>
      <c r="AU722" s="38" t="str">
        <f>IF(ISNA(MATCH($N722,[1]data!$A:$A,0)),"",INDEX([1]data!L:L,MATCH($N722,[1]data!$A:$A,0)))</f>
        <v/>
      </c>
      <c r="AV722" s="38" t="str">
        <f>IF(ISNA(MATCH($N722,[1]data!$A:$A,0)),"",INDEX([1]data!M:M,MATCH($N722,[1]data!$A:$A,0)))</f>
        <v/>
      </c>
      <c r="AW722" s="38" t="str">
        <f>IF(ISNA(MATCH($N722,data!$A:$A,0)),"",INDEX(data!J:J,MATCH($N722,data!$A:$A,0)))</f>
        <v/>
      </c>
      <c r="AX722" s="38" t="str">
        <f>IF(ISNA(MATCH($N722,data!$A:$A,0)),"",INDEX(data!K:K,MATCH($N722,data!$A:$A,0)))</f>
        <v/>
      </c>
      <c r="AY722" s="38" t="str">
        <f>IF(ISNA(MATCH($N722,data!$A:$A,0)),"",INDEX(data!O:O,MATCH($N722,data!$A:$A,0)))</f>
        <v/>
      </c>
      <c r="AZ722" s="38" t="str">
        <f>IF(ISNA(MATCH($N722,data!$A:$A,0)),"",INDEX(data!N:N,MATCH($N722,data!$A:$A,0)))</f>
        <v/>
      </c>
      <c r="BA722" s="38" t="str">
        <f>IF(ISNA(MATCH($N722,data!$A:$A,0)),"",INDEX(data!P:P,MATCH($N722,data!$A:$A,0)))</f>
        <v/>
      </c>
      <c r="BB722" s="38" t="str">
        <f>IF(ISNA(MATCH($N722,data!$A:$A,0)),"",INDEX(data!Q:Q,MATCH($N722,data!$A:$A,0)))</f>
        <v/>
      </c>
      <c r="BC722" s="38" t="str">
        <f>IF(ISNA(MATCH($N722,data!$A:$A,0)),"",INDEX(data!R:R,MATCH($N722,data!$A:$A,0)))</f>
        <v/>
      </c>
      <c r="BD722" s="38" t="str">
        <f>IF(ISNA(MATCH($N722,[1]data!$A:$A,0)),"",INDEX([1]data!U:U,MATCH($N722,[1]data!$A:$A,0)))</f>
        <v/>
      </c>
      <c r="BE722" s="61" t="e">
        <f>IF(COUNTIF([1]data!A:A,[1]!Table1[[#This Row],[UPC]])&lt;2,"","DUP")</f>
        <v>#VALUE!</v>
      </c>
      <c r="BF722" s="38" t="str">
        <f>IF(ISNA(MATCH($N722,data!$A:$A,0)),"",INDEX(data!W:W,MATCH($N722,data!$A:$A,0)))</f>
        <v/>
      </c>
    </row>
    <row r="723" spans="1:58">
      <c r="A723" s="35"/>
      <c r="B723" s="35"/>
      <c r="C723" s="35"/>
      <c r="D723" s="35"/>
      <c r="E723" s="67"/>
      <c r="F723" s="67"/>
      <c r="G723" s="36"/>
      <c r="H723" s="29"/>
      <c r="I723" s="78" t="str">
        <f t="shared" si="18"/>
        <v/>
      </c>
      <c r="J723" s="29"/>
      <c r="K723" s="29"/>
      <c r="L723" s="33"/>
      <c r="M723" s="33"/>
      <c r="N723" s="60"/>
      <c r="O723" s="71"/>
      <c r="P723" s="71"/>
      <c r="Q723" s="33"/>
      <c r="R723" s="31"/>
      <c r="S723" s="31"/>
      <c r="T723" s="59"/>
      <c r="U723" s="59"/>
      <c r="V723" s="59"/>
      <c r="W723" s="57">
        <f t="shared" si="19"/>
        <v>0</v>
      </c>
      <c r="X723" s="126" t="str">
        <f>IF(Table1[[#This Row],[Shipping Weight Pounds]]&gt;150,"See LTL Form","No")</f>
        <v>No</v>
      </c>
      <c r="Y723" s="28"/>
      <c r="Z723" s="33"/>
      <c r="AA723" s="34"/>
      <c r="AB723" s="30"/>
      <c r="AC723" s="30"/>
      <c r="AD723" s="32"/>
      <c r="AE723" s="32"/>
      <c r="AF723" s="2"/>
      <c r="AG723" s="2"/>
      <c r="AH723" s="2"/>
      <c r="AI723" s="2"/>
      <c r="AK723" s="73" t="str">
        <f>IF(ISNA(MATCH($N723,[1]data!$A:$A,0)),"",INDEX([1]data!S:S,MATCH($N723,[1]data!$A:$A,0)))</f>
        <v/>
      </c>
      <c r="AL723" s="73" t="str">
        <f>IF(ISNA(MATCH($N723,[1]data!$A:$A,0)),"",INDEX([1]data!V:V,MATCH($N723,[1]data!$A:$A,0)))</f>
        <v/>
      </c>
      <c r="AM723" s="38" t="str">
        <f>IF(ISNA(MATCH($N723,data!$A:$A,0)),"",INDEX(data!B:B,MATCH($N723,data!$A:$A,0)))</f>
        <v/>
      </c>
      <c r="AN723" s="38" t="str">
        <f>IF(ISNA(MATCH($N723,data!$A:$A,0)),"",INDEX(data!C:C,MATCH($N723,data!$A:$A,0)))</f>
        <v/>
      </c>
      <c r="AO723" s="38" t="str">
        <f>IF(ISNA(MATCH($N723,data!$A:$A,0)),"",INDEX(data!D:D,MATCH($N723,data!$A:$A,0)))</f>
        <v/>
      </c>
      <c r="AP723" s="38" t="str">
        <f>IF(ISNA(MATCH($N723,data!$A:$A,0)),"",INDEX(data!E:E,MATCH($N723,data!$A:$A,0)))</f>
        <v/>
      </c>
      <c r="AQ723" s="38" t="str">
        <f>IF(ISNA(MATCH($N723,data!$A:$A,0)),"",INDEX(data!F:F,MATCH($N723,data!$A:$A,0)))</f>
        <v/>
      </c>
      <c r="AR723" s="38" t="str">
        <f>IF(ISNA(MATCH($N723,data!$A:$A,0)),"",INDEX(data!G:G,MATCH($N723,data!$A:$A,0)))</f>
        <v/>
      </c>
      <c r="AS723" s="38" t="str">
        <f>IF(ISNA(MATCH($N723,data!$A:$A,0)),"",INDEX(data!H:H,MATCH($N723,data!$A:$A,0)))</f>
        <v/>
      </c>
      <c r="AT723" s="38" t="str">
        <f>IF(ISNA(MATCH($N723,data!$A:$A,0)),"",INDEX(data!I:I,MATCH($N723,data!$A:$A,0)))</f>
        <v/>
      </c>
      <c r="AU723" s="38" t="str">
        <f>IF(ISNA(MATCH($N723,[1]data!$A:$A,0)),"",INDEX([1]data!L:L,MATCH($N723,[1]data!$A:$A,0)))</f>
        <v/>
      </c>
      <c r="AV723" s="38" t="str">
        <f>IF(ISNA(MATCH($N723,[1]data!$A:$A,0)),"",INDEX([1]data!M:M,MATCH($N723,[1]data!$A:$A,0)))</f>
        <v/>
      </c>
      <c r="AW723" s="38" t="str">
        <f>IF(ISNA(MATCH($N723,data!$A:$A,0)),"",INDEX(data!J:J,MATCH($N723,data!$A:$A,0)))</f>
        <v/>
      </c>
      <c r="AX723" s="38" t="str">
        <f>IF(ISNA(MATCH($N723,data!$A:$A,0)),"",INDEX(data!K:K,MATCH($N723,data!$A:$A,0)))</f>
        <v/>
      </c>
      <c r="AY723" s="38" t="str">
        <f>IF(ISNA(MATCH($N723,data!$A:$A,0)),"",INDEX(data!O:O,MATCH($N723,data!$A:$A,0)))</f>
        <v/>
      </c>
      <c r="AZ723" s="38" t="str">
        <f>IF(ISNA(MATCH($N723,data!$A:$A,0)),"",INDEX(data!N:N,MATCH($N723,data!$A:$A,0)))</f>
        <v/>
      </c>
      <c r="BA723" s="38" t="str">
        <f>IF(ISNA(MATCH($N723,data!$A:$A,0)),"",INDEX(data!P:P,MATCH($N723,data!$A:$A,0)))</f>
        <v/>
      </c>
      <c r="BB723" s="38" t="str">
        <f>IF(ISNA(MATCH($N723,data!$A:$A,0)),"",INDEX(data!Q:Q,MATCH($N723,data!$A:$A,0)))</f>
        <v/>
      </c>
      <c r="BC723" s="38" t="str">
        <f>IF(ISNA(MATCH($N723,data!$A:$A,0)),"",INDEX(data!R:R,MATCH($N723,data!$A:$A,0)))</f>
        <v/>
      </c>
      <c r="BD723" s="38" t="str">
        <f>IF(ISNA(MATCH($N723,[1]data!$A:$A,0)),"",INDEX([1]data!U:U,MATCH($N723,[1]data!$A:$A,0)))</f>
        <v/>
      </c>
      <c r="BE723" s="61" t="e">
        <f>IF(COUNTIF([1]data!A:A,[1]!Table1[[#This Row],[UPC]])&lt;2,"","DUP")</f>
        <v>#VALUE!</v>
      </c>
      <c r="BF723" s="38" t="str">
        <f>IF(ISNA(MATCH($N723,data!$A:$A,0)),"",INDEX(data!W:W,MATCH($N723,data!$A:$A,0)))</f>
        <v/>
      </c>
    </row>
    <row r="724" spans="1:58">
      <c r="A724" s="35"/>
      <c r="B724" s="35"/>
      <c r="C724" s="35"/>
      <c r="D724" s="35"/>
      <c r="E724" s="67"/>
      <c r="F724" s="67"/>
      <c r="G724" s="36"/>
      <c r="H724" s="29"/>
      <c r="I724" s="78" t="str">
        <f t="shared" si="18"/>
        <v/>
      </c>
      <c r="J724" s="29"/>
      <c r="K724" s="29"/>
      <c r="L724" s="33"/>
      <c r="M724" s="33"/>
      <c r="N724" s="60"/>
      <c r="O724" s="71"/>
      <c r="P724" s="71"/>
      <c r="Q724" s="33"/>
      <c r="R724" s="31"/>
      <c r="S724" s="31"/>
      <c r="T724" s="59"/>
      <c r="U724" s="59"/>
      <c r="V724" s="59"/>
      <c r="W724" s="57">
        <f t="shared" si="19"/>
        <v>0</v>
      </c>
      <c r="X724" s="126" t="str">
        <f>IF(Table1[[#This Row],[Shipping Weight Pounds]]&gt;150,"See LTL Form","No")</f>
        <v>No</v>
      </c>
      <c r="Y724" s="28"/>
      <c r="Z724" s="33"/>
      <c r="AA724" s="34"/>
      <c r="AB724" s="30"/>
      <c r="AC724" s="30"/>
      <c r="AD724" s="32"/>
      <c r="AE724" s="32"/>
      <c r="AF724" s="2"/>
      <c r="AG724" s="2"/>
      <c r="AH724" s="2"/>
      <c r="AI724" s="2"/>
      <c r="AK724" s="73" t="str">
        <f>IF(ISNA(MATCH($N724,[1]data!$A:$A,0)),"",INDEX([1]data!S:S,MATCH($N724,[1]data!$A:$A,0)))</f>
        <v/>
      </c>
      <c r="AL724" s="73" t="str">
        <f>IF(ISNA(MATCH($N724,[1]data!$A:$A,0)),"",INDEX([1]data!V:V,MATCH($N724,[1]data!$A:$A,0)))</f>
        <v/>
      </c>
      <c r="AM724" s="38" t="str">
        <f>IF(ISNA(MATCH($N724,data!$A:$A,0)),"",INDEX(data!B:B,MATCH($N724,data!$A:$A,0)))</f>
        <v/>
      </c>
      <c r="AN724" s="38" t="str">
        <f>IF(ISNA(MATCH($N724,data!$A:$A,0)),"",INDEX(data!C:C,MATCH($N724,data!$A:$A,0)))</f>
        <v/>
      </c>
      <c r="AO724" s="38" t="str">
        <f>IF(ISNA(MATCH($N724,data!$A:$A,0)),"",INDEX(data!D:D,MATCH($N724,data!$A:$A,0)))</f>
        <v/>
      </c>
      <c r="AP724" s="38" t="str">
        <f>IF(ISNA(MATCH($N724,data!$A:$A,0)),"",INDEX(data!E:E,MATCH($N724,data!$A:$A,0)))</f>
        <v/>
      </c>
      <c r="AQ724" s="38" t="str">
        <f>IF(ISNA(MATCH($N724,data!$A:$A,0)),"",INDEX(data!F:F,MATCH($N724,data!$A:$A,0)))</f>
        <v/>
      </c>
      <c r="AR724" s="38" t="str">
        <f>IF(ISNA(MATCH($N724,data!$A:$A,0)),"",INDEX(data!G:G,MATCH($N724,data!$A:$A,0)))</f>
        <v/>
      </c>
      <c r="AS724" s="38" t="str">
        <f>IF(ISNA(MATCH($N724,data!$A:$A,0)),"",INDEX(data!H:H,MATCH($N724,data!$A:$A,0)))</f>
        <v/>
      </c>
      <c r="AT724" s="38" t="str">
        <f>IF(ISNA(MATCH($N724,data!$A:$A,0)),"",INDEX(data!I:I,MATCH($N724,data!$A:$A,0)))</f>
        <v/>
      </c>
      <c r="AU724" s="38" t="str">
        <f>IF(ISNA(MATCH($N724,[1]data!$A:$A,0)),"",INDEX([1]data!L:L,MATCH($N724,[1]data!$A:$A,0)))</f>
        <v/>
      </c>
      <c r="AV724" s="38" t="str">
        <f>IF(ISNA(MATCH($N724,[1]data!$A:$A,0)),"",INDEX([1]data!M:M,MATCH($N724,[1]data!$A:$A,0)))</f>
        <v/>
      </c>
      <c r="AW724" s="38" t="str">
        <f>IF(ISNA(MATCH($N724,data!$A:$A,0)),"",INDEX(data!J:J,MATCH($N724,data!$A:$A,0)))</f>
        <v/>
      </c>
      <c r="AX724" s="38" t="str">
        <f>IF(ISNA(MATCH($N724,data!$A:$A,0)),"",INDEX(data!K:K,MATCH($N724,data!$A:$A,0)))</f>
        <v/>
      </c>
      <c r="AY724" s="38" t="str">
        <f>IF(ISNA(MATCH($N724,data!$A:$A,0)),"",INDEX(data!O:O,MATCH($N724,data!$A:$A,0)))</f>
        <v/>
      </c>
      <c r="AZ724" s="38" t="str">
        <f>IF(ISNA(MATCH($N724,data!$A:$A,0)),"",INDEX(data!N:N,MATCH($N724,data!$A:$A,0)))</f>
        <v/>
      </c>
      <c r="BA724" s="38" t="str">
        <f>IF(ISNA(MATCH($N724,data!$A:$A,0)),"",INDEX(data!P:P,MATCH($N724,data!$A:$A,0)))</f>
        <v/>
      </c>
      <c r="BB724" s="38" t="str">
        <f>IF(ISNA(MATCH($N724,data!$A:$A,0)),"",INDEX(data!Q:Q,MATCH($N724,data!$A:$A,0)))</f>
        <v/>
      </c>
      <c r="BC724" s="38" t="str">
        <f>IF(ISNA(MATCH($N724,data!$A:$A,0)),"",INDEX(data!R:R,MATCH($N724,data!$A:$A,0)))</f>
        <v/>
      </c>
      <c r="BD724" s="38" t="str">
        <f>IF(ISNA(MATCH($N724,[1]data!$A:$A,0)),"",INDEX([1]data!U:U,MATCH($N724,[1]data!$A:$A,0)))</f>
        <v/>
      </c>
      <c r="BE724" s="61" t="e">
        <f>IF(COUNTIF([1]data!A:A,[1]!Table1[[#This Row],[UPC]])&lt;2,"","DUP")</f>
        <v>#VALUE!</v>
      </c>
      <c r="BF724" s="38" t="str">
        <f>IF(ISNA(MATCH($N724,data!$A:$A,0)),"",INDEX(data!W:W,MATCH($N724,data!$A:$A,0)))</f>
        <v/>
      </c>
    </row>
    <row r="725" spans="1:58">
      <c r="A725" s="35"/>
      <c r="B725" s="35"/>
      <c r="C725" s="35"/>
      <c r="D725" s="35"/>
      <c r="E725" s="67"/>
      <c r="F725" s="67"/>
      <c r="G725" s="36"/>
      <c r="H725" s="29"/>
      <c r="I725" s="78" t="str">
        <f t="shared" si="18"/>
        <v/>
      </c>
      <c r="J725" s="29"/>
      <c r="K725" s="29"/>
      <c r="L725" s="33"/>
      <c r="M725" s="33"/>
      <c r="N725" s="60"/>
      <c r="O725" s="71"/>
      <c r="P725" s="71"/>
      <c r="Q725" s="33"/>
      <c r="R725" s="31"/>
      <c r="S725" s="31"/>
      <c r="T725" s="59"/>
      <c r="U725" s="59"/>
      <c r="V725" s="59"/>
      <c r="W725" s="57">
        <f t="shared" si="19"/>
        <v>0</v>
      </c>
      <c r="X725" s="126" t="str">
        <f>IF(Table1[[#This Row],[Shipping Weight Pounds]]&gt;150,"See LTL Form","No")</f>
        <v>No</v>
      </c>
      <c r="Y725" s="28"/>
      <c r="Z725" s="33"/>
      <c r="AA725" s="34"/>
      <c r="AB725" s="30"/>
      <c r="AC725" s="30"/>
      <c r="AD725" s="32"/>
      <c r="AE725" s="32"/>
      <c r="AF725" s="2"/>
      <c r="AG725" s="2"/>
      <c r="AH725" s="2"/>
      <c r="AI725" s="2"/>
      <c r="AK725" s="73" t="str">
        <f>IF(ISNA(MATCH($N725,[1]data!$A:$A,0)),"",INDEX([1]data!S:S,MATCH($N725,[1]data!$A:$A,0)))</f>
        <v/>
      </c>
      <c r="AL725" s="73" t="str">
        <f>IF(ISNA(MATCH($N725,[1]data!$A:$A,0)),"",INDEX([1]data!V:V,MATCH($N725,[1]data!$A:$A,0)))</f>
        <v/>
      </c>
      <c r="AM725" s="38" t="str">
        <f>IF(ISNA(MATCH($N725,data!$A:$A,0)),"",INDEX(data!B:B,MATCH($N725,data!$A:$A,0)))</f>
        <v/>
      </c>
      <c r="AN725" s="38" t="str">
        <f>IF(ISNA(MATCH($N725,data!$A:$A,0)),"",INDEX(data!C:C,MATCH($N725,data!$A:$A,0)))</f>
        <v/>
      </c>
      <c r="AO725" s="38" t="str">
        <f>IF(ISNA(MATCH($N725,data!$A:$A,0)),"",INDEX(data!D:D,MATCH($N725,data!$A:$A,0)))</f>
        <v/>
      </c>
      <c r="AP725" s="38" t="str">
        <f>IF(ISNA(MATCH($N725,data!$A:$A,0)),"",INDEX(data!E:E,MATCH($N725,data!$A:$A,0)))</f>
        <v/>
      </c>
      <c r="AQ725" s="38" t="str">
        <f>IF(ISNA(MATCH($N725,data!$A:$A,0)),"",INDEX(data!F:F,MATCH($N725,data!$A:$A,0)))</f>
        <v/>
      </c>
      <c r="AR725" s="38" t="str">
        <f>IF(ISNA(MATCH($N725,data!$A:$A,0)),"",INDEX(data!G:G,MATCH($N725,data!$A:$A,0)))</f>
        <v/>
      </c>
      <c r="AS725" s="38" t="str">
        <f>IF(ISNA(MATCH($N725,data!$A:$A,0)),"",INDEX(data!H:H,MATCH($N725,data!$A:$A,0)))</f>
        <v/>
      </c>
      <c r="AT725" s="38" t="str">
        <f>IF(ISNA(MATCH($N725,data!$A:$A,0)),"",INDEX(data!I:I,MATCH($N725,data!$A:$A,0)))</f>
        <v/>
      </c>
      <c r="AU725" s="38" t="str">
        <f>IF(ISNA(MATCH($N725,[1]data!$A:$A,0)),"",INDEX([1]data!L:L,MATCH($N725,[1]data!$A:$A,0)))</f>
        <v/>
      </c>
      <c r="AV725" s="38" t="str">
        <f>IF(ISNA(MATCH($N725,[1]data!$A:$A,0)),"",INDEX([1]data!M:M,MATCH($N725,[1]data!$A:$A,0)))</f>
        <v/>
      </c>
      <c r="AW725" s="38" t="str">
        <f>IF(ISNA(MATCH($N725,data!$A:$A,0)),"",INDEX(data!J:J,MATCH($N725,data!$A:$A,0)))</f>
        <v/>
      </c>
      <c r="AX725" s="38" t="str">
        <f>IF(ISNA(MATCH($N725,data!$A:$A,0)),"",INDEX(data!K:K,MATCH($N725,data!$A:$A,0)))</f>
        <v/>
      </c>
      <c r="AY725" s="38" t="str">
        <f>IF(ISNA(MATCH($N725,data!$A:$A,0)),"",INDEX(data!O:O,MATCH($N725,data!$A:$A,0)))</f>
        <v/>
      </c>
      <c r="AZ725" s="38" t="str">
        <f>IF(ISNA(MATCH($N725,data!$A:$A,0)),"",INDEX(data!N:N,MATCH($N725,data!$A:$A,0)))</f>
        <v/>
      </c>
      <c r="BA725" s="38" t="str">
        <f>IF(ISNA(MATCH($N725,data!$A:$A,0)),"",INDEX(data!P:P,MATCH($N725,data!$A:$A,0)))</f>
        <v/>
      </c>
      <c r="BB725" s="38" t="str">
        <f>IF(ISNA(MATCH($N725,data!$A:$A,0)),"",INDEX(data!Q:Q,MATCH($N725,data!$A:$A,0)))</f>
        <v/>
      </c>
      <c r="BC725" s="38" t="str">
        <f>IF(ISNA(MATCH($N725,data!$A:$A,0)),"",INDEX(data!R:R,MATCH($N725,data!$A:$A,0)))</f>
        <v/>
      </c>
      <c r="BD725" s="38" t="str">
        <f>IF(ISNA(MATCH($N725,[1]data!$A:$A,0)),"",INDEX([1]data!U:U,MATCH($N725,[1]data!$A:$A,0)))</f>
        <v/>
      </c>
      <c r="BE725" s="61" t="e">
        <f>IF(COUNTIF([1]data!A:A,[1]!Table1[[#This Row],[UPC]])&lt;2,"","DUP")</f>
        <v>#VALUE!</v>
      </c>
      <c r="BF725" s="38" t="str">
        <f>IF(ISNA(MATCH($N725,data!$A:$A,0)),"",INDEX(data!W:W,MATCH($N725,data!$A:$A,0)))</f>
        <v/>
      </c>
    </row>
    <row r="726" spans="1:58">
      <c r="A726" s="35"/>
      <c r="B726" s="35"/>
      <c r="C726" s="35"/>
      <c r="D726" s="35"/>
      <c r="E726" s="67"/>
      <c r="F726" s="67"/>
      <c r="G726" s="36"/>
      <c r="H726" s="29"/>
      <c r="I726" s="78" t="str">
        <f t="shared" si="18"/>
        <v/>
      </c>
      <c r="J726" s="29"/>
      <c r="K726" s="29"/>
      <c r="L726" s="33"/>
      <c r="M726" s="33"/>
      <c r="N726" s="60"/>
      <c r="O726" s="71"/>
      <c r="P726" s="71"/>
      <c r="Q726" s="33"/>
      <c r="R726" s="31"/>
      <c r="S726" s="31"/>
      <c r="T726" s="59"/>
      <c r="U726" s="59"/>
      <c r="V726" s="59"/>
      <c r="W726" s="57">
        <f t="shared" si="19"/>
        <v>0</v>
      </c>
      <c r="X726" s="126" t="str">
        <f>IF(Table1[[#This Row],[Shipping Weight Pounds]]&gt;150,"See LTL Form","No")</f>
        <v>No</v>
      </c>
      <c r="Y726" s="28"/>
      <c r="Z726" s="33"/>
      <c r="AA726" s="34"/>
      <c r="AB726" s="30"/>
      <c r="AC726" s="30"/>
      <c r="AD726" s="32"/>
      <c r="AE726" s="32"/>
      <c r="AF726" s="2"/>
      <c r="AG726" s="2"/>
      <c r="AH726" s="2"/>
      <c r="AI726" s="2"/>
      <c r="AK726" s="73" t="str">
        <f>IF(ISNA(MATCH($N726,[1]data!$A:$A,0)),"",INDEX([1]data!S:S,MATCH($N726,[1]data!$A:$A,0)))</f>
        <v/>
      </c>
      <c r="AL726" s="73" t="str">
        <f>IF(ISNA(MATCH($N726,[1]data!$A:$A,0)),"",INDEX([1]data!V:V,MATCH($N726,[1]data!$A:$A,0)))</f>
        <v/>
      </c>
      <c r="AM726" s="38" t="str">
        <f>IF(ISNA(MATCH($N726,data!$A:$A,0)),"",INDEX(data!B:B,MATCH($N726,data!$A:$A,0)))</f>
        <v/>
      </c>
      <c r="AN726" s="38" t="str">
        <f>IF(ISNA(MATCH($N726,data!$A:$A,0)),"",INDEX(data!C:C,MATCH($N726,data!$A:$A,0)))</f>
        <v/>
      </c>
      <c r="AO726" s="38" t="str">
        <f>IF(ISNA(MATCH($N726,data!$A:$A,0)),"",INDEX(data!D:D,MATCH($N726,data!$A:$A,0)))</f>
        <v/>
      </c>
      <c r="AP726" s="38" t="str">
        <f>IF(ISNA(MATCH($N726,data!$A:$A,0)),"",INDEX(data!E:E,MATCH($N726,data!$A:$A,0)))</f>
        <v/>
      </c>
      <c r="AQ726" s="38" t="str">
        <f>IF(ISNA(MATCH($N726,data!$A:$A,0)),"",INDEX(data!F:F,MATCH($N726,data!$A:$A,0)))</f>
        <v/>
      </c>
      <c r="AR726" s="38" t="str">
        <f>IF(ISNA(MATCH($N726,data!$A:$A,0)),"",INDEX(data!G:G,MATCH($N726,data!$A:$A,0)))</f>
        <v/>
      </c>
      <c r="AS726" s="38" t="str">
        <f>IF(ISNA(MATCH($N726,data!$A:$A,0)),"",INDEX(data!H:H,MATCH($N726,data!$A:$A,0)))</f>
        <v/>
      </c>
      <c r="AT726" s="38" t="str">
        <f>IF(ISNA(MATCH($N726,data!$A:$A,0)),"",INDEX(data!I:I,MATCH($N726,data!$A:$A,0)))</f>
        <v/>
      </c>
      <c r="AU726" s="38" t="str">
        <f>IF(ISNA(MATCH($N726,[1]data!$A:$A,0)),"",INDEX([1]data!L:L,MATCH($N726,[1]data!$A:$A,0)))</f>
        <v/>
      </c>
      <c r="AV726" s="38" t="str">
        <f>IF(ISNA(MATCH($N726,[1]data!$A:$A,0)),"",INDEX([1]data!M:M,MATCH($N726,[1]data!$A:$A,0)))</f>
        <v/>
      </c>
      <c r="AW726" s="38" t="str">
        <f>IF(ISNA(MATCH($N726,data!$A:$A,0)),"",INDEX(data!J:J,MATCH($N726,data!$A:$A,0)))</f>
        <v/>
      </c>
      <c r="AX726" s="38" t="str">
        <f>IF(ISNA(MATCH($N726,data!$A:$A,0)),"",INDEX(data!K:K,MATCH($N726,data!$A:$A,0)))</f>
        <v/>
      </c>
      <c r="AY726" s="38" t="str">
        <f>IF(ISNA(MATCH($N726,data!$A:$A,0)),"",INDEX(data!O:O,MATCH($N726,data!$A:$A,0)))</f>
        <v/>
      </c>
      <c r="AZ726" s="38" t="str">
        <f>IF(ISNA(MATCH($N726,data!$A:$A,0)),"",INDEX(data!N:N,MATCH($N726,data!$A:$A,0)))</f>
        <v/>
      </c>
      <c r="BA726" s="38" t="str">
        <f>IF(ISNA(MATCH($N726,data!$A:$A,0)),"",INDEX(data!P:P,MATCH($N726,data!$A:$A,0)))</f>
        <v/>
      </c>
      <c r="BB726" s="38" t="str">
        <f>IF(ISNA(MATCH($N726,data!$A:$A,0)),"",INDEX(data!Q:Q,MATCH($N726,data!$A:$A,0)))</f>
        <v/>
      </c>
      <c r="BC726" s="38" t="str">
        <f>IF(ISNA(MATCH($N726,data!$A:$A,0)),"",INDEX(data!R:R,MATCH($N726,data!$A:$A,0)))</f>
        <v/>
      </c>
      <c r="BD726" s="38" t="str">
        <f>IF(ISNA(MATCH($N726,[1]data!$A:$A,0)),"",INDEX([1]data!U:U,MATCH($N726,[1]data!$A:$A,0)))</f>
        <v/>
      </c>
      <c r="BE726" s="61" t="e">
        <f>IF(COUNTIF([1]data!A:A,[1]!Table1[[#This Row],[UPC]])&lt;2,"","DUP")</f>
        <v>#VALUE!</v>
      </c>
      <c r="BF726" s="38" t="str">
        <f>IF(ISNA(MATCH($N726,data!$A:$A,0)),"",INDEX(data!W:W,MATCH($N726,data!$A:$A,0)))</f>
        <v/>
      </c>
    </row>
    <row r="727" spans="1:58">
      <c r="A727" s="35"/>
      <c r="B727" s="35"/>
      <c r="C727" s="35"/>
      <c r="D727" s="35"/>
      <c r="E727" s="67"/>
      <c r="F727" s="67"/>
      <c r="G727" s="36"/>
      <c r="H727" s="29"/>
      <c r="I727" s="78" t="str">
        <f t="shared" si="18"/>
        <v/>
      </c>
      <c r="J727" s="29"/>
      <c r="K727" s="29"/>
      <c r="L727" s="33"/>
      <c r="M727" s="33"/>
      <c r="N727" s="60"/>
      <c r="O727" s="71"/>
      <c r="P727" s="71"/>
      <c r="Q727" s="33"/>
      <c r="R727" s="31"/>
      <c r="S727" s="31"/>
      <c r="T727" s="59"/>
      <c r="U727" s="59"/>
      <c r="V727" s="59"/>
      <c r="W727" s="57">
        <f t="shared" si="19"/>
        <v>0</v>
      </c>
      <c r="X727" s="126" t="str">
        <f>IF(Table1[[#This Row],[Shipping Weight Pounds]]&gt;150,"See LTL Form","No")</f>
        <v>No</v>
      </c>
      <c r="Y727" s="28"/>
      <c r="Z727" s="33"/>
      <c r="AA727" s="34"/>
      <c r="AB727" s="30"/>
      <c r="AC727" s="30"/>
      <c r="AD727" s="32"/>
      <c r="AE727" s="32"/>
      <c r="AF727" s="2"/>
      <c r="AG727" s="2"/>
      <c r="AH727" s="2"/>
      <c r="AI727" s="2"/>
      <c r="AK727" s="73" t="str">
        <f>IF(ISNA(MATCH($N727,[1]data!$A:$A,0)),"",INDEX([1]data!S:S,MATCH($N727,[1]data!$A:$A,0)))</f>
        <v/>
      </c>
      <c r="AL727" s="73" t="str">
        <f>IF(ISNA(MATCH($N727,[1]data!$A:$A,0)),"",INDEX([1]data!V:V,MATCH($N727,[1]data!$A:$A,0)))</f>
        <v/>
      </c>
      <c r="AM727" s="38" t="str">
        <f>IF(ISNA(MATCH($N727,data!$A:$A,0)),"",INDEX(data!B:B,MATCH($N727,data!$A:$A,0)))</f>
        <v/>
      </c>
      <c r="AN727" s="38" t="str">
        <f>IF(ISNA(MATCH($N727,data!$A:$A,0)),"",INDEX(data!C:C,MATCH($N727,data!$A:$A,0)))</f>
        <v/>
      </c>
      <c r="AO727" s="38" t="str">
        <f>IF(ISNA(MATCH($N727,data!$A:$A,0)),"",INDEX(data!D:D,MATCH($N727,data!$A:$A,0)))</f>
        <v/>
      </c>
      <c r="AP727" s="38" t="str">
        <f>IF(ISNA(MATCH($N727,data!$A:$A,0)),"",INDEX(data!E:E,MATCH($N727,data!$A:$A,0)))</f>
        <v/>
      </c>
      <c r="AQ727" s="38" t="str">
        <f>IF(ISNA(MATCH($N727,data!$A:$A,0)),"",INDEX(data!F:F,MATCH($N727,data!$A:$A,0)))</f>
        <v/>
      </c>
      <c r="AR727" s="38" t="str">
        <f>IF(ISNA(MATCH($N727,data!$A:$A,0)),"",INDEX(data!G:G,MATCH($N727,data!$A:$A,0)))</f>
        <v/>
      </c>
      <c r="AS727" s="38" t="str">
        <f>IF(ISNA(MATCH($N727,data!$A:$A,0)),"",INDEX(data!H:H,MATCH($N727,data!$A:$A,0)))</f>
        <v/>
      </c>
      <c r="AT727" s="38" t="str">
        <f>IF(ISNA(MATCH($N727,data!$A:$A,0)),"",INDEX(data!I:I,MATCH($N727,data!$A:$A,0)))</f>
        <v/>
      </c>
      <c r="AU727" s="38" t="str">
        <f>IF(ISNA(MATCH($N727,[1]data!$A:$A,0)),"",INDEX([1]data!L:L,MATCH($N727,[1]data!$A:$A,0)))</f>
        <v/>
      </c>
      <c r="AV727" s="38" t="str">
        <f>IF(ISNA(MATCH($N727,[1]data!$A:$A,0)),"",INDEX([1]data!M:M,MATCH($N727,[1]data!$A:$A,0)))</f>
        <v/>
      </c>
      <c r="AW727" s="38" t="str">
        <f>IF(ISNA(MATCH($N727,data!$A:$A,0)),"",INDEX(data!J:J,MATCH($N727,data!$A:$A,0)))</f>
        <v/>
      </c>
      <c r="AX727" s="38" t="str">
        <f>IF(ISNA(MATCH($N727,data!$A:$A,0)),"",INDEX(data!K:K,MATCH($N727,data!$A:$A,0)))</f>
        <v/>
      </c>
      <c r="AY727" s="38" t="str">
        <f>IF(ISNA(MATCH($N727,data!$A:$A,0)),"",INDEX(data!O:O,MATCH($N727,data!$A:$A,0)))</f>
        <v/>
      </c>
      <c r="AZ727" s="38" t="str">
        <f>IF(ISNA(MATCH($N727,data!$A:$A,0)),"",INDEX(data!N:N,MATCH($N727,data!$A:$A,0)))</f>
        <v/>
      </c>
      <c r="BA727" s="38" t="str">
        <f>IF(ISNA(MATCH($N727,data!$A:$A,0)),"",INDEX(data!P:P,MATCH($N727,data!$A:$A,0)))</f>
        <v/>
      </c>
      <c r="BB727" s="38" t="str">
        <f>IF(ISNA(MATCH($N727,data!$A:$A,0)),"",INDEX(data!Q:Q,MATCH($N727,data!$A:$A,0)))</f>
        <v/>
      </c>
      <c r="BC727" s="38" t="str">
        <f>IF(ISNA(MATCH($N727,data!$A:$A,0)),"",INDEX(data!R:R,MATCH($N727,data!$A:$A,0)))</f>
        <v/>
      </c>
      <c r="BD727" s="38" t="str">
        <f>IF(ISNA(MATCH($N727,[1]data!$A:$A,0)),"",INDEX([1]data!U:U,MATCH($N727,[1]data!$A:$A,0)))</f>
        <v/>
      </c>
      <c r="BE727" s="61" t="e">
        <f>IF(COUNTIF([1]data!A:A,[1]!Table1[[#This Row],[UPC]])&lt;2,"","DUP")</f>
        <v>#VALUE!</v>
      </c>
      <c r="BF727" s="38" t="str">
        <f>IF(ISNA(MATCH($N727,data!$A:$A,0)),"",INDEX(data!W:W,MATCH($N727,data!$A:$A,0)))</f>
        <v/>
      </c>
    </row>
    <row r="728" spans="1:58">
      <c r="A728" s="35"/>
      <c r="B728" s="35"/>
      <c r="C728" s="35"/>
      <c r="D728" s="35"/>
      <c r="E728" s="67"/>
      <c r="F728" s="67"/>
      <c r="G728" s="36"/>
      <c r="H728" s="29"/>
      <c r="I728" s="78" t="str">
        <f t="shared" si="18"/>
        <v/>
      </c>
      <c r="J728" s="29"/>
      <c r="K728" s="29"/>
      <c r="L728" s="33"/>
      <c r="M728" s="33"/>
      <c r="N728" s="60"/>
      <c r="O728" s="71"/>
      <c r="P728" s="71"/>
      <c r="Q728" s="33"/>
      <c r="R728" s="31"/>
      <c r="S728" s="31"/>
      <c r="T728" s="59"/>
      <c r="U728" s="59"/>
      <c r="V728" s="59"/>
      <c r="W728" s="57">
        <f t="shared" si="19"/>
        <v>0</v>
      </c>
      <c r="X728" s="126" t="str">
        <f>IF(Table1[[#This Row],[Shipping Weight Pounds]]&gt;150,"See LTL Form","No")</f>
        <v>No</v>
      </c>
      <c r="Y728" s="28"/>
      <c r="Z728" s="33"/>
      <c r="AA728" s="34"/>
      <c r="AB728" s="30"/>
      <c r="AC728" s="30"/>
      <c r="AD728" s="32"/>
      <c r="AE728" s="32"/>
      <c r="AF728" s="2"/>
      <c r="AG728" s="2"/>
      <c r="AH728" s="2"/>
      <c r="AI728" s="2"/>
      <c r="AK728" s="73" t="str">
        <f>IF(ISNA(MATCH($N728,[1]data!$A:$A,0)),"",INDEX([1]data!S:S,MATCH($N728,[1]data!$A:$A,0)))</f>
        <v/>
      </c>
      <c r="AL728" s="73" t="str">
        <f>IF(ISNA(MATCH($N728,[1]data!$A:$A,0)),"",INDEX([1]data!V:V,MATCH($N728,[1]data!$A:$A,0)))</f>
        <v/>
      </c>
      <c r="AM728" s="38" t="str">
        <f>IF(ISNA(MATCH($N728,data!$A:$A,0)),"",INDEX(data!B:B,MATCH($N728,data!$A:$A,0)))</f>
        <v/>
      </c>
      <c r="AN728" s="38" t="str">
        <f>IF(ISNA(MATCH($N728,data!$A:$A,0)),"",INDEX(data!C:C,MATCH($N728,data!$A:$A,0)))</f>
        <v/>
      </c>
      <c r="AO728" s="38" t="str">
        <f>IF(ISNA(MATCH($N728,data!$A:$A,0)),"",INDEX(data!D:D,MATCH($N728,data!$A:$A,0)))</f>
        <v/>
      </c>
      <c r="AP728" s="38" t="str">
        <f>IF(ISNA(MATCH($N728,data!$A:$A,0)),"",INDEX(data!E:E,MATCH($N728,data!$A:$A,0)))</f>
        <v/>
      </c>
      <c r="AQ728" s="38" t="str">
        <f>IF(ISNA(MATCH($N728,data!$A:$A,0)),"",INDEX(data!F:F,MATCH($N728,data!$A:$A,0)))</f>
        <v/>
      </c>
      <c r="AR728" s="38" t="str">
        <f>IF(ISNA(MATCH($N728,data!$A:$A,0)),"",INDEX(data!G:G,MATCH($N728,data!$A:$A,0)))</f>
        <v/>
      </c>
      <c r="AS728" s="38" t="str">
        <f>IF(ISNA(MATCH($N728,data!$A:$A,0)),"",INDEX(data!H:H,MATCH($N728,data!$A:$A,0)))</f>
        <v/>
      </c>
      <c r="AT728" s="38" t="str">
        <f>IF(ISNA(MATCH($N728,data!$A:$A,0)),"",INDEX(data!I:I,MATCH($N728,data!$A:$A,0)))</f>
        <v/>
      </c>
      <c r="AU728" s="38" t="str">
        <f>IF(ISNA(MATCH($N728,[1]data!$A:$A,0)),"",INDEX([1]data!L:L,MATCH($N728,[1]data!$A:$A,0)))</f>
        <v/>
      </c>
      <c r="AV728" s="38" t="str">
        <f>IF(ISNA(MATCH($N728,[1]data!$A:$A,0)),"",INDEX([1]data!M:M,MATCH($N728,[1]data!$A:$A,0)))</f>
        <v/>
      </c>
      <c r="AW728" s="38" t="str">
        <f>IF(ISNA(MATCH($N728,data!$A:$A,0)),"",INDEX(data!J:J,MATCH($N728,data!$A:$A,0)))</f>
        <v/>
      </c>
      <c r="AX728" s="38" t="str">
        <f>IF(ISNA(MATCH($N728,data!$A:$A,0)),"",INDEX(data!K:K,MATCH($N728,data!$A:$A,0)))</f>
        <v/>
      </c>
      <c r="AY728" s="38" t="str">
        <f>IF(ISNA(MATCH($N728,data!$A:$A,0)),"",INDEX(data!O:O,MATCH($N728,data!$A:$A,0)))</f>
        <v/>
      </c>
      <c r="AZ728" s="38" t="str">
        <f>IF(ISNA(MATCH($N728,data!$A:$A,0)),"",INDEX(data!N:N,MATCH($N728,data!$A:$A,0)))</f>
        <v/>
      </c>
      <c r="BA728" s="38" t="str">
        <f>IF(ISNA(MATCH($N728,data!$A:$A,0)),"",INDEX(data!P:P,MATCH($N728,data!$A:$A,0)))</f>
        <v/>
      </c>
      <c r="BB728" s="38" t="str">
        <f>IF(ISNA(MATCH($N728,data!$A:$A,0)),"",INDEX(data!Q:Q,MATCH($N728,data!$A:$A,0)))</f>
        <v/>
      </c>
      <c r="BC728" s="38" t="str">
        <f>IF(ISNA(MATCH($N728,data!$A:$A,0)),"",INDEX(data!R:R,MATCH($N728,data!$A:$A,0)))</f>
        <v/>
      </c>
      <c r="BD728" s="38" t="str">
        <f>IF(ISNA(MATCH($N728,[1]data!$A:$A,0)),"",INDEX([1]data!U:U,MATCH($N728,[1]data!$A:$A,0)))</f>
        <v/>
      </c>
      <c r="BE728" s="61" t="e">
        <f>IF(COUNTIF([1]data!A:A,[1]!Table1[[#This Row],[UPC]])&lt;2,"","DUP")</f>
        <v>#VALUE!</v>
      </c>
      <c r="BF728" s="38" t="str">
        <f>IF(ISNA(MATCH($N728,data!$A:$A,0)),"",INDEX(data!W:W,MATCH($N728,data!$A:$A,0)))</f>
        <v/>
      </c>
    </row>
    <row r="729" spans="1:58">
      <c r="A729" s="35"/>
      <c r="B729" s="35"/>
      <c r="C729" s="35"/>
      <c r="D729" s="35"/>
      <c r="E729" s="67"/>
      <c r="F729" s="67"/>
      <c r="G729" s="36"/>
      <c r="H729" s="29"/>
      <c r="I729" s="78" t="str">
        <f t="shared" si="18"/>
        <v/>
      </c>
      <c r="J729" s="29"/>
      <c r="K729" s="29"/>
      <c r="L729" s="33"/>
      <c r="M729" s="33"/>
      <c r="N729" s="60"/>
      <c r="O729" s="71"/>
      <c r="P729" s="71"/>
      <c r="Q729" s="33"/>
      <c r="R729" s="31"/>
      <c r="S729" s="31"/>
      <c r="T729" s="59"/>
      <c r="U729" s="59"/>
      <c r="V729" s="59"/>
      <c r="W729" s="57">
        <f t="shared" si="19"/>
        <v>0</v>
      </c>
      <c r="X729" s="126" t="str">
        <f>IF(Table1[[#This Row],[Shipping Weight Pounds]]&gt;150,"See LTL Form","No")</f>
        <v>No</v>
      </c>
      <c r="Y729" s="28"/>
      <c r="Z729" s="33"/>
      <c r="AA729" s="34"/>
      <c r="AB729" s="30"/>
      <c r="AC729" s="30"/>
      <c r="AD729" s="32"/>
      <c r="AE729" s="32"/>
      <c r="AF729" s="2"/>
      <c r="AG729" s="2"/>
      <c r="AH729" s="2"/>
      <c r="AI729" s="2"/>
      <c r="AK729" s="73" t="str">
        <f>IF(ISNA(MATCH($N729,[1]data!$A:$A,0)),"",INDEX([1]data!S:S,MATCH($N729,[1]data!$A:$A,0)))</f>
        <v/>
      </c>
      <c r="AL729" s="73" t="str">
        <f>IF(ISNA(MATCH($N729,[1]data!$A:$A,0)),"",INDEX([1]data!V:V,MATCH($N729,[1]data!$A:$A,0)))</f>
        <v/>
      </c>
      <c r="AM729" s="38" t="str">
        <f>IF(ISNA(MATCH($N729,data!$A:$A,0)),"",INDEX(data!B:B,MATCH($N729,data!$A:$A,0)))</f>
        <v/>
      </c>
      <c r="AN729" s="38" t="str">
        <f>IF(ISNA(MATCH($N729,data!$A:$A,0)),"",INDEX(data!C:C,MATCH($N729,data!$A:$A,0)))</f>
        <v/>
      </c>
      <c r="AO729" s="38" t="str">
        <f>IF(ISNA(MATCH($N729,data!$A:$A,0)),"",INDEX(data!D:D,MATCH($N729,data!$A:$A,0)))</f>
        <v/>
      </c>
      <c r="AP729" s="38" t="str">
        <f>IF(ISNA(MATCH($N729,data!$A:$A,0)),"",INDEX(data!E:E,MATCH($N729,data!$A:$A,0)))</f>
        <v/>
      </c>
      <c r="AQ729" s="38" t="str">
        <f>IF(ISNA(MATCH($N729,data!$A:$A,0)),"",INDEX(data!F:F,MATCH($N729,data!$A:$A,0)))</f>
        <v/>
      </c>
      <c r="AR729" s="38" t="str">
        <f>IF(ISNA(MATCH($N729,data!$A:$A,0)),"",INDEX(data!G:G,MATCH($N729,data!$A:$A,0)))</f>
        <v/>
      </c>
      <c r="AS729" s="38" t="str">
        <f>IF(ISNA(MATCH($N729,data!$A:$A,0)),"",INDEX(data!H:H,MATCH($N729,data!$A:$A,0)))</f>
        <v/>
      </c>
      <c r="AT729" s="38" t="str">
        <f>IF(ISNA(MATCH($N729,data!$A:$A,0)),"",INDEX(data!I:I,MATCH($N729,data!$A:$A,0)))</f>
        <v/>
      </c>
      <c r="AU729" s="38" t="str">
        <f>IF(ISNA(MATCH($N729,[1]data!$A:$A,0)),"",INDEX([1]data!L:L,MATCH($N729,[1]data!$A:$A,0)))</f>
        <v/>
      </c>
      <c r="AV729" s="38" t="str">
        <f>IF(ISNA(MATCH($N729,[1]data!$A:$A,0)),"",INDEX([1]data!M:M,MATCH($N729,[1]data!$A:$A,0)))</f>
        <v/>
      </c>
      <c r="AW729" s="38" t="str">
        <f>IF(ISNA(MATCH($N729,data!$A:$A,0)),"",INDEX(data!J:J,MATCH($N729,data!$A:$A,0)))</f>
        <v/>
      </c>
      <c r="AX729" s="38" t="str">
        <f>IF(ISNA(MATCH($N729,data!$A:$A,0)),"",INDEX(data!K:K,MATCH($N729,data!$A:$A,0)))</f>
        <v/>
      </c>
      <c r="AY729" s="38" t="str">
        <f>IF(ISNA(MATCH($N729,data!$A:$A,0)),"",INDEX(data!O:O,MATCH($N729,data!$A:$A,0)))</f>
        <v/>
      </c>
      <c r="AZ729" s="38" t="str">
        <f>IF(ISNA(MATCH($N729,data!$A:$A,0)),"",INDEX(data!N:N,MATCH($N729,data!$A:$A,0)))</f>
        <v/>
      </c>
      <c r="BA729" s="38" t="str">
        <f>IF(ISNA(MATCH($N729,data!$A:$A,0)),"",INDEX(data!P:P,MATCH($N729,data!$A:$A,0)))</f>
        <v/>
      </c>
      <c r="BB729" s="38" t="str">
        <f>IF(ISNA(MATCH($N729,data!$A:$A,0)),"",INDEX(data!Q:Q,MATCH($N729,data!$A:$A,0)))</f>
        <v/>
      </c>
      <c r="BC729" s="38" t="str">
        <f>IF(ISNA(MATCH($N729,data!$A:$A,0)),"",INDEX(data!R:R,MATCH($N729,data!$A:$A,0)))</f>
        <v/>
      </c>
      <c r="BD729" s="38" t="str">
        <f>IF(ISNA(MATCH($N729,[1]data!$A:$A,0)),"",INDEX([1]data!U:U,MATCH($N729,[1]data!$A:$A,0)))</f>
        <v/>
      </c>
      <c r="BE729" s="61" t="e">
        <f>IF(COUNTIF([1]data!A:A,[1]!Table1[[#This Row],[UPC]])&lt;2,"","DUP")</f>
        <v>#VALUE!</v>
      </c>
      <c r="BF729" s="38" t="str">
        <f>IF(ISNA(MATCH($N729,data!$A:$A,0)),"",INDEX(data!W:W,MATCH($N729,data!$A:$A,0)))</f>
        <v/>
      </c>
    </row>
    <row r="730" spans="1:58">
      <c r="A730" s="35"/>
      <c r="B730" s="35"/>
      <c r="C730" s="35"/>
      <c r="D730" s="35"/>
      <c r="E730" s="67"/>
      <c r="F730" s="67"/>
      <c r="G730" s="36"/>
      <c r="H730" s="29"/>
      <c r="I730" s="78" t="str">
        <f t="shared" si="18"/>
        <v/>
      </c>
      <c r="J730" s="29"/>
      <c r="K730" s="29"/>
      <c r="L730" s="33"/>
      <c r="M730" s="33"/>
      <c r="N730" s="60"/>
      <c r="O730" s="71"/>
      <c r="P730" s="71"/>
      <c r="Q730" s="33"/>
      <c r="R730" s="31"/>
      <c r="S730" s="31"/>
      <c r="T730" s="59"/>
      <c r="U730" s="59"/>
      <c r="V730" s="59"/>
      <c r="W730" s="57">
        <f t="shared" si="19"/>
        <v>0</v>
      </c>
      <c r="X730" s="126" t="str">
        <f>IF(Table1[[#This Row],[Shipping Weight Pounds]]&gt;150,"See LTL Form","No")</f>
        <v>No</v>
      </c>
      <c r="Y730" s="28"/>
      <c r="Z730" s="33"/>
      <c r="AA730" s="34"/>
      <c r="AB730" s="30"/>
      <c r="AC730" s="30"/>
      <c r="AD730" s="32"/>
      <c r="AE730" s="32"/>
      <c r="AF730" s="2"/>
      <c r="AG730" s="2"/>
      <c r="AH730" s="2"/>
      <c r="AI730" s="2"/>
      <c r="AK730" s="73" t="str">
        <f>IF(ISNA(MATCH($N730,[1]data!$A:$A,0)),"",INDEX([1]data!S:S,MATCH($N730,[1]data!$A:$A,0)))</f>
        <v/>
      </c>
      <c r="AL730" s="73" t="str">
        <f>IF(ISNA(MATCH($N730,[1]data!$A:$A,0)),"",INDEX([1]data!V:V,MATCH($N730,[1]data!$A:$A,0)))</f>
        <v/>
      </c>
      <c r="AM730" s="38" t="str">
        <f>IF(ISNA(MATCH($N730,data!$A:$A,0)),"",INDEX(data!B:B,MATCH($N730,data!$A:$A,0)))</f>
        <v/>
      </c>
      <c r="AN730" s="38" t="str">
        <f>IF(ISNA(MATCH($N730,data!$A:$A,0)),"",INDEX(data!C:C,MATCH($N730,data!$A:$A,0)))</f>
        <v/>
      </c>
      <c r="AO730" s="38" t="str">
        <f>IF(ISNA(MATCH($N730,data!$A:$A,0)),"",INDEX(data!D:D,MATCH($N730,data!$A:$A,0)))</f>
        <v/>
      </c>
      <c r="AP730" s="38" t="str">
        <f>IF(ISNA(MATCH($N730,data!$A:$A,0)),"",INDEX(data!E:E,MATCH($N730,data!$A:$A,0)))</f>
        <v/>
      </c>
      <c r="AQ730" s="38" t="str">
        <f>IF(ISNA(MATCH($N730,data!$A:$A,0)),"",INDEX(data!F:F,MATCH($N730,data!$A:$A,0)))</f>
        <v/>
      </c>
      <c r="AR730" s="38" t="str">
        <f>IF(ISNA(MATCH($N730,data!$A:$A,0)),"",INDEX(data!G:G,MATCH($N730,data!$A:$A,0)))</f>
        <v/>
      </c>
      <c r="AS730" s="38" t="str">
        <f>IF(ISNA(MATCH($N730,data!$A:$A,0)),"",INDEX(data!H:H,MATCH($N730,data!$A:$A,0)))</f>
        <v/>
      </c>
      <c r="AT730" s="38" t="str">
        <f>IF(ISNA(MATCH($N730,data!$A:$A,0)),"",INDEX(data!I:I,MATCH($N730,data!$A:$A,0)))</f>
        <v/>
      </c>
      <c r="AU730" s="38" t="str">
        <f>IF(ISNA(MATCH($N730,[1]data!$A:$A,0)),"",INDEX([1]data!L:L,MATCH($N730,[1]data!$A:$A,0)))</f>
        <v/>
      </c>
      <c r="AV730" s="38" t="str">
        <f>IF(ISNA(MATCH($N730,[1]data!$A:$A,0)),"",INDEX([1]data!M:M,MATCH($N730,[1]data!$A:$A,0)))</f>
        <v/>
      </c>
      <c r="AW730" s="38" t="str">
        <f>IF(ISNA(MATCH($N730,data!$A:$A,0)),"",INDEX(data!J:J,MATCH($N730,data!$A:$A,0)))</f>
        <v/>
      </c>
      <c r="AX730" s="38" t="str">
        <f>IF(ISNA(MATCH($N730,data!$A:$A,0)),"",INDEX(data!K:K,MATCH($N730,data!$A:$A,0)))</f>
        <v/>
      </c>
      <c r="AY730" s="38" t="str">
        <f>IF(ISNA(MATCH($N730,data!$A:$A,0)),"",INDEX(data!O:O,MATCH($N730,data!$A:$A,0)))</f>
        <v/>
      </c>
      <c r="AZ730" s="38" t="str">
        <f>IF(ISNA(MATCH($N730,data!$A:$A,0)),"",INDEX(data!N:N,MATCH($N730,data!$A:$A,0)))</f>
        <v/>
      </c>
      <c r="BA730" s="38" t="str">
        <f>IF(ISNA(MATCH($N730,data!$A:$A,0)),"",INDEX(data!P:P,MATCH($N730,data!$A:$A,0)))</f>
        <v/>
      </c>
      <c r="BB730" s="38" t="str">
        <f>IF(ISNA(MATCH($N730,data!$A:$A,0)),"",INDEX(data!Q:Q,MATCH($N730,data!$A:$A,0)))</f>
        <v/>
      </c>
      <c r="BC730" s="38" t="str">
        <f>IF(ISNA(MATCH($N730,data!$A:$A,0)),"",INDEX(data!R:R,MATCH($N730,data!$A:$A,0)))</f>
        <v/>
      </c>
      <c r="BD730" s="38" t="str">
        <f>IF(ISNA(MATCH($N730,[1]data!$A:$A,0)),"",INDEX([1]data!U:U,MATCH($N730,[1]data!$A:$A,0)))</f>
        <v/>
      </c>
      <c r="BE730" s="61" t="e">
        <f>IF(COUNTIF([1]data!A:A,[1]!Table1[[#This Row],[UPC]])&lt;2,"","DUP")</f>
        <v>#VALUE!</v>
      </c>
      <c r="BF730" s="38" t="str">
        <f>IF(ISNA(MATCH($N730,data!$A:$A,0)),"",INDEX(data!W:W,MATCH($N730,data!$A:$A,0)))</f>
        <v/>
      </c>
    </row>
    <row r="731" spans="1:58">
      <c r="A731" s="35"/>
      <c r="B731" s="35"/>
      <c r="C731" s="35"/>
      <c r="D731" s="35"/>
      <c r="E731" s="67"/>
      <c r="F731" s="67"/>
      <c r="G731" s="36"/>
      <c r="H731" s="29"/>
      <c r="I731" s="78" t="str">
        <f t="shared" si="18"/>
        <v/>
      </c>
      <c r="J731" s="29"/>
      <c r="K731" s="29"/>
      <c r="L731" s="33"/>
      <c r="M731" s="33"/>
      <c r="N731" s="60"/>
      <c r="O731" s="71"/>
      <c r="P731" s="71"/>
      <c r="Q731" s="33"/>
      <c r="R731" s="31"/>
      <c r="S731" s="31"/>
      <c r="T731" s="59"/>
      <c r="U731" s="59"/>
      <c r="V731" s="59"/>
      <c r="W731" s="57">
        <f t="shared" si="19"/>
        <v>0</v>
      </c>
      <c r="X731" s="126" t="str">
        <f>IF(Table1[[#This Row],[Shipping Weight Pounds]]&gt;150,"See LTL Form","No")</f>
        <v>No</v>
      </c>
      <c r="Y731" s="28"/>
      <c r="Z731" s="33"/>
      <c r="AA731" s="34"/>
      <c r="AB731" s="30"/>
      <c r="AC731" s="30"/>
      <c r="AD731" s="32"/>
      <c r="AE731" s="32"/>
      <c r="AF731" s="2"/>
      <c r="AG731" s="2"/>
      <c r="AH731" s="2"/>
      <c r="AI731" s="2"/>
      <c r="AK731" s="73" t="str">
        <f>IF(ISNA(MATCH($N731,[1]data!$A:$A,0)),"",INDEX([1]data!S:S,MATCH($N731,[1]data!$A:$A,0)))</f>
        <v/>
      </c>
      <c r="AL731" s="73" t="str">
        <f>IF(ISNA(MATCH($N731,[1]data!$A:$A,0)),"",INDEX([1]data!V:V,MATCH($N731,[1]data!$A:$A,0)))</f>
        <v/>
      </c>
      <c r="AM731" s="38" t="str">
        <f>IF(ISNA(MATCH($N731,data!$A:$A,0)),"",INDEX(data!B:B,MATCH($N731,data!$A:$A,0)))</f>
        <v/>
      </c>
      <c r="AN731" s="38" t="str">
        <f>IF(ISNA(MATCH($N731,data!$A:$A,0)),"",INDEX(data!C:C,MATCH($N731,data!$A:$A,0)))</f>
        <v/>
      </c>
      <c r="AO731" s="38" t="str">
        <f>IF(ISNA(MATCH($N731,data!$A:$A,0)),"",INDEX(data!D:D,MATCH($N731,data!$A:$A,0)))</f>
        <v/>
      </c>
      <c r="AP731" s="38" t="str">
        <f>IF(ISNA(MATCH($N731,data!$A:$A,0)),"",INDEX(data!E:E,MATCH($N731,data!$A:$A,0)))</f>
        <v/>
      </c>
      <c r="AQ731" s="38" t="str">
        <f>IF(ISNA(MATCH($N731,data!$A:$A,0)),"",INDEX(data!F:F,MATCH($N731,data!$A:$A,0)))</f>
        <v/>
      </c>
      <c r="AR731" s="38" t="str">
        <f>IF(ISNA(MATCH($N731,data!$A:$A,0)),"",INDEX(data!G:G,MATCH($N731,data!$A:$A,0)))</f>
        <v/>
      </c>
      <c r="AS731" s="38" t="str">
        <f>IF(ISNA(MATCH($N731,data!$A:$A,0)),"",INDEX(data!H:H,MATCH($N731,data!$A:$A,0)))</f>
        <v/>
      </c>
      <c r="AT731" s="38" t="str">
        <f>IF(ISNA(MATCH($N731,data!$A:$A,0)),"",INDEX(data!I:I,MATCH($N731,data!$A:$A,0)))</f>
        <v/>
      </c>
      <c r="AU731" s="38" t="str">
        <f>IF(ISNA(MATCH($N731,[1]data!$A:$A,0)),"",INDEX([1]data!L:L,MATCH($N731,[1]data!$A:$A,0)))</f>
        <v/>
      </c>
      <c r="AV731" s="38" t="str">
        <f>IF(ISNA(MATCH($N731,[1]data!$A:$A,0)),"",INDEX([1]data!M:M,MATCH($N731,[1]data!$A:$A,0)))</f>
        <v/>
      </c>
      <c r="AW731" s="38" t="str">
        <f>IF(ISNA(MATCH($N731,data!$A:$A,0)),"",INDEX(data!J:J,MATCH($N731,data!$A:$A,0)))</f>
        <v/>
      </c>
      <c r="AX731" s="38" t="str">
        <f>IF(ISNA(MATCH($N731,data!$A:$A,0)),"",INDEX(data!K:K,MATCH($N731,data!$A:$A,0)))</f>
        <v/>
      </c>
      <c r="AY731" s="38" t="str">
        <f>IF(ISNA(MATCH($N731,data!$A:$A,0)),"",INDEX(data!O:O,MATCH($N731,data!$A:$A,0)))</f>
        <v/>
      </c>
      <c r="AZ731" s="38" t="str">
        <f>IF(ISNA(MATCH($N731,data!$A:$A,0)),"",INDEX(data!N:N,MATCH($N731,data!$A:$A,0)))</f>
        <v/>
      </c>
      <c r="BA731" s="38" t="str">
        <f>IF(ISNA(MATCH($N731,data!$A:$A,0)),"",INDEX(data!P:P,MATCH($N731,data!$A:$A,0)))</f>
        <v/>
      </c>
      <c r="BB731" s="38" t="str">
        <f>IF(ISNA(MATCH($N731,data!$A:$A,0)),"",INDEX(data!Q:Q,MATCH($N731,data!$A:$A,0)))</f>
        <v/>
      </c>
      <c r="BC731" s="38" t="str">
        <f>IF(ISNA(MATCH($N731,data!$A:$A,0)),"",INDEX(data!R:R,MATCH($N731,data!$A:$A,0)))</f>
        <v/>
      </c>
      <c r="BD731" s="38" t="str">
        <f>IF(ISNA(MATCH($N731,[1]data!$A:$A,0)),"",INDEX([1]data!U:U,MATCH($N731,[1]data!$A:$A,0)))</f>
        <v/>
      </c>
      <c r="BE731" s="61" t="e">
        <f>IF(COUNTIF([1]data!A:A,[1]!Table1[[#This Row],[UPC]])&lt;2,"","DUP")</f>
        <v>#VALUE!</v>
      </c>
      <c r="BF731" s="38" t="str">
        <f>IF(ISNA(MATCH($N731,data!$A:$A,0)),"",INDEX(data!W:W,MATCH($N731,data!$A:$A,0)))</f>
        <v/>
      </c>
    </row>
    <row r="732" spans="1:58">
      <c r="A732" s="35"/>
      <c r="B732" s="35"/>
      <c r="C732" s="35"/>
      <c r="D732" s="35"/>
      <c r="E732" s="67"/>
      <c r="F732" s="67"/>
      <c r="G732" s="36"/>
      <c r="H732" s="29"/>
      <c r="I732" s="78" t="str">
        <f t="shared" si="18"/>
        <v/>
      </c>
      <c r="J732" s="29"/>
      <c r="K732" s="29"/>
      <c r="L732" s="33"/>
      <c r="M732" s="33"/>
      <c r="N732" s="60"/>
      <c r="O732" s="71"/>
      <c r="P732" s="71"/>
      <c r="Q732" s="33"/>
      <c r="R732" s="31"/>
      <c r="S732" s="31"/>
      <c r="T732" s="59"/>
      <c r="U732" s="59"/>
      <c r="V732" s="59"/>
      <c r="W732" s="57">
        <f t="shared" si="19"/>
        <v>0</v>
      </c>
      <c r="X732" s="126" t="str">
        <f>IF(Table1[[#This Row],[Shipping Weight Pounds]]&gt;150,"See LTL Form","No")</f>
        <v>No</v>
      </c>
      <c r="Y732" s="28"/>
      <c r="Z732" s="33"/>
      <c r="AA732" s="34"/>
      <c r="AB732" s="30"/>
      <c r="AC732" s="30"/>
      <c r="AD732" s="32"/>
      <c r="AE732" s="32"/>
      <c r="AF732" s="2"/>
      <c r="AG732" s="2"/>
      <c r="AH732" s="2"/>
      <c r="AI732" s="2"/>
      <c r="AK732" s="73" t="str">
        <f>IF(ISNA(MATCH($N732,[1]data!$A:$A,0)),"",INDEX([1]data!S:S,MATCH($N732,[1]data!$A:$A,0)))</f>
        <v/>
      </c>
      <c r="AL732" s="73" t="str">
        <f>IF(ISNA(MATCH($N732,[1]data!$A:$A,0)),"",INDEX([1]data!V:V,MATCH($N732,[1]data!$A:$A,0)))</f>
        <v/>
      </c>
      <c r="AM732" s="38" t="str">
        <f>IF(ISNA(MATCH($N732,data!$A:$A,0)),"",INDEX(data!B:B,MATCH($N732,data!$A:$A,0)))</f>
        <v/>
      </c>
      <c r="AN732" s="38" t="str">
        <f>IF(ISNA(MATCH($N732,data!$A:$A,0)),"",INDEX(data!C:C,MATCH($N732,data!$A:$A,0)))</f>
        <v/>
      </c>
      <c r="AO732" s="38" t="str">
        <f>IF(ISNA(MATCH($N732,data!$A:$A,0)),"",INDEX(data!D:D,MATCH($N732,data!$A:$A,0)))</f>
        <v/>
      </c>
      <c r="AP732" s="38" t="str">
        <f>IF(ISNA(MATCH($N732,data!$A:$A,0)),"",INDEX(data!E:E,MATCH($N732,data!$A:$A,0)))</f>
        <v/>
      </c>
      <c r="AQ732" s="38" t="str">
        <f>IF(ISNA(MATCH($N732,data!$A:$A,0)),"",INDEX(data!F:F,MATCH($N732,data!$A:$A,0)))</f>
        <v/>
      </c>
      <c r="AR732" s="38" t="str">
        <f>IF(ISNA(MATCH($N732,data!$A:$A,0)),"",INDEX(data!G:G,MATCH($N732,data!$A:$A,0)))</f>
        <v/>
      </c>
      <c r="AS732" s="38" t="str">
        <f>IF(ISNA(MATCH($N732,data!$A:$A,0)),"",INDEX(data!H:H,MATCH($N732,data!$A:$A,0)))</f>
        <v/>
      </c>
      <c r="AT732" s="38" t="str">
        <f>IF(ISNA(MATCH($N732,data!$A:$A,0)),"",INDEX(data!I:I,MATCH($N732,data!$A:$A,0)))</f>
        <v/>
      </c>
      <c r="AU732" s="38" t="str">
        <f>IF(ISNA(MATCH($N732,[1]data!$A:$A,0)),"",INDEX([1]data!L:L,MATCH($N732,[1]data!$A:$A,0)))</f>
        <v/>
      </c>
      <c r="AV732" s="38" t="str">
        <f>IF(ISNA(MATCH($N732,[1]data!$A:$A,0)),"",INDEX([1]data!M:M,MATCH($N732,[1]data!$A:$A,0)))</f>
        <v/>
      </c>
      <c r="AW732" s="38" t="str">
        <f>IF(ISNA(MATCH($N732,data!$A:$A,0)),"",INDEX(data!J:J,MATCH($N732,data!$A:$A,0)))</f>
        <v/>
      </c>
      <c r="AX732" s="38" t="str">
        <f>IF(ISNA(MATCH($N732,data!$A:$A,0)),"",INDEX(data!K:K,MATCH($N732,data!$A:$A,0)))</f>
        <v/>
      </c>
      <c r="AY732" s="38" t="str">
        <f>IF(ISNA(MATCH($N732,data!$A:$A,0)),"",INDEX(data!O:O,MATCH($N732,data!$A:$A,0)))</f>
        <v/>
      </c>
      <c r="AZ732" s="38" t="str">
        <f>IF(ISNA(MATCH($N732,data!$A:$A,0)),"",INDEX(data!N:N,MATCH($N732,data!$A:$A,0)))</f>
        <v/>
      </c>
      <c r="BA732" s="38" t="str">
        <f>IF(ISNA(MATCH($N732,data!$A:$A,0)),"",INDEX(data!P:P,MATCH($N732,data!$A:$A,0)))</f>
        <v/>
      </c>
      <c r="BB732" s="38" t="str">
        <f>IF(ISNA(MATCH($N732,data!$A:$A,0)),"",INDEX(data!Q:Q,MATCH($N732,data!$A:$A,0)))</f>
        <v/>
      </c>
      <c r="BC732" s="38" t="str">
        <f>IF(ISNA(MATCH($N732,data!$A:$A,0)),"",INDEX(data!R:R,MATCH($N732,data!$A:$A,0)))</f>
        <v/>
      </c>
      <c r="BD732" s="38" t="str">
        <f>IF(ISNA(MATCH($N732,[1]data!$A:$A,0)),"",INDEX([1]data!U:U,MATCH($N732,[1]data!$A:$A,0)))</f>
        <v/>
      </c>
      <c r="BE732" s="61" t="e">
        <f>IF(COUNTIF([1]data!A:A,[1]!Table1[[#This Row],[UPC]])&lt;2,"","DUP")</f>
        <v>#VALUE!</v>
      </c>
      <c r="BF732" s="38" t="str">
        <f>IF(ISNA(MATCH($N732,data!$A:$A,0)),"",INDEX(data!W:W,MATCH($N732,data!$A:$A,0)))</f>
        <v/>
      </c>
    </row>
    <row r="733" spans="1:58">
      <c r="A733" s="35"/>
      <c r="B733" s="35"/>
      <c r="C733" s="35"/>
      <c r="D733" s="35"/>
      <c r="E733" s="67"/>
      <c r="F733" s="67"/>
      <c r="G733" s="36"/>
      <c r="H733" s="29"/>
      <c r="I733" s="78" t="str">
        <f t="shared" si="18"/>
        <v/>
      </c>
      <c r="J733" s="29"/>
      <c r="K733" s="29"/>
      <c r="L733" s="33"/>
      <c r="M733" s="33"/>
      <c r="N733" s="60"/>
      <c r="O733" s="71"/>
      <c r="P733" s="71"/>
      <c r="Q733" s="33"/>
      <c r="R733" s="31"/>
      <c r="S733" s="31"/>
      <c r="T733" s="59"/>
      <c r="U733" s="59"/>
      <c r="V733" s="59"/>
      <c r="W733" s="57">
        <f t="shared" si="19"/>
        <v>0</v>
      </c>
      <c r="X733" s="126" t="str">
        <f>IF(Table1[[#This Row],[Shipping Weight Pounds]]&gt;150,"See LTL Form","No")</f>
        <v>No</v>
      </c>
      <c r="Y733" s="28"/>
      <c r="Z733" s="33"/>
      <c r="AA733" s="34"/>
      <c r="AB733" s="30"/>
      <c r="AC733" s="30"/>
      <c r="AD733" s="32"/>
      <c r="AE733" s="32"/>
      <c r="AF733" s="2"/>
      <c r="AG733" s="2"/>
      <c r="AH733" s="2"/>
      <c r="AI733" s="2"/>
      <c r="AK733" s="73" t="str">
        <f>IF(ISNA(MATCH($N733,[1]data!$A:$A,0)),"",INDEX([1]data!S:S,MATCH($N733,[1]data!$A:$A,0)))</f>
        <v/>
      </c>
      <c r="AL733" s="73" t="str">
        <f>IF(ISNA(MATCH($N733,[1]data!$A:$A,0)),"",INDEX([1]data!V:V,MATCH($N733,[1]data!$A:$A,0)))</f>
        <v/>
      </c>
      <c r="AM733" s="38" t="str">
        <f>IF(ISNA(MATCH($N733,data!$A:$A,0)),"",INDEX(data!B:B,MATCH($N733,data!$A:$A,0)))</f>
        <v/>
      </c>
      <c r="AN733" s="38" t="str">
        <f>IF(ISNA(MATCH($N733,data!$A:$A,0)),"",INDEX(data!C:C,MATCH($N733,data!$A:$A,0)))</f>
        <v/>
      </c>
      <c r="AO733" s="38" t="str">
        <f>IF(ISNA(MATCH($N733,data!$A:$A,0)),"",INDEX(data!D:D,MATCH($N733,data!$A:$A,0)))</f>
        <v/>
      </c>
      <c r="AP733" s="38" t="str">
        <f>IF(ISNA(MATCH($N733,data!$A:$A,0)),"",INDEX(data!E:E,MATCH($N733,data!$A:$A,0)))</f>
        <v/>
      </c>
      <c r="AQ733" s="38" t="str">
        <f>IF(ISNA(MATCH($N733,data!$A:$A,0)),"",INDEX(data!F:F,MATCH($N733,data!$A:$A,0)))</f>
        <v/>
      </c>
      <c r="AR733" s="38" t="str">
        <f>IF(ISNA(MATCH($N733,data!$A:$A,0)),"",INDEX(data!G:G,MATCH($N733,data!$A:$A,0)))</f>
        <v/>
      </c>
      <c r="AS733" s="38" t="str">
        <f>IF(ISNA(MATCH($N733,data!$A:$A,0)),"",INDEX(data!H:H,MATCH($N733,data!$A:$A,0)))</f>
        <v/>
      </c>
      <c r="AT733" s="38" t="str">
        <f>IF(ISNA(MATCH($N733,data!$A:$A,0)),"",INDEX(data!I:I,MATCH($N733,data!$A:$A,0)))</f>
        <v/>
      </c>
      <c r="AU733" s="38" t="str">
        <f>IF(ISNA(MATCH($N733,[1]data!$A:$A,0)),"",INDEX([1]data!L:L,MATCH($N733,[1]data!$A:$A,0)))</f>
        <v/>
      </c>
      <c r="AV733" s="38" t="str">
        <f>IF(ISNA(MATCH($N733,[1]data!$A:$A,0)),"",INDEX([1]data!M:M,MATCH($N733,[1]data!$A:$A,0)))</f>
        <v/>
      </c>
      <c r="AW733" s="38" t="str">
        <f>IF(ISNA(MATCH($N733,data!$A:$A,0)),"",INDEX(data!J:J,MATCH($N733,data!$A:$A,0)))</f>
        <v/>
      </c>
      <c r="AX733" s="38" t="str">
        <f>IF(ISNA(MATCH($N733,data!$A:$A,0)),"",INDEX(data!K:K,MATCH($N733,data!$A:$A,0)))</f>
        <v/>
      </c>
      <c r="AY733" s="38" t="str">
        <f>IF(ISNA(MATCH($N733,data!$A:$A,0)),"",INDEX(data!O:O,MATCH($N733,data!$A:$A,0)))</f>
        <v/>
      </c>
      <c r="AZ733" s="38" t="str">
        <f>IF(ISNA(MATCH($N733,data!$A:$A,0)),"",INDEX(data!N:N,MATCH($N733,data!$A:$A,0)))</f>
        <v/>
      </c>
      <c r="BA733" s="38" t="str">
        <f>IF(ISNA(MATCH($N733,data!$A:$A,0)),"",INDEX(data!P:P,MATCH($N733,data!$A:$A,0)))</f>
        <v/>
      </c>
      <c r="BB733" s="38" t="str">
        <f>IF(ISNA(MATCH($N733,data!$A:$A,0)),"",INDEX(data!Q:Q,MATCH($N733,data!$A:$A,0)))</f>
        <v/>
      </c>
      <c r="BC733" s="38" t="str">
        <f>IF(ISNA(MATCH($N733,data!$A:$A,0)),"",INDEX(data!R:R,MATCH($N733,data!$A:$A,0)))</f>
        <v/>
      </c>
      <c r="BD733" s="38" t="str">
        <f>IF(ISNA(MATCH($N733,[1]data!$A:$A,0)),"",INDEX([1]data!U:U,MATCH($N733,[1]data!$A:$A,0)))</f>
        <v/>
      </c>
      <c r="BE733" s="61" t="e">
        <f>IF(COUNTIF([1]data!A:A,[1]!Table1[[#This Row],[UPC]])&lt;2,"","DUP")</f>
        <v>#VALUE!</v>
      </c>
      <c r="BF733" s="38" t="str">
        <f>IF(ISNA(MATCH($N733,data!$A:$A,0)),"",INDEX(data!W:W,MATCH($N733,data!$A:$A,0)))</f>
        <v/>
      </c>
    </row>
    <row r="734" spans="1:58">
      <c r="A734" s="35"/>
      <c r="B734" s="35"/>
      <c r="C734" s="35"/>
      <c r="D734" s="35"/>
      <c r="E734" s="67"/>
      <c r="F734" s="67"/>
      <c r="G734" s="36"/>
      <c r="H734" s="29"/>
      <c r="I734" s="78" t="str">
        <f t="shared" si="18"/>
        <v/>
      </c>
      <c r="J734" s="29"/>
      <c r="K734" s="29"/>
      <c r="L734" s="33"/>
      <c r="M734" s="33"/>
      <c r="N734" s="60"/>
      <c r="O734" s="71"/>
      <c r="P734" s="71"/>
      <c r="Q734" s="33"/>
      <c r="R734" s="31"/>
      <c r="S734" s="31"/>
      <c r="T734" s="59"/>
      <c r="U734" s="59"/>
      <c r="V734" s="59"/>
      <c r="W734" s="57">
        <f t="shared" si="19"/>
        <v>0</v>
      </c>
      <c r="X734" s="126" t="str">
        <f>IF(Table1[[#This Row],[Shipping Weight Pounds]]&gt;150,"See LTL Form","No")</f>
        <v>No</v>
      </c>
      <c r="Y734" s="28"/>
      <c r="Z734" s="33"/>
      <c r="AA734" s="34"/>
      <c r="AB734" s="30"/>
      <c r="AC734" s="30"/>
      <c r="AD734" s="32"/>
      <c r="AE734" s="32"/>
      <c r="AF734" s="2"/>
      <c r="AG734" s="2"/>
      <c r="AH734" s="2"/>
      <c r="AI734" s="2"/>
      <c r="AK734" s="73" t="str">
        <f>IF(ISNA(MATCH($N734,[1]data!$A:$A,0)),"",INDEX([1]data!S:S,MATCH($N734,[1]data!$A:$A,0)))</f>
        <v/>
      </c>
      <c r="AL734" s="73" t="str">
        <f>IF(ISNA(MATCH($N734,[1]data!$A:$A,0)),"",INDEX([1]data!V:V,MATCH($N734,[1]data!$A:$A,0)))</f>
        <v/>
      </c>
      <c r="AM734" s="38" t="str">
        <f>IF(ISNA(MATCH($N734,data!$A:$A,0)),"",INDEX(data!B:B,MATCH($N734,data!$A:$A,0)))</f>
        <v/>
      </c>
      <c r="AN734" s="38" t="str">
        <f>IF(ISNA(MATCH($N734,data!$A:$A,0)),"",INDEX(data!C:C,MATCH($N734,data!$A:$A,0)))</f>
        <v/>
      </c>
      <c r="AO734" s="38" t="str">
        <f>IF(ISNA(MATCH($N734,data!$A:$A,0)),"",INDEX(data!D:D,MATCH($N734,data!$A:$A,0)))</f>
        <v/>
      </c>
      <c r="AP734" s="38" t="str">
        <f>IF(ISNA(MATCH($N734,data!$A:$A,0)),"",INDEX(data!E:E,MATCH($N734,data!$A:$A,0)))</f>
        <v/>
      </c>
      <c r="AQ734" s="38" t="str">
        <f>IF(ISNA(MATCH($N734,data!$A:$A,0)),"",INDEX(data!F:F,MATCH($N734,data!$A:$A,0)))</f>
        <v/>
      </c>
      <c r="AR734" s="38" t="str">
        <f>IF(ISNA(MATCH($N734,data!$A:$A,0)),"",INDEX(data!G:G,MATCH($N734,data!$A:$A,0)))</f>
        <v/>
      </c>
      <c r="AS734" s="38" t="str">
        <f>IF(ISNA(MATCH($N734,data!$A:$A,0)),"",INDEX(data!H:H,MATCH($N734,data!$A:$A,0)))</f>
        <v/>
      </c>
      <c r="AT734" s="38" t="str">
        <f>IF(ISNA(MATCH($N734,data!$A:$A,0)),"",INDEX(data!I:I,MATCH($N734,data!$A:$A,0)))</f>
        <v/>
      </c>
      <c r="AU734" s="38" t="str">
        <f>IF(ISNA(MATCH($N734,[1]data!$A:$A,0)),"",INDEX([1]data!L:L,MATCH($N734,[1]data!$A:$A,0)))</f>
        <v/>
      </c>
      <c r="AV734" s="38" t="str">
        <f>IF(ISNA(MATCH($N734,[1]data!$A:$A,0)),"",INDEX([1]data!M:M,MATCH($N734,[1]data!$A:$A,0)))</f>
        <v/>
      </c>
      <c r="AW734" s="38" t="str">
        <f>IF(ISNA(MATCH($N734,data!$A:$A,0)),"",INDEX(data!J:J,MATCH($N734,data!$A:$A,0)))</f>
        <v/>
      </c>
      <c r="AX734" s="38" t="str">
        <f>IF(ISNA(MATCH($N734,data!$A:$A,0)),"",INDEX(data!K:K,MATCH($N734,data!$A:$A,0)))</f>
        <v/>
      </c>
      <c r="AY734" s="38" t="str">
        <f>IF(ISNA(MATCH($N734,data!$A:$A,0)),"",INDEX(data!O:O,MATCH($N734,data!$A:$A,0)))</f>
        <v/>
      </c>
      <c r="AZ734" s="38" t="str">
        <f>IF(ISNA(MATCH($N734,data!$A:$A,0)),"",INDEX(data!N:N,MATCH($N734,data!$A:$A,0)))</f>
        <v/>
      </c>
      <c r="BA734" s="38" t="str">
        <f>IF(ISNA(MATCH($N734,data!$A:$A,0)),"",INDEX(data!P:P,MATCH($N734,data!$A:$A,0)))</f>
        <v/>
      </c>
      <c r="BB734" s="38" t="str">
        <f>IF(ISNA(MATCH($N734,data!$A:$A,0)),"",INDEX(data!Q:Q,MATCH($N734,data!$A:$A,0)))</f>
        <v/>
      </c>
      <c r="BC734" s="38" t="str">
        <f>IF(ISNA(MATCH($N734,data!$A:$A,0)),"",INDEX(data!R:R,MATCH($N734,data!$A:$A,0)))</f>
        <v/>
      </c>
      <c r="BD734" s="38" t="str">
        <f>IF(ISNA(MATCH($N734,[1]data!$A:$A,0)),"",INDEX([1]data!U:U,MATCH($N734,[1]data!$A:$A,0)))</f>
        <v/>
      </c>
      <c r="BE734" s="61" t="e">
        <f>IF(COUNTIF([1]data!A:A,[1]!Table1[[#This Row],[UPC]])&lt;2,"","DUP")</f>
        <v>#VALUE!</v>
      </c>
      <c r="BF734" s="38" t="str">
        <f>IF(ISNA(MATCH($N734,data!$A:$A,0)),"",INDEX(data!W:W,MATCH($N734,data!$A:$A,0)))</f>
        <v/>
      </c>
    </row>
    <row r="735" spans="1:58">
      <c r="A735" s="35"/>
      <c r="B735" s="35"/>
      <c r="C735" s="35"/>
      <c r="D735" s="35"/>
      <c r="E735" s="67"/>
      <c r="F735" s="67"/>
      <c r="G735" s="36"/>
      <c r="H735" s="29"/>
      <c r="I735" s="78" t="str">
        <f t="shared" si="18"/>
        <v/>
      </c>
      <c r="J735" s="29"/>
      <c r="K735" s="29"/>
      <c r="L735" s="33"/>
      <c r="M735" s="33"/>
      <c r="N735" s="60"/>
      <c r="O735" s="71"/>
      <c r="P735" s="71"/>
      <c r="Q735" s="33"/>
      <c r="R735" s="31"/>
      <c r="S735" s="31"/>
      <c r="T735" s="59"/>
      <c r="U735" s="59"/>
      <c r="V735" s="59"/>
      <c r="W735" s="57">
        <f t="shared" si="19"/>
        <v>0</v>
      </c>
      <c r="X735" s="126" t="str">
        <f>IF(Table1[[#This Row],[Shipping Weight Pounds]]&gt;150,"See LTL Form","No")</f>
        <v>No</v>
      </c>
      <c r="Y735" s="28"/>
      <c r="Z735" s="33"/>
      <c r="AA735" s="34"/>
      <c r="AB735" s="30"/>
      <c r="AC735" s="30"/>
      <c r="AD735" s="32"/>
      <c r="AE735" s="32"/>
      <c r="AF735" s="2"/>
      <c r="AG735" s="2"/>
      <c r="AH735" s="2"/>
      <c r="AI735" s="2"/>
      <c r="AK735" s="73" t="str">
        <f>IF(ISNA(MATCH($N735,[1]data!$A:$A,0)),"",INDEX([1]data!S:S,MATCH($N735,[1]data!$A:$A,0)))</f>
        <v/>
      </c>
      <c r="AL735" s="73" t="str">
        <f>IF(ISNA(MATCH($N735,[1]data!$A:$A,0)),"",INDEX([1]data!V:V,MATCH($N735,[1]data!$A:$A,0)))</f>
        <v/>
      </c>
      <c r="AM735" s="38" t="str">
        <f>IF(ISNA(MATCH($N735,data!$A:$A,0)),"",INDEX(data!B:B,MATCH($N735,data!$A:$A,0)))</f>
        <v/>
      </c>
      <c r="AN735" s="38" t="str">
        <f>IF(ISNA(MATCH($N735,data!$A:$A,0)),"",INDEX(data!C:C,MATCH($N735,data!$A:$A,0)))</f>
        <v/>
      </c>
      <c r="AO735" s="38" t="str">
        <f>IF(ISNA(MATCH($N735,data!$A:$A,0)),"",INDEX(data!D:D,MATCH($N735,data!$A:$A,0)))</f>
        <v/>
      </c>
      <c r="AP735" s="38" t="str">
        <f>IF(ISNA(MATCH($N735,data!$A:$A,0)),"",INDEX(data!E:E,MATCH($N735,data!$A:$A,0)))</f>
        <v/>
      </c>
      <c r="AQ735" s="38" t="str">
        <f>IF(ISNA(MATCH($N735,data!$A:$A,0)),"",INDEX(data!F:F,MATCH($N735,data!$A:$A,0)))</f>
        <v/>
      </c>
      <c r="AR735" s="38" t="str">
        <f>IF(ISNA(MATCH($N735,data!$A:$A,0)),"",INDEX(data!G:G,MATCH($N735,data!$A:$A,0)))</f>
        <v/>
      </c>
      <c r="AS735" s="38" t="str">
        <f>IF(ISNA(MATCH($N735,data!$A:$A,0)),"",INDEX(data!H:H,MATCH($N735,data!$A:$A,0)))</f>
        <v/>
      </c>
      <c r="AT735" s="38" t="str">
        <f>IF(ISNA(MATCH($N735,data!$A:$A,0)),"",INDEX(data!I:I,MATCH($N735,data!$A:$A,0)))</f>
        <v/>
      </c>
      <c r="AU735" s="38" t="str">
        <f>IF(ISNA(MATCH($N735,[1]data!$A:$A,0)),"",INDEX([1]data!L:L,MATCH($N735,[1]data!$A:$A,0)))</f>
        <v/>
      </c>
      <c r="AV735" s="38" t="str">
        <f>IF(ISNA(MATCH($N735,[1]data!$A:$A,0)),"",INDEX([1]data!M:M,MATCH($N735,[1]data!$A:$A,0)))</f>
        <v/>
      </c>
      <c r="AW735" s="38" t="str">
        <f>IF(ISNA(MATCH($N735,data!$A:$A,0)),"",INDEX(data!J:J,MATCH($N735,data!$A:$A,0)))</f>
        <v/>
      </c>
      <c r="AX735" s="38" t="str">
        <f>IF(ISNA(MATCH($N735,data!$A:$A,0)),"",INDEX(data!K:K,MATCH($N735,data!$A:$A,0)))</f>
        <v/>
      </c>
      <c r="AY735" s="38" t="str">
        <f>IF(ISNA(MATCH($N735,data!$A:$A,0)),"",INDEX(data!O:O,MATCH($N735,data!$A:$A,0)))</f>
        <v/>
      </c>
      <c r="AZ735" s="38" t="str">
        <f>IF(ISNA(MATCH($N735,data!$A:$A,0)),"",INDEX(data!N:N,MATCH($N735,data!$A:$A,0)))</f>
        <v/>
      </c>
      <c r="BA735" s="38" t="str">
        <f>IF(ISNA(MATCH($N735,data!$A:$A,0)),"",INDEX(data!P:P,MATCH($N735,data!$A:$A,0)))</f>
        <v/>
      </c>
      <c r="BB735" s="38" t="str">
        <f>IF(ISNA(MATCH($N735,data!$A:$A,0)),"",INDEX(data!Q:Q,MATCH($N735,data!$A:$A,0)))</f>
        <v/>
      </c>
      <c r="BC735" s="38" t="str">
        <f>IF(ISNA(MATCH($N735,data!$A:$A,0)),"",INDEX(data!R:R,MATCH($N735,data!$A:$A,0)))</f>
        <v/>
      </c>
      <c r="BD735" s="38" t="str">
        <f>IF(ISNA(MATCH($N735,[1]data!$A:$A,0)),"",INDEX([1]data!U:U,MATCH($N735,[1]data!$A:$A,0)))</f>
        <v/>
      </c>
      <c r="BE735" s="61" t="e">
        <f>IF(COUNTIF([1]data!A:A,[1]!Table1[[#This Row],[UPC]])&lt;2,"","DUP")</f>
        <v>#VALUE!</v>
      </c>
      <c r="BF735" s="38" t="str">
        <f>IF(ISNA(MATCH($N735,data!$A:$A,0)),"",INDEX(data!W:W,MATCH($N735,data!$A:$A,0)))</f>
        <v/>
      </c>
    </row>
    <row r="736" spans="1:58">
      <c r="A736" s="35"/>
      <c r="B736" s="35"/>
      <c r="C736" s="35"/>
      <c r="D736" s="35"/>
      <c r="E736" s="67"/>
      <c r="F736" s="67"/>
      <c r="G736" s="36"/>
      <c r="H736" s="29"/>
      <c r="I736" s="78" t="str">
        <f t="shared" si="18"/>
        <v/>
      </c>
      <c r="J736" s="29"/>
      <c r="K736" s="29"/>
      <c r="L736" s="33"/>
      <c r="M736" s="33"/>
      <c r="N736" s="60"/>
      <c r="O736" s="71"/>
      <c r="P736" s="71"/>
      <c r="Q736" s="33"/>
      <c r="R736" s="31"/>
      <c r="S736" s="31"/>
      <c r="T736" s="59"/>
      <c r="U736" s="59"/>
      <c r="V736" s="59"/>
      <c r="W736" s="57">
        <f t="shared" si="19"/>
        <v>0</v>
      </c>
      <c r="X736" s="126" t="str">
        <f>IF(Table1[[#This Row],[Shipping Weight Pounds]]&gt;150,"See LTL Form","No")</f>
        <v>No</v>
      </c>
      <c r="Y736" s="28"/>
      <c r="Z736" s="33"/>
      <c r="AA736" s="34"/>
      <c r="AB736" s="30"/>
      <c r="AC736" s="30"/>
      <c r="AD736" s="32"/>
      <c r="AE736" s="32"/>
      <c r="AF736" s="2"/>
      <c r="AG736" s="2"/>
      <c r="AH736" s="2"/>
      <c r="AI736" s="2"/>
      <c r="AK736" s="73" t="str">
        <f>IF(ISNA(MATCH($N736,[1]data!$A:$A,0)),"",INDEX([1]data!S:S,MATCH($N736,[1]data!$A:$A,0)))</f>
        <v/>
      </c>
      <c r="AL736" s="73" t="str">
        <f>IF(ISNA(MATCH($N736,[1]data!$A:$A,0)),"",INDEX([1]data!V:V,MATCH($N736,[1]data!$A:$A,0)))</f>
        <v/>
      </c>
      <c r="AM736" s="38" t="str">
        <f>IF(ISNA(MATCH($N736,data!$A:$A,0)),"",INDEX(data!B:B,MATCH($N736,data!$A:$A,0)))</f>
        <v/>
      </c>
      <c r="AN736" s="38" t="str">
        <f>IF(ISNA(MATCH($N736,data!$A:$A,0)),"",INDEX(data!C:C,MATCH($N736,data!$A:$A,0)))</f>
        <v/>
      </c>
      <c r="AO736" s="38" t="str">
        <f>IF(ISNA(MATCH($N736,data!$A:$A,0)),"",INDEX(data!D:D,MATCH($N736,data!$A:$A,0)))</f>
        <v/>
      </c>
      <c r="AP736" s="38" t="str">
        <f>IF(ISNA(MATCH($N736,data!$A:$A,0)),"",INDEX(data!E:E,MATCH($N736,data!$A:$A,0)))</f>
        <v/>
      </c>
      <c r="AQ736" s="38" t="str">
        <f>IF(ISNA(MATCH($N736,data!$A:$A,0)),"",INDEX(data!F:F,MATCH($N736,data!$A:$A,0)))</f>
        <v/>
      </c>
      <c r="AR736" s="38" t="str">
        <f>IF(ISNA(MATCH($N736,data!$A:$A,0)),"",INDEX(data!G:G,MATCH($N736,data!$A:$A,0)))</f>
        <v/>
      </c>
      <c r="AS736" s="38" t="str">
        <f>IF(ISNA(MATCH($N736,data!$A:$A,0)),"",INDEX(data!H:H,MATCH($N736,data!$A:$A,0)))</f>
        <v/>
      </c>
      <c r="AT736" s="38" t="str">
        <f>IF(ISNA(MATCH($N736,data!$A:$A,0)),"",INDEX(data!I:I,MATCH($N736,data!$A:$A,0)))</f>
        <v/>
      </c>
      <c r="AU736" s="38" t="str">
        <f>IF(ISNA(MATCH($N736,[1]data!$A:$A,0)),"",INDEX([1]data!L:L,MATCH($N736,[1]data!$A:$A,0)))</f>
        <v/>
      </c>
      <c r="AV736" s="38" t="str">
        <f>IF(ISNA(MATCH($N736,[1]data!$A:$A,0)),"",INDEX([1]data!M:M,MATCH($N736,[1]data!$A:$A,0)))</f>
        <v/>
      </c>
      <c r="AW736" s="38" t="str">
        <f>IF(ISNA(MATCH($N736,data!$A:$A,0)),"",INDEX(data!J:J,MATCH($N736,data!$A:$A,0)))</f>
        <v/>
      </c>
      <c r="AX736" s="38" t="str">
        <f>IF(ISNA(MATCH($N736,data!$A:$A,0)),"",INDEX(data!K:K,MATCH($N736,data!$A:$A,0)))</f>
        <v/>
      </c>
      <c r="AY736" s="38" t="str">
        <f>IF(ISNA(MATCH($N736,data!$A:$A,0)),"",INDEX(data!O:O,MATCH($N736,data!$A:$A,0)))</f>
        <v/>
      </c>
      <c r="AZ736" s="38" t="str">
        <f>IF(ISNA(MATCH($N736,data!$A:$A,0)),"",INDEX(data!N:N,MATCH($N736,data!$A:$A,0)))</f>
        <v/>
      </c>
      <c r="BA736" s="38" t="str">
        <f>IF(ISNA(MATCH($N736,data!$A:$A,0)),"",INDEX(data!P:P,MATCH($N736,data!$A:$A,0)))</f>
        <v/>
      </c>
      <c r="BB736" s="38" t="str">
        <f>IF(ISNA(MATCH($N736,data!$A:$A,0)),"",INDEX(data!Q:Q,MATCH($N736,data!$A:$A,0)))</f>
        <v/>
      </c>
      <c r="BC736" s="38" t="str">
        <f>IF(ISNA(MATCH($N736,data!$A:$A,0)),"",INDEX(data!R:R,MATCH($N736,data!$A:$A,0)))</f>
        <v/>
      </c>
      <c r="BD736" s="38" t="str">
        <f>IF(ISNA(MATCH($N736,[1]data!$A:$A,0)),"",INDEX([1]data!U:U,MATCH($N736,[1]data!$A:$A,0)))</f>
        <v/>
      </c>
      <c r="BE736" s="61" t="e">
        <f>IF(COUNTIF([1]data!A:A,[1]!Table1[[#This Row],[UPC]])&lt;2,"","DUP")</f>
        <v>#VALUE!</v>
      </c>
      <c r="BF736" s="38" t="str">
        <f>IF(ISNA(MATCH($N736,data!$A:$A,0)),"",INDEX(data!W:W,MATCH($N736,data!$A:$A,0)))</f>
        <v/>
      </c>
    </row>
    <row r="737" spans="1:58">
      <c r="A737" s="35"/>
      <c r="B737" s="35"/>
      <c r="C737" s="35"/>
      <c r="D737" s="35"/>
      <c r="E737" s="67"/>
      <c r="F737" s="67"/>
      <c r="G737" s="36"/>
      <c r="H737" s="29"/>
      <c r="I737" s="78" t="str">
        <f t="shared" si="18"/>
        <v/>
      </c>
      <c r="J737" s="29"/>
      <c r="K737" s="29"/>
      <c r="L737" s="33"/>
      <c r="M737" s="33"/>
      <c r="N737" s="60"/>
      <c r="O737" s="71"/>
      <c r="P737" s="71"/>
      <c r="Q737" s="33"/>
      <c r="R737" s="31"/>
      <c r="S737" s="31"/>
      <c r="T737" s="59"/>
      <c r="U737" s="59"/>
      <c r="V737" s="59"/>
      <c r="W737" s="57">
        <f t="shared" si="19"/>
        <v>0</v>
      </c>
      <c r="X737" s="126" t="str">
        <f>IF(Table1[[#This Row],[Shipping Weight Pounds]]&gt;150,"See LTL Form","No")</f>
        <v>No</v>
      </c>
      <c r="Y737" s="28"/>
      <c r="Z737" s="33"/>
      <c r="AA737" s="34"/>
      <c r="AB737" s="30"/>
      <c r="AC737" s="30"/>
      <c r="AD737" s="32"/>
      <c r="AE737" s="32"/>
      <c r="AF737" s="2"/>
      <c r="AG737" s="2"/>
      <c r="AH737" s="2"/>
      <c r="AI737" s="2"/>
      <c r="AK737" s="73" t="str">
        <f>IF(ISNA(MATCH($N737,[1]data!$A:$A,0)),"",INDEX([1]data!S:S,MATCH($N737,[1]data!$A:$A,0)))</f>
        <v/>
      </c>
      <c r="AL737" s="73" t="str">
        <f>IF(ISNA(MATCH($N737,[1]data!$A:$A,0)),"",INDEX([1]data!V:V,MATCH($N737,[1]data!$A:$A,0)))</f>
        <v/>
      </c>
      <c r="AM737" s="38" t="str">
        <f>IF(ISNA(MATCH($N737,data!$A:$A,0)),"",INDEX(data!B:B,MATCH($N737,data!$A:$A,0)))</f>
        <v/>
      </c>
      <c r="AN737" s="38" t="str">
        <f>IF(ISNA(MATCH($N737,data!$A:$A,0)),"",INDEX(data!C:C,MATCH($N737,data!$A:$A,0)))</f>
        <v/>
      </c>
      <c r="AO737" s="38" t="str">
        <f>IF(ISNA(MATCH($N737,data!$A:$A,0)),"",INDEX(data!D:D,MATCH($N737,data!$A:$A,0)))</f>
        <v/>
      </c>
      <c r="AP737" s="38" t="str">
        <f>IF(ISNA(MATCH($N737,data!$A:$A,0)),"",INDEX(data!E:E,MATCH($N737,data!$A:$A,0)))</f>
        <v/>
      </c>
      <c r="AQ737" s="38" t="str">
        <f>IF(ISNA(MATCH($N737,data!$A:$A,0)),"",INDEX(data!F:F,MATCH($N737,data!$A:$A,0)))</f>
        <v/>
      </c>
      <c r="AR737" s="38" t="str">
        <f>IF(ISNA(MATCH($N737,data!$A:$A,0)),"",INDEX(data!G:G,MATCH($N737,data!$A:$A,0)))</f>
        <v/>
      </c>
      <c r="AS737" s="38" t="str">
        <f>IF(ISNA(MATCH($N737,data!$A:$A,0)),"",INDEX(data!H:H,MATCH($N737,data!$A:$A,0)))</f>
        <v/>
      </c>
      <c r="AT737" s="38" t="str">
        <f>IF(ISNA(MATCH($N737,data!$A:$A,0)),"",INDEX(data!I:I,MATCH($N737,data!$A:$A,0)))</f>
        <v/>
      </c>
      <c r="AU737" s="38" t="str">
        <f>IF(ISNA(MATCH($N737,[1]data!$A:$A,0)),"",INDEX([1]data!L:L,MATCH($N737,[1]data!$A:$A,0)))</f>
        <v/>
      </c>
      <c r="AV737" s="38" t="str">
        <f>IF(ISNA(MATCH($N737,[1]data!$A:$A,0)),"",INDEX([1]data!M:M,MATCH($N737,[1]data!$A:$A,0)))</f>
        <v/>
      </c>
      <c r="AW737" s="38" t="str">
        <f>IF(ISNA(MATCH($N737,data!$A:$A,0)),"",INDEX(data!J:J,MATCH($N737,data!$A:$A,0)))</f>
        <v/>
      </c>
      <c r="AX737" s="38" t="str">
        <f>IF(ISNA(MATCH($N737,data!$A:$A,0)),"",INDEX(data!K:K,MATCH($N737,data!$A:$A,0)))</f>
        <v/>
      </c>
      <c r="AY737" s="38" t="str">
        <f>IF(ISNA(MATCH($N737,data!$A:$A,0)),"",INDEX(data!O:O,MATCH($N737,data!$A:$A,0)))</f>
        <v/>
      </c>
      <c r="AZ737" s="38" t="str">
        <f>IF(ISNA(MATCH($N737,data!$A:$A,0)),"",INDEX(data!N:N,MATCH($N737,data!$A:$A,0)))</f>
        <v/>
      </c>
      <c r="BA737" s="38" t="str">
        <f>IF(ISNA(MATCH($N737,data!$A:$A,0)),"",INDEX(data!P:P,MATCH($N737,data!$A:$A,0)))</f>
        <v/>
      </c>
      <c r="BB737" s="38" t="str">
        <f>IF(ISNA(MATCH($N737,data!$A:$A,0)),"",INDEX(data!Q:Q,MATCH($N737,data!$A:$A,0)))</f>
        <v/>
      </c>
      <c r="BC737" s="38" t="str">
        <f>IF(ISNA(MATCH($N737,data!$A:$A,0)),"",INDEX(data!R:R,MATCH($N737,data!$A:$A,0)))</f>
        <v/>
      </c>
      <c r="BD737" s="38" t="str">
        <f>IF(ISNA(MATCH($N737,[1]data!$A:$A,0)),"",INDEX([1]data!U:U,MATCH($N737,[1]data!$A:$A,0)))</f>
        <v/>
      </c>
      <c r="BE737" s="61" t="e">
        <f>IF(COUNTIF([1]data!A:A,[1]!Table1[[#This Row],[UPC]])&lt;2,"","DUP")</f>
        <v>#VALUE!</v>
      </c>
      <c r="BF737" s="38" t="str">
        <f>IF(ISNA(MATCH($N737,data!$A:$A,0)),"",INDEX(data!W:W,MATCH($N737,data!$A:$A,0)))</f>
        <v/>
      </c>
    </row>
    <row r="738" spans="1:58">
      <c r="A738" s="35"/>
      <c r="B738" s="35"/>
      <c r="C738" s="35"/>
      <c r="D738" s="35"/>
      <c r="E738" s="67"/>
      <c r="F738" s="67"/>
      <c r="G738" s="36"/>
      <c r="H738" s="29"/>
      <c r="I738" s="78" t="str">
        <f t="shared" si="18"/>
        <v/>
      </c>
      <c r="J738" s="29"/>
      <c r="K738" s="29"/>
      <c r="L738" s="33"/>
      <c r="M738" s="33"/>
      <c r="N738" s="60"/>
      <c r="O738" s="71"/>
      <c r="P738" s="71"/>
      <c r="Q738" s="33"/>
      <c r="R738" s="31"/>
      <c r="S738" s="31"/>
      <c r="T738" s="59"/>
      <c r="U738" s="59"/>
      <c r="V738" s="59"/>
      <c r="W738" s="57">
        <f t="shared" si="19"/>
        <v>0</v>
      </c>
      <c r="X738" s="126" t="str">
        <f>IF(Table1[[#This Row],[Shipping Weight Pounds]]&gt;150,"See LTL Form","No")</f>
        <v>No</v>
      </c>
      <c r="Y738" s="28"/>
      <c r="Z738" s="33"/>
      <c r="AA738" s="34"/>
      <c r="AB738" s="30"/>
      <c r="AC738" s="30"/>
      <c r="AD738" s="32"/>
      <c r="AE738" s="32"/>
      <c r="AF738" s="2"/>
      <c r="AG738" s="2"/>
      <c r="AH738" s="2"/>
      <c r="AI738" s="2"/>
      <c r="AK738" s="73" t="str">
        <f>IF(ISNA(MATCH($N738,[1]data!$A:$A,0)),"",INDEX([1]data!S:S,MATCH($N738,[1]data!$A:$A,0)))</f>
        <v/>
      </c>
      <c r="AL738" s="73" t="str">
        <f>IF(ISNA(MATCH($N738,[1]data!$A:$A,0)),"",INDEX([1]data!V:V,MATCH($N738,[1]data!$A:$A,0)))</f>
        <v/>
      </c>
      <c r="AM738" s="38" t="str">
        <f>IF(ISNA(MATCH($N738,data!$A:$A,0)),"",INDEX(data!B:B,MATCH($N738,data!$A:$A,0)))</f>
        <v/>
      </c>
      <c r="AN738" s="38" t="str">
        <f>IF(ISNA(MATCH($N738,data!$A:$A,0)),"",INDEX(data!C:C,MATCH($N738,data!$A:$A,0)))</f>
        <v/>
      </c>
      <c r="AO738" s="38" t="str">
        <f>IF(ISNA(MATCH($N738,data!$A:$A,0)),"",INDEX(data!D:D,MATCH($N738,data!$A:$A,0)))</f>
        <v/>
      </c>
      <c r="AP738" s="38" t="str">
        <f>IF(ISNA(MATCH($N738,data!$A:$A,0)),"",INDEX(data!E:E,MATCH($N738,data!$A:$A,0)))</f>
        <v/>
      </c>
      <c r="AQ738" s="38" t="str">
        <f>IF(ISNA(MATCH($N738,data!$A:$A,0)),"",INDEX(data!F:F,MATCH($N738,data!$A:$A,0)))</f>
        <v/>
      </c>
      <c r="AR738" s="38" t="str">
        <f>IF(ISNA(MATCH($N738,data!$A:$A,0)),"",INDEX(data!G:G,MATCH($N738,data!$A:$A,0)))</f>
        <v/>
      </c>
      <c r="AS738" s="38" t="str">
        <f>IF(ISNA(MATCH($N738,data!$A:$A,0)),"",INDEX(data!H:H,MATCH($N738,data!$A:$A,0)))</f>
        <v/>
      </c>
      <c r="AT738" s="38" t="str">
        <f>IF(ISNA(MATCH($N738,data!$A:$A,0)),"",INDEX(data!I:I,MATCH($N738,data!$A:$A,0)))</f>
        <v/>
      </c>
      <c r="AU738" s="38" t="str">
        <f>IF(ISNA(MATCH($N738,[1]data!$A:$A,0)),"",INDEX([1]data!L:L,MATCH($N738,[1]data!$A:$A,0)))</f>
        <v/>
      </c>
      <c r="AV738" s="38" t="str">
        <f>IF(ISNA(MATCH($N738,[1]data!$A:$A,0)),"",INDEX([1]data!M:M,MATCH($N738,[1]data!$A:$A,0)))</f>
        <v/>
      </c>
      <c r="AW738" s="38" t="str">
        <f>IF(ISNA(MATCH($N738,data!$A:$A,0)),"",INDEX(data!J:J,MATCH($N738,data!$A:$A,0)))</f>
        <v/>
      </c>
      <c r="AX738" s="38" t="str">
        <f>IF(ISNA(MATCH($N738,data!$A:$A,0)),"",INDEX(data!K:K,MATCH($N738,data!$A:$A,0)))</f>
        <v/>
      </c>
      <c r="AY738" s="38" t="str">
        <f>IF(ISNA(MATCH($N738,data!$A:$A,0)),"",INDEX(data!O:O,MATCH($N738,data!$A:$A,0)))</f>
        <v/>
      </c>
      <c r="AZ738" s="38" t="str">
        <f>IF(ISNA(MATCH($N738,data!$A:$A,0)),"",INDEX(data!N:N,MATCH($N738,data!$A:$A,0)))</f>
        <v/>
      </c>
      <c r="BA738" s="38" t="str">
        <f>IF(ISNA(MATCH($N738,data!$A:$A,0)),"",INDEX(data!P:P,MATCH($N738,data!$A:$A,0)))</f>
        <v/>
      </c>
      <c r="BB738" s="38" t="str">
        <f>IF(ISNA(MATCH($N738,data!$A:$A,0)),"",INDEX(data!Q:Q,MATCH($N738,data!$A:$A,0)))</f>
        <v/>
      </c>
      <c r="BC738" s="38" t="str">
        <f>IF(ISNA(MATCH($N738,data!$A:$A,0)),"",INDEX(data!R:R,MATCH($N738,data!$A:$A,0)))</f>
        <v/>
      </c>
      <c r="BD738" s="38" t="str">
        <f>IF(ISNA(MATCH($N738,[1]data!$A:$A,0)),"",INDEX([1]data!U:U,MATCH($N738,[1]data!$A:$A,0)))</f>
        <v/>
      </c>
      <c r="BE738" s="61" t="e">
        <f>IF(COUNTIF([1]data!A:A,[1]!Table1[[#This Row],[UPC]])&lt;2,"","DUP")</f>
        <v>#VALUE!</v>
      </c>
      <c r="BF738" s="38" t="str">
        <f>IF(ISNA(MATCH($N738,data!$A:$A,0)),"",INDEX(data!W:W,MATCH($N738,data!$A:$A,0)))</f>
        <v/>
      </c>
    </row>
    <row r="739" spans="1:58">
      <c r="A739" s="35"/>
      <c r="B739" s="35"/>
      <c r="C739" s="35"/>
      <c r="D739" s="35"/>
      <c r="E739" s="67"/>
      <c r="F739" s="67"/>
      <c r="G739" s="36"/>
      <c r="H739" s="29"/>
      <c r="I739" s="78" t="str">
        <f t="shared" si="18"/>
        <v/>
      </c>
      <c r="J739" s="29"/>
      <c r="K739" s="29"/>
      <c r="L739" s="33"/>
      <c r="M739" s="33"/>
      <c r="N739" s="60"/>
      <c r="O739" s="71"/>
      <c r="P739" s="71"/>
      <c r="Q739" s="33"/>
      <c r="R739" s="31"/>
      <c r="S739" s="31"/>
      <c r="T739" s="59"/>
      <c r="U739" s="59"/>
      <c r="V739" s="59"/>
      <c r="W739" s="57">
        <f t="shared" si="19"/>
        <v>0</v>
      </c>
      <c r="X739" s="126" t="str">
        <f>IF(Table1[[#This Row],[Shipping Weight Pounds]]&gt;150,"See LTL Form","No")</f>
        <v>No</v>
      </c>
      <c r="Y739" s="28"/>
      <c r="Z739" s="33"/>
      <c r="AA739" s="34"/>
      <c r="AB739" s="30"/>
      <c r="AC739" s="30"/>
      <c r="AD739" s="32"/>
      <c r="AE739" s="32"/>
      <c r="AF739" s="2"/>
      <c r="AG739" s="2"/>
      <c r="AH739" s="2"/>
      <c r="AI739" s="2"/>
      <c r="AK739" s="73" t="str">
        <f>IF(ISNA(MATCH($N739,[1]data!$A:$A,0)),"",INDEX([1]data!S:S,MATCH($N739,[1]data!$A:$A,0)))</f>
        <v/>
      </c>
      <c r="AL739" s="73" t="str">
        <f>IF(ISNA(MATCH($N739,[1]data!$A:$A,0)),"",INDEX([1]data!V:V,MATCH($N739,[1]data!$A:$A,0)))</f>
        <v/>
      </c>
      <c r="AM739" s="38" t="str">
        <f>IF(ISNA(MATCH($N739,data!$A:$A,0)),"",INDEX(data!B:B,MATCH($N739,data!$A:$A,0)))</f>
        <v/>
      </c>
      <c r="AN739" s="38" t="str">
        <f>IF(ISNA(MATCH($N739,data!$A:$A,0)),"",INDEX(data!C:C,MATCH($N739,data!$A:$A,0)))</f>
        <v/>
      </c>
      <c r="AO739" s="38" t="str">
        <f>IF(ISNA(MATCH($N739,data!$A:$A,0)),"",INDEX(data!D:D,MATCH($N739,data!$A:$A,0)))</f>
        <v/>
      </c>
      <c r="AP739" s="38" t="str">
        <f>IF(ISNA(MATCH($N739,data!$A:$A,0)),"",INDEX(data!E:E,MATCH($N739,data!$A:$A,0)))</f>
        <v/>
      </c>
      <c r="AQ739" s="38" t="str">
        <f>IF(ISNA(MATCH($N739,data!$A:$A,0)),"",INDEX(data!F:F,MATCH($N739,data!$A:$A,0)))</f>
        <v/>
      </c>
      <c r="AR739" s="38" t="str">
        <f>IF(ISNA(MATCH($N739,data!$A:$A,0)),"",INDEX(data!G:G,MATCH($N739,data!$A:$A,0)))</f>
        <v/>
      </c>
      <c r="AS739" s="38" t="str">
        <f>IF(ISNA(MATCH($N739,data!$A:$A,0)),"",INDEX(data!H:H,MATCH($N739,data!$A:$A,0)))</f>
        <v/>
      </c>
      <c r="AT739" s="38" t="str">
        <f>IF(ISNA(MATCH($N739,data!$A:$A,0)),"",INDEX(data!I:I,MATCH($N739,data!$A:$A,0)))</f>
        <v/>
      </c>
      <c r="AU739" s="38" t="str">
        <f>IF(ISNA(MATCH($N739,[1]data!$A:$A,0)),"",INDEX([1]data!L:L,MATCH($N739,[1]data!$A:$A,0)))</f>
        <v/>
      </c>
      <c r="AV739" s="38" t="str">
        <f>IF(ISNA(MATCH($N739,[1]data!$A:$A,0)),"",INDEX([1]data!M:M,MATCH($N739,[1]data!$A:$A,0)))</f>
        <v/>
      </c>
      <c r="AW739" s="38" t="str">
        <f>IF(ISNA(MATCH($N739,data!$A:$A,0)),"",INDEX(data!J:J,MATCH($N739,data!$A:$A,0)))</f>
        <v/>
      </c>
      <c r="AX739" s="38" t="str">
        <f>IF(ISNA(MATCH($N739,data!$A:$A,0)),"",INDEX(data!K:K,MATCH($N739,data!$A:$A,0)))</f>
        <v/>
      </c>
      <c r="AY739" s="38" t="str">
        <f>IF(ISNA(MATCH($N739,data!$A:$A,0)),"",INDEX(data!O:O,MATCH($N739,data!$A:$A,0)))</f>
        <v/>
      </c>
      <c r="AZ739" s="38" t="str">
        <f>IF(ISNA(MATCH($N739,data!$A:$A,0)),"",INDEX(data!N:N,MATCH($N739,data!$A:$A,0)))</f>
        <v/>
      </c>
      <c r="BA739" s="38" t="str">
        <f>IF(ISNA(MATCH($N739,data!$A:$A,0)),"",INDEX(data!P:P,MATCH($N739,data!$A:$A,0)))</f>
        <v/>
      </c>
      <c r="BB739" s="38" t="str">
        <f>IF(ISNA(MATCH($N739,data!$A:$A,0)),"",INDEX(data!Q:Q,MATCH($N739,data!$A:$A,0)))</f>
        <v/>
      </c>
      <c r="BC739" s="38" t="str">
        <f>IF(ISNA(MATCH($N739,data!$A:$A,0)),"",INDEX(data!R:R,MATCH($N739,data!$A:$A,0)))</f>
        <v/>
      </c>
      <c r="BD739" s="38" t="str">
        <f>IF(ISNA(MATCH($N739,[1]data!$A:$A,0)),"",INDEX([1]data!U:U,MATCH($N739,[1]data!$A:$A,0)))</f>
        <v/>
      </c>
      <c r="BE739" s="61" t="e">
        <f>IF(COUNTIF([1]data!A:A,[1]!Table1[[#This Row],[UPC]])&lt;2,"","DUP")</f>
        <v>#VALUE!</v>
      </c>
      <c r="BF739" s="38" t="str">
        <f>IF(ISNA(MATCH($N739,data!$A:$A,0)),"",INDEX(data!W:W,MATCH($N739,data!$A:$A,0)))</f>
        <v/>
      </c>
    </row>
    <row r="740" spans="1:58">
      <c r="A740" s="35"/>
      <c r="B740" s="35"/>
      <c r="C740" s="35"/>
      <c r="D740" s="35"/>
      <c r="E740" s="67"/>
      <c r="F740" s="67"/>
      <c r="G740" s="36"/>
      <c r="H740" s="29"/>
      <c r="I740" s="78" t="str">
        <f t="shared" si="18"/>
        <v/>
      </c>
      <c r="J740" s="29"/>
      <c r="K740" s="29"/>
      <c r="L740" s="33"/>
      <c r="M740" s="33"/>
      <c r="N740" s="60"/>
      <c r="O740" s="71"/>
      <c r="P740" s="71"/>
      <c r="Q740" s="33"/>
      <c r="R740" s="31"/>
      <c r="S740" s="31"/>
      <c r="T740" s="59"/>
      <c r="U740" s="59"/>
      <c r="V740" s="59"/>
      <c r="W740" s="57">
        <f t="shared" si="19"/>
        <v>0</v>
      </c>
      <c r="X740" s="126" t="str">
        <f>IF(Table1[[#This Row],[Shipping Weight Pounds]]&gt;150,"See LTL Form","No")</f>
        <v>No</v>
      </c>
      <c r="Y740" s="28"/>
      <c r="Z740" s="33"/>
      <c r="AA740" s="34"/>
      <c r="AB740" s="30"/>
      <c r="AC740" s="30"/>
      <c r="AD740" s="32"/>
      <c r="AE740" s="32"/>
      <c r="AF740" s="2"/>
      <c r="AG740" s="2"/>
      <c r="AH740" s="2"/>
      <c r="AI740" s="2"/>
      <c r="AK740" s="73" t="str">
        <f>IF(ISNA(MATCH($N740,[1]data!$A:$A,0)),"",INDEX([1]data!S:S,MATCH($N740,[1]data!$A:$A,0)))</f>
        <v/>
      </c>
      <c r="AL740" s="73" t="str">
        <f>IF(ISNA(MATCH($N740,[1]data!$A:$A,0)),"",INDEX([1]data!V:V,MATCH($N740,[1]data!$A:$A,0)))</f>
        <v/>
      </c>
      <c r="AM740" s="38" t="str">
        <f>IF(ISNA(MATCH($N740,data!$A:$A,0)),"",INDEX(data!B:B,MATCH($N740,data!$A:$A,0)))</f>
        <v/>
      </c>
      <c r="AN740" s="38" t="str">
        <f>IF(ISNA(MATCH($N740,data!$A:$A,0)),"",INDEX(data!C:C,MATCH($N740,data!$A:$A,0)))</f>
        <v/>
      </c>
      <c r="AO740" s="38" t="str">
        <f>IF(ISNA(MATCH($N740,data!$A:$A,0)),"",INDEX(data!D:D,MATCH($N740,data!$A:$A,0)))</f>
        <v/>
      </c>
      <c r="AP740" s="38" t="str">
        <f>IF(ISNA(MATCH($N740,data!$A:$A,0)),"",INDEX(data!E:E,MATCH($N740,data!$A:$A,0)))</f>
        <v/>
      </c>
      <c r="AQ740" s="38" t="str">
        <f>IF(ISNA(MATCH($N740,data!$A:$A,0)),"",INDEX(data!F:F,MATCH($N740,data!$A:$A,0)))</f>
        <v/>
      </c>
      <c r="AR740" s="38" t="str">
        <f>IF(ISNA(MATCH($N740,data!$A:$A,0)),"",INDEX(data!G:G,MATCH($N740,data!$A:$A,0)))</f>
        <v/>
      </c>
      <c r="AS740" s="38" t="str">
        <f>IF(ISNA(MATCH($N740,data!$A:$A,0)),"",INDEX(data!H:H,MATCH($N740,data!$A:$A,0)))</f>
        <v/>
      </c>
      <c r="AT740" s="38" t="str">
        <f>IF(ISNA(MATCH($N740,data!$A:$A,0)),"",INDEX(data!I:I,MATCH($N740,data!$A:$A,0)))</f>
        <v/>
      </c>
      <c r="AU740" s="38" t="str">
        <f>IF(ISNA(MATCH($N740,[1]data!$A:$A,0)),"",INDEX([1]data!L:L,MATCH($N740,[1]data!$A:$A,0)))</f>
        <v/>
      </c>
      <c r="AV740" s="38" t="str">
        <f>IF(ISNA(MATCH($N740,[1]data!$A:$A,0)),"",INDEX([1]data!M:M,MATCH($N740,[1]data!$A:$A,0)))</f>
        <v/>
      </c>
      <c r="AW740" s="38" t="str">
        <f>IF(ISNA(MATCH($N740,data!$A:$A,0)),"",INDEX(data!J:J,MATCH($N740,data!$A:$A,0)))</f>
        <v/>
      </c>
      <c r="AX740" s="38" t="str">
        <f>IF(ISNA(MATCH($N740,data!$A:$A,0)),"",INDEX(data!K:K,MATCH($N740,data!$A:$A,0)))</f>
        <v/>
      </c>
      <c r="AY740" s="38" t="str">
        <f>IF(ISNA(MATCH($N740,data!$A:$A,0)),"",INDEX(data!O:O,MATCH($N740,data!$A:$A,0)))</f>
        <v/>
      </c>
      <c r="AZ740" s="38" t="str">
        <f>IF(ISNA(MATCH($N740,data!$A:$A,0)),"",INDEX(data!N:N,MATCH($N740,data!$A:$A,0)))</f>
        <v/>
      </c>
      <c r="BA740" s="38" t="str">
        <f>IF(ISNA(MATCH($N740,data!$A:$A,0)),"",INDEX(data!P:P,MATCH($N740,data!$A:$A,0)))</f>
        <v/>
      </c>
      <c r="BB740" s="38" t="str">
        <f>IF(ISNA(MATCH($N740,data!$A:$A,0)),"",INDEX(data!Q:Q,MATCH($N740,data!$A:$A,0)))</f>
        <v/>
      </c>
      <c r="BC740" s="38" t="str">
        <f>IF(ISNA(MATCH($N740,data!$A:$A,0)),"",INDEX(data!R:R,MATCH($N740,data!$A:$A,0)))</f>
        <v/>
      </c>
      <c r="BD740" s="38" t="str">
        <f>IF(ISNA(MATCH($N740,[1]data!$A:$A,0)),"",INDEX([1]data!U:U,MATCH($N740,[1]data!$A:$A,0)))</f>
        <v/>
      </c>
      <c r="BE740" s="61" t="e">
        <f>IF(COUNTIF([1]data!A:A,[1]!Table1[[#This Row],[UPC]])&lt;2,"","DUP")</f>
        <v>#VALUE!</v>
      </c>
      <c r="BF740" s="38" t="str">
        <f>IF(ISNA(MATCH($N740,data!$A:$A,0)),"",INDEX(data!W:W,MATCH($N740,data!$A:$A,0)))</f>
        <v/>
      </c>
    </row>
    <row r="741" spans="1:58">
      <c r="A741" s="35"/>
      <c r="B741" s="35"/>
      <c r="C741" s="35"/>
      <c r="D741" s="35"/>
      <c r="E741" s="67"/>
      <c r="F741" s="67"/>
      <c r="G741" s="36"/>
      <c r="H741" s="29"/>
      <c r="I741" s="78" t="str">
        <f t="shared" si="18"/>
        <v/>
      </c>
      <c r="J741" s="29"/>
      <c r="K741" s="29"/>
      <c r="L741" s="33"/>
      <c r="M741" s="33"/>
      <c r="N741" s="60"/>
      <c r="O741" s="71"/>
      <c r="P741" s="71"/>
      <c r="Q741" s="33"/>
      <c r="R741" s="31"/>
      <c r="S741" s="31"/>
      <c r="T741" s="59"/>
      <c r="U741" s="59"/>
      <c r="V741" s="59"/>
      <c r="W741" s="57">
        <f t="shared" si="19"/>
        <v>0</v>
      </c>
      <c r="X741" s="126" t="str">
        <f>IF(Table1[[#This Row],[Shipping Weight Pounds]]&gt;150,"See LTL Form","No")</f>
        <v>No</v>
      </c>
      <c r="Y741" s="28"/>
      <c r="Z741" s="33"/>
      <c r="AA741" s="34"/>
      <c r="AB741" s="30"/>
      <c r="AC741" s="30"/>
      <c r="AD741" s="32"/>
      <c r="AE741" s="32"/>
      <c r="AF741" s="2"/>
      <c r="AG741" s="2"/>
      <c r="AH741" s="2"/>
      <c r="AI741" s="2"/>
      <c r="AK741" s="73" t="str">
        <f>IF(ISNA(MATCH($N741,[1]data!$A:$A,0)),"",INDEX([1]data!S:S,MATCH($N741,[1]data!$A:$A,0)))</f>
        <v/>
      </c>
      <c r="AL741" s="73" t="str">
        <f>IF(ISNA(MATCH($N741,[1]data!$A:$A,0)),"",INDEX([1]data!V:V,MATCH($N741,[1]data!$A:$A,0)))</f>
        <v/>
      </c>
      <c r="AM741" s="38" t="str">
        <f>IF(ISNA(MATCH($N741,data!$A:$A,0)),"",INDEX(data!B:B,MATCH($N741,data!$A:$A,0)))</f>
        <v/>
      </c>
      <c r="AN741" s="38" t="str">
        <f>IF(ISNA(MATCH($N741,data!$A:$A,0)),"",INDEX(data!C:C,MATCH($N741,data!$A:$A,0)))</f>
        <v/>
      </c>
      <c r="AO741" s="38" t="str">
        <f>IF(ISNA(MATCH($N741,data!$A:$A,0)),"",INDEX(data!D:D,MATCH($N741,data!$A:$A,0)))</f>
        <v/>
      </c>
      <c r="AP741" s="38" t="str">
        <f>IF(ISNA(MATCH($N741,data!$A:$A,0)),"",INDEX(data!E:E,MATCH($N741,data!$A:$A,0)))</f>
        <v/>
      </c>
      <c r="AQ741" s="38" t="str">
        <f>IF(ISNA(MATCH($N741,data!$A:$A,0)),"",INDEX(data!F:F,MATCH($N741,data!$A:$A,0)))</f>
        <v/>
      </c>
      <c r="AR741" s="38" t="str">
        <f>IF(ISNA(MATCH($N741,data!$A:$A,0)),"",INDEX(data!G:G,MATCH($N741,data!$A:$A,0)))</f>
        <v/>
      </c>
      <c r="AS741" s="38" t="str">
        <f>IF(ISNA(MATCH($N741,data!$A:$A,0)),"",INDEX(data!H:H,MATCH($N741,data!$A:$A,0)))</f>
        <v/>
      </c>
      <c r="AT741" s="38" t="str">
        <f>IF(ISNA(MATCH($N741,data!$A:$A,0)),"",INDEX(data!I:I,MATCH($N741,data!$A:$A,0)))</f>
        <v/>
      </c>
      <c r="AU741" s="38" t="str">
        <f>IF(ISNA(MATCH($N741,[1]data!$A:$A,0)),"",INDEX([1]data!L:L,MATCH($N741,[1]data!$A:$A,0)))</f>
        <v/>
      </c>
      <c r="AV741" s="38" t="str">
        <f>IF(ISNA(MATCH($N741,[1]data!$A:$A,0)),"",INDEX([1]data!M:M,MATCH($N741,[1]data!$A:$A,0)))</f>
        <v/>
      </c>
      <c r="AW741" s="38" t="str">
        <f>IF(ISNA(MATCH($N741,data!$A:$A,0)),"",INDEX(data!J:J,MATCH($N741,data!$A:$A,0)))</f>
        <v/>
      </c>
      <c r="AX741" s="38" t="str">
        <f>IF(ISNA(MATCH($N741,data!$A:$A,0)),"",INDEX(data!K:K,MATCH($N741,data!$A:$A,0)))</f>
        <v/>
      </c>
      <c r="AY741" s="38" t="str">
        <f>IF(ISNA(MATCH($N741,data!$A:$A,0)),"",INDEX(data!O:O,MATCH($N741,data!$A:$A,0)))</f>
        <v/>
      </c>
      <c r="AZ741" s="38" t="str">
        <f>IF(ISNA(MATCH($N741,data!$A:$A,0)),"",INDEX(data!N:N,MATCH($N741,data!$A:$A,0)))</f>
        <v/>
      </c>
      <c r="BA741" s="38" t="str">
        <f>IF(ISNA(MATCH($N741,data!$A:$A,0)),"",INDEX(data!P:P,MATCH($N741,data!$A:$A,0)))</f>
        <v/>
      </c>
      <c r="BB741" s="38" t="str">
        <f>IF(ISNA(MATCH($N741,data!$A:$A,0)),"",INDEX(data!Q:Q,MATCH($N741,data!$A:$A,0)))</f>
        <v/>
      </c>
      <c r="BC741" s="38" t="str">
        <f>IF(ISNA(MATCH($N741,data!$A:$A,0)),"",INDEX(data!R:R,MATCH($N741,data!$A:$A,0)))</f>
        <v/>
      </c>
      <c r="BD741" s="38" t="str">
        <f>IF(ISNA(MATCH($N741,[1]data!$A:$A,0)),"",INDEX([1]data!U:U,MATCH($N741,[1]data!$A:$A,0)))</f>
        <v/>
      </c>
      <c r="BE741" s="61" t="e">
        <f>IF(COUNTIF([1]data!A:A,[1]!Table1[[#This Row],[UPC]])&lt;2,"","DUP")</f>
        <v>#VALUE!</v>
      </c>
      <c r="BF741" s="38" t="str">
        <f>IF(ISNA(MATCH($N741,data!$A:$A,0)),"",INDEX(data!W:W,MATCH($N741,data!$A:$A,0)))</f>
        <v/>
      </c>
    </row>
    <row r="742" spans="1:58">
      <c r="A742" s="35"/>
      <c r="B742" s="35"/>
      <c r="C742" s="35"/>
      <c r="D742" s="35"/>
      <c r="E742" s="67"/>
      <c r="F742" s="67"/>
      <c r="G742" s="36"/>
      <c r="H742" s="29"/>
      <c r="I742" s="78" t="str">
        <f t="shared" si="18"/>
        <v/>
      </c>
      <c r="J742" s="29"/>
      <c r="K742" s="29"/>
      <c r="L742" s="33"/>
      <c r="M742" s="33"/>
      <c r="N742" s="60"/>
      <c r="O742" s="71"/>
      <c r="P742" s="71"/>
      <c r="Q742" s="33"/>
      <c r="R742" s="31"/>
      <c r="S742" s="31"/>
      <c r="T742" s="59"/>
      <c r="U742" s="59"/>
      <c r="V742" s="59"/>
      <c r="W742" s="57">
        <f t="shared" si="19"/>
        <v>0</v>
      </c>
      <c r="X742" s="126" t="str">
        <f>IF(Table1[[#This Row],[Shipping Weight Pounds]]&gt;150,"See LTL Form","No")</f>
        <v>No</v>
      </c>
      <c r="Y742" s="28"/>
      <c r="Z742" s="33"/>
      <c r="AA742" s="34"/>
      <c r="AB742" s="30"/>
      <c r="AC742" s="30"/>
      <c r="AD742" s="32"/>
      <c r="AE742" s="32"/>
      <c r="AF742" s="2"/>
      <c r="AG742" s="2"/>
      <c r="AH742" s="2"/>
      <c r="AI742" s="2"/>
      <c r="AK742" s="73" t="str">
        <f>IF(ISNA(MATCH($N742,[1]data!$A:$A,0)),"",INDEX([1]data!S:S,MATCH($N742,[1]data!$A:$A,0)))</f>
        <v/>
      </c>
      <c r="AL742" s="73" t="str">
        <f>IF(ISNA(MATCH($N742,[1]data!$A:$A,0)),"",INDEX([1]data!V:V,MATCH($N742,[1]data!$A:$A,0)))</f>
        <v/>
      </c>
      <c r="AM742" s="38" t="str">
        <f>IF(ISNA(MATCH($N742,data!$A:$A,0)),"",INDEX(data!B:B,MATCH($N742,data!$A:$A,0)))</f>
        <v/>
      </c>
      <c r="AN742" s="38" t="str">
        <f>IF(ISNA(MATCH($N742,data!$A:$A,0)),"",INDEX(data!C:C,MATCH($N742,data!$A:$A,0)))</f>
        <v/>
      </c>
      <c r="AO742" s="38" t="str">
        <f>IF(ISNA(MATCH($N742,data!$A:$A,0)),"",INDEX(data!D:D,MATCH($N742,data!$A:$A,0)))</f>
        <v/>
      </c>
      <c r="AP742" s="38" t="str">
        <f>IF(ISNA(MATCH($N742,data!$A:$A,0)),"",INDEX(data!E:E,MATCH($N742,data!$A:$A,0)))</f>
        <v/>
      </c>
      <c r="AQ742" s="38" t="str">
        <f>IF(ISNA(MATCH($N742,data!$A:$A,0)),"",INDEX(data!F:F,MATCH($N742,data!$A:$A,0)))</f>
        <v/>
      </c>
      <c r="AR742" s="38" t="str">
        <f>IF(ISNA(MATCH($N742,data!$A:$A,0)),"",INDEX(data!G:G,MATCH($N742,data!$A:$A,0)))</f>
        <v/>
      </c>
      <c r="AS742" s="38" t="str">
        <f>IF(ISNA(MATCH($N742,data!$A:$A,0)),"",INDEX(data!H:H,MATCH($N742,data!$A:$A,0)))</f>
        <v/>
      </c>
      <c r="AT742" s="38" t="str">
        <f>IF(ISNA(MATCH($N742,data!$A:$A,0)),"",INDEX(data!I:I,MATCH($N742,data!$A:$A,0)))</f>
        <v/>
      </c>
      <c r="AU742" s="38" t="str">
        <f>IF(ISNA(MATCH($N742,[1]data!$A:$A,0)),"",INDEX([1]data!L:L,MATCH($N742,[1]data!$A:$A,0)))</f>
        <v/>
      </c>
      <c r="AV742" s="38" t="str">
        <f>IF(ISNA(MATCH($N742,[1]data!$A:$A,0)),"",INDEX([1]data!M:M,MATCH($N742,[1]data!$A:$A,0)))</f>
        <v/>
      </c>
      <c r="AW742" s="38" t="str">
        <f>IF(ISNA(MATCH($N742,data!$A:$A,0)),"",INDEX(data!J:J,MATCH($N742,data!$A:$A,0)))</f>
        <v/>
      </c>
      <c r="AX742" s="38" t="str">
        <f>IF(ISNA(MATCH($N742,data!$A:$A,0)),"",INDEX(data!K:K,MATCH($N742,data!$A:$A,0)))</f>
        <v/>
      </c>
      <c r="AY742" s="38" t="str">
        <f>IF(ISNA(MATCH($N742,data!$A:$A,0)),"",INDEX(data!O:O,MATCH($N742,data!$A:$A,0)))</f>
        <v/>
      </c>
      <c r="AZ742" s="38" t="str">
        <f>IF(ISNA(MATCH($N742,data!$A:$A,0)),"",INDEX(data!N:N,MATCH($N742,data!$A:$A,0)))</f>
        <v/>
      </c>
      <c r="BA742" s="38" t="str">
        <f>IF(ISNA(MATCH($N742,data!$A:$A,0)),"",INDEX(data!P:P,MATCH($N742,data!$A:$A,0)))</f>
        <v/>
      </c>
      <c r="BB742" s="38" t="str">
        <f>IF(ISNA(MATCH($N742,data!$A:$A,0)),"",INDEX(data!Q:Q,MATCH($N742,data!$A:$A,0)))</f>
        <v/>
      </c>
      <c r="BC742" s="38" t="str">
        <f>IF(ISNA(MATCH($N742,data!$A:$A,0)),"",INDEX(data!R:R,MATCH($N742,data!$A:$A,0)))</f>
        <v/>
      </c>
      <c r="BD742" s="38" t="str">
        <f>IF(ISNA(MATCH($N742,[1]data!$A:$A,0)),"",INDEX([1]data!U:U,MATCH($N742,[1]data!$A:$A,0)))</f>
        <v/>
      </c>
      <c r="BE742" s="61" t="e">
        <f>IF(COUNTIF([1]data!A:A,[1]!Table1[[#This Row],[UPC]])&lt;2,"","DUP")</f>
        <v>#VALUE!</v>
      </c>
      <c r="BF742" s="38" t="str">
        <f>IF(ISNA(MATCH($N742,data!$A:$A,0)),"",INDEX(data!W:W,MATCH($N742,data!$A:$A,0)))</f>
        <v/>
      </c>
    </row>
    <row r="743" spans="1:58">
      <c r="A743" s="35"/>
      <c r="B743" s="35"/>
      <c r="C743" s="35"/>
      <c r="D743" s="35"/>
      <c r="E743" s="67"/>
      <c r="F743" s="67"/>
      <c r="G743" s="36"/>
      <c r="H743" s="29"/>
      <c r="I743" s="78" t="str">
        <f t="shared" si="18"/>
        <v/>
      </c>
      <c r="J743" s="29"/>
      <c r="K743" s="29"/>
      <c r="L743" s="33"/>
      <c r="M743" s="33"/>
      <c r="N743" s="60"/>
      <c r="O743" s="71"/>
      <c r="P743" s="71"/>
      <c r="Q743" s="33"/>
      <c r="R743" s="31"/>
      <c r="S743" s="31"/>
      <c r="T743" s="59"/>
      <c r="U743" s="59"/>
      <c r="V743" s="59"/>
      <c r="W743" s="57">
        <f t="shared" si="19"/>
        <v>0</v>
      </c>
      <c r="X743" s="126" t="str">
        <f>IF(Table1[[#This Row],[Shipping Weight Pounds]]&gt;150,"See LTL Form","No")</f>
        <v>No</v>
      </c>
      <c r="Y743" s="28"/>
      <c r="Z743" s="33"/>
      <c r="AA743" s="34"/>
      <c r="AB743" s="30"/>
      <c r="AC743" s="30"/>
      <c r="AD743" s="32"/>
      <c r="AE743" s="32"/>
      <c r="AF743" s="2"/>
      <c r="AG743" s="2"/>
      <c r="AH743" s="2"/>
      <c r="AI743" s="2"/>
      <c r="AK743" s="73" t="str">
        <f>IF(ISNA(MATCH($N743,[1]data!$A:$A,0)),"",INDEX([1]data!S:S,MATCH($N743,[1]data!$A:$A,0)))</f>
        <v/>
      </c>
      <c r="AL743" s="73" t="str">
        <f>IF(ISNA(MATCH($N743,[1]data!$A:$A,0)),"",INDEX([1]data!V:V,MATCH($N743,[1]data!$A:$A,0)))</f>
        <v/>
      </c>
      <c r="AM743" s="38" t="str">
        <f>IF(ISNA(MATCH($N743,data!$A:$A,0)),"",INDEX(data!B:B,MATCH($N743,data!$A:$A,0)))</f>
        <v/>
      </c>
      <c r="AN743" s="38" t="str">
        <f>IF(ISNA(MATCH($N743,data!$A:$A,0)),"",INDEX(data!C:C,MATCH($N743,data!$A:$A,0)))</f>
        <v/>
      </c>
      <c r="AO743" s="38" t="str">
        <f>IF(ISNA(MATCH($N743,data!$A:$A,0)),"",INDEX(data!D:D,MATCH($N743,data!$A:$A,0)))</f>
        <v/>
      </c>
      <c r="AP743" s="38" t="str">
        <f>IF(ISNA(MATCH($N743,data!$A:$A,0)),"",INDEX(data!E:E,MATCH($N743,data!$A:$A,0)))</f>
        <v/>
      </c>
      <c r="AQ743" s="38" t="str">
        <f>IF(ISNA(MATCH($N743,data!$A:$A,0)),"",INDEX(data!F:F,MATCH($N743,data!$A:$A,0)))</f>
        <v/>
      </c>
      <c r="AR743" s="38" t="str">
        <f>IF(ISNA(MATCH($N743,data!$A:$A,0)),"",INDEX(data!G:G,MATCH($N743,data!$A:$A,0)))</f>
        <v/>
      </c>
      <c r="AS743" s="38" t="str">
        <f>IF(ISNA(MATCH($N743,data!$A:$A,0)),"",INDEX(data!H:H,MATCH($N743,data!$A:$A,0)))</f>
        <v/>
      </c>
      <c r="AT743" s="38" t="str">
        <f>IF(ISNA(MATCH($N743,data!$A:$A,0)),"",INDEX(data!I:I,MATCH($N743,data!$A:$A,0)))</f>
        <v/>
      </c>
      <c r="AU743" s="38" t="str">
        <f>IF(ISNA(MATCH($N743,[1]data!$A:$A,0)),"",INDEX([1]data!L:L,MATCH($N743,[1]data!$A:$A,0)))</f>
        <v/>
      </c>
      <c r="AV743" s="38" t="str">
        <f>IF(ISNA(MATCH($N743,[1]data!$A:$A,0)),"",INDEX([1]data!M:M,MATCH($N743,[1]data!$A:$A,0)))</f>
        <v/>
      </c>
      <c r="AW743" s="38" t="str">
        <f>IF(ISNA(MATCH($N743,data!$A:$A,0)),"",INDEX(data!J:J,MATCH($N743,data!$A:$A,0)))</f>
        <v/>
      </c>
      <c r="AX743" s="38" t="str">
        <f>IF(ISNA(MATCH($N743,data!$A:$A,0)),"",INDEX(data!K:K,MATCH($N743,data!$A:$A,0)))</f>
        <v/>
      </c>
      <c r="AY743" s="38" t="str">
        <f>IF(ISNA(MATCH($N743,data!$A:$A,0)),"",INDEX(data!O:O,MATCH($N743,data!$A:$A,0)))</f>
        <v/>
      </c>
      <c r="AZ743" s="38" t="str">
        <f>IF(ISNA(MATCH($N743,data!$A:$A,0)),"",INDEX(data!N:N,MATCH($N743,data!$A:$A,0)))</f>
        <v/>
      </c>
      <c r="BA743" s="38" t="str">
        <f>IF(ISNA(MATCH($N743,data!$A:$A,0)),"",INDEX(data!P:P,MATCH($N743,data!$A:$A,0)))</f>
        <v/>
      </c>
      <c r="BB743" s="38" t="str">
        <f>IF(ISNA(MATCH($N743,data!$A:$A,0)),"",INDEX(data!Q:Q,MATCH($N743,data!$A:$A,0)))</f>
        <v/>
      </c>
      <c r="BC743" s="38" t="str">
        <f>IF(ISNA(MATCH($N743,data!$A:$A,0)),"",INDEX(data!R:R,MATCH($N743,data!$A:$A,0)))</f>
        <v/>
      </c>
      <c r="BD743" s="38" t="str">
        <f>IF(ISNA(MATCH($N743,[1]data!$A:$A,0)),"",INDEX([1]data!U:U,MATCH($N743,[1]data!$A:$A,0)))</f>
        <v/>
      </c>
      <c r="BE743" s="61" t="e">
        <f>IF(COUNTIF([1]data!A:A,[1]!Table1[[#This Row],[UPC]])&lt;2,"","DUP")</f>
        <v>#VALUE!</v>
      </c>
      <c r="BF743" s="38" t="str">
        <f>IF(ISNA(MATCH($N743,data!$A:$A,0)),"",INDEX(data!W:W,MATCH($N743,data!$A:$A,0)))</f>
        <v/>
      </c>
    </row>
    <row r="744" spans="1:58">
      <c r="A744" s="35"/>
      <c r="B744" s="35"/>
      <c r="C744" s="35"/>
      <c r="D744" s="35"/>
      <c r="E744" s="67"/>
      <c r="F744" s="67"/>
      <c r="G744" s="36"/>
      <c r="H744" s="29"/>
      <c r="I744" s="78" t="str">
        <f t="shared" si="18"/>
        <v/>
      </c>
      <c r="J744" s="29"/>
      <c r="K744" s="29"/>
      <c r="L744" s="33"/>
      <c r="M744" s="33"/>
      <c r="N744" s="60"/>
      <c r="O744" s="71"/>
      <c r="P744" s="71"/>
      <c r="Q744" s="33"/>
      <c r="R744" s="31"/>
      <c r="S744" s="31"/>
      <c r="T744" s="59"/>
      <c r="U744" s="59"/>
      <c r="V744" s="59"/>
      <c r="W744" s="57">
        <f t="shared" si="19"/>
        <v>0</v>
      </c>
      <c r="X744" s="126" t="str">
        <f>IF(Table1[[#This Row],[Shipping Weight Pounds]]&gt;150,"See LTL Form","No")</f>
        <v>No</v>
      </c>
      <c r="Y744" s="28"/>
      <c r="Z744" s="33"/>
      <c r="AA744" s="34"/>
      <c r="AB744" s="30"/>
      <c r="AC744" s="30"/>
      <c r="AD744" s="32"/>
      <c r="AE744" s="32"/>
      <c r="AF744" s="2"/>
      <c r="AG744" s="2"/>
      <c r="AH744" s="2"/>
      <c r="AI744" s="2"/>
      <c r="AK744" s="73" t="str">
        <f>IF(ISNA(MATCH($N744,[1]data!$A:$A,0)),"",INDEX([1]data!S:S,MATCH($N744,[1]data!$A:$A,0)))</f>
        <v/>
      </c>
      <c r="AL744" s="73" t="str">
        <f>IF(ISNA(MATCH($N744,[1]data!$A:$A,0)),"",INDEX([1]data!V:V,MATCH($N744,[1]data!$A:$A,0)))</f>
        <v/>
      </c>
      <c r="AM744" s="38" t="str">
        <f>IF(ISNA(MATCH($N744,data!$A:$A,0)),"",INDEX(data!B:B,MATCH($N744,data!$A:$A,0)))</f>
        <v/>
      </c>
      <c r="AN744" s="38" t="str">
        <f>IF(ISNA(MATCH($N744,data!$A:$A,0)),"",INDEX(data!C:C,MATCH($N744,data!$A:$A,0)))</f>
        <v/>
      </c>
      <c r="AO744" s="38" t="str">
        <f>IF(ISNA(MATCH($N744,data!$A:$A,0)),"",INDEX(data!D:D,MATCH($N744,data!$A:$A,0)))</f>
        <v/>
      </c>
      <c r="AP744" s="38" t="str">
        <f>IF(ISNA(MATCH($N744,data!$A:$A,0)),"",INDEX(data!E:E,MATCH($N744,data!$A:$A,0)))</f>
        <v/>
      </c>
      <c r="AQ744" s="38" t="str">
        <f>IF(ISNA(MATCH($N744,data!$A:$A,0)),"",INDEX(data!F:F,MATCH($N744,data!$A:$A,0)))</f>
        <v/>
      </c>
      <c r="AR744" s="38" t="str">
        <f>IF(ISNA(MATCH($N744,data!$A:$A,0)),"",INDEX(data!G:G,MATCH($N744,data!$A:$A,0)))</f>
        <v/>
      </c>
      <c r="AS744" s="38" t="str">
        <f>IF(ISNA(MATCH($N744,data!$A:$A,0)),"",INDEX(data!H:H,MATCH($N744,data!$A:$A,0)))</f>
        <v/>
      </c>
      <c r="AT744" s="38" t="str">
        <f>IF(ISNA(MATCH($N744,data!$A:$A,0)),"",INDEX(data!I:I,MATCH($N744,data!$A:$A,0)))</f>
        <v/>
      </c>
      <c r="AU744" s="38" t="str">
        <f>IF(ISNA(MATCH($N744,[1]data!$A:$A,0)),"",INDEX([1]data!L:L,MATCH($N744,[1]data!$A:$A,0)))</f>
        <v/>
      </c>
      <c r="AV744" s="38" t="str">
        <f>IF(ISNA(MATCH($N744,[1]data!$A:$A,0)),"",INDEX([1]data!M:M,MATCH($N744,[1]data!$A:$A,0)))</f>
        <v/>
      </c>
      <c r="AW744" s="38" t="str">
        <f>IF(ISNA(MATCH($N744,data!$A:$A,0)),"",INDEX(data!J:J,MATCH($N744,data!$A:$A,0)))</f>
        <v/>
      </c>
      <c r="AX744" s="38" t="str">
        <f>IF(ISNA(MATCH($N744,data!$A:$A,0)),"",INDEX(data!K:K,MATCH($N744,data!$A:$A,0)))</f>
        <v/>
      </c>
      <c r="AY744" s="38" t="str">
        <f>IF(ISNA(MATCH($N744,data!$A:$A,0)),"",INDEX(data!O:O,MATCH($N744,data!$A:$A,0)))</f>
        <v/>
      </c>
      <c r="AZ744" s="38" t="str">
        <f>IF(ISNA(MATCH($N744,data!$A:$A,0)),"",INDEX(data!N:N,MATCH($N744,data!$A:$A,0)))</f>
        <v/>
      </c>
      <c r="BA744" s="38" t="str">
        <f>IF(ISNA(MATCH($N744,data!$A:$A,0)),"",INDEX(data!P:P,MATCH($N744,data!$A:$A,0)))</f>
        <v/>
      </c>
      <c r="BB744" s="38" t="str">
        <f>IF(ISNA(MATCH($N744,data!$A:$A,0)),"",INDEX(data!Q:Q,MATCH($N744,data!$A:$A,0)))</f>
        <v/>
      </c>
      <c r="BC744" s="38" t="str">
        <f>IF(ISNA(MATCH($N744,data!$A:$A,0)),"",INDEX(data!R:R,MATCH($N744,data!$A:$A,0)))</f>
        <v/>
      </c>
      <c r="BD744" s="38" t="str">
        <f>IF(ISNA(MATCH($N744,[1]data!$A:$A,0)),"",INDEX([1]data!U:U,MATCH($N744,[1]data!$A:$A,0)))</f>
        <v/>
      </c>
      <c r="BE744" s="61" t="e">
        <f>IF(COUNTIF([1]data!A:A,[1]!Table1[[#This Row],[UPC]])&lt;2,"","DUP")</f>
        <v>#VALUE!</v>
      </c>
      <c r="BF744" s="38" t="str">
        <f>IF(ISNA(MATCH($N744,data!$A:$A,0)),"",INDEX(data!W:W,MATCH($N744,data!$A:$A,0)))</f>
        <v/>
      </c>
    </row>
    <row r="745" spans="1:58">
      <c r="A745" s="35"/>
      <c r="B745" s="35"/>
      <c r="C745" s="35"/>
      <c r="D745" s="35"/>
      <c r="E745" s="67"/>
      <c r="F745" s="67"/>
      <c r="G745" s="36"/>
      <c r="H745" s="29"/>
      <c r="I745" s="78" t="str">
        <f t="shared" si="18"/>
        <v/>
      </c>
      <c r="J745" s="29"/>
      <c r="K745" s="29"/>
      <c r="L745" s="33"/>
      <c r="M745" s="33"/>
      <c r="N745" s="60"/>
      <c r="O745" s="71"/>
      <c r="P745" s="71"/>
      <c r="Q745" s="33"/>
      <c r="R745" s="31"/>
      <c r="S745" s="31"/>
      <c r="T745" s="59"/>
      <c r="U745" s="59"/>
      <c r="V745" s="59"/>
      <c r="W745" s="57">
        <f t="shared" si="19"/>
        <v>0</v>
      </c>
      <c r="X745" s="126" t="str">
        <f>IF(Table1[[#This Row],[Shipping Weight Pounds]]&gt;150,"See LTL Form","No")</f>
        <v>No</v>
      </c>
      <c r="Y745" s="28"/>
      <c r="Z745" s="33"/>
      <c r="AA745" s="34"/>
      <c r="AB745" s="30"/>
      <c r="AC745" s="30"/>
      <c r="AD745" s="32"/>
      <c r="AE745" s="32"/>
      <c r="AF745" s="2"/>
      <c r="AG745" s="2"/>
      <c r="AH745" s="2"/>
      <c r="AI745" s="2"/>
      <c r="AK745" s="73" t="str">
        <f>IF(ISNA(MATCH($N745,[1]data!$A:$A,0)),"",INDEX([1]data!S:S,MATCH($N745,[1]data!$A:$A,0)))</f>
        <v/>
      </c>
      <c r="AL745" s="73" t="str">
        <f>IF(ISNA(MATCH($N745,[1]data!$A:$A,0)),"",INDEX([1]data!V:V,MATCH($N745,[1]data!$A:$A,0)))</f>
        <v/>
      </c>
      <c r="AM745" s="38" t="str">
        <f>IF(ISNA(MATCH($N745,data!$A:$A,0)),"",INDEX(data!B:B,MATCH($N745,data!$A:$A,0)))</f>
        <v/>
      </c>
      <c r="AN745" s="38" t="str">
        <f>IF(ISNA(MATCH($N745,data!$A:$A,0)),"",INDEX(data!C:C,MATCH($N745,data!$A:$A,0)))</f>
        <v/>
      </c>
      <c r="AO745" s="38" t="str">
        <f>IF(ISNA(MATCH($N745,data!$A:$A,0)),"",INDEX(data!D:D,MATCH($N745,data!$A:$A,0)))</f>
        <v/>
      </c>
      <c r="AP745" s="38" t="str">
        <f>IF(ISNA(MATCH($N745,data!$A:$A,0)),"",INDEX(data!E:E,MATCH($N745,data!$A:$A,0)))</f>
        <v/>
      </c>
      <c r="AQ745" s="38" t="str">
        <f>IF(ISNA(MATCH($N745,data!$A:$A,0)),"",INDEX(data!F:F,MATCH($N745,data!$A:$A,0)))</f>
        <v/>
      </c>
      <c r="AR745" s="38" t="str">
        <f>IF(ISNA(MATCH($N745,data!$A:$A,0)),"",INDEX(data!G:G,MATCH($N745,data!$A:$A,0)))</f>
        <v/>
      </c>
      <c r="AS745" s="38" t="str">
        <f>IF(ISNA(MATCH($N745,data!$A:$A,0)),"",INDEX(data!H:H,MATCH($N745,data!$A:$A,0)))</f>
        <v/>
      </c>
      <c r="AT745" s="38" t="str">
        <f>IF(ISNA(MATCH($N745,data!$A:$A,0)),"",INDEX(data!I:I,MATCH($N745,data!$A:$A,0)))</f>
        <v/>
      </c>
      <c r="AU745" s="38" t="str">
        <f>IF(ISNA(MATCH($N745,[1]data!$A:$A,0)),"",INDEX([1]data!L:L,MATCH($N745,[1]data!$A:$A,0)))</f>
        <v/>
      </c>
      <c r="AV745" s="38" t="str">
        <f>IF(ISNA(MATCH($N745,[1]data!$A:$A,0)),"",INDEX([1]data!M:M,MATCH($N745,[1]data!$A:$A,0)))</f>
        <v/>
      </c>
      <c r="AW745" s="38" t="str">
        <f>IF(ISNA(MATCH($N745,data!$A:$A,0)),"",INDEX(data!J:J,MATCH($N745,data!$A:$A,0)))</f>
        <v/>
      </c>
      <c r="AX745" s="38" t="str">
        <f>IF(ISNA(MATCH($N745,data!$A:$A,0)),"",INDEX(data!K:K,MATCH($N745,data!$A:$A,0)))</f>
        <v/>
      </c>
      <c r="AY745" s="38" t="str">
        <f>IF(ISNA(MATCH($N745,data!$A:$A,0)),"",INDEX(data!O:O,MATCH($N745,data!$A:$A,0)))</f>
        <v/>
      </c>
      <c r="AZ745" s="38" t="str">
        <f>IF(ISNA(MATCH($N745,data!$A:$A,0)),"",INDEX(data!N:N,MATCH($N745,data!$A:$A,0)))</f>
        <v/>
      </c>
      <c r="BA745" s="38" t="str">
        <f>IF(ISNA(MATCH($N745,data!$A:$A,0)),"",INDEX(data!P:P,MATCH($N745,data!$A:$A,0)))</f>
        <v/>
      </c>
      <c r="BB745" s="38" t="str">
        <f>IF(ISNA(MATCH($N745,data!$A:$A,0)),"",INDEX(data!Q:Q,MATCH($N745,data!$A:$A,0)))</f>
        <v/>
      </c>
      <c r="BC745" s="38" t="str">
        <f>IF(ISNA(MATCH($N745,data!$A:$A,0)),"",INDEX(data!R:R,MATCH($N745,data!$A:$A,0)))</f>
        <v/>
      </c>
      <c r="BD745" s="38" t="str">
        <f>IF(ISNA(MATCH($N745,[1]data!$A:$A,0)),"",INDEX([1]data!U:U,MATCH($N745,[1]data!$A:$A,0)))</f>
        <v/>
      </c>
      <c r="BE745" s="61" t="e">
        <f>IF(COUNTIF([1]data!A:A,[1]!Table1[[#This Row],[UPC]])&lt;2,"","DUP")</f>
        <v>#VALUE!</v>
      </c>
      <c r="BF745" s="38" t="str">
        <f>IF(ISNA(MATCH($N745,data!$A:$A,0)),"",INDEX(data!W:W,MATCH($N745,data!$A:$A,0)))</f>
        <v/>
      </c>
    </row>
    <row r="746" spans="1:58">
      <c r="A746" s="35"/>
      <c r="B746" s="35"/>
      <c r="C746" s="35"/>
      <c r="D746" s="35"/>
      <c r="E746" s="67"/>
      <c r="F746" s="67"/>
      <c r="G746" s="36"/>
      <c r="H746" s="29"/>
      <c r="I746" s="78" t="str">
        <f t="shared" si="18"/>
        <v/>
      </c>
      <c r="J746" s="29"/>
      <c r="K746" s="29"/>
      <c r="L746" s="33"/>
      <c r="M746" s="33"/>
      <c r="N746" s="60"/>
      <c r="O746" s="71"/>
      <c r="P746" s="71"/>
      <c r="Q746" s="33"/>
      <c r="R746" s="31"/>
      <c r="S746" s="31"/>
      <c r="T746" s="59"/>
      <c r="U746" s="59"/>
      <c r="V746" s="59"/>
      <c r="W746" s="57">
        <f t="shared" si="19"/>
        <v>0</v>
      </c>
      <c r="X746" s="126" t="str">
        <f>IF(Table1[[#This Row],[Shipping Weight Pounds]]&gt;150,"See LTL Form","No")</f>
        <v>No</v>
      </c>
      <c r="Y746" s="28"/>
      <c r="Z746" s="33"/>
      <c r="AA746" s="34"/>
      <c r="AB746" s="30"/>
      <c r="AC746" s="30"/>
      <c r="AD746" s="32"/>
      <c r="AE746" s="32"/>
      <c r="AF746" s="2"/>
      <c r="AG746" s="2"/>
      <c r="AH746" s="2"/>
      <c r="AI746" s="2"/>
      <c r="AK746" s="73" t="str">
        <f>IF(ISNA(MATCH($N746,[1]data!$A:$A,0)),"",INDEX([1]data!S:S,MATCH($N746,[1]data!$A:$A,0)))</f>
        <v/>
      </c>
      <c r="AL746" s="73" t="str">
        <f>IF(ISNA(MATCH($N746,[1]data!$A:$A,0)),"",INDEX([1]data!V:V,MATCH($N746,[1]data!$A:$A,0)))</f>
        <v/>
      </c>
      <c r="AM746" s="38" t="str">
        <f>IF(ISNA(MATCH($N746,data!$A:$A,0)),"",INDEX(data!B:B,MATCH($N746,data!$A:$A,0)))</f>
        <v/>
      </c>
      <c r="AN746" s="38" t="str">
        <f>IF(ISNA(MATCH($N746,data!$A:$A,0)),"",INDEX(data!C:C,MATCH($N746,data!$A:$A,0)))</f>
        <v/>
      </c>
      <c r="AO746" s="38" t="str">
        <f>IF(ISNA(MATCH($N746,data!$A:$A,0)),"",INDEX(data!D:D,MATCH($N746,data!$A:$A,0)))</f>
        <v/>
      </c>
      <c r="AP746" s="38" t="str">
        <f>IF(ISNA(MATCH($N746,data!$A:$A,0)),"",INDEX(data!E:E,MATCH($N746,data!$A:$A,0)))</f>
        <v/>
      </c>
      <c r="AQ746" s="38" t="str">
        <f>IF(ISNA(MATCH($N746,data!$A:$A,0)),"",INDEX(data!F:F,MATCH($N746,data!$A:$A,0)))</f>
        <v/>
      </c>
      <c r="AR746" s="38" t="str">
        <f>IF(ISNA(MATCH($N746,data!$A:$A,0)),"",INDEX(data!G:G,MATCH($N746,data!$A:$A,0)))</f>
        <v/>
      </c>
      <c r="AS746" s="38" t="str">
        <f>IF(ISNA(MATCH($N746,data!$A:$A,0)),"",INDEX(data!H:H,MATCH($N746,data!$A:$A,0)))</f>
        <v/>
      </c>
      <c r="AT746" s="38" t="str">
        <f>IF(ISNA(MATCH($N746,data!$A:$A,0)),"",INDEX(data!I:I,MATCH($N746,data!$A:$A,0)))</f>
        <v/>
      </c>
      <c r="AU746" s="38" t="str">
        <f>IF(ISNA(MATCH($N746,[1]data!$A:$A,0)),"",INDEX([1]data!L:L,MATCH($N746,[1]data!$A:$A,0)))</f>
        <v/>
      </c>
      <c r="AV746" s="38" t="str">
        <f>IF(ISNA(MATCH($N746,[1]data!$A:$A,0)),"",INDEX([1]data!M:M,MATCH($N746,[1]data!$A:$A,0)))</f>
        <v/>
      </c>
      <c r="AW746" s="38" t="str">
        <f>IF(ISNA(MATCH($N746,data!$A:$A,0)),"",INDEX(data!J:J,MATCH($N746,data!$A:$A,0)))</f>
        <v/>
      </c>
      <c r="AX746" s="38" t="str">
        <f>IF(ISNA(MATCH($N746,data!$A:$A,0)),"",INDEX(data!K:K,MATCH($N746,data!$A:$A,0)))</f>
        <v/>
      </c>
      <c r="AY746" s="38" t="str">
        <f>IF(ISNA(MATCH($N746,data!$A:$A,0)),"",INDEX(data!O:O,MATCH($N746,data!$A:$A,0)))</f>
        <v/>
      </c>
      <c r="AZ746" s="38" t="str">
        <f>IF(ISNA(MATCH($N746,data!$A:$A,0)),"",INDEX(data!N:N,MATCH($N746,data!$A:$A,0)))</f>
        <v/>
      </c>
      <c r="BA746" s="38" t="str">
        <f>IF(ISNA(MATCH($N746,data!$A:$A,0)),"",INDEX(data!P:P,MATCH($N746,data!$A:$A,0)))</f>
        <v/>
      </c>
      <c r="BB746" s="38" t="str">
        <f>IF(ISNA(MATCH($N746,data!$A:$A,0)),"",INDEX(data!Q:Q,MATCH($N746,data!$A:$A,0)))</f>
        <v/>
      </c>
      <c r="BC746" s="38" t="str">
        <f>IF(ISNA(MATCH($N746,data!$A:$A,0)),"",INDEX(data!R:R,MATCH($N746,data!$A:$A,0)))</f>
        <v/>
      </c>
      <c r="BD746" s="38" t="str">
        <f>IF(ISNA(MATCH($N746,[1]data!$A:$A,0)),"",INDEX([1]data!U:U,MATCH($N746,[1]data!$A:$A,0)))</f>
        <v/>
      </c>
      <c r="BE746" s="61" t="e">
        <f>IF(COUNTIF([1]data!A:A,[1]!Table1[[#This Row],[UPC]])&lt;2,"","DUP")</f>
        <v>#VALUE!</v>
      </c>
      <c r="BF746" s="38" t="str">
        <f>IF(ISNA(MATCH($N746,data!$A:$A,0)),"",INDEX(data!W:W,MATCH($N746,data!$A:$A,0)))</f>
        <v/>
      </c>
    </row>
    <row r="747" spans="1:58">
      <c r="A747" s="35"/>
      <c r="B747" s="35"/>
      <c r="C747" s="35"/>
      <c r="D747" s="35"/>
      <c r="E747" s="67"/>
      <c r="F747" s="67"/>
      <c r="G747" s="36"/>
      <c r="H747" s="29"/>
      <c r="I747" s="78" t="str">
        <f t="shared" si="18"/>
        <v/>
      </c>
      <c r="J747" s="29"/>
      <c r="K747" s="29"/>
      <c r="L747" s="33"/>
      <c r="M747" s="33"/>
      <c r="N747" s="60"/>
      <c r="O747" s="71"/>
      <c r="P747" s="71"/>
      <c r="Q747" s="33"/>
      <c r="R747" s="31"/>
      <c r="S747" s="31"/>
      <c r="T747" s="59"/>
      <c r="U747" s="59"/>
      <c r="V747" s="59"/>
      <c r="W747" s="57">
        <f t="shared" si="19"/>
        <v>0</v>
      </c>
      <c r="X747" s="126" t="str">
        <f>IF(Table1[[#This Row],[Shipping Weight Pounds]]&gt;150,"See LTL Form","No")</f>
        <v>No</v>
      </c>
      <c r="Y747" s="28"/>
      <c r="Z747" s="33"/>
      <c r="AA747" s="34"/>
      <c r="AB747" s="30"/>
      <c r="AC747" s="30"/>
      <c r="AD747" s="32"/>
      <c r="AE747" s="32"/>
      <c r="AF747" s="2"/>
      <c r="AG747" s="2"/>
      <c r="AH747" s="2"/>
      <c r="AI747" s="2"/>
      <c r="AK747" s="73" t="str">
        <f>IF(ISNA(MATCH($N747,[1]data!$A:$A,0)),"",INDEX([1]data!S:S,MATCH($N747,[1]data!$A:$A,0)))</f>
        <v/>
      </c>
      <c r="AL747" s="73" t="str">
        <f>IF(ISNA(MATCH($N747,[1]data!$A:$A,0)),"",INDEX([1]data!V:V,MATCH($N747,[1]data!$A:$A,0)))</f>
        <v/>
      </c>
      <c r="AM747" s="38" t="str">
        <f>IF(ISNA(MATCH($N747,data!$A:$A,0)),"",INDEX(data!B:B,MATCH($N747,data!$A:$A,0)))</f>
        <v/>
      </c>
      <c r="AN747" s="38" t="str">
        <f>IF(ISNA(MATCH($N747,data!$A:$A,0)),"",INDEX(data!C:C,MATCH($N747,data!$A:$A,0)))</f>
        <v/>
      </c>
      <c r="AO747" s="38" t="str">
        <f>IF(ISNA(MATCH($N747,data!$A:$A,0)),"",INDEX(data!D:D,MATCH($N747,data!$A:$A,0)))</f>
        <v/>
      </c>
      <c r="AP747" s="38" t="str">
        <f>IF(ISNA(MATCH($N747,data!$A:$A,0)),"",INDEX(data!E:E,MATCH($N747,data!$A:$A,0)))</f>
        <v/>
      </c>
      <c r="AQ747" s="38" t="str">
        <f>IF(ISNA(MATCH($N747,data!$A:$A,0)),"",INDEX(data!F:F,MATCH($N747,data!$A:$A,0)))</f>
        <v/>
      </c>
      <c r="AR747" s="38" t="str">
        <f>IF(ISNA(MATCH($N747,data!$A:$A,0)),"",INDEX(data!G:G,MATCH($N747,data!$A:$A,0)))</f>
        <v/>
      </c>
      <c r="AS747" s="38" t="str">
        <f>IF(ISNA(MATCH($N747,data!$A:$A,0)),"",INDEX(data!H:H,MATCH($N747,data!$A:$A,0)))</f>
        <v/>
      </c>
      <c r="AT747" s="38" t="str">
        <f>IF(ISNA(MATCH($N747,data!$A:$A,0)),"",INDEX(data!I:I,MATCH($N747,data!$A:$A,0)))</f>
        <v/>
      </c>
      <c r="AU747" s="38" t="str">
        <f>IF(ISNA(MATCH($N747,[1]data!$A:$A,0)),"",INDEX([1]data!L:L,MATCH($N747,[1]data!$A:$A,0)))</f>
        <v/>
      </c>
      <c r="AV747" s="38" t="str">
        <f>IF(ISNA(MATCH($N747,[1]data!$A:$A,0)),"",INDEX([1]data!M:M,MATCH($N747,[1]data!$A:$A,0)))</f>
        <v/>
      </c>
      <c r="AW747" s="38" t="str">
        <f>IF(ISNA(MATCH($N747,data!$A:$A,0)),"",INDEX(data!J:J,MATCH($N747,data!$A:$A,0)))</f>
        <v/>
      </c>
      <c r="AX747" s="38" t="str">
        <f>IF(ISNA(MATCH($N747,data!$A:$A,0)),"",INDEX(data!K:K,MATCH($N747,data!$A:$A,0)))</f>
        <v/>
      </c>
      <c r="AY747" s="38" t="str">
        <f>IF(ISNA(MATCH($N747,data!$A:$A,0)),"",INDEX(data!O:O,MATCH($N747,data!$A:$A,0)))</f>
        <v/>
      </c>
      <c r="AZ747" s="38" t="str">
        <f>IF(ISNA(MATCH($N747,data!$A:$A,0)),"",INDEX(data!N:N,MATCH($N747,data!$A:$A,0)))</f>
        <v/>
      </c>
      <c r="BA747" s="38" t="str">
        <f>IF(ISNA(MATCH($N747,data!$A:$A,0)),"",INDEX(data!P:P,MATCH($N747,data!$A:$A,0)))</f>
        <v/>
      </c>
      <c r="BB747" s="38" t="str">
        <f>IF(ISNA(MATCH($N747,data!$A:$A,0)),"",INDEX(data!Q:Q,MATCH($N747,data!$A:$A,0)))</f>
        <v/>
      </c>
      <c r="BC747" s="38" t="str">
        <f>IF(ISNA(MATCH($N747,data!$A:$A,0)),"",INDEX(data!R:R,MATCH($N747,data!$A:$A,0)))</f>
        <v/>
      </c>
      <c r="BD747" s="38" t="str">
        <f>IF(ISNA(MATCH($N747,[1]data!$A:$A,0)),"",INDEX([1]data!U:U,MATCH($N747,[1]data!$A:$A,0)))</f>
        <v/>
      </c>
      <c r="BE747" s="61" t="e">
        <f>IF(COUNTIF([1]data!A:A,[1]!Table1[[#This Row],[UPC]])&lt;2,"","DUP")</f>
        <v>#VALUE!</v>
      </c>
      <c r="BF747" s="38" t="str">
        <f>IF(ISNA(MATCH($N747,data!$A:$A,0)),"",INDEX(data!W:W,MATCH($N747,data!$A:$A,0)))</f>
        <v/>
      </c>
    </row>
    <row r="748" spans="1:58">
      <c r="A748" s="35"/>
      <c r="B748" s="35"/>
      <c r="C748" s="35"/>
      <c r="D748" s="35"/>
      <c r="E748" s="67"/>
      <c r="F748" s="67"/>
      <c r="G748" s="36"/>
      <c r="H748" s="29"/>
      <c r="I748" s="78" t="str">
        <f t="shared" si="18"/>
        <v/>
      </c>
      <c r="J748" s="29"/>
      <c r="K748" s="29"/>
      <c r="L748" s="33"/>
      <c r="M748" s="33"/>
      <c r="N748" s="60"/>
      <c r="O748" s="71"/>
      <c r="P748" s="71"/>
      <c r="Q748" s="33"/>
      <c r="R748" s="31"/>
      <c r="S748" s="31"/>
      <c r="T748" s="59"/>
      <c r="U748" s="59"/>
      <c r="V748" s="59"/>
      <c r="W748" s="57">
        <f t="shared" si="19"/>
        <v>0</v>
      </c>
      <c r="X748" s="126" t="str">
        <f>IF(Table1[[#This Row],[Shipping Weight Pounds]]&gt;150,"See LTL Form","No")</f>
        <v>No</v>
      </c>
      <c r="Y748" s="28"/>
      <c r="Z748" s="33"/>
      <c r="AA748" s="34"/>
      <c r="AB748" s="30"/>
      <c r="AC748" s="30"/>
      <c r="AD748" s="32"/>
      <c r="AE748" s="32"/>
      <c r="AF748" s="2"/>
      <c r="AG748" s="2"/>
      <c r="AH748" s="2"/>
      <c r="AI748" s="2"/>
      <c r="AK748" s="73" t="str">
        <f>IF(ISNA(MATCH($N748,[1]data!$A:$A,0)),"",INDEX([1]data!S:S,MATCH($N748,[1]data!$A:$A,0)))</f>
        <v/>
      </c>
      <c r="AL748" s="73" t="str">
        <f>IF(ISNA(MATCH($N748,[1]data!$A:$A,0)),"",INDEX([1]data!V:V,MATCH($N748,[1]data!$A:$A,0)))</f>
        <v/>
      </c>
      <c r="AM748" s="38" t="str">
        <f>IF(ISNA(MATCH($N748,data!$A:$A,0)),"",INDEX(data!B:B,MATCH($N748,data!$A:$A,0)))</f>
        <v/>
      </c>
      <c r="AN748" s="38" t="str">
        <f>IF(ISNA(MATCH($N748,data!$A:$A,0)),"",INDEX(data!C:C,MATCH($N748,data!$A:$A,0)))</f>
        <v/>
      </c>
      <c r="AO748" s="38" t="str">
        <f>IF(ISNA(MATCH($N748,data!$A:$A,0)),"",INDEX(data!D:D,MATCH($N748,data!$A:$A,0)))</f>
        <v/>
      </c>
      <c r="AP748" s="38" t="str">
        <f>IF(ISNA(MATCH($N748,data!$A:$A,0)),"",INDEX(data!E:E,MATCH($N748,data!$A:$A,0)))</f>
        <v/>
      </c>
      <c r="AQ748" s="38" t="str">
        <f>IF(ISNA(MATCH($N748,data!$A:$A,0)),"",INDEX(data!F:F,MATCH($N748,data!$A:$A,0)))</f>
        <v/>
      </c>
      <c r="AR748" s="38" t="str">
        <f>IF(ISNA(MATCH($N748,data!$A:$A,0)),"",INDEX(data!G:G,MATCH($N748,data!$A:$A,0)))</f>
        <v/>
      </c>
      <c r="AS748" s="38" t="str">
        <f>IF(ISNA(MATCH($N748,data!$A:$A,0)),"",INDEX(data!H:H,MATCH($N748,data!$A:$A,0)))</f>
        <v/>
      </c>
      <c r="AT748" s="38" t="str">
        <f>IF(ISNA(MATCH($N748,data!$A:$A,0)),"",INDEX(data!I:I,MATCH($N748,data!$A:$A,0)))</f>
        <v/>
      </c>
      <c r="AU748" s="38" t="str">
        <f>IF(ISNA(MATCH($N748,[1]data!$A:$A,0)),"",INDEX([1]data!L:L,MATCH($N748,[1]data!$A:$A,0)))</f>
        <v/>
      </c>
      <c r="AV748" s="38" t="str">
        <f>IF(ISNA(MATCH($N748,[1]data!$A:$A,0)),"",INDEX([1]data!M:M,MATCH($N748,[1]data!$A:$A,0)))</f>
        <v/>
      </c>
      <c r="AW748" s="38" t="str">
        <f>IF(ISNA(MATCH($N748,data!$A:$A,0)),"",INDEX(data!J:J,MATCH($N748,data!$A:$A,0)))</f>
        <v/>
      </c>
      <c r="AX748" s="38" t="str">
        <f>IF(ISNA(MATCH($N748,data!$A:$A,0)),"",INDEX(data!K:K,MATCH($N748,data!$A:$A,0)))</f>
        <v/>
      </c>
      <c r="AY748" s="38" t="str">
        <f>IF(ISNA(MATCH($N748,data!$A:$A,0)),"",INDEX(data!O:O,MATCH($N748,data!$A:$A,0)))</f>
        <v/>
      </c>
      <c r="AZ748" s="38" t="str">
        <f>IF(ISNA(MATCH($N748,data!$A:$A,0)),"",INDEX(data!N:N,MATCH($N748,data!$A:$A,0)))</f>
        <v/>
      </c>
      <c r="BA748" s="38" t="str">
        <f>IF(ISNA(MATCH($N748,data!$A:$A,0)),"",INDEX(data!P:P,MATCH($N748,data!$A:$A,0)))</f>
        <v/>
      </c>
      <c r="BB748" s="38" t="str">
        <f>IF(ISNA(MATCH($N748,data!$A:$A,0)),"",INDEX(data!Q:Q,MATCH($N748,data!$A:$A,0)))</f>
        <v/>
      </c>
      <c r="BC748" s="38" t="str">
        <f>IF(ISNA(MATCH($N748,data!$A:$A,0)),"",INDEX(data!R:R,MATCH($N748,data!$A:$A,0)))</f>
        <v/>
      </c>
      <c r="BD748" s="38" t="str">
        <f>IF(ISNA(MATCH($N748,[1]data!$A:$A,0)),"",INDEX([1]data!U:U,MATCH($N748,[1]data!$A:$A,0)))</f>
        <v/>
      </c>
      <c r="BE748" s="61" t="e">
        <f>IF(COUNTIF([1]data!A:A,[1]!Table1[[#This Row],[UPC]])&lt;2,"","DUP")</f>
        <v>#VALUE!</v>
      </c>
      <c r="BF748" s="38" t="str">
        <f>IF(ISNA(MATCH($N748,data!$A:$A,0)),"",INDEX(data!W:W,MATCH($N748,data!$A:$A,0)))</f>
        <v/>
      </c>
    </row>
    <row r="749" spans="1:58">
      <c r="A749" s="35"/>
      <c r="B749" s="35"/>
      <c r="C749" s="35"/>
      <c r="D749" s="35"/>
      <c r="E749" s="67"/>
      <c r="F749" s="67"/>
      <c r="G749" s="36"/>
      <c r="H749" s="29"/>
      <c r="I749" s="78" t="str">
        <f t="shared" si="18"/>
        <v/>
      </c>
      <c r="J749" s="29"/>
      <c r="K749" s="29"/>
      <c r="L749" s="33"/>
      <c r="M749" s="33"/>
      <c r="N749" s="60"/>
      <c r="O749" s="71"/>
      <c r="P749" s="71"/>
      <c r="Q749" s="33"/>
      <c r="R749" s="31"/>
      <c r="S749" s="31"/>
      <c r="T749" s="59"/>
      <c r="U749" s="59"/>
      <c r="V749" s="59"/>
      <c r="W749" s="57">
        <f t="shared" si="19"/>
        <v>0</v>
      </c>
      <c r="X749" s="126" t="str">
        <f>IF(Table1[[#This Row],[Shipping Weight Pounds]]&gt;150,"See LTL Form","No")</f>
        <v>No</v>
      </c>
      <c r="Y749" s="28"/>
      <c r="Z749" s="33"/>
      <c r="AA749" s="34"/>
      <c r="AB749" s="30"/>
      <c r="AC749" s="30"/>
      <c r="AD749" s="32"/>
      <c r="AE749" s="32"/>
      <c r="AF749" s="2"/>
      <c r="AG749" s="2"/>
      <c r="AH749" s="2"/>
      <c r="AI749" s="2"/>
      <c r="AK749" s="73" t="str">
        <f>IF(ISNA(MATCH($N749,[1]data!$A:$A,0)),"",INDEX([1]data!S:S,MATCH($N749,[1]data!$A:$A,0)))</f>
        <v/>
      </c>
      <c r="AL749" s="73" t="str">
        <f>IF(ISNA(MATCH($N749,[1]data!$A:$A,0)),"",INDEX([1]data!V:V,MATCH($N749,[1]data!$A:$A,0)))</f>
        <v/>
      </c>
      <c r="AM749" s="38" t="str">
        <f>IF(ISNA(MATCH($N749,data!$A:$A,0)),"",INDEX(data!B:B,MATCH($N749,data!$A:$A,0)))</f>
        <v/>
      </c>
      <c r="AN749" s="38" t="str">
        <f>IF(ISNA(MATCH($N749,data!$A:$A,0)),"",INDEX(data!C:C,MATCH($N749,data!$A:$A,0)))</f>
        <v/>
      </c>
      <c r="AO749" s="38" t="str">
        <f>IF(ISNA(MATCH($N749,data!$A:$A,0)),"",INDEX(data!D:D,MATCH($N749,data!$A:$A,0)))</f>
        <v/>
      </c>
      <c r="AP749" s="38" t="str">
        <f>IF(ISNA(MATCH($N749,data!$A:$A,0)),"",INDEX(data!E:E,MATCH($N749,data!$A:$A,0)))</f>
        <v/>
      </c>
      <c r="AQ749" s="38" t="str">
        <f>IF(ISNA(MATCH($N749,data!$A:$A,0)),"",INDEX(data!F:F,MATCH($N749,data!$A:$A,0)))</f>
        <v/>
      </c>
      <c r="AR749" s="38" t="str">
        <f>IF(ISNA(MATCH($N749,data!$A:$A,0)),"",INDEX(data!G:G,MATCH($N749,data!$A:$A,0)))</f>
        <v/>
      </c>
      <c r="AS749" s="38" t="str">
        <f>IF(ISNA(MATCH($N749,data!$A:$A,0)),"",INDEX(data!H:H,MATCH($N749,data!$A:$A,0)))</f>
        <v/>
      </c>
      <c r="AT749" s="38" t="str">
        <f>IF(ISNA(MATCH($N749,data!$A:$A,0)),"",INDEX(data!I:I,MATCH($N749,data!$A:$A,0)))</f>
        <v/>
      </c>
      <c r="AU749" s="38" t="str">
        <f>IF(ISNA(MATCH($N749,[1]data!$A:$A,0)),"",INDEX([1]data!L:L,MATCH($N749,[1]data!$A:$A,0)))</f>
        <v/>
      </c>
      <c r="AV749" s="38" t="str">
        <f>IF(ISNA(MATCH($N749,[1]data!$A:$A,0)),"",INDEX([1]data!M:M,MATCH($N749,[1]data!$A:$A,0)))</f>
        <v/>
      </c>
      <c r="AW749" s="38" t="str">
        <f>IF(ISNA(MATCH($N749,data!$A:$A,0)),"",INDEX(data!J:J,MATCH($N749,data!$A:$A,0)))</f>
        <v/>
      </c>
      <c r="AX749" s="38" t="str">
        <f>IF(ISNA(MATCH($N749,data!$A:$A,0)),"",INDEX(data!K:K,MATCH($N749,data!$A:$A,0)))</f>
        <v/>
      </c>
      <c r="AY749" s="38" t="str">
        <f>IF(ISNA(MATCH($N749,data!$A:$A,0)),"",INDEX(data!O:O,MATCH($N749,data!$A:$A,0)))</f>
        <v/>
      </c>
      <c r="AZ749" s="38" t="str">
        <f>IF(ISNA(MATCH($N749,data!$A:$A,0)),"",INDEX(data!N:N,MATCH($N749,data!$A:$A,0)))</f>
        <v/>
      </c>
      <c r="BA749" s="38" t="str">
        <f>IF(ISNA(MATCH($N749,data!$A:$A,0)),"",INDEX(data!P:P,MATCH($N749,data!$A:$A,0)))</f>
        <v/>
      </c>
      <c r="BB749" s="38" t="str">
        <f>IF(ISNA(MATCH($N749,data!$A:$A,0)),"",INDEX(data!Q:Q,MATCH($N749,data!$A:$A,0)))</f>
        <v/>
      </c>
      <c r="BC749" s="38" t="str">
        <f>IF(ISNA(MATCH($N749,data!$A:$A,0)),"",INDEX(data!R:R,MATCH($N749,data!$A:$A,0)))</f>
        <v/>
      </c>
      <c r="BD749" s="38" t="str">
        <f>IF(ISNA(MATCH($N749,[1]data!$A:$A,0)),"",INDEX([1]data!U:U,MATCH($N749,[1]data!$A:$A,0)))</f>
        <v/>
      </c>
      <c r="BE749" s="61" t="e">
        <f>IF(COUNTIF([1]data!A:A,[1]!Table1[[#This Row],[UPC]])&lt;2,"","DUP")</f>
        <v>#VALUE!</v>
      </c>
      <c r="BF749" s="38" t="str">
        <f>IF(ISNA(MATCH($N749,data!$A:$A,0)),"",INDEX(data!W:W,MATCH($N749,data!$A:$A,0)))</f>
        <v/>
      </c>
    </row>
    <row r="750" spans="1:58">
      <c r="A750" s="35"/>
      <c r="B750" s="35"/>
      <c r="C750" s="35"/>
      <c r="D750" s="35"/>
      <c r="E750" s="67"/>
      <c r="F750" s="67"/>
      <c r="G750" s="36"/>
      <c r="H750" s="29"/>
      <c r="I750" s="78" t="str">
        <f t="shared" si="18"/>
        <v/>
      </c>
      <c r="J750" s="29"/>
      <c r="K750" s="29"/>
      <c r="L750" s="33"/>
      <c r="M750" s="33"/>
      <c r="N750" s="60"/>
      <c r="O750" s="71"/>
      <c r="P750" s="71"/>
      <c r="Q750" s="33"/>
      <c r="R750" s="31"/>
      <c r="S750" s="31"/>
      <c r="T750" s="59"/>
      <c r="U750" s="59"/>
      <c r="V750" s="59"/>
      <c r="W750" s="57">
        <f t="shared" si="19"/>
        <v>0</v>
      </c>
      <c r="X750" s="126" t="str">
        <f>IF(Table1[[#This Row],[Shipping Weight Pounds]]&gt;150,"See LTL Form","No")</f>
        <v>No</v>
      </c>
      <c r="Y750" s="28"/>
      <c r="Z750" s="33"/>
      <c r="AA750" s="34"/>
      <c r="AB750" s="30"/>
      <c r="AC750" s="30"/>
      <c r="AD750" s="32"/>
      <c r="AE750" s="32"/>
      <c r="AF750" s="2"/>
      <c r="AG750" s="2"/>
      <c r="AH750" s="2"/>
      <c r="AI750" s="2"/>
      <c r="AK750" s="73" t="str">
        <f>IF(ISNA(MATCH($N750,[1]data!$A:$A,0)),"",INDEX([1]data!S:S,MATCH($N750,[1]data!$A:$A,0)))</f>
        <v/>
      </c>
      <c r="AL750" s="73" t="str">
        <f>IF(ISNA(MATCH($N750,[1]data!$A:$A,0)),"",INDEX([1]data!V:V,MATCH($N750,[1]data!$A:$A,0)))</f>
        <v/>
      </c>
      <c r="AM750" s="38" t="str">
        <f>IF(ISNA(MATCH($N750,data!$A:$A,0)),"",INDEX(data!B:B,MATCH($N750,data!$A:$A,0)))</f>
        <v/>
      </c>
      <c r="AN750" s="38" t="str">
        <f>IF(ISNA(MATCH($N750,data!$A:$A,0)),"",INDEX(data!C:C,MATCH($N750,data!$A:$A,0)))</f>
        <v/>
      </c>
      <c r="AO750" s="38" t="str">
        <f>IF(ISNA(MATCH($N750,data!$A:$A,0)),"",INDEX(data!D:D,MATCH($N750,data!$A:$A,0)))</f>
        <v/>
      </c>
      <c r="AP750" s="38" t="str">
        <f>IF(ISNA(MATCH($N750,data!$A:$A,0)),"",INDEX(data!E:E,MATCH($N750,data!$A:$A,0)))</f>
        <v/>
      </c>
      <c r="AQ750" s="38" t="str">
        <f>IF(ISNA(MATCH($N750,data!$A:$A,0)),"",INDEX(data!F:F,MATCH($N750,data!$A:$A,0)))</f>
        <v/>
      </c>
      <c r="AR750" s="38" t="str">
        <f>IF(ISNA(MATCH($N750,data!$A:$A,0)),"",INDEX(data!G:G,MATCH($N750,data!$A:$A,0)))</f>
        <v/>
      </c>
      <c r="AS750" s="38" t="str">
        <f>IF(ISNA(MATCH($N750,data!$A:$A,0)),"",INDEX(data!H:H,MATCH($N750,data!$A:$A,0)))</f>
        <v/>
      </c>
      <c r="AT750" s="38" t="str">
        <f>IF(ISNA(MATCH($N750,data!$A:$A,0)),"",INDEX(data!I:I,MATCH($N750,data!$A:$A,0)))</f>
        <v/>
      </c>
      <c r="AU750" s="38" t="str">
        <f>IF(ISNA(MATCH($N750,[1]data!$A:$A,0)),"",INDEX([1]data!L:L,MATCH($N750,[1]data!$A:$A,0)))</f>
        <v/>
      </c>
      <c r="AV750" s="38" t="str">
        <f>IF(ISNA(MATCH($N750,[1]data!$A:$A,0)),"",INDEX([1]data!M:M,MATCH($N750,[1]data!$A:$A,0)))</f>
        <v/>
      </c>
      <c r="AW750" s="38" t="str">
        <f>IF(ISNA(MATCH($N750,data!$A:$A,0)),"",INDEX(data!J:J,MATCH($N750,data!$A:$A,0)))</f>
        <v/>
      </c>
      <c r="AX750" s="38" t="str">
        <f>IF(ISNA(MATCH($N750,data!$A:$A,0)),"",INDEX(data!K:K,MATCH($N750,data!$A:$A,0)))</f>
        <v/>
      </c>
      <c r="AY750" s="38" t="str">
        <f>IF(ISNA(MATCH($N750,data!$A:$A,0)),"",INDEX(data!O:O,MATCH($N750,data!$A:$A,0)))</f>
        <v/>
      </c>
      <c r="AZ750" s="38" t="str">
        <f>IF(ISNA(MATCH($N750,data!$A:$A,0)),"",INDEX(data!N:N,MATCH($N750,data!$A:$A,0)))</f>
        <v/>
      </c>
      <c r="BA750" s="38" t="str">
        <f>IF(ISNA(MATCH($N750,data!$A:$A,0)),"",INDEX(data!P:P,MATCH($N750,data!$A:$A,0)))</f>
        <v/>
      </c>
      <c r="BB750" s="38" t="str">
        <f>IF(ISNA(MATCH($N750,data!$A:$A,0)),"",INDEX(data!Q:Q,MATCH($N750,data!$A:$A,0)))</f>
        <v/>
      </c>
      <c r="BC750" s="38" t="str">
        <f>IF(ISNA(MATCH($N750,data!$A:$A,0)),"",INDEX(data!R:R,MATCH($N750,data!$A:$A,0)))</f>
        <v/>
      </c>
      <c r="BD750" s="38" t="str">
        <f>IF(ISNA(MATCH($N750,[1]data!$A:$A,0)),"",INDEX([1]data!U:U,MATCH($N750,[1]data!$A:$A,0)))</f>
        <v/>
      </c>
      <c r="BE750" s="61" t="e">
        <f>IF(COUNTIF([1]data!A:A,[1]!Table1[[#This Row],[UPC]])&lt;2,"","DUP")</f>
        <v>#VALUE!</v>
      </c>
      <c r="BF750" s="38" t="str">
        <f>IF(ISNA(MATCH($N750,data!$A:$A,0)),"",INDEX(data!W:W,MATCH($N750,data!$A:$A,0)))</f>
        <v/>
      </c>
    </row>
    <row r="751" spans="1:58">
      <c r="A751" s="35"/>
      <c r="B751" s="35"/>
      <c r="C751" s="35"/>
      <c r="D751" s="35"/>
      <c r="E751" s="67"/>
      <c r="F751" s="67"/>
      <c r="G751" s="36"/>
      <c r="H751" s="29"/>
      <c r="I751" s="78" t="str">
        <f t="shared" si="18"/>
        <v/>
      </c>
      <c r="J751" s="29"/>
      <c r="K751" s="29"/>
      <c r="L751" s="33"/>
      <c r="M751" s="33"/>
      <c r="N751" s="60"/>
      <c r="O751" s="71"/>
      <c r="P751" s="71"/>
      <c r="Q751" s="33"/>
      <c r="R751" s="31"/>
      <c r="S751" s="31"/>
      <c r="T751" s="59"/>
      <c r="U751" s="59"/>
      <c r="V751" s="59"/>
      <c r="W751" s="57">
        <f t="shared" si="19"/>
        <v>0</v>
      </c>
      <c r="X751" s="126" t="str">
        <f>IF(Table1[[#This Row],[Shipping Weight Pounds]]&gt;150,"See LTL Form","No")</f>
        <v>No</v>
      </c>
      <c r="Y751" s="28"/>
      <c r="Z751" s="33"/>
      <c r="AA751" s="34"/>
      <c r="AB751" s="30"/>
      <c r="AC751" s="30"/>
      <c r="AD751" s="32"/>
      <c r="AE751" s="32"/>
      <c r="AF751" s="2"/>
      <c r="AG751" s="2"/>
      <c r="AH751" s="2"/>
      <c r="AI751" s="2"/>
      <c r="AK751" s="73" t="str">
        <f>IF(ISNA(MATCH($N751,[1]data!$A:$A,0)),"",INDEX([1]data!S:S,MATCH($N751,[1]data!$A:$A,0)))</f>
        <v/>
      </c>
      <c r="AL751" s="73" t="str">
        <f>IF(ISNA(MATCH($N751,[1]data!$A:$A,0)),"",INDEX([1]data!V:V,MATCH($N751,[1]data!$A:$A,0)))</f>
        <v/>
      </c>
      <c r="AM751" s="38" t="str">
        <f>IF(ISNA(MATCH($N751,data!$A:$A,0)),"",INDEX(data!B:B,MATCH($N751,data!$A:$A,0)))</f>
        <v/>
      </c>
      <c r="AN751" s="38" t="str">
        <f>IF(ISNA(MATCH($N751,data!$A:$A,0)),"",INDEX(data!C:C,MATCH($N751,data!$A:$A,0)))</f>
        <v/>
      </c>
      <c r="AO751" s="38" t="str">
        <f>IF(ISNA(MATCH($N751,data!$A:$A,0)),"",INDEX(data!D:D,MATCH($N751,data!$A:$A,0)))</f>
        <v/>
      </c>
      <c r="AP751" s="38" t="str">
        <f>IF(ISNA(MATCH($N751,data!$A:$A,0)),"",INDEX(data!E:E,MATCH($N751,data!$A:$A,0)))</f>
        <v/>
      </c>
      <c r="AQ751" s="38" t="str">
        <f>IF(ISNA(MATCH($N751,data!$A:$A,0)),"",INDEX(data!F:F,MATCH($N751,data!$A:$A,0)))</f>
        <v/>
      </c>
      <c r="AR751" s="38" t="str">
        <f>IF(ISNA(MATCH($N751,data!$A:$A,0)),"",INDEX(data!G:G,MATCH($N751,data!$A:$A,0)))</f>
        <v/>
      </c>
      <c r="AS751" s="38" t="str">
        <f>IF(ISNA(MATCH($N751,data!$A:$A,0)),"",INDEX(data!H:H,MATCH($N751,data!$A:$A,0)))</f>
        <v/>
      </c>
      <c r="AT751" s="38" t="str">
        <f>IF(ISNA(MATCH($N751,data!$A:$A,0)),"",INDEX(data!I:I,MATCH($N751,data!$A:$A,0)))</f>
        <v/>
      </c>
      <c r="AU751" s="38" t="str">
        <f>IF(ISNA(MATCH($N751,[1]data!$A:$A,0)),"",INDEX([1]data!L:L,MATCH($N751,[1]data!$A:$A,0)))</f>
        <v/>
      </c>
      <c r="AV751" s="38" t="str">
        <f>IF(ISNA(MATCH($N751,[1]data!$A:$A,0)),"",INDEX([1]data!M:M,MATCH($N751,[1]data!$A:$A,0)))</f>
        <v/>
      </c>
      <c r="AW751" s="38" t="str">
        <f>IF(ISNA(MATCH($N751,data!$A:$A,0)),"",INDEX(data!J:J,MATCH($N751,data!$A:$A,0)))</f>
        <v/>
      </c>
      <c r="AX751" s="38" t="str">
        <f>IF(ISNA(MATCH($N751,data!$A:$A,0)),"",INDEX(data!K:K,MATCH($N751,data!$A:$A,0)))</f>
        <v/>
      </c>
      <c r="AY751" s="38" t="str">
        <f>IF(ISNA(MATCH($N751,data!$A:$A,0)),"",INDEX(data!O:O,MATCH($N751,data!$A:$A,0)))</f>
        <v/>
      </c>
      <c r="AZ751" s="38" t="str">
        <f>IF(ISNA(MATCH($N751,data!$A:$A,0)),"",INDEX(data!N:N,MATCH($N751,data!$A:$A,0)))</f>
        <v/>
      </c>
      <c r="BA751" s="38" t="str">
        <f>IF(ISNA(MATCH($N751,data!$A:$A,0)),"",INDEX(data!P:P,MATCH($N751,data!$A:$A,0)))</f>
        <v/>
      </c>
      <c r="BB751" s="38" t="str">
        <f>IF(ISNA(MATCH($N751,data!$A:$A,0)),"",INDEX(data!Q:Q,MATCH($N751,data!$A:$A,0)))</f>
        <v/>
      </c>
      <c r="BC751" s="38" t="str">
        <f>IF(ISNA(MATCH($N751,data!$A:$A,0)),"",INDEX(data!R:R,MATCH($N751,data!$A:$A,0)))</f>
        <v/>
      </c>
      <c r="BD751" s="38" t="str">
        <f>IF(ISNA(MATCH($N751,[1]data!$A:$A,0)),"",INDEX([1]data!U:U,MATCH($N751,[1]data!$A:$A,0)))</f>
        <v/>
      </c>
      <c r="BE751" s="61" t="e">
        <f>IF(COUNTIF([1]data!A:A,[1]!Table1[[#This Row],[UPC]])&lt;2,"","DUP")</f>
        <v>#VALUE!</v>
      </c>
      <c r="BF751" s="38" t="str">
        <f>IF(ISNA(MATCH($N751,data!$A:$A,0)),"",INDEX(data!W:W,MATCH($N751,data!$A:$A,0)))</f>
        <v/>
      </c>
    </row>
    <row r="752" spans="1:58">
      <c r="A752" s="35"/>
      <c r="B752" s="35"/>
      <c r="C752" s="35"/>
      <c r="D752" s="35"/>
      <c r="E752" s="67"/>
      <c r="F752" s="67"/>
      <c r="G752" s="36"/>
      <c r="H752" s="29"/>
      <c r="I752" s="78" t="str">
        <f t="shared" si="18"/>
        <v/>
      </c>
      <c r="J752" s="29"/>
      <c r="K752" s="29"/>
      <c r="L752" s="33"/>
      <c r="M752" s="33"/>
      <c r="N752" s="60"/>
      <c r="O752" s="71"/>
      <c r="P752" s="71"/>
      <c r="Q752" s="33"/>
      <c r="R752" s="31"/>
      <c r="S752" s="31"/>
      <c r="T752" s="59"/>
      <c r="U752" s="59"/>
      <c r="V752" s="59"/>
      <c r="W752" s="57">
        <f t="shared" si="19"/>
        <v>0</v>
      </c>
      <c r="X752" s="126" t="str">
        <f>IF(Table1[[#This Row],[Shipping Weight Pounds]]&gt;150,"See LTL Form","No")</f>
        <v>No</v>
      </c>
      <c r="Y752" s="28"/>
      <c r="Z752" s="33"/>
      <c r="AA752" s="34"/>
      <c r="AB752" s="30"/>
      <c r="AC752" s="30"/>
      <c r="AD752" s="32"/>
      <c r="AE752" s="32"/>
      <c r="AF752" s="2"/>
      <c r="AG752" s="2"/>
      <c r="AH752" s="2"/>
      <c r="AI752" s="2"/>
      <c r="AK752" s="73" t="str">
        <f>IF(ISNA(MATCH($N752,[1]data!$A:$A,0)),"",INDEX([1]data!S:S,MATCH($N752,[1]data!$A:$A,0)))</f>
        <v/>
      </c>
      <c r="AL752" s="73" t="str">
        <f>IF(ISNA(MATCH($N752,[1]data!$A:$A,0)),"",INDEX([1]data!V:V,MATCH($N752,[1]data!$A:$A,0)))</f>
        <v/>
      </c>
      <c r="AM752" s="38" t="str">
        <f>IF(ISNA(MATCH($N752,data!$A:$A,0)),"",INDEX(data!B:B,MATCH($N752,data!$A:$A,0)))</f>
        <v/>
      </c>
      <c r="AN752" s="38" t="str">
        <f>IF(ISNA(MATCH($N752,data!$A:$A,0)),"",INDEX(data!C:C,MATCH($N752,data!$A:$A,0)))</f>
        <v/>
      </c>
      <c r="AO752" s="38" t="str">
        <f>IF(ISNA(MATCH($N752,data!$A:$A,0)),"",INDEX(data!D:D,MATCH($N752,data!$A:$A,0)))</f>
        <v/>
      </c>
      <c r="AP752" s="38" t="str">
        <f>IF(ISNA(MATCH($N752,data!$A:$A,0)),"",INDEX(data!E:E,MATCH($N752,data!$A:$A,0)))</f>
        <v/>
      </c>
      <c r="AQ752" s="38" t="str">
        <f>IF(ISNA(MATCH($N752,data!$A:$A,0)),"",INDEX(data!F:F,MATCH($N752,data!$A:$A,0)))</f>
        <v/>
      </c>
      <c r="AR752" s="38" t="str">
        <f>IF(ISNA(MATCH($N752,data!$A:$A,0)),"",INDEX(data!G:G,MATCH($N752,data!$A:$A,0)))</f>
        <v/>
      </c>
      <c r="AS752" s="38" t="str">
        <f>IF(ISNA(MATCH($N752,data!$A:$A,0)),"",INDEX(data!H:H,MATCH($N752,data!$A:$A,0)))</f>
        <v/>
      </c>
      <c r="AT752" s="38" t="str">
        <f>IF(ISNA(MATCH($N752,data!$A:$A,0)),"",INDEX(data!I:I,MATCH($N752,data!$A:$A,0)))</f>
        <v/>
      </c>
      <c r="AU752" s="38" t="str">
        <f>IF(ISNA(MATCH($N752,[1]data!$A:$A,0)),"",INDEX([1]data!L:L,MATCH($N752,[1]data!$A:$A,0)))</f>
        <v/>
      </c>
      <c r="AV752" s="38" t="str">
        <f>IF(ISNA(MATCH($N752,[1]data!$A:$A,0)),"",INDEX([1]data!M:M,MATCH($N752,[1]data!$A:$A,0)))</f>
        <v/>
      </c>
      <c r="AW752" s="38" t="str">
        <f>IF(ISNA(MATCH($N752,data!$A:$A,0)),"",INDEX(data!J:J,MATCH($N752,data!$A:$A,0)))</f>
        <v/>
      </c>
      <c r="AX752" s="38" t="str">
        <f>IF(ISNA(MATCH($N752,data!$A:$A,0)),"",INDEX(data!K:K,MATCH($N752,data!$A:$A,0)))</f>
        <v/>
      </c>
      <c r="AY752" s="38" t="str">
        <f>IF(ISNA(MATCH($N752,data!$A:$A,0)),"",INDEX(data!O:O,MATCH($N752,data!$A:$A,0)))</f>
        <v/>
      </c>
      <c r="AZ752" s="38" t="str">
        <f>IF(ISNA(MATCH($N752,data!$A:$A,0)),"",INDEX(data!N:N,MATCH($N752,data!$A:$A,0)))</f>
        <v/>
      </c>
      <c r="BA752" s="38" t="str">
        <f>IF(ISNA(MATCH($N752,data!$A:$A,0)),"",INDEX(data!P:P,MATCH($N752,data!$A:$A,0)))</f>
        <v/>
      </c>
      <c r="BB752" s="38" t="str">
        <f>IF(ISNA(MATCH($N752,data!$A:$A,0)),"",INDEX(data!Q:Q,MATCH($N752,data!$A:$A,0)))</f>
        <v/>
      </c>
      <c r="BC752" s="38" t="str">
        <f>IF(ISNA(MATCH($N752,data!$A:$A,0)),"",INDEX(data!R:R,MATCH($N752,data!$A:$A,0)))</f>
        <v/>
      </c>
      <c r="BD752" s="38" t="str">
        <f>IF(ISNA(MATCH($N752,[1]data!$A:$A,0)),"",INDEX([1]data!U:U,MATCH($N752,[1]data!$A:$A,0)))</f>
        <v/>
      </c>
      <c r="BE752" s="61" t="e">
        <f>IF(COUNTIF([1]data!A:A,[1]!Table1[[#This Row],[UPC]])&lt;2,"","DUP")</f>
        <v>#VALUE!</v>
      </c>
      <c r="BF752" s="38" t="str">
        <f>IF(ISNA(MATCH($N752,data!$A:$A,0)),"",INDEX(data!W:W,MATCH($N752,data!$A:$A,0)))</f>
        <v/>
      </c>
    </row>
    <row r="753" spans="1:58">
      <c r="A753" s="35"/>
      <c r="B753" s="35"/>
      <c r="C753" s="35"/>
      <c r="D753" s="35"/>
      <c r="E753" s="67"/>
      <c r="F753" s="67"/>
      <c r="G753" s="36"/>
      <c r="H753" s="29"/>
      <c r="I753" s="78" t="str">
        <f t="shared" si="18"/>
        <v/>
      </c>
      <c r="J753" s="29"/>
      <c r="K753" s="29"/>
      <c r="L753" s="33"/>
      <c r="M753" s="33"/>
      <c r="N753" s="60"/>
      <c r="O753" s="71"/>
      <c r="P753" s="71"/>
      <c r="Q753" s="33"/>
      <c r="R753" s="31"/>
      <c r="S753" s="31"/>
      <c r="T753" s="59"/>
      <c r="U753" s="59"/>
      <c r="V753" s="59"/>
      <c r="W753" s="57">
        <f t="shared" si="19"/>
        <v>0</v>
      </c>
      <c r="X753" s="126" t="str">
        <f>IF(Table1[[#This Row],[Shipping Weight Pounds]]&gt;150,"See LTL Form","No")</f>
        <v>No</v>
      </c>
      <c r="Y753" s="28"/>
      <c r="Z753" s="33"/>
      <c r="AA753" s="34"/>
      <c r="AB753" s="30"/>
      <c r="AC753" s="30"/>
      <c r="AD753" s="32"/>
      <c r="AE753" s="32"/>
      <c r="AF753" s="2"/>
      <c r="AG753" s="2"/>
      <c r="AH753" s="2"/>
      <c r="AI753" s="2"/>
      <c r="AK753" s="73" t="str">
        <f>IF(ISNA(MATCH($N753,[1]data!$A:$A,0)),"",INDEX([1]data!S:S,MATCH($N753,[1]data!$A:$A,0)))</f>
        <v/>
      </c>
      <c r="AL753" s="73" t="str">
        <f>IF(ISNA(MATCH($N753,[1]data!$A:$A,0)),"",INDEX([1]data!V:V,MATCH($N753,[1]data!$A:$A,0)))</f>
        <v/>
      </c>
      <c r="AM753" s="38" t="str">
        <f>IF(ISNA(MATCH($N753,data!$A:$A,0)),"",INDEX(data!B:B,MATCH($N753,data!$A:$A,0)))</f>
        <v/>
      </c>
      <c r="AN753" s="38" t="str">
        <f>IF(ISNA(MATCH($N753,data!$A:$A,0)),"",INDEX(data!C:C,MATCH($N753,data!$A:$A,0)))</f>
        <v/>
      </c>
      <c r="AO753" s="38" t="str">
        <f>IF(ISNA(MATCH($N753,data!$A:$A,0)),"",INDEX(data!D:D,MATCH($N753,data!$A:$A,0)))</f>
        <v/>
      </c>
      <c r="AP753" s="38" t="str">
        <f>IF(ISNA(MATCH($N753,data!$A:$A,0)),"",INDEX(data!E:E,MATCH($N753,data!$A:$A,0)))</f>
        <v/>
      </c>
      <c r="AQ753" s="38" t="str">
        <f>IF(ISNA(MATCH($N753,data!$A:$A,0)),"",INDEX(data!F:F,MATCH($N753,data!$A:$A,0)))</f>
        <v/>
      </c>
      <c r="AR753" s="38" t="str">
        <f>IF(ISNA(MATCH($N753,data!$A:$A,0)),"",INDEX(data!G:G,MATCH($N753,data!$A:$A,0)))</f>
        <v/>
      </c>
      <c r="AS753" s="38" t="str">
        <f>IF(ISNA(MATCH($N753,data!$A:$A,0)),"",INDEX(data!H:H,MATCH($N753,data!$A:$A,0)))</f>
        <v/>
      </c>
      <c r="AT753" s="38" t="str">
        <f>IF(ISNA(MATCH($N753,data!$A:$A,0)),"",INDEX(data!I:I,MATCH($N753,data!$A:$A,0)))</f>
        <v/>
      </c>
      <c r="AU753" s="38" t="str">
        <f>IF(ISNA(MATCH($N753,[1]data!$A:$A,0)),"",INDEX([1]data!L:L,MATCH($N753,[1]data!$A:$A,0)))</f>
        <v/>
      </c>
      <c r="AV753" s="38" t="str">
        <f>IF(ISNA(MATCH($N753,[1]data!$A:$A,0)),"",INDEX([1]data!M:M,MATCH($N753,[1]data!$A:$A,0)))</f>
        <v/>
      </c>
      <c r="AW753" s="38" t="str">
        <f>IF(ISNA(MATCH($N753,data!$A:$A,0)),"",INDEX(data!J:J,MATCH($N753,data!$A:$A,0)))</f>
        <v/>
      </c>
      <c r="AX753" s="38" t="str">
        <f>IF(ISNA(MATCH($N753,data!$A:$A,0)),"",INDEX(data!K:K,MATCH($N753,data!$A:$A,0)))</f>
        <v/>
      </c>
      <c r="AY753" s="38" t="str">
        <f>IF(ISNA(MATCH($N753,data!$A:$A,0)),"",INDEX(data!O:O,MATCH($N753,data!$A:$A,0)))</f>
        <v/>
      </c>
      <c r="AZ753" s="38" t="str">
        <f>IF(ISNA(MATCH($N753,data!$A:$A,0)),"",INDEX(data!N:N,MATCH($N753,data!$A:$A,0)))</f>
        <v/>
      </c>
      <c r="BA753" s="38" t="str">
        <f>IF(ISNA(MATCH($N753,data!$A:$A,0)),"",INDEX(data!P:P,MATCH($N753,data!$A:$A,0)))</f>
        <v/>
      </c>
      <c r="BB753" s="38" t="str">
        <f>IF(ISNA(MATCH($N753,data!$A:$A,0)),"",INDEX(data!Q:Q,MATCH($N753,data!$A:$A,0)))</f>
        <v/>
      </c>
      <c r="BC753" s="38" t="str">
        <f>IF(ISNA(MATCH($N753,data!$A:$A,0)),"",INDEX(data!R:R,MATCH($N753,data!$A:$A,0)))</f>
        <v/>
      </c>
      <c r="BD753" s="38" t="str">
        <f>IF(ISNA(MATCH($N753,[1]data!$A:$A,0)),"",INDEX([1]data!U:U,MATCH($N753,[1]data!$A:$A,0)))</f>
        <v/>
      </c>
      <c r="BE753" s="61" t="e">
        <f>IF(COUNTIF([1]data!A:A,[1]!Table1[[#This Row],[UPC]])&lt;2,"","DUP")</f>
        <v>#VALUE!</v>
      </c>
      <c r="BF753" s="38" t="str">
        <f>IF(ISNA(MATCH($N753,data!$A:$A,0)),"",INDEX(data!W:W,MATCH($N753,data!$A:$A,0)))</f>
        <v/>
      </c>
    </row>
    <row r="754" spans="1:58">
      <c r="A754" s="35"/>
      <c r="B754" s="35"/>
      <c r="C754" s="35"/>
      <c r="D754" s="35"/>
      <c r="E754" s="67"/>
      <c r="F754" s="67"/>
      <c r="G754" s="36"/>
      <c r="H754" s="29"/>
      <c r="I754" s="78" t="str">
        <f t="shared" si="18"/>
        <v/>
      </c>
      <c r="J754" s="29"/>
      <c r="K754" s="29"/>
      <c r="L754" s="33"/>
      <c r="M754" s="33"/>
      <c r="N754" s="60"/>
      <c r="O754" s="71"/>
      <c r="P754" s="71"/>
      <c r="Q754" s="33"/>
      <c r="R754" s="31"/>
      <c r="S754" s="31"/>
      <c r="T754" s="59"/>
      <c r="U754" s="59"/>
      <c r="V754" s="59"/>
      <c r="W754" s="57">
        <f t="shared" si="19"/>
        <v>0</v>
      </c>
      <c r="X754" s="126" t="str">
        <f>IF(Table1[[#This Row],[Shipping Weight Pounds]]&gt;150,"See LTL Form","No")</f>
        <v>No</v>
      </c>
      <c r="Y754" s="28"/>
      <c r="Z754" s="33"/>
      <c r="AA754" s="34"/>
      <c r="AB754" s="30"/>
      <c r="AC754" s="30"/>
      <c r="AD754" s="32"/>
      <c r="AE754" s="32"/>
      <c r="AF754" s="2"/>
      <c r="AG754" s="2"/>
      <c r="AH754" s="2"/>
      <c r="AI754" s="2"/>
      <c r="AK754" s="73" t="str">
        <f>IF(ISNA(MATCH($N754,[1]data!$A:$A,0)),"",INDEX([1]data!S:S,MATCH($N754,[1]data!$A:$A,0)))</f>
        <v/>
      </c>
      <c r="AL754" s="73" t="str">
        <f>IF(ISNA(MATCH($N754,[1]data!$A:$A,0)),"",INDEX([1]data!V:V,MATCH($N754,[1]data!$A:$A,0)))</f>
        <v/>
      </c>
      <c r="AM754" s="38" t="str">
        <f>IF(ISNA(MATCH($N754,data!$A:$A,0)),"",INDEX(data!B:B,MATCH($N754,data!$A:$A,0)))</f>
        <v/>
      </c>
      <c r="AN754" s="38" t="str">
        <f>IF(ISNA(MATCH($N754,data!$A:$A,0)),"",INDEX(data!C:C,MATCH($N754,data!$A:$A,0)))</f>
        <v/>
      </c>
      <c r="AO754" s="38" t="str">
        <f>IF(ISNA(MATCH($N754,data!$A:$A,0)),"",INDEX(data!D:D,MATCH($N754,data!$A:$A,0)))</f>
        <v/>
      </c>
      <c r="AP754" s="38" t="str">
        <f>IF(ISNA(MATCH($N754,data!$A:$A,0)),"",INDEX(data!E:E,MATCH($N754,data!$A:$A,0)))</f>
        <v/>
      </c>
      <c r="AQ754" s="38" t="str">
        <f>IF(ISNA(MATCH($N754,data!$A:$A,0)),"",INDEX(data!F:F,MATCH($N754,data!$A:$A,0)))</f>
        <v/>
      </c>
      <c r="AR754" s="38" t="str">
        <f>IF(ISNA(MATCH($N754,data!$A:$A,0)),"",INDEX(data!G:G,MATCH($N754,data!$A:$A,0)))</f>
        <v/>
      </c>
      <c r="AS754" s="38" t="str">
        <f>IF(ISNA(MATCH($N754,data!$A:$A,0)),"",INDEX(data!H:H,MATCH($N754,data!$A:$A,0)))</f>
        <v/>
      </c>
      <c r="AT754" s="38" t="str">
        <f>IF(ISNA(MATCH($N754,data!$A:$A,0)),"",INDEX(data!I:I,MATCH($N754,data!$A:$A,0)))</f>
        <v/>
      </c>
      <c r="AU754" s="38" t="str">
        <f>IF(ISNA(MATCH($N754,[1]data!$A:$A,0)),"",INDEX([1]data!L:L,MATCH($N754,[1]data!$A:$A,0)))</f>
        <v/>
      </c>
      <c r="AV754" s="38" t="str">
        <f>IF(ISNA(MATCH($N754,[1]data!$A:$A,0)),"",INDEX([1]data!M:M,MATCH($N754,[1]data!$A:$A,0)))</f>
        <v/>
      </c>
      <c r="AW754" s="38" t="str">
        <f>IF(ISNA(MATCH($N754,data!$A:$A,0)),"",INDEX(data!J:J,MATCH($N754,data!$A:$A,0)))</f>
        <v/>
      </c>
      <c r="AX754" s="38" t="str">
        <f>IF(ISNA(MATCH($N754,data!$A:$A,0)),"",INDEX(data!K:K,MATCH($N754,data!$A:$A,0)))</f>
        <v/>
      </c>
      <c r="AY754" s="38" t="str">
        <f>IF(ISNA(MATCH($N754,data!$A:$A,0)),"",INDEX(data!O:O,MATCH($N754,data!$A:$A,0)))</f>
        <v/>
      </c>
      <c r="AZ754" s="38" t="str">
        <f>IF(ISNA(MATCH($N754,data!$A:$A,0)),"",INDEX(data!N:N,MATCH($N754,data!$A:$A,0)))</f>
        <v/>
      </c>
      <c r="BA754" s="38" t="str">
        <f>IF(ISNA(MATCH($N754,data!$A:$A,0)),"",INDEX(data!P:P,MATCH($N754,data!$A:$A,0)))</f>
        <v/>
      </c>
      <c r="BB754" s="38" t="str">
        <f>IF(ISNA(MATCH($N754,data!$A:$A,0)),"",INDEX(data!Q:Q,MATCH($N754,data!$A:$A,0)))</f>
        <v/>
      </c>
      <c r="BC754" s="38" t="str">
        <f>IF(ISNA(MATCH($N754,data!$A:$A,0)),"",INDEX(data!R:R,MATCH($N754,data!$A:$A,0)))</f>
        <v/>
      </c>
      <c r="BD754" s="38" t="str">
        <f>IF(ISNA(MATCH($N754,[1]data!$A:$A,0)),"",INDEX([1]data!U:U,MATCH($N754,[1]data!$A:$A,0)))</f>
        <v/>
      </c>
      <c r="BE754" s="61" t="e">
        <f>IF(COUNTIF([1]data!A:A,[1]!Table1[[#This Row],[UPC]])&lt;2,"","DUP")</f>
        <v>#VALUE!</v>
      </c>
      <c r="BF754" s="38" t="str">
        <f>IF(ISNA(MATCH($N754,data!$A:$A,0)),"",INDEX(data!W:W,MATCH($N754,data!$A:$A,0)))</f>
        <v/>
      </c>
    </row>
    <row r="755" spans="1:58">
      <c r="A755" s="35"/>
      <c r="B755" s="35"/>
      <c r="C755" s="35"/>
      <c r="D755" s="35"/>
      <c r="E755" s="67"/>
      <c r="F755" s="67"/>
      <c r="G755" s="36"/>
      <c r="H755" s="29"/>
      <c r="I755" s="78" t="str">
        <f t="shared" si="18"/>
        <v/>
      </c>
      <c r="J755" s="29"/>
      <c r="K755" s="29"/>
      <c r="L755" s="33"/>
      <c r="M755" s="33"/>
      <c r="N755" s="60"/>
      <c r="O755" s="71"/>
      <c r="P755" s="71"/>
      <c r="Q755" s="33"/>
      <c r="R755" s="31"/>
      <c r="S755" s="31"/>
      <c r="T755" s="59"/>
      <c r="U755" s="59"/>
      <c r="V755" s="59"/>
      <c r="W755" s="57">
        <f t="shared" si="19"/>
        <v>0</v>
      </c>
      <c r="X755" s="126" t="str">
        <f>IF(Table1[[#This Row],[Shipping Weight Pounds]]&gt;150,"See LTL Form","No")</f>
        <v>No</v>
      </c>
      <c r="Y755" s="28"/>
      <c r="Z755" s="33"/>
      <c r="AA755" s="34"/>
      <c r="AB755" s="30"/>
      <c r="AC755" s="30"/>
      <c r="AD755" s="32"/>
      <c r="AE755" s="32"/>
      <c r="AF755" s="2"/>
      <c r="AG755" s="2"/>
      <c r="AH755" s="2"/>
      <c r="AI755" s="2"/>
      <c r="AK755" s="73" t="str">
        <f>IF(ISNA(MATCH($N755,[1]data!$A:$A,0)),"",INDEX([1]data!S:S,MATCH($N755,[1]data!$A:$A,0)))</f>
        <v/>
      </c>
      <c r="AL755" s="73" t="str">
        <f>IF(ISNA(MATCH($N755,[1]data!$A:$A,0)),"",INDEX([1]data!V:V,MATCH($N755,[1]data!$A:$A,0)))</f>
        <v/>
      </c>
      <c r="AM755" s="38" t="str">
        <f>IF(ISNA(MATCH($N755,data!$A:$A,0)),"",INDEX(data!B:B,MATCH($N755,data!$A:$A,0)))</f>
        <v/>
      </c>
      <c r="AN755" s="38" t="str">
        <f>IF(ISNA(MATCH($N755,data!$A:$A,0)),"",INDEX(data!C:C,MATCH($N755,data!$A:$A,0)))</f>
        <v/>
      </c>
      <c r="AO755" s="38" t="str">
        <f>IF(ISNA(MATCH($N755,data!$A:$A,0)),"",INDEX(data!D:D,MATCH($N755,data!$A:$A,0)))</f>
        <v/>
      </c>
      <c r="AP755" s="38" t="str">
        <f>IF(ISNA(MATCH($N755,data!$A:$A,0)),"",INDEX(data!E:E,MATCH($N755,data!$A:$A,0)))</f>
        <v/>
      </c>
      <c r="AQ755" s="38" t="str">
        <f>IF(ISNA(MATCH($N755,data!$A:$A,0)),"",INDEX(data!F:F,MATCH($N755,data!$A:$A,0)))</f>
        <v/>
      </c>
      <c r="AR755" s="38" t="str">
        <f>IF(ISNA(MATCH($N755,data!$A:$A,0)),"",INDEX(data!G:G,MATCH($N755,data!$A:$A,0)))</f>
        <v/>
      </c>
      <c r="AS755" s="38" t="str">
        <f>IF(ISNA(MATCH($N755,data!$A:$A,0)),"",INDEX(data!H:H,MATCH($N755,data!$A:$A,0)))</f>
        <v/>
      </c>
      <c r="AT755" s="38" t="str">
        <f>IF(ISNA(MATCH($N755,data!$A:$A,0)),"",INDEX(data!I:I,MATCH($N755,data!$A:$A,0)))</f>
        <v/>
      </c>
      <c r="AU755" s="38" t="str">
        <f>IF(ISNA(MATCH($N755,[1]data!$A:$A,0)),"",INDEX([1]data!L:L,MATCH($N755,[1]data!$A:$A,0)))</f>
        <v/>
      </c>
      <c r="AV755" s="38" t="str">
        <f>IF(ISNA(MATCH($N755,[1]data!$A:$A,0)),"",INDEX([1]data!M:M,MATCH($N755,[1]data!$A:$A,0)))</f>
        <v/>
      </c>
      <c r="AW755" s="38" t="str">
        <f>IF(ISNA(MATCH($N755,data!$A:$A,0)),"",INDEX(data!J:J,MATCH($N755,data!$A:$A,0)))</f>
        <v/>
      </c>
      <c r="AX755" s="38" t="str">
        <f>IF(ISNA(MATCH($N755,data!$A:$A,0)),"",INDEX(data!K:K,MATCH($N755,data!$A:$A,0)))</f>
        <v/>
      </c>
      <c r="AY755" s="38" t="str">
        <f>IF(ISNA(MATCH($N755,data!$A:$A,0)),"",INDEX(data!O:O,MATCH($N755,data!$A:$A,0)))</f>
        <v/>
      </c>
      <c r="AZ755" s="38" t="str">
        <f>IF(ISNA(MATCH($N755,data!$A:$A,0)),"",INDEX(data!N:N,MATCH($N755,data!$A:$A,0)))</f>
        <v/>
      </c>
      <c r="BA755" s="38" t="str">
        <f>IF(ISNA(MATCH($N755,data!$A:$A,0)),"",INDEX(data!P:P,MATCH($N755,data!$A:$A,0)))</f>
        <v/>
      </c>
      <c r="BB755" s="38" t="str">
        <f>IF(ISNA(MATCH($N755,data!$A:$A,0)),"",INDEX(data!Q:Q,MATCH($N755,data!$A:$A,0)))</f>
        <v/>
      </c>
      <c r="BC755" s="38" t="str">
        <f>IF(ISNA(MATCH($N755,data!$A:$A,0)),"",INDEX(data!R:R,MATCH($N755,data!$A:$A,0)))</f>
        <v/>
      </c>
      <c r="BD755" s="38" t="str">
        <f>IF(ISNA(MATCH($N755,[1]data!$A:$A,0)),"",INDEX([1]data!U:U,MATCH($N755,[1]data!$A:$A,0)))</f>
        <v/>
      </c>
      <c r="BE755" s="61" t="e">
        <f>IF(COUNTIF([1]data!A:A,[1]!Table1[[#This Row],[UPC]])&lt;2,"","DUP")</f>
        <v>#VALUE!</v>
      </c>
      <c r="BF755" s="38" t="str">
        <f>IF(ISNA(MATCH($N755,data!$A:$A,0)),"",INDEX(data!W:W,MATCH($N755,data!$A:$A,0)))</f>
        <v/>
      </c>
    </row>
    <row r="756" spans="1:58">
      <c r="A756" s="35"/>
      <c r="B756" s="35"/>
      <c r="C756" s="35"/>
      <c r="D756" s="35"/>
      <c r="E756" s="67"/>
      <c r="F756" s="67"/>
      <c r="G756" s="36"/>
      <c r="H756" s="29"/>
      <c r="I756" s="78" t="str">
        <f t="shared" si="18"/>
        <v/>
      </c>
      <c r="J756" s="29"/>
      <c r="K756" s="29"/>
      <c r="L756" s="33"/>
      <c r="M756" s="33"/>
      <c r="N756" s="60"/>
      <c r="O756" s="71"/>
      <c r="P756" s="71"/>
      <c r="Q756" s="33"/>
      <c r="R756" s="31"/>
      <c r="S756" s="31"/>
      <c r="T756" s="59"/>
      <c r="U756" s="59"/>
      <c r="V756" s="59"/>
      <c r="W756" s="57">
        <f t="shared" si="19"/>
        <v>0</v>
      </c>
      <c r="X756" s="126" t="str">
        <f>IF(Table1[[#This Row],[Shipping Weight Pounds]]&gt;150,"See LTL Form","No")</f>
        <v>No</v>
      </c>
      <c r="Y756" s="28"/>
      <c r="Z756" s="33"/>
      <c r="AA756" s="34"/>
      <c r="AB756" s="30"/>
      <c r="AC756" s="30"/>
      <c r="AD756" s="32"/>
      <c r="AE756" s="32"/>
      <c r="AF756" s="2"/>
      <c r="AG756" s="2"/>
      <c r="AH756" s="2"/>
      <c r="AI756" s="2"/>
      <c r="AK756" s="73" t="str">
        <f>IF(ISNA(MATCH($N756,[1]data!$A:$A,0)),"",INDEX([1]data!S:S,MATCH($N756,[1]data!$A:$A,0)))</f>
        <v/>
      </c>
      <c r="AL756" s="73" t="str">
        <f>IF(ISNA(MATCH($N756,[1]data!$A:$A,0)),"",INDEX([1]data!V:V,MATCH($N756,[1]data!$A:$A,0)))</f>
        <v/>
      </c>
      <c r="AM756" s="38" t="str">
        <f>IF(ISNA(MATCH($N756,data!$A:$A,0)),"",INDEX(data!B:B,MATCH($N756,data!$A:$A,0)))</f>
        <v/>
      </c>
      <c r="AN756" s="38" t="str">
        <f>IF(ISNA(MATCH($N756,data!$A:$A,0)),"",INDEX(data!C:C,MATCH($N756,data!$A:$A,0)))</f>
        <v/>
      </c>
      <c r="AO756" s="38" t="str">
        <f>IF(ISNA(MATCH($N756,data!$A:$A,0)),"",INDEX(data!D:D,MATCH($N756,data!$A:$A,0)))</f>
        <v/>
      </c>
      <c r="AP756" s="38" t="str">
        <f>IF(ISNA(MATCH($N756,data!$A:$A,0)),"",INDEX(data!E:E,MATCH($N756,data!$A:$A,0)))</f>
        <v/>
      </c>
      <c r="AQ756" s="38" t="str">
        <f>IF(ISNA(MATCH($N756,data!$A:$A,0)),"",INDEX(data!F:F,MATCH($N756,data!$A:$A,0)))</f>
        <v/>
      </c>
      <c r="AR756" s="38" t="str">
        <f>IF(ISNA(MATCH($N756,data!$A:$A,0)),"",INDEX(data!G:G,MATCH($N756,data!$A:$A,0)))</f>
        <v/>
      </c>
      <c r="AS756" s="38" t="str">
        <f>IF(ISNA(MATCH($N756,data!$A:$A,0)),"",INDEX(data!H:H,MATCH($N756,data!$A:$A,0)))</f>
        <v/>
      </c>
      <c r="AT756" s="38" t="str">
        <f>IF(ISNA(MATCH($N756,data!$A:$A,0)),"",INDEX(data!I:I,MATCH($N756,data!$A:$A,0)))</f>
        <v/>
      </c>
      <c r="AU756" s="38" t="str">
        <f>IF(ISNA(MATCH($N756,[1]data!$A:$A,0)),"",INDEX([1]data!L:L,MATCH($N756,[1]data!$A:$A,0)))</f>
        <v/>
      </c>
      <c r="AV756" s="38" t="str">
        <f>IF(ISNA(MATCH($N756,[1]data!$A:$A,0)),"",INDEX([1]data!M:M,MATCH($N756,[1]data!$A:$A,0)))</f>
        <v/>
      </c>
      <c r="AW756" s="38" t="str">
        <f>IF(ISNA(MATCH($N756,data!$A:$A,0)),"",INDEX(data!J:J,MATCH($N756,data!$A:$A,0)))</f>
        <v/>
      </c>
      <c r="AX756" s="38" t="str">
        <f>IF(ISNA(MATCH($N756,data!$A:$A,0)),"",INDEX(data!K:K,MATCH($N756,data!$A:$A,0)))</f>
        <v/>
      </c>
      <c r="AY756" s="38" t="str">
        <f>IF(ISNA(MATCH($N756,data!$A:$A,0)),"",INDEX(data!O:O,MATCH($N756,data!$A:$A,0)))</f>
        <v/>
      </c>
      <c r="AZ756" s="38" t="str">
        <f>IF(ISNA(MATCH($N756,data!$A:$A,0)),"",INDEX(data!N:N,MATCH($N756,data!$A:$A,0)))</f>
        <v/>
      </c>
      <c r="BA756" s="38" t="str">
        <f>IF(ISNA(MATCH($N756,data!$A:$A,0)),"",INDEX(data!P:P,MATCH($N756,data!$A:$A,0)))</f>
        <v/>
      </c>
      <c r="BB756" s="38" t="str">
        <f>IF(ISNA(MATCH($N756,data!$A:$A,0)),"",INDEX(data!Q:Q,MATCH($N756,data!$A:$A,0)))</f>
        <v/>
      </c>
      <c r="BC756" s="38" t="str">
        <f>IF(ISNA(MATCH($N756,data!$A:$A,0)),"",INDEX(data!R:R,MATCH($N756,data!$A:$A,0)))</f>
        <v/>
      </c>
      <c r="BD756" s="38" t="str">
        <f>IF(ISNA(MATCH($N756,[1]data!$A:$A,0)),"",INDEX([1]data!U:U,MATCH($N756,[1]data!$A:$A,0)))</f>
        <v/>
      </c>
      <c r="BE756" s="61" t="e">
        <f>IF(COUNTIF([1]data!A:A,[1]!Table1[[#This Row],[UPC]])&lt;2,"","DUP")</f>
        <v>#VALUE!</v>
      </c>
      <c r="BF756" s="38" t="str">
        <f>IF(ISNA(MATCH($N756,data!$A:$A,0)),"",INDEX(data!W:W,MATCH($N756,data!$A:$A,0)))</f>
        <v/>
      </c>
    </row>
    <row r="757" spans="1:58">
      <c r="A757" s="35"/>
      <c r="B757" s="35"/>
      <c r="C757" s="35"/>
      <c r="D757" s="35"/>
      <c r="E757" s="67"/>
      <c r="F757" s="67"/>
      <c r="G757" s="36"/>
      <c r="H757" s="29"/>
      <c r="I757" s="78" t="str">
        <f t="shared" si="18"/>
        <v/>
      </c>
      <c r="J757" s="29"/>
      <c r="K757" s="29"/>
      <c r="L757" s="33"/>
      <c r="M757" s="33"/>
      <c r="N757" s="60"/>
      <c r="O757" s="71"/>
      <c r="P757" s="71"/>
      <c r="Q757" s="33"/>
      <c r="R757" s="31"/>
      <c r="S757" s="31"/>
      <c r="T757" s="59"/>
      <c r="U757" s="59"/>
      <c r="V757" s="59"/>
      <c r="W757" s="57">
        <f t="shared" si="19"/>
        <v>0</v>
      </c>
      <c r="X757" s="126" t="str">
        <f>IF(Table1[[#This Row],[Shipping Weight Pounds]]&gt;150,"See LTL Form","No")</f>
        <v>No</v>
      </c>
      <c r="Y757" s="28"/>
      <c r="Z757" s="33"/>
      <c r="AA757" s="34"/>
      <c r="AB757" s="30"/>
      <c r="AC757" s="30"/>
      <c r="AD757" s="32"/>
      <c r="AE757" s="32"/>
      <c r="AF757" s="2"/>
      <c r="AG757" s="2"/>
      <c r="AH757" s="2"/>
      <c r="AI757" s="2"/>
      <c r="AK757" s="73" t="str">
        <f>IF(ISNA(MATCH($N757,[1]data!$A:$A,0)),"",INDEX([1]data!S:S,MATCH($N757,[1]data!$A:$A,0)))</f>
        <v/>
      </c>
      <c r="AL757" s="73" t="str">
        <f>IF(ISNA(MATCH($N757,[1]data!$A:$A,0)),"",INDEX([1]data!V:V,MATCH($N757,[1]data!$A:$A,0)))</f>
        <v/>
      </c>
      <c r="AM757" s="38" t="str">
        <f>IF(ISNA(MATCH($N757,data!$A:$A,0)),"",INDEX(data!B:B,MATCH($N757,data!$A:$A,0)))</f>
        <v/>
      </c>
      <c r="AN757" s="38" t="str">
        <f>IF(ISNA(MATCH($N757,data!$A:$A,0)),"",INDEX(data!C:C,MATCH($N757,data!$A:$A,0)))</f>
        <v/>
      </c>
      <c r="AO757" s="38" t="str">
        <f>IF(ISNA(MATCH($N757,data!$A:$A,0)),"",INDEX(data!D:D,MATCH($N757,data!$A:$A,0)))</f>
        <v/>
      </c>
      <c r="AP757" s="38" t="str">
        <f>IF(ISNA(MATCH($N757,data!$A:$A,0)),"",INDEX(data!E:E,MATCH($N757,data!$A:$A,0)))</f>
        <v/>
      </c>
      <c r="AQ757" s="38" t="str">
        <f>IF(ISNA(MATCH($N757,data!$A:$A,0)),"",INDEX(data!F:F,MATCH($N757,data!$A:$A,0)))</f>
        <v/>
      </c>
      <c r="AR757" s="38" t="str">
        <f>IF(ISNA(MATCH($N757,data!$A:$A,0)),"",INDEX(data!G:G,MATCH($N757,data!$A:$A,0)))</f>
        <v/>
      </c>
      <c r="AS757" s="38" t="str">
        <f>IF(ISNA(MATCH($N757,data!$A:$A,0)),"",INDEX(data!H:H,MATCH($N757,data!$A:$A,0)))</f>
        <v/>
      </c>
      <c r="AT757" s="38" t="str">
        <f>IF(ISNA(MATCH($N757,data!$A:$A,0)),"",INDEX(data!I:I,MATCH($N757,data!$A:$A,0)))</f>
        <v/>
      </c>
      <c r="AU757" s="38" t="str">
        <f>IF(ISNA(MATCH($N757,[1]data!$A:$A,0)),"",INDEX([1]data!L:L,MATCH($N757,[1]data!$A:$A,0)))</f>
        <v/>
      </c>
      <c r="AV757" s="38" t="str">
        <f>IF(ISNA(MATCH($N757,[1]data!$A:$A,0)),"",INDEX([1]data!M:M,MATCH($N757,[1]data!$A:$A,0)))</f>
        <v/>
      </c>
      <c r="AW757" s="38" t="str">
        <f>IF(ISNA(MATCH($N757,data!$A:$A,0)),"",INDEX(data!J:J,MATCH($N757,data!$A:$A,0)))</f>
        <v/>
      </c>
      <c r="AX757" s="38" t="str">
        <f>IF(ISNA(MATCH($N757,data!$A:$A,0)),"",INDEX(data!K:K,MATCH($N757,data!$A:$A,0)))</f>
        <v/>
      </c>
      <c r="AY757" s="38" t="str">
        <f>IF(ISNA(MATCH($N757,data!$A:$A,0)),"",INDEX(data!O:O,MATCH($N757,data!$A:$A,0)))</f>
        <v/>
      </c>
      <c r="AZ757" s="38" t="str">
        <f>IF(ISNA(MATCH($N757,data!$A:$A,0)),"",INDEX(data!N:N,MATCH($N757,data!$A:$A,0)))</f>
        <v/>
      </c>
      <c r="BA757" s="38" t="str">
        <f>IF(ISNA(MATCH($N757,data!$A:$A,0)),"",INDEX(data!P:P,MATCH($N757,data!$A:$A,0)))</f>
        <v/>
      </c>
      <c r="BB757" s="38" t="str">
        <f>IF(ISNA(MATCH($N757,data!$A:$A,0)),"",INDEX(data!Q:Q,MATCH($N757,data!$A:$A,0)))</f>
        <v/>
      </c>
      <c r="BC757" s="38" t="str">
        <f>IF(ISNA(MATCH($N757,data!$A:$A,0)),"",INDEX(data!R:R,MATCH($N757,data!$A:$A,0)))</f>
        <v/>
      </c>
      <c r="BD757" s="38" t="str">
        <f>IF(ISNA(MATCH($N757,[1]data!$A:$A,0)),"",INDEX([1]data!U:U,MATCH($N757,[1]data!$A:$A,0)))</f>
        <v/>
      </c>
      <c r="BE757" s="61" t="e">
        <f>IF(COUNTIF([1]data!A:A,[1]!Table1[[#This Row],[UPC]])&lt;2,"","DUP")</f>
        <v>#VALUE!</v>
      </c>
      <c r="BF757" s="38" t="str">
        <f>IF(ISNA(MATCH($N757,data!$A:$A,0)),"",INDEX(data!W:W,MATCH($N757,data!$A:$A,0)))</f>
        <v/>
      </c>
    </row>
    <row r="758" spans="1:58">
      <c r="A758" s="35"/>
      <c r="B758" s="35"/>
      <c r="C758" s="35"/>
      <c r="D758" s="35"/>
      <c r="E758" s="67"/>
      <c r="F758" s="67"/>
      <c r="G758" s="36"/>
      <c r="H758" s="29"/>
      <c r="I758" s="78" t="str">
        <f t="shared" si="18"/>
        <v/>
      </c>
      <c r="J758" s="29"/>
      <c r="K758" s="29"/>
      <c r="L758" s="33"/>
      <c r="M758" s="33"/>
      <c r="N758" s="60"/>
      <c r="O758" s="71"/>
      <c r="P758" s="71"/>
      <c r="Q758" s="33"/>
      <c r="R758" s="31"/>
      <c r="S758" s="31"/>
      <c r="T758" s="59"/>
      <c r="U758" s="59"/>
      <c r="V758" s="59"/>
      <c r="W758" s="57">
        <f t="shared" si="19"/>
        <v>0</v>
      </c>
      <c r="X758" s="126" t="str">
        <f>IF(Table1[[#This Row],[Shipping Weight Pounds]]&gt;150,"See LTL Form","No")</f>
        <v>No</v>
      </c>
      <c r="Y758" s="28"/>
      <c r="Z758" s="33"/>
      <c r="AA758" s="34"/>
      <c r="AB758" s="30"/>
      <c r="AC758" s="30"/>
      <c r="AD758" s="32"/>
      <c r="AE758" s="32"/>
      <c r="AF758" s="2"/>
      <c r="AG758" s="2"/>
      <c r="AH758" s="2"/>
      <c r="AI758" s="2"/>
      <c r="AK758" s="73" t="str">
        <f>IF(ISNA(MATCH($N758,[1]data!$A:$A,0)),"",INDEX([1]data!S:S,MATCH($N758,[1]data!$A:$A,0)))</f>
        <v/>
      </c>
      <c r="AL758" s="73" t="str">
        <f>IF(ISNA(MATCH($N758,[1]data!$A:$A,0)),"",INDEX([1]data!V:V,MATCH($N758,[1]data!$A:$A,0)))</f>
        <v/>
      </c>
      <c r="AM758" s="38" t="str">
        <f>IF(ISNA(MATCH($N758,data!$A:$A,0)),"",INDEX(data!B:B,MATCH($N758,data!$A:$A,0)))</f>
        <v/>
      </c>
      <c r="AN758" s="38" t="str">
        <f>IF(ISNA(MATCH($N758,data!$A:$A,0)),"",INDEX(data!C:C,MATCH($N758,data!$A:$A,0)))</f>
        <v/>
      </c>
      <c r="AO758" s="38" t="str">
        <f>IF(ISNA(MATCH($N758,data!$A:$A,0)),"",INDEX(data!D:D,MATCH($N758,data!$A:$A,0)))</f>
        <v/>
      </c>
      <c r="AP758" s="38" t="str">
        <f>IF(ISNA(MATCH($N758,data!$A:$A,0)),"",INDEX(data!E:E,MATCH($N758,data!$A:$A,0)))</f>
        <v/>
      </c>
      <c r="AQ758" s="38" t="str">
        <f>IF(ISNA(MATCH($N758,data!$A:$A,0)),"",INDEX(data!F:F,MATCH($N758,data!$A:$A,0)))</f>
        <v/>
      </c>
      <c r="AR758" s="38" t="str">
        <f>IF(ISNA(MATCH($N758,data!$A:$A,0)),"",INDEX(data!G:G,MATCH($N758,data!$A:$A,0)))</f>
        <v/>
      </c>
      <c r="AS758" s="38" t="str">
        <f>IF(ISNA(MATCH($N758,data!$A:$A,0)),"",INDEX(data!H:H,MATCH($N758,data!$A:$A,0)))</f>
        <v/>
      </c>
      <c r="AT758" s="38" t="str">
        <f>IF(ISNA(MATCH($N758,data!$A:$A,0)),"",INDEX(data!I:I,MATCH($N758,data!$A:$A,0)))</f>
        <v/>
      </c>
      <c r="AU758" s="38" t="str">
        <f>IF(ISNA(MATCH($N758,[1]data!$A:$A,0)),"",INDEX([1]data!L:L,MATCH($N758,[1]data!$A:$A,0)))</f>
        <v/>
      </c>
      <c r="AV758" s="38" t="str">
        <f>IF(ISNA(MATCH($N758,[1]data!$A:$A,0)),"",INDEX([1]data!M:M,MATCH($N758,[1]data!$A:$A,0)))</f>
        <v/>
      </c>
      <c r="AW758" s="38" t="str">
        <f>IF(ISNA(MATCH($N758,data!$A:$A,0)),"",INDEX(data!J:J,MATCH($N758,data!$A:$A,0)))</f>
        <v/>
      </c>
      <c r="AX758" s="38" t="str">
        <f>IF(ISNA(MATCH($N758,data!$A:$A,0)),"",INDEX(data!K:K,MATCH($N758,data!$A:$A,0)))</f>
        <v/>
      </c>
      <c r="AY758" s="38" t="str">
        <f>IF(ISNA(MATCH($N758,data!$A:$A,0)),"",INDEX(data!O:O,MATCH($N758,data!$A:$A,0)))</f>
        <v/>
      </c>
      <c r="AZ758" s="38" t="str">
        <f>IF(ISNA(MATCH($N758,data!$A:$A,0)),"",INDEX(data!N:N,MATCH($N758,data!$A:$A,0)))</f>
        <v/>
      </c>
      <c r="BA758" s="38" t="str">
        <f>IF(ISNA(MATCH($N758,data!$A:$A,0)),"",INDEX(data!P:P,MATCH($N758,data!$A:$A,0)))</f>
        <v/>
      </c>
      <c r="BB758" s="38" t="str">
        <f>IF(ISNA(MATCH($N758,data!$A:$A,0)),"",INDEX(data!Q:Q,MATCH($N758,data!$A:$A,0)))</f>
        <v/>
      </c>
      <c r="BC758" s="38" t="str">
        <f>IF(ISNA(MATCH($N758,data!$A:$A,0)),"",INDEX(data!R:R,MATCH($N758,data!$A:$A,0)))</f>
        <v/>
      </c>
      <c r="BD758" s="38" t="str">
        <f>IF(ISNA(MATCH($N758,[1]data!$A:$A,0)),"",INDEX([1]data!U:U,MATCH($N758,[1]data!$A:$A,0)))</f>
        <v/>
      </c>
      <c r="BE758" s="61" t="e">
        <f>IF(COUNTIF([1]data!A:A,[1]!Table1[[#This Row],[UPC]])&lt;2,"","DUP")</f>
        <v>#VALUE!</v>
      </c>
      <c r="BF758" s="38" t="str">
        <f>IF(ISNA(MATCH($N758,data!$A:$A,0)),"",INDEX(data!W:W,MATCH($N758,data!$A:$A,0)))</f>
        <v/>
      </c>
    </row>
    <row r="759" spans="1:58">
      <c r="A759" s="35"/>
      <c r="B759" s="35"/>
      <c r="C759" s="35"/>
      <c r="D759" s="35"/>
      <c r="E759" s="67"/>
      <c r="F759" s="67"/>
      <c r="G759" s="36"/>
      <c r="H759" s="29"/>
      <c r="I759" s="78" t="str">
        <f t="shared" si="18"/>
        <v/>
      </c>
      <c r="J759" s="29"/>
      <c r="K759" s="29"/>
      <c r="L759" s="33"/>
      <c r="M759" s="33"/>
      <c r="N759" s="60"/>
      <c r="O759" s="71"/>
      <c r="P759" s="71"/>
      <c r="Q759" s="33"/>
      <c r="R759" s="31"/>
      <c r="S759" s="31"/>
      <c r="T759" s="59"/>
      <c r="U759" s="59"/>
      <c r="V759" s="59"/>
      <c r="W759" s="57">
        <f t="shared" si="19"/>
        <v>0</v>
      </c>
      <c r="X759" s="126" t="str">
        <f>IF(Table1[[#This Row],[Shipping Weight Pounds]]&gt;150,"See LTL Form","No")</f>
        <v>No</v>
      </c>
      <c r="Y759" s="28"/>
      <c r="Z759" s="33"/>
      <c r="AA759" s="34"/>
      <c r="AB759" s="30"/>
      <c r="AC759" s="30"/>
      <c r="AD759" s="32"/>
      <c r="AE759" s="32"/>
      <c r="AF759" s="2"/>
      <c r="AG759" s="2"/>
      <c r="AH759" s="2"/>
      <c r="AI759" s="2"/>
      <c r="AK759" s="73" t="str">
        <f>IF(ISNA(MATCH($N759,[1]data!$A:$A,0)),"",INDEX([1]data!S:S,MATCH($N759,[1]data!$A:$A,0)))</f>
        <v/>
      </c>
      <c r="AL759" s="73" t="str">
        <f>IF(ISNA(MATCH($N759,[1]data!$A:$A,0)),"",INDEX([1]data!V:V,MATCH($N759,[1]data!$A:$A,0)))</f>
        <v/>
      </c>
      <c r="AM759" s="38" t="str">
        <f>IF(ISNA(MATCH($N759,data!$A:$A,0)),"",INDEX(data!B:B,MATCH($N759,data!$A:$A,0)))</f>
        <v/>
      </c>
      <c r="AN759" s="38" t="str">
        <f>IF(ISNA(MATCH($N759,data!$A:$A,0)),"",INDEX(data!C:C,MATCH($N759,data!$A:$A,0)))</f>
        <v/>
      </c>
      <c r="AO759" s="38" t="str">
        <f>IF(ISNA(MATCH($N759,data!$A:$A,0)),"",INDEX(data!D:D,MATCH($N759,data!$A:$A,0)))</f>
        <v/>
      </c>
      <c r="AP759" s="38" t="str">
        <f>IF(ISNA(MATCH($N759,data!$A:$A,0)),"",INDEX(data!E:E,MATCH($N759,data!$A:$A,0)))</f>
        <v/>
      </c>
      <c r="AQ759" s="38" t="str">
        <f>IF(ISNA(MATCH($N759,data!$A:$A,0)),"",INDEX(data!F:F,MATCH($N759,data!$A:$A,0)))</f>
        <v/>
      </c>
      <c r="AR759" s="38" t="str">
        <f>IF(ISNA(MATCH($N759,data!$A:$A,0)),"",INDEX(data!G:G,MATCH($N759,data!$A:$A,0)))</f>
        <v/>
      </c>
      <c r="AS759" s="38" t="str">
        <f>IF(ISNA(MATCH($N759,data!$A:$A,0)),"",INDEX(data!H:H,MATCH($N759,data!$A:$A,0)))</f>
        <v/>
      </c>
      <c r="AT759" s="38" t="str">
        <f>IF(ISNA(MATCH($N759,data!$A:$A,0)),"",INDEX(data!I:I,MATCH($N759,data!$A:$A,0)))</f>
        <v/>
      </c>
      <c r="AU759" s="38" t="str">
        <f>IF(ISNA(MATCH($N759,[1]data!$A:$A,0)),"",INDEX([1]data!L:L,MATCH($N759,[1]data!$A:$A,0)))</f>
        <v/>
      </c>
      <c r="AV759" s="38" t="str">
        <f>IF(ISNA(MATCH($N759,[1]data!$A:$A,0)),"",INDEX([1]data!M:M,MATCH($N759,[1]data!$A:$A,0)))</f>
        <v/>
      </c>
      <c r="AW759" s="38" t="str">
        <f>IF(ISNA(MATCH($N759,data!$A:$A,0)),"",INDEX(data!J:J,MATCH($N759,data!$A:$A,0)))</f>
        <v/>
      </c>
      <c r="AX759" s="38" t="str">
        <f>IF(ISNA(MATCH($N759,data!$A:$A,0)),"",INDEX(data!K:K,MATCH($N759,data!$A:$A,0)))</f>
        <v/>
      </c>
      <c r="AY759" s="38" t="str">
        <f>IF(ISNA(MATCH($N759,data!$A:$A,0)),"",INDEX(data!O:O,MATCH($N759,data!$A:$A,0)))</f>
        <v/>
      </c>
      <c r="AZ759" s="38" t="str">
        <f>IF(ISNA(MATCH($N759,data!$A:$A,0)),"",INDEX(data!N:N,MATCH($N759,data!$A:$A,0)))</f>
        <v/>
      </c>
      <c r="BA759" s="38" t="str">
        <f>IF(ISNA(MATCH($N759,data!$A:$A,0)),"",INDEX(data!P:P,MATCH($N759,data!$A:$A,0)))</f>
        <v/>
      </c>
      <c r="BB759" s="38" t="str">
        <f>IF(ISNA(MATCH($N759,data!$A:$A,0)),"",INDEX(data!Q:Q,MATCH($N759,data!$A:$A,0)))</f>
        <v/>
      </c>
      <c r="BC759" s="38" t="str">
        <f>IF(ISNA(MATCH($N759,data!$A:$A,0)),"",INDEX(data!R:R,MATCH($N759,data!$A:$A,0)))</f>
        <v/>
      </c>
      <c r="BD759" s="38" t="str">
        <f>IF(ISNA(MATCH($N759,[1]data!$A:$A,0)),"",INDEX([1]data!U:U,MATCH($N759,[1]data!$A:$A,0)))</f>
        <v/>
      </c>
      <c r="BE759" s="61" t="e">
        <f>IF(COUNTIF([1]data!A:A,[1]!Table1[[#This Row],[UPC]])&lt;2,"","DUP")</f>
        <v>#VALUE!</v>
      </c>
      <c r="BF759" s="38" t="str">
        <f>IF(ISNA(MATCH($N759,data!$A:$A,0)),"",INDEX(data!W:W,MATCH($N759,data!$A:$A,0)))</f>
        <v/>
      </c>
    </row>
    <row r="760" spans="1:58">
      <c r="A760" s="35"/>
      <c r="B760" s="35"/>
      <c r="C760" s="35"/>
      <c r="D760" s="35"/>
      <c r="E760" s="67"/>
      <c r="F760" s="67"/>
      <c r="G760" s="36"/>
      <c r="H760" s="29"/>
      <c r="I760" s="78" t="str">
        <f t="shared" si="18"/>
        <v/>
      </c>
      <c r="J760" s="29"/>
      <c r="K760" s="29"/>
      <c r="L760" s="33"/>
      <c r="M760" s="33"/>
      <c r="N760" s="60"/>
      <c r="O760" s="71"/>
      <c r="P760" s="71"/>
      <c r="Q760" s="33"/>
      <c r="R760" s="31"/>
      <c r="S760" s="31"/>
      <c r="T760" s="59"/>
      <c r="U760" s="59"/>
      <c r="V760" s="59"/>
      <c r="W760" s="57">
        <f t="shared" si="19"/>
        <v>0</v>
      </c>
      <c r="X760" s="126" t="str">
        <f>IF(Table1[[#This Row],[Shipping Weight Pounds]]&gt;150,"See LTL Form","No")</f>
        <v>No</v>
      </c>
      <c r="Y760" s="28"/>
      <c r="Z760" s="33"/>
      <c r="AA760" s="34"/>
      <c r="AB760" s="30"/>
      <c r="AC760" s="30"/>
      <c r="AD760" s="32"/>
      <c r="AE760" s="32"/>
      <c r="AF760" s="2"/>
      <c r="AG760" s="2"/>
      <c r="AH760" s="2"/>
      <c r="AI760" s="2"/>
      <c r="AK760" s="73" t="str">
        <f>IF(ISNA(MATCH($N760,[1]data!$A:$A,0)),"",INDEX([1]data!S:S,MATCH($N760,[1]data!$A:$A,0)))</f>
        <v/>
      </c>
      <c r="AL760" s="73" t="str">
        <f>IF(ISNA(MATCH($N760,[1]data!$A:$A,0)),"",INDEX([1]data!V:V,MATCH($N760,[1]data!$A:$A,0)))</f>
        <v/>
      </c>
      <c r="AM760" s="38" t="str">
        <f>IF(ISNA(MATCH($N760,data!$A:$A,0)),"",INDEX(data!B:B,MATCH($N760,data!$A:$A,0)))</f>
        <v/>
      </c>
      <c r="AN760" s="38" t="str">
        <f>IF(ISNA(MATCH($N760,data!$A:$A,0)),"",INDEX(data!C:C,MATCH($N760,data!$A:$A,0)))</f>
        <v/>
      </c>
      <c r="AO760" s="38" t="str">
        <f>IF(ISNA(MATCH($N760,data!$A:$A,0)),"",INDEX(data!D:D,MATCH($N760,data!$A:$A,0)))</f>
        <v/>
      </c>
      <c r="AP760" s="38" t="str">
        <f>IF(ISNA(MATCH($N760,data!$A:$A,0)),"",INDEX(data!E:E,MATCH($N760,data!$A:$A,0)))</f>
        <v/>
      </c>
      <c r="AQ760" s="38" t="str">
        <f>IF(ISNA(MATCH($N760,data!$A:$A,0)),"",INDEX(data!F:F,MATCH($N760,data!$A:$A,0)))</f>
        <v/>
      </c>
      <c r="AR760" s="38" t="str">
        <f>IF(ISNA(MATCH($N760,data!$A:$A,0)),"",INDEX(data!G:G,MATCH($N760,data!$A:$A,0)))</f>
        <v/>
      </c>
      <c r="AS760" s="38" t="str">
        <f>IF(ISNA(MATCH($N760,data!$A:$A,0)),"",INDEX(data!H:H,MATCH($N760,data!$A:$A,0)))</f>
        <v/>
      </c>
      <c r="AT760" s="38" t="str">
        <f>IF(ISNA(MATCH($N760,data!$A:$A,0)),"",INDEX(data!I:I,MATCH($N760,data!$A:$A,0)))</f>
        <v/>
      </c>
      <c r="AU760" s="38" t="str">
        <f>IF(ISNA(MATCH($N760,[1]data!$A:$A,0)),"",INDEX([1]data!L:L,MATCH($N760,[1]data!$A:$A,0)))</f>
        <v/>
      </c>
      <c r="AV760" s="38" t="str">
        <f>IF(ISNA(MATCH($N760,[1]data!$A:$A,0)),"",INDEX([1]data!M:M,MATCH($N760,[1]data!$A:$A,0)))</f>
        <v/>
      </c>
      <c r="AW760" s="38" t="str">
        <f>IF(ISNA(MATCH($N760,data!$A:$A,0)),"",INDEX(data!J:J,MATCH($N760,data!$A:$A,0)))</f>
        <v/>
      </c>
      <c r="AX760" s="38" t="str">
        <f>IF(ISNA(MATCH($N760,data!$A:$A,0)),"",INDEX(data!K:K,MATCH($N760,data!$A:$A,0)))</f>
        <v/>
      </c>
      <c r="AY760" s="38" t="str">
        <f>IF(ISNA(MATCH($N760,data!$A:$A,0)),"",INDEX(data!O:O,MATCH($N760,data!$A:$A,0)))</f>
        <v/>
      </c>
      <c r="AZ760" s="38" t="str">
        <f>IF(ISNA(MATCH($N760,data!$A:$A,0)),"",INDEX(data!N:N,MATCH($N760,data!$A:$A,0)))</f>
        <v/>
      </c>
      <c r="BA760" s="38" t="str">
        <f>IF(ISNA(MATCH($N760,data!$A:$A,0)),"",INDEX(data!P:P,MATCH($N760,data!$A:$A,0)))</f>
        <v/>
      </c>
      <c r="BB760" s="38" t="str">
        <f>IF(ISNA(MATCH($N760,data!$A:$A,0)),"",INDEX(data!Q:Q,MATCH($N760,data!$A:$A,0)))</f>
        <v/>
      </c>
      <c r="BC760" s="38" t="str">
        <f>IF(ISNA(MATCH($N760,data!$A:$A,0)),"",INDEX(data!R:R,MATCH($N760,data!$A:$A,0)))</f>
        <v/>
      </c>
      <c r="BD760" s="38" t="str">
        <f>IF(ISNA(MATCH($N760,[1]data!$A:$A,0)),"",INDEX([1]data!U:U,MATCH($N760,[1]data!$A:$A,0)))</f>
        <v/>
      </c>
      <c r="BE760" s="61" t="e">
        <f>IF(COUNTIF([1]data!A:A,[1]!Table1[[#This Row],[UPC]])&lt;2,"","DUP")</f>
        <v>#VALUE!</v>
      </c>
      <c r="BF760" s="38" t="str">
        <f>IF(ISNA(MATCH($N760,data!$A:$A,0)),"",INDEX(data!W:W,MATCH($N760,data!$A:$A,0)))</f>
        <v/>
      </c>
    </row>
    <row r="761" spans="1:58">
      <c r="A761" s="35"/>
      <c r="B761" s="35"/>
      <c r="C761" s="35"/>
      <c r="D761" s="35"/>
      <c r="E761" s="67"/>
      <c r="F761" s="67"/>
      <c r="G761" s="36"/>
      <c r="H761" s="29"/>
      <c r="I761" s="78" t="str">
        <f t="shared" si="18"/>
        <v/>
      </c>
      <c r="J761" s="29"/>
      <c r="K761" s="29"/>
      <c r="L761" s="33"/>
      <c r="M761" s="33"/>
      <c r="N761" s="60"/>
      <c r="O761" s="71"/>
      <c r="P761" s="71"/>
      <c r="Q761" s="33"/>
      <c r="R761" s="31"/>
      <c r="S761" s="31"/>
      <c r="T761" s="59"/>
      <c r="U761" s="59"/>
      <c r="V761" s="59"/>
      <c r="W761" s="57">
        <f t="shared" si="19"/>
        <v>0</v>
      </c>
      <c r="X761" s="126" t="str">
        <f>IF(Table1[[#This Row],[Shipping Weight Pounds]]&gt;150,"See LTL Form","No")</f>
        <v>No</v>
      </c>
      <c r="Y761" s="28"/>
      <c r="Z761" s="33"/>
      <c r="AA761" s="34"/>
      <c r="AB761" s="30"/>
      <c r="AC761" s="30"/>
      <c r="AD761" s="32"/>
      <c r="AE761" s="32"/>
      <c r="AF761" s="2"/>
      <c r="AG761" s="2"/>
      <c r="AH761" s="2"/>
      <c r="AI761" s="2"/>
      <c r="AK761" s="73" t="str">
        <f>IF(ISNA(MATCH($N761,[1]data!$A:$A,0)),"",INDEX([1]data!S:S,MATCH($N761,[1]data!$A:$A,0)))</f>
        <v/>
      </c>
      <c r="AL761" s="73" t="str">
        <f>IF(ISNA(MATCH($N761,[1]data!$A:$A,0)),"",INDEX([1]data!V:V,MATCH($N761,[1]data!$A:$A,0)))</f>
        <v/>
      </c>
      <c r="AM761" s="38" t="str">
        <f>IF(ISNA(MATCH($N761,data!$A:$A,0)),"",INDEX(data!B:B,MATCH($N761,data!$A:$A,0)))</f>
        <v/>
      </c>
      <c r="AN761" s="38" t="str">
        <f>IF(ISNA(MATCH($N761,data!$A:$A,0)),"",INDEX(data!C:C,MATCH($N761,data!$A:$A,0)))</f>
        <v/>
      </c>
      <c r="AO761" s="38" t="str">
        <f>IF(ISNA(MATCH($N761,data!$A:$A,0)),"",INDEX(data!D:D,MATCH($N761,data!$A:$A,0)))</f>
        <v/>
      </c>
      <c r="AP761" s="38" t="str">
        <f>IF(ISNA(MATCH($N761,data!$A:$A,0)),"",INDEX(data!E:E,MATCH($N761,data!$A:$A,0)))</f>
        <v/>
      </c>
      <c r="AQ761" s="38" t="str">
        <f>IF(ISNA(MATCH($N761,data!$A:$A,0)),"",INDEX(data!F:F,MATCH($N761,data!$A:$A,0)))</f>
        <v/>
      </c>
      <c r="AR761" s="38" t="str">
        <f>IF(ISNA(MATCH($N761,data!$A:$A,0)),"",INDEX(data!G:G,MATCH($N761,data!$A:$A,0)))</f>
        <v/>
      </c>
      <c r="AS761" s="38" t="str">
        <f>IF(ISNA(MATCH($N761,data!$A:$A,0)),"",INDEX(data!H:H,MATCH($N761,data!$A:$A,0)))</f>
        <v/>
      </c>
      <c r="AT761" s="38" t="str">
        <f>IF(ISNA(MATCH($N761,data!$A:$A,0)),"",INDEX(data!I:I,MATCH($N761,data!$A:$A,0)))</f>
        <v/>
      </c>
      <c r="AU761" s="38" t="str">
        <f>IF(ISNA(MATCH($N761,[1]data!$A:$A,0)),"",INDEX([1]data!L:L,MATCH($N761,[1]data!$A:$A,0)))</f>
        <v/>
      </c>
      <c r="AV761" s="38" t="str">
        <f>IF(ISNA(MATCH($N761,[1]data!$A:$A,0)),"",INDEX([1]data!M:M,MATCH($N761,[1]data!$A:$A,0)))</f>
        <v/>
      </c>
      <c r="AW761" s="38" t="str">
        <f>IF(ISNA(MATCH($N761,data!$A:$A,0)),"",INDEX(data!J:J,MATCH($N761,data!$A:$A,0)))</f>
        <v/>
      </c>
      <c r="AX761" s="38" t="str">
        <f>IF(ISNA(MATCH($N761,data!$A:$A,0)),"",INDEX(data!K:K,MATCH($N761,data!$A:$A,0)))</f>
        <v/>
      </c>
      <c r="AY761" s="38" t="str">
        <f>IF(ISNA(MATCH($N761,data!$A:$A,0)),"",INDEX(data!O:O,MATCH($N761,data!$A:$A,0)))</f>
        <v/>
      </c>
      <c r="AZ761" s="38" t="str">
        <f>IF(ISNA(MATCH($N761,data!$A:$A,0)),"",INDEX(data!N:N,MATCH($N761,data!$A:$A,0)))</f>
        <v/>
      </c>
      <c r="BA761" s="38" t="str">
        <f>IF(ISNA(MATCH($N761,data!$A:$A,0)),"",INDEX(data!P:P,MATCH($N761,data!$A:$A,0)))</f>
        <v/>
      </c>
      <c r="BB761" s="38" t="str">
        <f>IF(ISNA(MATCH($N761,data!$A:$A,0)),"",INDEX(data!Q:Q,MATCH($N761,data!$A:$A,0)))</f>
        <v/>
      </c>
      <c r="BC761" s="38" t="str">
        <f>IF(ISNA(MATCH($N761,data!$A:$A,0)),"",INDEX(data!R:R,MATCH($N761,data!$A:$A,0)))</f>
        <v/>
      </c>
      <c r="BD761" s="38" t="str">
        <f>IF(ISNA(MATCH($N761,[1]data!$A:$A,0)),"",INDEX([1]data!U:U,MATCH($N761,[1]data!$A:$A,0)))</f>
        <v/>
      </c>
      <c r="BE761" s="61" t="e">
        <f>IF(COUNTIF([1]data!A:A,[1]!Table1[[#This Row],[UPC]])&lt;2,"","DUP")</f>
        <v>#VALUE!</v>
      </c>
      <c r="BF761" s="38" t="str">
        <f>IF(ISNA(MATCH($N761,data!$A:$A,0)),"",INDEX(data!W:W,MATCH($N761,data!$A:$A,0)))</f>
        <v/>
      </c>
    </row>
    <row r="762" spans="1:58">
      <c r="A762" s="35"/>
      <c r="B762" s="35"/>
      <c r="C762" s="35"/>
      <c r="D762" s="35"/>
      <c r="E762" s="67"/>
      <c r="F762" s="67"/>
      <c r="G762" s="36"/>
      <c r="H762" s="29"/>
      <c r="I762" s="78" t="str">
        <f t="shared" si="18"/>
        <v/>
      </c>
      <c r="J762" s="29"/>
      <c r="K762" s="29"/>
      <c r="L762" s="33"/>
      <c r="M762" s="33"/>
      <c r="N762" s="60"/>
      <c r="O762" s="71"/>
      <c r="P762" s="71"/>
      <c r="Q762" s="33"/>
      <c r="R762" s="31"/>
      <c r="S762" s="31"/>
      <c r="T762" s="59"/>
      <c r="U762" s="59"/>
      <c r="V762" s="59"/>
      <c r="W762" s="57">
        <f t="shared" si="19"/>
        <v>0</v>
      </c>
      <c r="X762" s="126" t="str">
        <f>IF(Table1[[#This Row],[Shipping Weight Pounds]]&gt;150,"See LTL Form","No")</f>
        <v>No</v>
      </c>
      <c r="Y762" s="28"/>
      <c r="Z762" s="33"/>
      <c r="AA762" s="34"/>
      <c r="AB762" s="30"/>
      <c r="AC762" s="30"/>
      <c r="AD762" s="32"/>
      <c r="AE762" s="32"/>
      <c r="AF762" s="2"/>
      <c r="AG762" s="2"/>
      <c r="AH762" s="2"/>
      <c r="AI762" s="2"/>
      <c r="AK762" s="73" t="str">
        <f>IF(ISNA(MATCH($N762,[1]data!$A:$A,0)),"",INDEX([1]data!S:S,MATCH($N762,[1]data!$A:$A,0)))</f>
        <v/>
      </c>
      <c r="AL762" s="73" t="str">
        <f>IF(ISNA(MATCH($N762,[1]data!$A:$A,0)),"",INDEX([1]data!V:V,MATCH($N762,[1]data!$A:$A,0)))</f>
        <v/>
      </c>
      <c r="AM762" s="38" t="str">
        <f>IF(ISNA(MATCH($N762,data!$A:$A,0)),"",INDEX(data!B:B,MATCH($N762,data!$A:$A,0)))</f>
        <v/>
      </c>
      <c r="AN762" s="38" t="str">
        <f>IF(ISNA(MATCH($N762,data!$A:$A,0)),"",INDEX(data!C:C,MATCH($N762,data!$A:$A,0)))</f>
        <v/>
      </c>
      <c r="AO762" s="38" t="str">
        <f>IF(ISNA(MATCH($N762,data!$A:$A,0)),"",INDEX(data!D:D,MATCH($N762,data!$A:$A,0)))</f>
        <v/>
      </c>
      <c r="AP762" s="38" t="str">
        <f>IF(ISNA(MATCH($N762,data!$A:$A,0)),"",INDEX(data!E:E,MATCH($N762,data!$A:$A,0)))</f>
        <v/>
      </c>
      <c r="AQ762" s="38" t="str">
        <f>IF(ISNA(MATCH($N762,data!$A:$A,0)),"",INDEX(data!F:F,MATCH($N762,data!$A:$A,0)))</f>
        <v/>
      </c>
      <c r="AR762" s="38" t="str">
        <f>IF(ISNA(MATCH($N762,data!$A:$A,0)),"",INDEX(data!G:G,MATCH($N762,data!$A:$A,0)))</f>
        <v/>
      </c>
      <c r="AS762" s="38" t="str">
        <f>IF(ISNA(MATCH($N762,data!$A:$A,0)),"",INDEX(data!H:H,MATCH($N762,data!$A:$A,0)))</f>
        <v/>
      </c>
      <c r="AT762" s="38" t="str">
        <f>IF(ISNA(MATCH($N762,data!$A:$A,0)),"",INDEX(data!I:I,MATCH($N762,data!$A:$A,0)))</f>
        <v/>
      </c>
      <c r="AU762" s="38" t="str">
        <f>IF(ISNA(MATCH($N762,[1]data!$A:$A,0)),"",INDEX([1]data!L:L,MATCH($N762,[1]data!$A:$A,0)))</f>
        <v/>
      </c>
      <c r="AV762" s="38" t="str">
        <f>IF(ISNA(MATCH($N762,[1]data!$A:$A,0)),"",INDEX([1]data!M:M,MATCH($N762,[1]data!$A:$A,0)))</f>
        <v/>
      </c>
      <c r="AW762" s="38" t="str">
        <f>IF(ISNA(MATCH($N762,data!$A:$A,0)),"",INDEX(data!J:J,MATCH($N762,data!$A:$A,0)))</f>
        <v/>
      </c>
      <c r="AX762" s="38" t="str">
        <f>IF(ISNA(MATCH($N762,data!$A:$A,0)),"",INDEX(data!K:K,MATCH($N762,data!$A:$A,0)))</f>
        <v/>
      </c>
      <c r="AY762" s="38" t="str">
        <f>IF(ISNA(MATCH($N762,data!$A:$A,0)),"",INDEX(data!O:O,MATCH($N762,data!$A:$A,0)))</f>
        <v/>
      </c>
      <c r="AZ762" s="38" t="str">
        <f>IF(ISNA(MATCH($N762,data!$A:$A,0)),"",INDEX(data!N:N,MATCH($N762,data!$A:$A,0)))</f>
        <v/>
      </c>
      <c r="BA762" s="38" t="str">
        <f>IF(ISNA(MATCH($N762,data!$A:$A,0)),"",INDEX(data!P:P,MATCH($N762,data!$A:$A,0)))</f>
        <v/>
      </c>
      <c r="BB762" s="38" t="str">
        <f>IF(ISNA(MATCH($N762,data!$A:$A,0)),"",INDEX(data!Q:Q,MATCH($N762,data!$A:$A,0)))</f>
        <v/>
      </c>
      <c r="BC762" s="38" t="str">
        <f>IF(ISNA(MATCH($N762,data!$A:$A,0)),"",INDEX(data!R:R,MATCH($N762,data!$A:$A,0)))</f>
        <v/>
      </c>
      <c r="BD762" s="38" t="str">
        <f>IF(ISNA(MATCH($N762,[1]data!$A:$A,0)),"",INDEX([1]data!U:U,MATCH($N762,[1]data!$A:$A,0)))</f>
        <v/>
      </c>
      <c r="BE762" s="61" t="e">
        <f>IF(COUNTIF([1]data!A:A,[1]!Table1[[#This Row],[UPC]])&lt;2,"","DUP")</f>
        <v>#VALUE!</v>
      </c>
      <c r="BF762" s="38" t="str">
        <f>IF(ISNA(MATCH($N762,data!$A:$A,0)),"",INDEX(data!W:W,MATCH($N762,data!$A:$A,0)))</f>
        <v/>
      </c>
    </row>
    <row r="763" spans="1:58">
      <c r="A763" s="35"/>
      <c r="B763" s="35"/>
      <c r="C763" s="35"/>
      <c r="D763" s="35"/>
      <c r="E763" s="67"/>
      <c r="F763" s="67"/>
      <c r="G763" s="36"/>
      <c r="H763" s="29"/>
      <c r="I763" s="78" t="str">
        <f t="shared" si="18"/>
        <v/>
      </c>
      <c r="J763" s="29"/>
      <c r="K763" s="29"/>
      <c r="L763" s="33"/>
      <c r="M763" s="33"/>
      <c r="N763" s="60"/>
      <c r="O763" s="71"/>
      <c r="P763" s="71"/>
      <c r="Q763" s="33"/>
      <c r="R763" s="31"/>
      <c r="S763" s="31"/>
      <c r="T763" s="59"/>
      <c r="U763" s="59"/>
      <c r="V763" s="59"/>
      <c r="W763" s="57">
        <f t="shared" si="19"/>
        <v>0</v>
      </c>
      <c r="X763" s="126" t="str">
        <f>IF(Table1[[#This Row],[Shipping Weight Pounds]]&gt;150,"See LTL Form","No")</f>
        <v>No</v>
      </c>
      <c r="Y763" s="28"/>
      <c r="Z763" s="33"/>
      <c r="AA763" s="34"/>
      <c r="AB763" s="30"/>
      <c r="AC763" s="30"/>
      <c r="AD763" s="32"/>
      <c r="AE763" s="32"/>
      <c r="AF763" s="2"/>
      <c r="AG763" s="2"/>
      <c r="AH763" s="2"/>
      <c r="AI763" s="2"/>
      <c r="AK763" s="73" t="str">
        <f>IF(ISNA(MATCH($N763,[1]data!$A:$A,0)),"",INDEX([1]data!S:S,MATCH($N763,[1]data!$A:$A,0)))</f>
        <v/>
      </c>
      <c r="AL763" s="73" t="str">
        <f>IF(ISNA(MATCH($N763,[1]data!$A:$A,0)),"",INDEX([1]data!V:V,MATCH($N763,[1]data!$A:$A,0)))</f>
        <v/>
      </c>
      <c r="AM763" s="38" t="str">
        <f>IF(ISNA(MATCH($N763,data!$A:$A,0)),"",INDEX(data!B:B,MATCH($N763,data!$A:$A,0)))</f>
        <v/>
      </c>
      <c r="AN763" s="38" t="str">
        <f>IF(ISNA(MATCH($N763,data!$A:$A,0)),"",INDEX(data!C:C,MATCH($N763,data!$A:$A,0)))</f>
        <v/>
      </c>
      <c r="AO763" s="38" t="str">
        <f>IF(ISNA(MATCH($N763,data!$A:$A,0)),"",INDEX(data!D:D,MATCH($N763,data!$A:$A,0)))</f>
        <v/>
      </c>
      <c r="AP763" s="38" t="str">
        <f>IF(ISNA(MATCH($N763,data!$A:$A,0)),"",INDEX(data!E:E,MATCH($N763,data!$A:$A,0)))</f>
        <v/>
      </c>
      <c r="AQ763" s="38" t="str">
        <f>IF(ISNA(MATCH($N763,data!$A:$A,0)),"",INDEX(data!F:F,MATCH($N763,data!$A:$A,0)))</f>
        <v/>
      </c>
      <c r="AR763" s="38" t="str">
        <f>IF(ISNA(MATCH($N763,data!$A:$A,0)),"",INDEX(data!G:G,MATCH($N763,data!$A:$A,0)))</f>
        <v/>
      </c>
      <c r="AS763" s="38" t="str">
        <f>IF(ISNA(MATCH($N763,data!$A:$A,0)),"",INDEX(data!H:H,MATCH($N763,data!$A:$A,0)))</f>
        <v/>
      </c>
      <c r="AT763" s="38" t="str">
        <f>IF(ISNA(MATCH($N763,data!$A:$A,0)),"",INDEX(data!I:I,MATCH($N763,data!$A:$A,0)))</f>
        <v/>
      </c>
      <c r="AU763" s="38" t="str">
        <f>IF(ISNA(MATCH($N763,[1]data!$A:$A,0)),"",INDEX([1]data!L:L,MATCH($N763,[1]data!$A:$A,0)))</f>
        <v/>
      </c>
      <c r="AV763" s="38" t="str">
        <f>IF(ISNA(MATCH($N763,[1]data!$A:$A,0)),"",INDEX([1]data!M:M,MATCH($N763,[1]data!$A:$A,0)))</f>
        <v/>
      </c>
      <c r="AW763" s="38" t="str">
        <f>IF(ISNA(MATCH($N763,data!$A:$A,0)),"",INDEX(data!J:J,MATCH($N763,data!$A:$A,0)))</f>
        <v/>
      </c>
      <c r="AX763" s="38" t="str">
        <f>IF(ISNA(MATCH($N763,data!$A:$A,0)),"",INDEX(data!K:K,MATCH($N763,data!$A:$A,0)))</f>
        <v/>
      </c>
      <c r="AY763" s="38" t="str">
        <f>IF(ISNA(MATCH($N763,data!$A:$A,0)),"",INDEX(data!O:O,MATCH($N763,data!$A:$A,0)))</f>
        <v/>
      </c>
      <c r="AZ763" s="38" t="str">
        <f>IF(ISNA(MATCH($N763,data!$A:$A,0)),"",INDEX(data!N:N,MATCH($N763,data!$A:$A,0)))</f>
        <v/>
      </c>
      <c r="BA763" s="38" t="str">
        <f>IF(ISNA(MATCH($N763,data!$A:$A,0)),"",INDEX(data!P:P,MATCH($N763,data!$A:$A,0)))</f>
        <v/>
      </c>
      <c r="BB763" s="38" t="str">
        <f>IF(ISNA(MATCH($N763,data!$A:$A,0)),"",INDEX(data!Q:Q,MATCH($N763,data!$A:$A,0)))</f>
        <v/>
      </c>
      <c r="BC763" s="38" t="str">
        <f>IF(ISNA(MATCH($N763,data!$A:$A,0)),"",INDEX(data!R:R,MATCH($N763,data!$A:$A,0)))</f>
        <v/>
      </c>
      <c r="BD763" s="38" t="str">
        <f>IF(ISNA(MATCH($N763,[1]data!$A:$A,0)),"",INDEX([1]data!U:U,MATCH($N763,[1]data!$A:$A,0)))</f>
        <v/>
      </c>
      <c r="BE763" s="61" t="e">
        <f>IF(COUNTIF([1]data!A:A,[1]!Table1[[#This Row],[UPC]])&lt;2,"","DUP")</f>
        <v>#VALUE!</v>
      </c>
      <c r="BF763" s="38" t="str">
        <f>IF(ISNA(MATCH($N763,data!$A:$A,0)),"",INDEX(data!W:W,MATCH($N763,data!$A:$A,0)))</f>
        <v/>
      </c>
    </row>
    <row r="764" spans="1:58">
      <c r="A764" s="35"/>
      <c r="B764" s="35"/>
      <c r="C764" s="35"/>
      <c r="D764" s="35"/>
      <c r="E764" s="67"/>
      <c r="F764" s="67"/>
      <c r="G764" s="36"/>
      <c r="H764" s="29"/>
      <c r="I764" s="78" t="str">
        <f t="shared" si="18"/>
        <v/>
      </c>
      <c r="J764" s="29"/>
      <c r="K764" s="29"/>
      <c r="L764" s="33"/>
      <c r="M764" s="33"/>
      <c r="N764" s="60"/>
      <c r="O764" s="71"/>
      <c r="P764" s="71"/>
      <c r="Q764" s="33"/>
      <c r="R764" s="31"/>
      <c r="S764" s="31"/>
      <c r="T764" s="59"/>
      <c r="U764" s="59"/>
      <c r="V764" s="59"/>
      <c r="W764" s="57">
        <f t="shared" si="19"/>
        <v>0</v>
      </c>
      <c r="X764" s="126" t="str">
        <f>IF(Table1[[#This Row],[Shipping Weight Pounds]]&gt;150,"See LTL Form","No")</f>
        <v>No</v>
      </c>
      <c r="Y764" s="28"/>
      <c r="Z764" s="33"/>
      <c r="AA764" s="34"/>
      <c r="AB764" s="30"/>
      <c r="AC764" s="30"/>
      <c r="AD764" s="32"/>
      <c r="AE764" s="32"/>
      <c r="AF764" s="2"/>
      <c r="AG764" s="2"/>
      <c r="AH764" s="2"/>
      <c r="AI764" s="2"/>
      <c r="AK764" s="73" t="str">
        <f>IF(ISNA(MATCH($N764,[1]data!$A:$A,0)),"",INDEX([1]data!S:S,MATCH($N764,[1]data!$A:$A,0)))</f>
        <v/>
      </c>
      <c r="AL764" s="73" t="str">
        <f>IF(ISNA(MATCH($N764,[1]data!$A:$A,0)),"",INDEX([1]data!V:V,MATCH($N764,[1]data!$A:$A,0)))</f>
        <v/>
      </c>
      <c r="AM764" s="38" t="str">
        <f>IF(ISNA(MATCH($N764,data!$A:$A,0)),"",INDEX(data!B:B,MATCH($N764,data!$A:$A,0)))</f>
        <v/>
      </c>
      <c r="AN764" s="38" t="str">
        <f>IF(ISNA(MATCH($N764,data!$A:$A,0)),"",INDEX(data!C:C,MATCH($N764,data!$A:$A,0)))</f>
        <v/>
      </c>
      <c r="AO764" s="38" t="str">
        <f>IF(ISNA(MATCH($N764,data!$A:$A,0)),"",INDEX(data!D:D,MATCH($N764,data!$A:$A,0)))</f>
        <v/>
      </c>
      <c r="AP764" s="38" t="str">
        <f>IF(ISNA(MATCH($N764,data!$A:$A,0)),"",INDEX(data!E:E,MATCH($N764,data!$A:$A,0)))</f>
        <v/>
      </c>
      <c r="AQ764" s="38" t="str">
        <f>IF(ISNA(MATCH($N764,data!$A:$A,0)),"",INDEX(data!F:F,MATCH($N764,data!$A:$A,0)))</f>
        <v/>
      </c>
      <c r="AR764" s="38" t="str">
        <f>IF(ISNA(MATCH($N764,data!$A:$A,0)),"",INDEX(data!G:G,MATCH($N764,data!$A:$A,0)))</f>
        <v/>
      </c>
      <c r="AS764" s="38" t="str">
        <f>IF(ISNA(MATCH($N764,data!$A:$A,0)),"",INDEX(data!H:H,MATCH($N764,data!$A:$A,0)))</f>
        <v/>
      </c>
      <c r="AT764" s="38" t="str">
        <f>IF(ISNA(MATCH($N764,data!$A:$A,0)),"",INDEX(data!I:I,MATCH($N764,data!$A:$A,0)))</f>
        <v/>
      </c>
      <c r="AU764" s="38" t="str">
        <f>IF(ISNA(MATCH($N764,[1]data!$A:$A,0)),"",INDEX([1]data!L:L,MATCH($N764,[1]data!$A:$A,0)))</f>
        <v/>
      </c>
      <c r="AV764" s="38" t="str">
        <f>IF(ISNA(MATCH($N764,[1]data!$A:$A,0)),"",INDEX([1]data!M:M,MATCH($N764,[1]data!$A:$A,0)))</f>
        <v/>
      </c>
      <c r="AW764" s="38" t="str">
        <f>IF(ISNA(MATCH($N764,data!$A:$A,0)),"",INDEX(data!J:J,MATCH($N764,data!$A:$A,0)))</f>
        <v/>
      </c>
      <c r="AX764" s="38" t="str">
        <f>IF(ISNA(MATCH($N764,data!$A:$A,0)),"",INDEX(data!K:K,MATCH($N764,data!$A:$A,0)))</f>
        <v/>
      </c>
      <c r="AY764" s="38" t="str">
        <f>IF(ISNA(MATCH($N764,data!$A:$A,0)),"",INDEX(data!O:O,MATCH($N764,data!$A:$A,0)))</f>
        <v/>
      </c>
      <c r="AZ764" s="38" t="str">
        <f>IF(ISNA(MATCH($N764,data!$A:$A,0)),"",INDEX(data!N:N,MATCH($N764,data!$A:$A,0)))</f>
        <v/>
      </c>
      <c r="BA764" s="38" t="str">
        <f>IF(ISNA(MATCH($N764,data!$A:$A,0)),"",INDEX(data!P:P,MATCH($N764,data!$A:$A,0)))</f>
        <v/>
      </c>
      <c r="BB764" s="38" t="str">
        <f>IF(ISNA(MATCH($N764,data!$A:$A,0)),"",INDEX(data!Q:Q,MATCH($N764,data!$A:$A,0)))</f>
        <v/>
      </c>
      <c r="BC764" s="38" t="str">
        <f>IF(ISNA(MATCH($N764,data!$A:$A,0)),"",INDEX(data!R:R,MATCH($N764,data!$A:$A,0)))</f>
        <v/>
      </c>
      <c r="BD764" s="38" t="str">
        <f>IF(ISNA(MATCH($N764,[1]data!$A:$A,0)),"",INDEX([1]data!U:U,MATCH($N764,[1]data!$A:$A,0)))</f>
        <v/>
      </c>
      <c r="BE764" s="61" t="e">
        <f>IF(COUNTIF([1]data!A:A,[1]!Table1[[#This Row],[UPC]])&lt;2,"","DUP")</f>
        <v>#VALUE!</v>
      </c>
      <c r="BF764" s="38" t="str">
        <f>IF(ISNA(MATCH($N764,data!$A:$A,0)),"",INDEX(data!W:W,MATCH($N764,data!$A:$A,0)))</f>
        <v/>
      </c>
    </row>
    <row r="765" spans="1:58">
      <c r="A765" s="35"/>
      <c r="B765" s="35"/>
      <c r="C765" s="35"/>
      <c r="D765" s="35"/>
      <c r="E765" s="67"/>
      <c r="F765" s="67"/>
      <c r="G765" s="36"/>
      <c r="H765" s="29"/>
      <c r="I765" s="78" t="str">
        <f t="shared" si="18"/>
        <v/>
      </c>
      <c r="J765" s="29"/>
      <c r="K765" s="29"/>
      <c r="L765" s="33"/>
      <c r="M765" s="33"/>
      <c r="N765" s="60"/>
      <c r="O765" s="71"/>
      <c r="P765" s="71"/>
      <c r="Q765" s="33"/>
      <c r="R765" s="31"/>
      <c r="S765" s="31"/>
      <c r="T765" s="59"/>
      <c r="U765" s="59"/>
      <c r="V765" s="59"/>
      <c r="W765" s="57">
        <f t="shared" si="19"/>
        <v>0</v>
      </c>
      <c r="X765" s="126" t="str">
        <f>IF(Table1[[#This Row],[Shipping Weight Pounds]]&gt;150,"See LTL Form","No")</f>
        <v>No</v>
      </c>
      <c r="Y765" s="28"/>
      <c r="Z765" s="33"/>
      <c r="AA765" s="34"/>
      <c r="AB765" s="30"/>
      <c r="AC765" s="30"/>
      <c r="AD765" s="32"/>
      <c r="AE765" s="32"/>
      <c r="AF765" s="2"/>
      <c r="AG765" s="2"/>
      <c r="AH765" s="2"/>
      <c r="AI765" s="2"/>
      <c r="AK765" s="73" t="str">
        <f>IF(ISNA(MATCH($N765,[1]data!$A:$A,0)),"",INDEX([1]data!S:S,MATCH($N765,[1]data!$A:$A,0)))</f>
        <v/>
      </c>
      <c r="AL765" s="73" t="str">
        <f>IF(ISNA(MATCH($N765,[1]data!$A:$A,0)),"",INDEX([1]data!V:V,MATCH($N765,[1]data!$A:$A,0)))</f>
        <v/>
      </c>
      <c r="AM765" s="38" t="str">
        <f>IF(ISNA(MATCH($N765,data!$A:$A,0)),"",INDEX(data!B:B,MATCH($N765,data!$A:$A,0)))</f>
        <v/>
      </c>
      <c r="AN765" s="38" t="str">
        <f>IF(ISNA(MATCH($N765,data!$A:$A,0)),"",INDEX(data!C:C,MATCH($N765,data!$A:$A,0)))</f>
        <v/>
      </c>
      <c r="AO765" s="38" t="str">
        <f>IF(ISNA(MATCH($N765,data!$A:$A,0)),"",INDEX(data!D:D,MATCH($N765,data!$A:$A,0)))</f>
        <v/>
      </c>
      <c r="AP765" s="38" t="str">
        <f>IF(ISNA(MATCH($N765,data!$A:$A,0)),"",INDEX(data!E:E,MATCH($N765,data!$A:$A,0)))</f>
        <v/>
      </c>
      <c r="AQ765" s="38" t="str">
        <f>IF(ISNA(MATCH($N765,data!$A:$A,0)),"",INDEX(data!F:F,MATCH($N765,data!$A:$A,0)))</f>
        <v/>
      </c>
      <c r="AR765" s="38" t="str">
        <f>IF(ISNA(MATCH($N765,data!$A:$A,0)),"",INDEX(data!G:G,MATCH($N765,data!$A:$A,0)))</f>
        <v/>
      </c>
      <c r="AS765" s="38" t="str">
        <f>IF(ISNA(MATCH($N765,data!$A:$A,0)),"",INDEX(data!H:H,MATCH($N765,data!$A:$A,0)))</f>
        <v/>
      </c>
      <c r="AT765" s="38" t="str">
        <f>IF(ISNA(MATCH($N765,data!$A:$A,0)),"",INDEX(data!I:I,MATCH($N765,data!$A:$A,0)))</f>
        <v/>
      </c>
      <c r="AU765" s="38" t="str">
        <f>IF(ISNA(MATCH($N765,[1]data!$A:$A,0)),"",INDEX([1]data!L:L,MATCH($N765,[1]data!$A:$A,0)))</f>
        <v/>
      </c>
      <c r="AV765" s="38" t="str">
        <f>IF(ISNA(MATCH($N765,[1]data!$A:$A,0)),"",INDEX([1]data!M:M,MATCH($N765,[1]data!$A:$A,0)))</f>
        <v/>
      </c>
      <c r="AW765" s="38" t="str">
        <f>IF(ISNA(MATCH($N765,data!$A:$A,0)),"",INDEX(data!J:J,MATCH($N765,data!$A:$A,0)))</f>
        <v/>
      </c>
      <c r="AX765" s="38" t="str">
        <f>IF(ISNA(MATCH($N765,data!$A:$A,0)),"",INDEX(data!K:K,MATCH($N765,data!$A:$A,0)))</f>
        <v/>
      </c>
      <c r="AY765" s="38" t="str">
        <f>IF(ISNA(MATCH($N765,data!$A:$A,0)),"",INDEX(data!O:O,MATCH($N765,data!$A:$A,0)))</f>
        <v/>
      </c>
      <c r="AZ765" s="38" t="str">
        <f>IF(ISNA(MATCH($N765,data!$A:$A,0)),"",INDEX(data!N:N,MATCH($N765,data!$A:$A,0)))</f>
        <v/>
      </c>
      <c r="BA765" s="38" t="str">
        <f>IF(ISNA(MATCH($N765,data!$A:$A,0)),"",INDEX(data!P:P,MATCH($N765,data!$A:$A,0)))</f>
        <v/>
      </c>
      <c r="BB765" s="38" t="str">
        <f>IF(ISNA(MATCH($N765,data!$A:$A,0)),"",INDEX(data!Q:Q,MATCH($N765,data!$A:$A,0)))</f>
        <v/>
      </c>
      <c r="BC765" s="38" t="str">
        <f>IF(ISNA(MATCH($N765,data!$A:$A,0)),"",INDEX(data!R:R,MATCH($N765,data!$A:$A,0)))</f>
        <v/>
      </c>
      <c r="BD765" s="38" t="str">
        <f>IF(ISNA(MATCH($N765,[1]data!$A:$A,0)),"",INDEX([1]data!U:U,MATCH($N765,[1]data!$A:$A,0)))</f>
        <v/>
      </c>
      <c r="BE765" s="61" t="e">
        <f>IF(COUNTIF([1]data!A:A,[1]!Table1[[#This Row],[UPC]])&lt;2,"","DUP")</f>
        <v>#VALUE!</v>
      </c>
      <c r="BF765" s="38" t="str">
        <f>IF(ISNA(MATCH($N765,data!$A:$A,0)),"",INDEX(data!W:W,MATCH($N765,data!$A:$A,0)))</f>
        <v/>
      </c>
    </row>
    <row r="766" spans="1:58">
      <c r="A766" s="35"/>
      <c r="B766" s="35"/>
      <c r="C766" s="35"/>
      <c r="D766" s="35"/>
      <c r="E766" s="67"/>
      <c r="F766" s="67"/>
      <c r="G766" s="36"/>
      <c r="H766" s="29"/>
      <c r="I766" s="78" t="str">
        <f t="shared" si="18"/>
        <v/>
      </c>
      <c r="J766" s="29"/>
      <c r="K766" s="29"/>
      <c r="L766" s="33"/>
      <c r="M766" s="33"/>
      <c r="N766" s="60"/>
      <c r="O766" s="71"/>
      <c r="P766" s="71"/>
      <c r="Q766" s="33"/>
      <c r="R766" s="31"/>
      <c r="S766" s="31"/>
      <c r="T766" s="59"/>
      <c r="U766" s="59"/>
      <c r="V766" s="59"/>
      <c r="W766" s="57">
        <f t="shared" si="19"/>
        <v>0</v>
      </c>
      <c r="X766" s="126" t="str">
        <f>IF(Table1[[#This Row],[Shipping Weight Pounds]]&gt;150,"See LTL Form","No")</f>
        <v>No</v>
      </c>
      <c r="Y766" s="28"/>
      <c r="Z766" s="33"/>
      <c r="AA766" s="34"/>
      <c r="AB766" s="30"/>
      <c r="AC766" s="30"/>
      <c r="AD766" s="32"/>
      <c r="AE766" s="32"/>
      <c r="AF766" s="2"/>
      <c r="AG766" s="2"/>
      <c r="AH766" s="2"/>
      <c r="AI766" s="2"/>
      <c r="AK766" s="73" t="str">
        <f>IF(ISNA(MATCH($N766,[1]data!$A:$A,0)),"",INDEX([1]data!S:S,MATCH($N766,[1]data!$A:$A,0)))</f>
        <v/>
      </c>
      <c r="AL766" s="73" t="str">
        <f>IF(ISNA(MATCH($N766,[1]data!$A:$A,0)),"",INDEX([1]data!V:V,MATCH($N766,[1]data!$A:$A,0)))</f>
        <v/>
      </c>
      <c r="AM766" s="38" t="str">
        <f>IF(ISNA(MATCH($N766,data!$A:$A,0)),"",INDEX(data!B:B,MATCH($N766,data!$A:$A,0)))</f>
        <v/>
      </c>
      <c r="AN766" s="38" t="str">
        <f>IF(ISNA(MATCH($N766,data!$A:$A,0)),"",INDEX(data!C:C,MATCH($N766,data!$A:$A,0)))</f>
        <v/>
      </c>
      <c r="AO766" s="38" t="str">
        <f>IF(ISNA(MATCH($N766,data!$A:$A,0)),"",INDEX(data!D:D,MATCH($N766,data!$A:$A,0)))</f>
        <v/>
      </c>
      <c r="AP766" s="38" t="str">
        <f>IF(ISNA(MATCH($N766,data!$A:$A,0)),"",INDEX(data!E:E,MATCH($N766,data!$A:$A,0)))</f>
        <v/>
      </c>
      <c r="AQ766" s="38" t="str">
        <f>IF(ISNA(MATCH($N766,data!$A:$A,0)),"",INDEX(data!F:F,MATCH($N766,data!$A:$A,0)))</f>
        <v/>
      </c>
      <c r="AR766" s="38" t="str">
        <f>IF(ISNA(MATCH($N766,data!$A:$A,0)),"",INDEX(data!G:G,MATCH($N766,data!$A:$A,0)))</f>
        <v/>
      </c>
      <c r="AS766" s="38" t="str">
        <f>IF(ISNA(MATCH($N766,data!$A:$A,0)),"",INDEX(data!H:H,MATCH($N766,data!$A:$A,0)))</f>
        <v/>
      </c>
      <c r="AT766" s="38" t="str">
        <f>IF(ISNA(MATCH($N766,data!$A:$A,0)),"",INDEX(data!I:I,MATCH($N766,data!$A:$A,0)))</f>
        <v/>
      </c>
      <c r="AU766" s="38" t="str">
        <f>IF(ISNA(MATCH($N766,[1]data!$A:$A,0)),"",INDEX([1]data!L:L,MATCH($N766,[1]data!$A:$A,0)))</f>
        <v/>
      </c>
      <c r="AV766" s="38" t="str">
        <f>IF(ISNA(MATCH($N766,[1]data!$A:$A,0)),"",INDEX([1]data!M:M,MATCH($N766,[1]data!$A:$A,0)))</f>
        <v/>
      </c>
      <c r="AW766" s="38" t="str">
        <f>IF(ISNA(MATCH($N766,data!$A:$A,0)),"",INDEX(data!J:J,MATCH($N766,data!$A:$A,0)))</f>
        <v/>
      </c>
      <c r="AX766" s="38" t="str">
        <f>IF(ISNA(MATCH($N766,data!$A:$A,0)),"",INDEX(data!K:K,MATCH($N766,data!$A:$A,0)))</f>
        <v/>
      </c>
      <c r="AY766" s="38" t="str">
        <f>IF(ISNA(MATCH($N766,data!$A:$A,0)),"",INDEX(data!O:O,MATCH($N766,data!$A:$A,0)))</f>
        <v/>
      </c>
      <c r="AZ766" s="38" t="str">
        <f>IF(ISNA(MATCH($N766,data!$A:$A,0)),"",INDEX(data!N:N,MATCH($N766,data!$A:$A,0)))</f>
        <v/>
      </c>
      <c r="BA766" s="38" t="str">
        <f>IF(ISNA(MATCH($N766,data!$A:$A,0)),"",INDEX(data!P:P,MATCH($N766,data!$A:$A,0)))</f>
        <v/>
      </c>
      <c r="BB766" s="38" t="str">
        <f>IF(ISNA(MATCH($N766,data!$A:$A,0)),"",INDEX(data!Q:Q,MATCH($N766,data!$A:$A,0)))</f>
        <v/>
      </c>
      <c r="BC766" s="38" t="str">
        <f>IF(ISNA(MATCH($N766,data!$A:$A,0)),"",INDEX(data!R:R,MATCH($N766,data!$A:$A,0)))</f>
        <v/>
      </c>
      <c r="BD766" s="38" t="str">
        <f>IF(ISNA(MATCH($N766,[1]data!$A:$A,0)),"",INDEX([1]data!U:U,MATCH($N766,[1]data!$A:$A,0)))</f>
        <v/>
      </c>
      <c r="BE766" s="61" t="e">
        <f>IF(COUNTIF([1]data!A:A,[1]!Table1[[#This Row],[UPC]])&lt;2,"","DUP")</f>
        <v>#VALUE!</v>
      </c>
      <c r="BF766" s="38" t="str">
        <f>IF(ISNA(MATCH($N766,data!$A:$A,0)),"",INDEX(data!W:W,MATCH($N766,data!$A:$A,0)))</f>
        <v/>
      </c>
    </row>
    <row r="767" spans="1:58">
      <c r="A767" s="35"/>
      <c r="B767" s="35"/>
      <c r="C767" s="35"/>
      <c r="D767" s="35"/>
      <c r="E767" s="67"/>
      <c r="F767" s="67"/>
      <c r="G767" s="36"/>
      <c r="H767" s="29"/>
      <c r="I767" s="78" t="str">
        <f t="shared" si="18"/>
        <v/>
      </c>
      <c r="J767" s="29"/>
      <c r="K767" s="29"/>
      <c r="L767" s="33"/>
      <c r="M767" s="33"/>
      <c r="N767" s="60"/>
      <c r="O767" s="71"/>
      <c r="P767" s="71"/>
      <c r="Q767" s="33"/>
      <c r="R767" s="31"/>
      <c r="S767" s="31"/>
      <c r="T767" s="59"/>
      <c r="U767" s="59"/>
      <c r="V767" s="59"/>
      <c r="W767" s="57">
        <f t="shared" si="19"/>
        <v>0</v>
      </c>
      <c r="X767" s="126" t="str">
        <f>IF(Table1[[#This Row],[Shipping Weight Pounds]]&gt;150,"See LTL Form","No")</f>
        <v>No</v>
      </c>
      <c r="Y767" s="28"/>
      <c r="Z767" s="33"/>
      <c r="AA767" s="34"/>
      <c r="AB767" s="30"/>
      <c r="AC767" s="30"/>
      <c r="AD767" s="32"/>
      <c r="AE767" s="32"/>
      <c r="AF767" s="2"/>
      <c r="AG767" s="2"/>
      <c r="AH767" s="2"/>
      <c r="AI767" s="2"/>
      <c r="AK767" s="73" t="str">
        <f>IF(ISNA(MATCH($N767,[1]data!$A:$A,0)),"",INDEX([1]data!S:S,MATCH($N767,[1]data!$A:$A,0)))</f>
        <v/>
      </c>
      <c r="AL767" s="73" t="str">
        <f>IF(ISNA(MATCH($N767,[1]data!$A:$A,0)),"",INDEX([1]data!V:V,MATCH($N767,[1]data!$A:$A,0)))</f>
        <v/>
      </c>
      <c r="AM767" s="38" t="str">
        <f>IF(ISNA(MATCH($N767,data!$A:$A,0)),"",INDEX(data!B:B,MATCH($N767,data!$A:$A,0)))</f>
        <v/>
      </c>
      <c r="AN767" s="38" t="str">
        <f>IF(ISNA(MATCH($N767,data!$A:$A,0)),"",INDEX(data!C:C,MATCH($N767,data!$A:$A,0)))</f>
        <v/>
      </c>
      <c r="AO767" s="38" t="str">
        <f>IF(ISNA(MATCH($N767,data!$A:$A,0)),"",INDEX(data!D:D,MATCH($N767,data!$A:$A,0)))</f>
        <v/>
      </c>
      <c r="AP767" s="38" t="str">
        <f>IF(ISNA(MATCH($N767,data!$A:$A,0)),"",INDEX(data!E:E,MATCH($N767,data!$A:$A,0)))</f>
        <v/>
      </c>
      <c r="AQ767" s="38" t="str">
        <f>IF(ISNA(MATCH($N767,data!$A:$A,0)),"",INDEX(data!F:F,MATCH($N767,data!$A:$A,0)))</f>
        <v/>
      </c>
      <c r="AR767" s="38" t="str">
        <f>IF(ISNA(MATCH($N767,data!$A:$A,0)),"",INDEX(data!G:G,MATCH($N767,data!$A:$A,0)))</f>
        <v/>
      </c>
      <c r="AS767" s="38" t="str">
        <f>IF(ISNA(MATCH($N767,data!$A:$A,0)),"",INDEX(data!H:H,MATCH($N767,data!$A:$A,0)))</f>
        <v/>
      </c>
      <c r="AT767" s="38" t="str">
        <f>IF(ISNA(MATCH($N767,data!$A:$A,0)),"",INDEX(data!I:I,MATCH($N767,data!$A:$A,0)))</f>
        <v/>
      </c>
      <c r="AU767" s="38" t="str">
        <f>IF(ISNA(MATCH($N767,[1]data!$A:$A,0)),"",INDEX([1]data!L:L,MATCH($N767,[1]data!$A:$A,0)))</f>
        <v/>
      </c>
      <c r="AV767" s="38" t="str">
        <f>IF(ISNA(MATCH($N767,[1]data!$A:$A,0)),"",INDEX([1]data!M:M,MATCH($N767,[1]data!$A:$A,0)))</f>
        <v/>
      </c>
      <c r="AW767" s="38" t="str">
        <f>IF(ISNA(MATCH($N767,data!$A:$A,0)),"",INDEX(data!J:J,MATCH($N767,data!$A:$A,0)))</f>
        <v/>
      </c>
      <c r="AX767" s="38" t="str">
        <f>IF(ISNA(MATCH($N767,data!$A:$A,0)),"",INDEX(data!K:K,MATCH($N767,data!$A:$A,0)))</f>
        <v/>
      </c>
      <c r="AY767" s="38" t="str">
        <f>IF(ISNA(MATCH($N767,data!$A:$A,0)),"",INDEX(data!O:O,MATCH($N767,data!$A:$A,0)))</f>
        <v/>
      </c>
      <c r="AZ767" s="38" t="str">
        <f>IF(ISNA(MATCH($N767,data!$A:$A,0)),"",INDEX(data!N:N,MATCH($N767,data!$A:$A,0)))</f>
        <v/>
      </c>
      <c r="BA767" s="38" t="str">
        <f>IF(ISNA(MATCH($N767,data!$A:$A,0)),"",INDEX(data!P:P,MATCH($N767,data!$A:$A,0)))</f>
        <v/>
      </c>
      <c r="BB767" s="38" t="str">
        <f>IF(ISNA(MATCH($N767,data!$A:$A,0)),"",INDEX(data!Q:Q,MATCH($N767,data!$A:$A,0)))</f>
        <v/>
      </c>
      <c r="BC767" s="38" t="str">
        <f>IF(ISNA(MATCH($N767,data!$A:$A,0)),"",INDEX(data!R:R,MATCH($N767,data!$A:$A,0)))</f>
        <v/>
      </c>
      <c r="BD767" s="38" t="str">
        <f>IF(ISNA(MATCH($N767,[1]data!$A:$A,0)),"",INDEX([1]data!U:U,MATCH($N767,[1]data!$A:$A,0)))</f>
        <v/>
      </c>
      <c r="BE767" s="61" t="e">
        <f>IF(COUNTIF([1]data!A:A,[1]!Table1[[#This Row],[UPC]])&lt;2,"","DUP")</f>
        <v>#VALUE!</v>
      </c>
      <c r="BF767" s="38" t="str">
        <f>IF(ISNA(MATCH($N767,data!$A:$A,0)),"",INDEX(data!W:W,MATCH($N767,data!$A:$A,0)))</f>
        <v/>
      </c>
    </row>
    <row r="768" spans="1:58">
      <c r="A768" s="35"/>
      <c r="B768" s="35"/>
      <c r="C768" s="35"/>
      <c r="D768" s="35"/>
      <c r="E768" s="67"/>
      <c r="F768" s="67"/>
      <c r="G768" s="36"/>
      <c r="H768" s="29"/>
      <c r="I768" s="78" t="str">
        <f t="shared" si="18"/>
        <v/>
      </c>
      <c r="J768" s="29"/>
      <c r="K768" s="29"/>
      <c r="L768" s="33"/>
      <c r="M768" s="33"/>
      <c r="N768" s="60"/>
      <c r="O768" s="71"/>
      <c r="P768" s="71"/>
      <c r="Q768" s="33"/>
      <c r="R768" s="31"/>
      <c r="S768" s="31"/>
      <c r="T768" s="59"/>
      <c r="U768" s="59"/>
      <c r="V768" s="59"/>
      <c r="W768" s="57">
        <f t="shared" si="19"/>
        <v>0</v>
      </c>
      <c r="X768" s="126" t="str">
        <f>IF(Table1[[#This Row],[Shipping Weight Pounds]]&gt;150,"See LTL Form","No")</f>
        <v>No</v>
      </c>
      <c r="Y768" s="28"/>
      <c r="Z768" s="33"/>
      <c r="AA768" s="34"/>
      <c r="AB768" s="30"/>
      <c r="AC768" s="30"/>
      <c r="AD768" s="32"/>
      <c r="AE768" s="32"/>
      <c r="AF768" s="2"/>
      <c r="AG768" s="2"/>
      <c r="AH768" s="2"/>
      <c r="AI768" s="2"/>
      <c r="AK768" s="73" t="str">
        <f>IF(ISNA(MATCH($N768,[1]data!$A:$A,0)),"",INDEX([1]data!S:S,MATCH($N768,[1]data!$A:$A,0)))</f>
        <v/>
      </c>
      <c r="AL768" s="73" t="str">
        <f>IF(ISNA(MATCH($N768,[1]data!$A:$A,0)),"",INDEX([1]data!V:V,MATCH($N768,[1]data!$A:$A,0)))</f>
        <v/>
      </c>
      <c r="AM768" s="38" t="str">
        <f>IF(ISNA(MATCH($N768,data!$A:$A,0)),"",INDEX(data!B:B,MATCH($N768,data!$A:$A,0)))</f>
        <v/>
      </c>
      <c r="AN768" s="38" t="str">
        <f>IF(ISNA(MATCH($N768,data!$A:$A,0)),"",INDEX(data!C:C,MATCH($N768,data!$A:$A,0)))</f>
        <v/>
      </c>
      <c r="AO768" s="38" t="str">
        <f>IF(ISNA(MATCH($N768,data!$A:$A,0)),"",INDEX(data!D:D,MATCH($N768,data!$A:$A,0)))</f>
        <v/>
      </c>
      <c r="AP768" s="38" t="str">
        <f>IF(ISNA(MATCH($N768,data!$A:$A,0)),"",INDEX(data!E:E,MATCH($N768,data!$A:$A,0)))</f>
        <v/>
      </c>
      <c r="AQ768" s="38" t="str">
        <f>IF(ISNA(MATCH($N768,data!$A:$A,0)),"",INDEX(data!F:F,MATCH($N768,data!$A:$A,0)))</f>
        <v/>
      </c>
      <c r="AR768" s="38" t="str">
        <f>IF(ISNA(MATCH($N768,data!$A:$A,0)),"",INDEX(data!G:G,MATCH($N768,data!$A:$A,0)))</f>
        <v/>
      </c>
      <c r="AS768" s="38" t="str">
        <f>IF(ISNA(MATCH($N768,data!$A:$A,0)),"",INDEX(data!H:H,MATCH($N768,data!$A:$A,0)))</f>
        <v/>
      </c>
      <c r="AT768" s="38" t="str">
        <f>IF(ISNA(MATCH($N768,data!$A:$A,0)),"",INDEX(data!I:I,MATCH($N768,data!$A:$A,0)))</f>
        <v/>
      </c>
      <c r="AU768" s="38" t="str">
        <f>IF(ISNA(MATCH($N768,[1]data!$A:$A,0)),"",INDEX([1]data!L:L,MATCH($N768,[1]data!$A:$A,0)))</f>
        <v/>
      </c>
      <c r="AV768" s="38" t="str">
        <f>IF(ISNA(MATCH($N768,[1]data!$A:$A,0)),"",INDEX([1]data!M:M,MATCH($N768,[1]data!$A:$A,0)))</f>
        <v/>
      </c>
      <c r="AW768" s="38" t="str">
        <f>IF(ISNA(MATCH($N768,data!$A:$A,0)),"",INDEX(data!J:J,MATCH($N768,data!$A:$A,0)))</f>
        <v/>
      </c>
      <c r="AX768" s="38" t="str">
        <f>IF(ISNA(MATCH($N768,data!$A:$A,0)),"",INDEX(data!K:K,MATCH($N768,data!$A:$A,0)))</f>
        <v/>
      </c>
      <c r="AY768" s="38" t="str">
        <f>IF(ISNA(MATCH($N768,data!$A:$A,0)),"",INDEX(data!O:O,MATCH($N768,data!$A:$A,0)))</f>
        <v/>
      </c>
      <c r="AZ768" s="38" t="str">
        <f>IF(ISNA(MATCH($N768,data!$A:$A,0)),"",INDEX(data!N:N,MATCH($N768,data!$A:$A,0)))</f>
        <v/>
      </c>
      <c r="BA768" s="38" t="str">
        <f>IF(ISNA(MATCH($N768,data!$A:$A,0)),"",INDEX(data!P:P,MATCH($N768,data!$A:$A,0)))</f>
        <v/>
      </c>
      <c r="BB768" s="38" t="str">
        <f>IF(ISNA(MATCH($N768,data!$A:$A,0)),"",INDEX(data!Q:Q,MATCH($N768,data!$A:$A,0)))</f>
        <v/>
      </c>
      <c r="BC768" s="38" t="str">
        <f>IF(ISNA(MATCH($N768,data!$A:$A,0)),"",INDEX(data!R:R,MATCH($N768,data!$A:$A,0)))</f>
        <v/>
      </c>
      <c r="BD768" s="38" t="str">
        <f>IF(ISNA(MATCH($N768,[1]data!$A:$A,0)),"",INDEX([1]data!U:U,MATCH($N768,[1]data!$A:$A,0)))</f>
        <v/>
      </c>
      <c r="BE768" s="61" t="e">
        <f>IF(COUNTIF([1]data!A:A,[1]!Table1[[#This Row],[UPC]])&lt;2,"","DUP")</f>
        <v>#VALUE!</v>
      </c>
      <c r="BF768" s="38" t="str">
        <f>IF(ISNA(MATCH($N768,data!$A:$A,0)),"",INDEX(data!W:W,MATCH($N768,data!$A:$A,0)))</f>
        <v/>
      </c>
    </row>
    <row r="769" spans="1:58">
      <c r="A769" s="35"/>
      <c r="B769" s="35"/>
      <c r="C769" s="35"/>
      <c r="D769" s="35"/>
      <c r="E769" s="67"/>
      <c r="F769" s="67"/>
      <c r="G769" s="36"/>
      <c r="H769" s="29"/>
      <c r="I769" s="78" t="str">
        <f t="shared" si="18"/>
        <v/>
      </c>
      <c r="J769" s="29"/>
      <c r="K769" s="29"/>
      <c r="L769" s="33"/>
      <c r="M769" s="33"/>
      <c r="N769" s="60"/>
      <c r="O769" s="71"/>
      <c r="P769" s="71"/>
      <c r="Q769" s="33"/>
      <c r="R769" s="31"/>
      <c r="S769" s="31"/>
      <c r="T769" s="59"/>
      <c r="U769" s="59"/>
      <c r="V769" s="59"/>
      <c r="W769" s="57">
        <f t="shared" si="19"/>
        <v>0</v>
      </c>
      <c r="X769" s="126" t="str">
        <f>IF(Table1[[#This Row],[Shipping Weight Pounds]]&gt;150,"See LTL Form","No")</f>
        <v>No</v>
      </c>
      <c r="Y769" s="28"/>
      <c r="Z769" s="33"/>
      <c r="AA769" s="34"/>
      <c r="AB769" s="30"/>
      <c r="AC769" s="30"/>
      <c r="AD769" s="32"/>
      <c r="AE769" s="32"/>
      <c r="AF769" s="2"/>
      <c r="AG769" s="2"/>
      <c r="AH769" s="2"/>
      <c r="AI769" s="2"/>
      <c r="AK769" s="73" t="str">
        <f>IF(ISNA(MATCH($N769,[1]data!$A:$A,0)),"",INDEX([1]data!S:S,MATCH($N769,[1]data!$A:$A,0)))</f>
        <v/>
      </c>
      <c r="AL769" s="73" t="str">
        <f>IF(ISNA(MATCH($N769,[1]data!$A:$A,0)),"",INDEX([1]data!V:V,MATCH($N769,[1]data!$A:$A,0)))</f>
        <v/>
      </c>
      <c r="AM769" s="38" t="str">
        <f>IF(ISNA(MATCH($N769,data!$A:$A,0)),"",INDEX(data!B:B,MATCH($N769,data!$A:$A,0)))</f>
        <v/>
      </c>
      <c r="AN769" s="38" t="str">
        <f>IF(ISNA(MATCH($N769,data!$A:$A,0)),"",INDEX(data!C:C,MATCH($N769,data!$A:$A,0)))</f>
        <v/>
      </c>
      <c r="AO769" s="38" t="str">
        <f>IF(ISNA(MATCH($N769,data!$A:$A,0)),"",INDEX(data!D:D,MATCH($N769,data!$A:$A,0)))</f>
        <v/>
      </c>
      <c r="AP769" s="38" t="str">
        <f>IF(ISNA(MATCH($N769,data!$A:$A,0)),"",INDEX(data!E:E,MATCH($N769,data!$A:$A,0)))</f>
        <v/>
      </c>
      <c r="AQ769" s="38" t="str">
        <f>IF(ISNA(MATCH($N769,data!$A:$A,0)),"",INDEX(data!F:F,MATCH($N769,data!$A:$A,0)))</f>
        <v/>
      </c>
      <c r="AR769" s="38" t="str">
        <f>IF(ISNA(MATCH($N769,data!$A:$A,0)),"",INDEX(data!G:G,MATCH($N769,data!$A:$A,0)))</f>
        <v/>
      </c>
      <c r="AS769" s="38" t="str">
        <f>IF(ISNA(MATCH($N769,data!$A:$A,0)),"",INDEX(data!H:H,MATCH($N769,data!$A:$A,0)))</f>
        <v/>
      </c>
      <c r="AT769" s="38" t="str">
        <f>IF(ISNA(MATCH($N769,data!$A:$A,0)),"",INDEX(data!I:I,MATCH($N769,data!$A:$A,0)))</f>
        <v/>
      </c>
      <c r="AU769" s="38" t="str">
        <f>IF(ISNA(MATCH($N769,[1]data!$A:$A,0)),"",INDEX([1]data!L:L,MATCH($N769,[1]data!$A:$A,0)))</f>
        <v/>
      </c>
      <c r="AV769" s="38" t="str">
        <f>IF(ISNA(MATCH($N769,[1]data!$A:$A,0)),"",INDEX([1]data!M:M,MATCH($N769,[1]data!$A:$A,0)))</f>
        <v/>
      </c>
      <c r="AW769" s="38" t="str">
        <f>IF(ISNA(MATCH($N769,data!$A:$A,0)),"",INDEX(data!J:J,MATCH($N769,data!$A:$A,0)))</f>
        <v/>
      </c>
      <c r="AX769" s="38" t="str">
        <f>IF(ISNA(MATCH($N769,data!$A:$A,0)),"",INDEX(data!K:K,MATCH($N769,data!$A:$A,0)))</f>
        <v/>
      </c>
      <c r="AY769" s="38" t="str">
        <f>IF(ISNA(MATCH($N769,data!$A:$A,0)),"",INDEX(data!O:O,MATCH($N769,data!$A:$A,0)))</f>
        <v/>
      </c>
      <c r="AZ769" s="38" t="str">
        <f>IF(ISNA(MATCH($N769,data!$A:$A,0)),"",INDEX(data!N:N,MATCH($N769,data!$A:$A,0)))</f>
        <v/>
      </c>
      <c r="BA769" s="38" t="str">
        <f>IF(ISNA(MATCH($N769,data!$A:$A,0)),"",INDEX(data!P:P,MATCH($N769,data!$A:$A,0)))</f>
        <v/>
      </c>
      <c r="BB769" s="38" t="str">
        <f>IF(ISNA(MATCH($N769,data!$A:$A,0)),"",INDEX(data!Q:Q,MATCH($N769,data!$A:$A,0)))</f>
        <v/>
      </c>
      <c r="BC769" s="38" t="str">
        <f>IF(ISNA(MATCH($N769,data!$A:$A,0)),"",INDEX(data!R:R,MATCH($N769,data!$A:$A,0)))</f>
        <v/>
      </c>
      <c r="BD769" s="38" t="str">
        <f>IF(ISNA(MATCH($N769,[1]data!$A:$A,0)),"",INDEX([1]data!U:U,MATCH($N769,[1]data!$A:$A,0)))</f>
        <v/>
      </c>
      <c r="BE769" s="61" t="e">
        <f>IF(COUNTIF([1]data!A:A,[1]!Table1[[#This Row],[UPC]])&lt;2,"","DUP")</f>
        <v>#VALUE!</v>
      </c>
      <c r="BF769" s="38" t="str">
        <f>IF(ISNA(MATCH($N769,data!$A:$A,0)),"",INDEX(data!W:W,MATCH($N769,data!$A:$A,0)))</f>
        <v/>
      </c>
    </row>
    <row r="770" spans="1:58">
      <c r="A770" s="35"/>
      <c r="B770" s="35"/>
      <c r="C770" s="35"/>
      <c r="D770" s="35"/>
      <c r="E770" s="67"/>
      <c r="F770" s="67"/>
      <c r="G770" s="36"/>
      <c r="H770" s="29"/>
      <c r="I770" s="78" t="str">
        <f t="shared" si="18"/>
        <v/>
      </c>
      <c r="J770" s="29"/>
      <c r="K770" s="29"/>
      <c r="L770" s="33"/>
      <c r="M770" s="33"/>
      <c r="N770" s="60"/>
      <c r="O770" s="71"/>
      <c r="P770" s="71"/>
      <c r="Q770" s="33"/>
      <c r="R770" s="31"/>
      <c r="S770" s="31"/>
      <c r="T770" s="59"/>
      <c r="U770" s="59"/>
      <c r="V770" s="59"/>
      <c r="W770" s="57">
        <f t="shared" si="19"/>
        <v>0</v>
      </c>
      <c r="X770" s="126" t="str">
        <f>IF(Table1[[#This Row],[Shipping Weight Pounds]]&gt;150,"See LTL Form","No")</f>
        <v>No</v>
      </c>
      <c r="Y770" s="28"/>
      <c r="Z770" s="33"/>
      <c r="AA770" s="34"/>
      <c r="AB770" s="30"/>
      <c r="AC770" s="30"/>
      <c r="AD770" s="32"/>
      <c r="AE770" s="32"/>
      <c r="AF770" s="2"/>
      <c r="AG770" s="2"/>
      <c r="AH770" s="2"/>
      <c r="AI770" s="2"/>
      <c r="AK770" s="73" t="str">
        <f>IF(ISNA(MATCH($N770,[1]data!$A:$A,0)),"",INDEX([1]data!S:S,MATCH($N770,[1]data!$A:$A,0)))</f>
        <v/>
      </c>
      <c r="AL770" s="73" t="str">
        <f>IF(ISNA(MATCH($N770,[1]data!$A:$A,0)),"",INDEX([1]data!V:V,MATCH($N770,[1]data!$A:$A,0)))</f>
        <v/>
      </c>
      <c r="AM770" s="38" t="str">
        <f>IF(ISNA(MATCH($N770,data!$A:$A,0)),"",INDEX(data!B:B,MATCH($N770,data!$A:$A,0)))</f>
        <v/>
      </c>
      <c r="AN770" s="38" t="str">
        <f>IF(ISNA(MATCH($N770,data!$A:$A,0)),"",INDEX(data!C:C,MATCH($N770,data!$A:$A,0)))</f>
        <v/>
      </c>
      <c r="AO770" s="38" t="str">
        <f>IF(ISNA(MATCH($N770,data!$A:$A,0)),"",INDEX(data!D:D,MATCH($N770,data!$A:$A,0)))</f>
        <v/>
      </c>
      <c r="AP770" s="38" t="str">
        <f>IF(ISNA(MATCH($N770,data!$A:$A,0)),"",INDEX(data!E:E,MATCH($N770,data!$A:$A,0)))</f>
        <v/>
      </c>
      <c r="AQ770" s="38" t="str">
        <f>IF(ISNA(MATCH($N770,data!$A:$A,0)),"",INDEX(data!F:F,MATCH($N770,data!$A:$A,0)))</f>
        <v/>
      </c>
      <c r="AR770" s="38" t="str">
        <f>IF(ISNA(MATCH($N770,data!$A:$A,0)),"",INDEX(data!G:G,MATCH($N770,data!$A:$A,0)))</f>
        <v/>
      </c>
      <c r="AS770" s="38" t="str">
        <f>IF(ISNA(MATCH($N770,data!$A:$A,0)),"",INDEX(data!H:H,MATCH($N770,data!$A:$A,0)))</f>
        <v/>
      </c>
      <c r="AT770" s="38" t="str">
        <f>IF(ISNA(MATCH($N770,data!$A:$A,0)),"",INDEX(data!I:I,MATCH($N770,data!$A:$A,0)))</f>
        <v/>
      </c>
      <c r="AU770" s="38" t="str">
        <f>IF(ISNA(MATCH($N770,[1]data!$A:$A,0)),"",INDEX([1]data!L:L,MATCH($N770,[1]data!$A:$A,0)))</f>
        <v/>
      </c>
      <c r="AV770" s="38" t="str">
        <f>IF(ISNA(MATCH($N770,[1]data!$A:$A,0)),"",INDEX([1]data!M:M,MATCH($N770,[1]data!$A:$A,0)))</f>
        <v/>
      </c>
      <c r="AW770" s="38" t="str">
        <f>IF(ISNA(MATCH($N770,data!$A:$A,0)),"",INDEX(data!J:J,MATCH($N770,data!$A:$A,0)))</f>
        <v/>
      </c>
      <c r="AX770" s="38" t="str">
        <f>IF(ISNA(MATCH($N770,data!$A:$A,0)),"",INDEX(data!K:K,MATCH($N770,data!$A:$A,0)))</f>
        <v/>
      </c>
      <c r="AY770" s="38" t="str">
        <f>IF(ISNA(MATCH($N770,data!$A:$A,0)),"",INDEX(data!O:O,MATCH($N770,data!$A:$A,0)))</f>
        <v/>
      </c>
      <c r="AZ770" s="38" t="str">
        <f>IF(ISNA(MATCH($N770,data!$A:$A,0)),"",INDEX(data!N:N,MATCH($N770,data!$A:$A,0)))</f>
        <v/>
      </c>
      <c r="BA770" s="38" t="str">
        <f>IF(ISNA(MATCH($N770,data!$A:$A,0)),"",INDEX(data!P:P,MATCH($N770,data!$A:$A,0)))</f>
        <v/>
      </c>
      <c r="BB770" s="38" t="str">
        <f>IF(ISNA(MATCH($N770,data!$A:$A,0)),"",INDEX(data!Q:Q,MATCH($N770,data!$A:$A,0)))</f>
        <v/>
      </c>
      <c r="BC770" s="38" t="str">
        <f>IF(ISNA(MATCH($N770,data!$A:$A,0)),"",INDEX(data!R:R,MATCH($N770,data!$A:$A,0)))</f>
        <v/>
      </c>
      <c r="BD770" s="38" t="str">
        <f>IF(ISNA(MATCH($N770,[1]data!$A:$A,0)),"",INDEX([1]data!U:U,MATCH($N770,[1]data!$A:$A,0)))</f>
        <v/>
      </c>
      <c r="BE770" s="61" t="e">
        <f>IF(COUNTIF([1]data!A:A,[1]!Table1[[#This Row],[UPC]])&lt;2,"","DUP")</f>
        <v>#VALUE!</v>
      </c>
      <c r="BF770" s="38" t="str">
        <f>IF(ISNA(MATCH($N770,data!$A:$A,0)),"",INDEX(data!W:W,MATCH($N770,data!$A:$A,0)))</f>
        <v/>
      </c>
    </row>
    <row r="771" spans="1:58">
      <c r="A771" s="35"/>
      <c r="B771" s="35"/>
      <c r="C771" s="35"/>
      <c r="D771" s="35"/>
      <c r="E771" s="67"/>
      <c r="F771" s="67"/>
      <c r="G771" s="36"/>
      <c r="H771" s="29"/>
      <c r="I771" s="78" t="str">
        <f t="shared" si="18"/>
        <v/>
      </c>
      <c r="J771" s="29"/>
      <c r="K771" s="29"/>
      <c r="L771" s="33"/>
      <c r="M771" s="33"/>
      <c r="N771" s="60"/>
      <c r="O771" s="71"/>
      <c r="P771" s="71"/>
      <c r="Q771" s="33"/>
      <c r="R771" s="31"/>
      <c r="S771" s="31"/>
      <c r="T771" s="59"/>
      <c r="U771" s="59"/>
      <c r="V771" s="59"/>
      <c r="W771" s="57">
        <f t="shared" si="19"/>
        <v>0</v>
      </c>
      <c r="X771" s="126" t="str">
        <f>IF(Table1[[#This Row],[Shipping Weight Pounds]]&gt;150,"See LTL Form","No")</f>
        <v>No</v>
      </c>
      <c r="Y771" s="28"/>
      <c r="Z771" s="33"/>
      <c r="AA771" s="34"/>
      <c r="AB771" s="30"/>
      <c r="AC771" s="30"/>
      <c r="AD771" s="32"/>
      <c r="AE771" s="32"/>
      <c r="AF771" s="2"/>
      <c r="AG771" s="2"/>
      <c r="AH771" s="2"/>
      <c r="AI771" s="2"/>
      <c r="AK771" s="73" t="str">
        <f>IF(ISNA(MATCH($N771,[1]data!$A:$A,0)),"",INDEX([1]data!S:S,MATCH($N771,[1]data!$A:$A,0)))</f>
        <v/>
      </c>
      <c r="AL771" s="73" t="str">
        <f>IF(ISNA(MATCH($N771,[1]data!$A:$A,0)),"",INDEX([1]data!V:V,MATCH($N771,[1]data!$A:$A,0)))</f>
        <v/>
      </c>
      <c r="AM771" s="38" t="str">
        <f>IF(ISNA(MATCH($N771,data!$A:$A,0)),"",INDEX(data!B:B,MATCH($N771,data!$A:$A,0)))</f>
        <v/>
      </c>
      <c r="AN771" s="38" t="str">
        <f>IF(ISNA(MATCH($N771,data!$A:$A,0)),"",INDEX(data!C:C,MATCH($N771,data!$A:$A,0)))</f>
        <v/>
      </c>
      <c r="AO771" s="38" t="str">
        <f>IF(ISNA(MATCH($N771,data!$A:$A,0)),"",INDEX(data!D:D,MATCH($N771,data!$A:$A,0)))</f>
        <v/>
      </c>
      <c r="AP771" s="38" t="str">
        <f>IF(ISNA(MATCH($N771,data!$A:$A,0)),"",INDEX(data!E:E,MATCH($N771,data!$A:$A,0)))</f>
        <v/>
      </c>
      <c r="AQ771" s="38" t="str">
        <f>IF(ISNA(MATCH($N771,data!$A:$A,0)),"",INDEX(data!F:F,MATCH($N771,data!$A:$A,0)))</f>
        <v/>
      </c>
      <c r="AR771" s="38" t="str">
        <f>IF(ISNA(MATCH($N771,data!$A:$A,0)),"",INDEX(data!G:G,MATCH($N771,data!$A:$A,0)))</f>
        <v/>
      </c>
      <c r="AS771" s="38" t="str">
        <f>IF(ISNA(MATCH($N771,data!$A:$A,0)),"",INDEX(data!H:H,MATCH($N771,data!$A:$A,0)))</f>
        <v/>
      </c>
      <c r="AT771" s="38" t="str">
        <f>IF(ISNA(MATCH($N771,data!$A:$A,0)),"",INDEX(data!I:I,MATCH($N771,data!$A:$A,0)))</f>
        <v/>
      </c>
      <c r="AU771" s="38" t="str">
        <f>IF(ISNA(MATCH($N771,[1]data!$A:$A,0)),"",INDEX([1]data!L:L,MATCH($N771,[1]data!$A:$A,0)))</f>
        <v/>
      </c>
      <c r="AV771" s="38" t="str">
        <f>IF(ISNA(MATCH($N771,[1]data!$A:$A,0)),"",INDEX([1]data!M:M,MATCH($N771,[1]data!$A:$A,0)))</f>
        <v/>
      </c>
      <c r="AW771" s="38" t="str">
        <f>IF(ISNA(MATCH($N771,data!$A:$A,0)),"",INDEX(data!J:J,MATCH($N771,data!$A:$A,0)))</f>
        <v/>
      </c>
      <c r="AX771" s="38" t="str">
        <f>IF(ISNA(MATCH($N771,data!$A:$A,0)),"",INDEX(data!K:K,MATCH($N771,data!$A:$A,0)))</f>
        <v/>
      </c>
      <c r="AY771" s="38" t="str">
        <f>IF(ISNA(MATCH($N771,data!$A:$A,0)),"",INDEX(data!O:O,MATCH($N771,data!$A:$A,0)))</f>
        <v/>
      </c>
      <c r="AZ771" s="38" t="str">
        <f>IF(ISNA(MATCH($N771,data!$A:$A,0)),"",INDEX(data!N:N,MATCH($N771,data!$A:$A,0)))</f>
        <v/>
      </c>
      <c r="BA771" s="38" t="str">
        <f>IF(ISNA(MATCH($N771,data!$A:$A,0)),"",INDEX(data!P:P,MATCH($N771,data!$A:$A,0)))</f>
        <v/>
      </c>
      <c r="BB771" s="38" t="str">
        <f>IF(ISNA(MATCH($N771,data!$A:$A,0)),"",INDEX(data!Q:Q,MATCH($N771,data!$A:$A,0)))</f>
        <v/>
      </c>
      <c r="BC771" s="38" t="str">
        <f>IF(ISNA(MATCH($N771,data!$A:$A,0)),"",INDEX(data!R:R,MATCH($N771,data!$A:$A,0)))</f>
        <v/>
      </c>
      <c r="BD771" s="38" t="str">
        <f>IF(ISNA(MATCH($N771,[1]data!$A:$A,0)),"",INDEX([1]data!U:U,MATCH($N771,[1]data!$A:$A,0)))</f>
        <v/>
      </c>
      <c r="BE771" s="61" t="e">
        <f>IF(COUNTIF([1]data!A:A,[1]!Table1[[#This Row],[UPC]])&lt;2,"","DUP")</f>
        <v>#VALUE!</v>
      </c>
      <c r="BF771" s="38" t="str">
        <f>IF(ISNA(MATCH($N771,data!$A:$A,0)),"",INDEX(data!W:W,MATCH($N771,data!$A:$A,0)))</f>
        <v/>
      </c>
    </row>
    <row r="772" spans="1:58">
      <c r="A772" s="35"/>
      <c r="B772" s="35"/>
      <c r="C772" s="35"/>
      <c r="D772" s="35"/>
      <c r="E772" s="67"/>
      <c r="F772" s="67"/>
      <c r="G772" s="36"/>
      <c r="H772" s="29"/>
      <c r="I772" s="78" t="str">
        <f t="shared" si="18"/>
        <v/>
      </c>
      <c r="J772" s="29"/>
      <c r="K772" s="29"/>
      <c r="L772" s="33"/>
      <c r="M772" s="33"/>
      <c r="N772" s="60"/>
      <c r="O772" s="71"/>
      <c r="P772" s="71"/>
      <c r="Q772" s="33"/>
      <c r="R772" s="31"/>
      <c r="S772" s="31"/>
      <c r="T772" s="59"/>
      <c r="U772" s="59"/>
      <c r="V772" s="59"/>
      <c r="W772" s="57">
        <f t="shared" si="19"/>
        <v>0</v>
      </c>
      <c r="X772" s="126" t="str">
        <f>IF(Table1[[#This Row],[Shipping Weight Pounds]]&gt;150,"See LTL Form","No")</f>
        <v>No</v>
      </c>
      <c r="Y772" s="28"/>
      <c r="Z772" s="33"/>
      <c r="AA772" s="34"/>
      <c r="AB772" s="30"/>
      <c r="AC772" s="30"/>
      <c r="AD772" s="32"/>
      <c r="AE772" s="32"/>
      <c r="AF772" s="2"/>
      <c r="AG772" s="2"/>
      <c r="AH772" s="2"/>
      <c r="AI772" s="2"/>
      <c r="AK772" s="73" t="str">
        <f>IF(ISNA(MATCH($N772,[1]data!$A:$A,0)),"",INDEX([1]data!S:S,MATCH($N772,[1]data!$A:$A,0)))</f>
        <v/>
      </c>
      <c r="AL772" s="73" t="str">
        <f>IF(ISNA(MATCH($N772,[1]data!$A:$A,0)),"",INDEX([1]data!V:V,MATCH($N772,[1]data!$A:$A,0)))</f>
        <v/>
      </c>
      <c r="AM772" s="38" t="str">
        <f>IF(ISNA(MATCH($N772,data!$A:$A,0)),"",INDEX(data!B:B,MATCH($N772,data!$A:$A,0)))</f>
        <v/>
      </c>
      <c r="AN772" s="38" t="str">
        <f>IF(ISNA(MATCH($N772,data!$A:$A,0)),"",INDEX(data!C:C,MATCH($N772,data!$A:$A,0)))</f>
        <v/>
      </c>
      <c r="AO772" s="38" t="str">
        <f>IF(ISNA(MATCH($N772,data!$A:$A,0)),"",INDEX(data!D:D,MATCH($N772,data!$A:$A,0)))</f>
        <v/>
      </c>
      <c r="AP772" s="38" t="str">
        <f>IF(ISNA(MATCH($N772,data!$A:$A,0)),"",INDEX(data!E:E,MATCH($N772,data!$A:$A,0)))</f>
        <v/>
      </c>
      <c r="AQ772" s="38" t="str">
        <f>IF(ISNA(MATCH($N772,data!$A:$A,0)),"",INDEX(data!F:F,MATCH($N772,data!$A:$A,0)))</f>
        <v/>
      </c>
      <c r="AR772" s="38" t="str">
        <f>IF(ISNA(MATCH($N772,data!$A:$A,0)),"",INDEX(data!G:G,MATCH($N772,data!$A:$A,0)))</f>
        <v/>
      </c>
      <c r="AS772" s="38" t="str">
        <f>IF(ISNA(MATCH($N772,data!$A:$A,0)),"",INDEX(data!H:H,MATCH($N772,data!$A:$A,0)))</f>
        <v/>
      </c>
      <c r="AT772" s="38" t="str">
        <f>IF(ISNA(MATCH($N772,data!$A:$A,0)),"",INDEX(data!I:I,MATCH($N772,data!$A:$A,0)))</f>
        <v/>
      </c>
      <c r="AU772" s="38" t="str">
        <f>IF(ISNA(MATCH($N772,[1]data!$A:$A,0)),"",INDEX([1]data!L:L,MATCH($N772,[1]data!$A:$A,0)))</f>
        <v/>
      </c>
      <c r="AV772" s="38" t="str">
        <f>IF(ISNA(MATCH($N772,[1]data!$A:$A,0)),"",INDEX([1]data!M:M,MATCH($N772,[1]data!$A:$A,0)))</f>
        <v/>
      </c>
      <c r="AW772" s="38" t="str">
        <f>IF(ISNA(MATCH($N772,data!$A:$A,0)),"",INDEX(data!J:J,MATCH($N772,data!$A:$A,0)))</f>
        <v/>
      </c>
      <c r="AX772" s="38" t="str">
        <f>IF(ISNA(MATCH($N772,data!$A:$A,0)),"",INDEX(data!K:K,MATCH($N772,data!$A:$A,0)))</f>
        <v/>
      </c>
      <c r="AY772" s="38" t="str">
        <f>IF(ISNA(MATCH($N772,data!$A:$A,0)),"",INDEX(data!O:O,MATCH($N772,data!$A:$A,0)))</f>
        <v/>
      </c>
      <c r="AZ772" s="38" t="str">
        <f>IF(ISNA(MATCH($N772,data!$A:$A,0)),"",INDEX(data!N:N,MATCH($N772,data!$A:$A,0)))</f>
        <v/>
      </c>
      <c r="BA772" s="38" t="str">
        <f>IF(ISNA(MATCH($N772,data!$A:$A,0)),"",INDEX(data!P:P,MATCH($N772,data!$A:$A,0)))</f>
        <v/>
      </c>
      <c r="BB772" s="38" t="str">
        <f>IF(ISNA(MATCH($N772,data!$A:$A,0)),"",INDEX(data!Q:Q,MATCH($N772,data!$A:$A,0)))</f>
        <v/>
      </c>
      <c r="BC772" s="38" t="str">
        <f>IF(ISNA(MATCH($N772,data!$A:$A,0)),"",INDEX(data!R:R,MATCH($N772,data!$A:$A,0)))</f>
        <v/>
      </c>
      <c r="BD772" s="38" t="str">
        <f>IF(ISNA(MATCH($N772,[1]data!$A:$A,0)),"",INDEX([1]data!U:U,MATCH($N772,[1]data!$A:$A,0)))</f>
        <v/>
      </c>
      <c r="BE772" s="61" t="e">
        <f>IF(COUNTIF([1]data!A:A,[1]!Table1[[#This Row],[UPC]])&lt;2,"","DUP")</f>
        <v>#VALUE!</v>
      </c>
      <c r="BF772" s="38" t="str">
        <f>IF(ISNA(MATCH($N772,data!$A:$A,0)),"",INDEX(data!W:W,MATCH($N772,data!$A:$A,0)))</f>
        <v/>
      </c>
    </row>
    <row r="773" spans="1:58">
      <c r="A773" s="35"/>
      <c r="B773" s="35"/>
      <c r="C773" s="35"/>
      <c r="D773" s="35"/>
      <c r="E773" s="67"/>
      <c r="F773" s="67"/>
      <c r="G773" s="36"/>
      <c r="H773" s="29"/>
      <c r="I773" s="78" t="str">
        <f t="shared" si="18"/>
        <v/>
      </c>
      <c r="J773" s="29"/>
      <c r="K773" s="29"/>
      <c r="L773" s="33"/>
      <c r="M773" s="33"/>
      <c r="N773" s="60"/>
      <c r="O773" s="71"/>
      <c r="P773" s="71"/>
      <c r="Q773" s="33"/>
      <c r="R773" s="31"/>
      <c r="S773" s="31"/>
      <c r="T773" s="59"/>
      <c r="U773" s="59"/>
      <c r="V773" s="59"/>
      <c r="W773" s="57">
        <f t="shared" si="19"/>
        <v>0</v>
      </c>
      <c r="X773" s="126" t="str">
        <f>IF(Table1[[#This Row],[Shipping Weight Pounds]]&gt;150,"See LTL Form","No")</f>
        <v>No</v>
      </c>
      <c r="Y773" s="28"/>
      <c r="Z773" s="33"/>
      <c r="AA773" s="34"/>
      <c r="AB773" s="30"/>
      <c r="AC773" s="30"/>
      <c r="AD773" s="32"/>
      <c r="AE773" s="32"/>
      <c r="AF773" s="2"/>
      <c r="AG773" s="2"/>
      <c r="AH773" s="2"/>
      <c r="AI773" s="2"/>
      <c r="AK773" s="73" t="str">
        <f>IF(ISNA(MATCH($N773,[1]data!$A:$A,0)),"",INDEX([1]data!S:S,MATCH($N773,[1]data!$A:$A,0)))</f>
        <v/>
      </c>
      <c r="AL773" s="73" t="str">
        <f>IF(ISNA(MATCH($N773,[1]data!$A:$A,0)),"",INDEX([1]data!V:V,MATCH($N773,[1]data!$A:$A,0)))</f>
        <v/>
      </c>
      <c r="AM773" s="38" t="str">
        <f>IF(ISNA(MATCH($N773,data!$A:$A,0)),"",INDEX(data!B:B,MATCH($N773,data!$A:$A,0)))</f>
        <v/>
      </c>
      <c r="AN773" s="38" t="str">
        <f>IF(ISNA(MATCH($N773,data!$A:$A,0)),"",INDEX(data!C:C,MATCH($N773,data!$A:$A,0)))</f>
        <v/>
      </c>
      <c r="AO773" s="38" t="str">
        <f>IF(ISNA(MATCH($N773,data!$A:$A,0)),"",INDEX(data!D:D,MATCH($N773,data!$A:$A,0)))</f>
        <v/>
      </c>
      <c r="AP773" s="38" t="str">
        <f>IF(ISNA(MATCH($N773,data!$A:$A,0)),"",INDEX(data!E:E,MATCH($N773,data!$A:$A,0)))</f>
        <v/>
      </c>
      <c r="AQ773" s="38" t="str">
        <f>IF(ISNA(MATCH($N773,data!$A:$A,0)),"",INDEX(data!F:F,MATCH($N773,data!$A:$A,0)))</f>
        <v/>
      </c>
      <c r="AR773" s="38" t="str">
        <f>IF(ISNA(MATCH($N773,data!$A:$A,0)),"",INDEX(data!G:G,MATCH($N773,data!$A:$A,0)))</f>
        <v/>
      </c>
      <c r="AS773" s="38" t="str">
        <f>IF(ISNA(MATCH($N773,data!$A:$A,0)),"",INDEX(data!H:H,MATCH($N773,data!$A:$A,0)))</f>
        <v/>
      </c>
      <c r="AT773" s="38" t="str">
        <f>IF(ISNA(MATCH($N773,data!$A:$A,0)),"",INDEX(data!I:I,MATCH($N773,data!$A:$A,0)))</f>
        <v/>
      </c>
      <c r="AU773" s="38" t="str">
        <f>IF(ISNA(MATCH($N773,[1]data!$A:$A,0)),"",INDEX([1]data!L:L,MATCH($N773,[1]data!$A:$A,0)))</f>
        <v/>
      </c>
      <c r="AV773" s="38" t="str">
        <f>IF(ISNA(MATCH($N773,[1]data!$A:$A,0)),"",INDEX([1]data!M:M,MATCH($N773,[1]data!$A:$A,0)))</f>
        <v/>
      </c>
      <c r="AW773" s="38" t="str">
        <f>IF(ISNA(MATCH($N773,data!$A:$A,0)),"",INDEX(data!J:J,MATCH($N773,data!$A:$A,0)))</f>
        <v/>
      </c>
      <c r="AX773" s="38" t="str">
        <f>IF(ISNA(MATCH($N773,data!$A:$A,0)),"",INDEX(data!K:K,MATCH($N773,data!$A:$A,0)))</f>
        <v/>
      </c>
      <c r="AY773" s="38" t="str">
        <f>IF(ISNA(MATCH($N773,data!$A:$A,0)),"",INDEX(data!O:O,MATCH($N773,data!$A:$A,0)))</f>
        <v/>
      </c>
      <c r="AZ773" s="38" t="str">
        <f>IF(ISNA(MATCH($N773,data!$A:$A,0)),"",INDEX(data!N:N,MATCH($N773,data!$A:$A,0)))</f>
        <v/>
      </c>
      <c r="BA773" s="38" t="str">
        <f>IF(ISNA(MATCH($N773,data!$A:$A,0)),"",INDEX(data!P:P,MATCH($N773,data!$A:$A,0)))</f>
        <v/>
      </c>
      <c r="BB773" s="38" t="str">
        <f>IF(ISNA(MATCH($N773,data!$A:$A,0)),"",INDEX(data!Q:Q,MATCH($N773,data!$A:$A,0)))</f>
        <v/>
      </c>
      <c r="BC773" s="38" t="str">
        <f>IF(ISNA(MATCH($N773,data!$A:$A,0)),"",INDEX(data!R:R,MATCH($N773,data!$A:$A,0)))</f>
        <v/>
      </c>
      <c r="BD773" s="38" t="str">
        <f>IF(ISNA(MATCH($N773,[1]data!$A:$A,0)),"",INDEX([1]data!U:U,MATCH($N773,[1]data!$A:$A,0)))</f>
        <v/>
      </c>
      <c r="BE773" s="61" t="e">
        <f>IF(COUNTIF([1]data!A:A,[1]!Table1[[#This Row],[UPC]])&lt;2,"","DUP")</f>
        <v>#VALUE!</v>
      </c>
      <c r="BF773" s="38" t="str">
        <f>IF(ISNA(MATCH($N773,data!$A:$A,0)),"",INDEX(data!W:W,MATCH($N773,data!$A:$A,0)))</f>
        <v/>
      </c>
    </row>
    <row r="774" spans="1:58">
      <c r="A774" s="35"/>
      <c r="B774" s="35"/>
      <c r="C774" s="35"/>
      <c r="D774" s="35"/>
      <c r="E774" s="67"/>
      <c r="F774" s="67"/>
      <c r="G774" s="36"/>
      <c r="H774" s="29"/>
      <c r="I774" s="78" t="str">
        <f t="shared" si="18"/>
        <v/>
      </c>
      <c r="J774" s="29"/>
      <c r="K774" s="29"/>
      <c r="L774" s="33"/>
      <c r="M774" s="33"/>
      <c r="N774" s="60"/>
      <c r="O774" s="71"/>
      <c r="P774" s="71"/>
      <c r="Q774" s="33"/>
      <c r="R774" s="31"/>
      <c r="S774" s="31"/>
      <c r="T774" s="59"/>
      <c r="U774" s="59"/>
      <c r="V774" s="59"/>
      <c r="W774" s="57">
        <f t="shared" si="19"/>
        <v>0</v>
      </c>
      <c r="X774" s="126" t="str">
        <f>IF(Table1[[#This Row],[Shipping Weight Pounds]]&gt;150,"See LTL Form","No")</f>
        <v>No</v>
      </c>
      <c r="Y774" s="28"/>
      <c r="Z774" s="33"/>
      <c r="AA774" s="34"/>
      <c r="AB774" s="30"/>
      <c r="AC774" s="30"/>
      <c r="AD774" s="32"/>
      <c r="AE774" s="32"/>
      <c r="AF774" s="2"/>
      <c r="AG774" s="2"/>
      <c r="AH774" s="2"/>
      <c r="AI774" s="2"/>
      <c r="AK774" s="73" t="str">
        <f>IF(ISNA(MATCH($N774,[1]data!$A:$A,0)),"",INDEX([1]data!S:S,MATCH($N774,[1]data!$A:$A,0)))</f>
        <v/>
      </c>
      <c r="AL774" s="73" t="str">
        <f>IF(ISNA(MATCH($N774,[1]data!$A:$A,0)),"",INDEX([1]data!V:V,MATCH($N774,[1]data!$A:$A,0)))</f>
        <v/>
      </c>
      <c r="AM774" s="38" t="str">
        <f>IF(ISNA(MATCH($N774,data!$A:$A,0)),"",INDEX(data!B:B,MATCH($N774,data!$A:$A,0)))</f>
        <v/>
      </c>
      <c r="AN774" s="38" t="str">
        <f>IF(ISNA(MATCH($N774,data!$A:$A,0)),"",INDEX(data!C:C,MATCH($N774,data!$A:$A,0)))</f>
        <v/>
      </c>
      <c r="AO774" s="38" t="str">
        <f>IF(ISNA(MATCH($N774,data!$A:$A,0)),"",INDEX(data!D:D,MATCH($N774,data!$A:$A,0)))</f>
        <v/>
      </c>
      <c r="AP774" s="38" t="str">
        <f>IF(ISNA(MATCH($N774,data!$A:$A,0)),"",INDEX(data!E:E,MATCH($N774,data!$A:$A,0)))</f>
        <v/>
      </c>
      <c r="AQ774" s="38" t="str">
        <f>IF(ISNA(MATCH($N774,data!$A:$A,0)),"",INDEX(data!F:F,MATCH($N774,data!$A:$A,0)))</f>
        <v/>
      </c>
      <c r="AR774" s="38" t="str">
        <f>IF(ISNA(MATCH($N774,data!$A:$A,0)),"",INDEX(data!G:G,MATCH($N774,data!$A:$A,0)))</f>
        <v/>
      </c>
      <c r="AS774" s="38" t="str">
        <f>IF(ISNA(MATCH($N774,data!$A:$A,0)),"",INDEX(data!H:H,MATCH($N774,data!$A:$A,0)))</f>
        <v/>
      </c>
      <c r="AT774" s="38" t="str">
        <f>IF(ISNA(MATCH($N774,data!$A:$A,0)),"",INDEX(data!I:I,MATCH($N774,data!$A:$A,0)))</f>
        <v/>
      </c>
      <c r="AU774" s="38" t="str">
        <f>IF(ISNA(MATCH($N774,[1]data!$A:$A,0)),"",INDEX([1]data!L:L,MATCH($N774,[1]data!$A:$A,0)))</f>
        <v/>
      </c>
      <c r="AV774" s="38" t="str">
        <f>IF(ISNA(MATCH($N774,[1]data!$A:$A,0)),"",INDEX([1]data!M:M,MATCH($N774,[1]data!$A:$A,0)))</f>
        <v/>
      </c>
      <c r="AW774" s="38" t="str">
        <f>IF(ISNA(MATCH($N774,data!$A:$A,0)),"",INDEX(data!J:J,MATCH($N774,data!$A:$A,0)))</f>
        <v/>
      </c>
      <c r="AX774" s="38" t="str">
        <f>IF(ISNA(MATCH($N774,data!$A:$A,0)),"",INDEX(data!K:K,MATCH($N774,data!$A:$A,0)))</f>
        <v/>
      </c>
      <c r="AY774" s="38" t="str">
        <f>IF(ISNA(MATCH($N774,data!$A:$A,0)),"",INDEX(data!O:O,MATCH($N774,data!$A:$A,0)))</f>
        <v/>
      </c>
      <c r="AZ774" s="38" t="str">
        <f>IF(ISNA(MATCH($N774,data!$A:$A,0)),"",INDEX(data!N:N,MATCH($N774,data!$A:$A,0)))</f>
        <v/>
      </c>
      <c r="BA774" s="38" t="str">
        <f>IF(ISNA(MATCH($N774,data!$A:$A,0)),"",INDEX(data!P:P,MATCH($N774,data!$A:$A,0)))</f>
        <v/>
      </c>
      <c r="BB774" s="38" t="str">
        <f>IF(ISNA(MATCH($N774,data!$A:$A,0)),"",INDEX(data!Q:Q,MATCH($N774,data!$A:$A,0)))</f>
        <v/>
      </c>
      <c r="BC774" s="38" t="str">
        <f>IF(ISNA(MATCH($N774,data!$A:$A,0)),"",INDEX(data!R:R,MATCH($N774,data!$A:$A,0)))</f>
        <v/>
      </c>
      <c r="BD774" s="38" t="str">
        <f>IF(ISNA(MATCH($N774,[1]data!$A:$A,0)),"",INDEX([1]data!U:U,MATCH($N774,[1]data!$A:$A,0)))</f>
        <v/>
      </c>
      <c r="BE774" s="61" t="e">
        <f>IF(COUNTIF([1]data!A:A,[1]!Table1[[#This Row],[UPC]])&lt;2,"","DUP")</f>
        <v>#VALUE!</v>
      </c>
      <c r="BF774" s="38" t="str">
        <f>IF(ISNA(MATCH($N774,data!$A:$A,0)),"",INDEX(data!W:W,MATCH($N774,data!$A:$A,0)))</f>
        <v/>
      </c>
    </row>
    <row r="775" spans="1:58">
      <c r="A775" s="35"/>
      <c r="B775" s="35"/>
      <c r="C775" s="35"/>
      <c r="D775" s="35"/>
      <c r="E775" s="67"/>
      <c r="F775" s="67"/>
      <c r="G775" s="36"/>
      <c r="H775" s="29"/>
      <c r="I775" s="78" t="str">
        <f t="shared" si="18"/>
        <v/>
      </c>
      <c r="J775" s="29"/>
      <c r="K775" s="29"/>
      <c r="L775" s="33"/>
      <c r="M775" s="33"/>
      <c r="N775" s="60"/>
      <c r="O775" s="71"/>
      <c r="P775" s="71"/>
      <c r="Q775" s="33"/>
      <c r="R775" s="31"/>
      <c r="S775" s="31"/>
      <c r="T775" s="59"/>
      <c r="U775" s="59"/>
      <c r="V775" s="59"/>
      <c r="W775" s="57">
        <f t="shared" si="19"/>
        <v>0</v>
      </c>
      <c r="X775" s="126" t="str">
        <f>IF(Table1[[#This Row],[Shipping Weight Pounds]]&gt;150,"See LTL Form","No")</f>
        <v>No</v>
      </c>
      <c r="Y775" s="28"/>
      <c r="Z775" s="33"/>
      <c r="AA775" s="34"/>
      <c r="AB775" s="30"/>
      <c r="AC775" s="30"/>
      <c r="AD775" s="32"/>
      <c r="AE775" s="32"/>
      <c r="AF775" s="2"/>
      <c r="AG775" s="2"/>
      <c r="AH775" s="2"/>
      <c r="AI775" s="2"/>
      <c r="AK775" s="73" t="str">
        <f>IF(ISNA(MATCH($N775,[1]data!$A:$A,0)),"",INDEX([1]data!S:S,MATCH($N775,[1]data!$A:$A,0)))</f>
        <v/>
      </c>
      <c r="AL775" s="73" t="str">
        <f>IF(ISNA(MATCH($N775,[1]data!$A:$A,0)),"",INDEX([1]data!V:V,MATCH($N775,[1]data!$A:$A,0)))</f>
        <v/>
      </c>
      <c r="AM775" s="38" t="str">
        <f>IF(ISNA(MATCH($N775,data!$A:$A,0)),"",INDEX(data!B:B,MATCH($N775,data!$A:$A,0)))</f>
        <v/>
      </c>
      <c r="AN775" s="38" t="str">
        <f>IF(ISNA(MATCH($N775,data!$A:$A,0)),"",INDEX(data!C:C,MATCH($N775,data!$A:$A,0)))</f>
        <v/>
      </c>
      <c r="AO775" s="38" t="str">
        <f>IF(ISNA(MATCH($N775,data!$A:$A,0)),"",INDEX(data!D:D,MATCH($N775,data!$A:$A,0)))</f>
        <v/>
      </c>
      <c r="AP775" s="38" t="str">
        <f>IF(ISNA(MATCH($N775,data!$A:$A,0)),"",INDEX(data!E:E,MATCH($N775,data!$A:$A,0)))</f>
        <v/>
      </c>
      <c r="AQ775" s="38" t="str">
        <f>IF(ISNA(MATCH($N775,data!$A:$A,0)),"",INDEX(data!F:F,MATCH($N775,data!$A:$A,0)))</f>
        <v/>
      </c>
      <c r="AR775" s="38" t="str">
        <f>IF(ISNA(MATCH($N775,data!$A:$A,0)),"",INDEX(data!G:G,MATCH($N775,data!$A:$A,0)))</f>
        <v/>
      </c>
      <c r="AS775" s="38" t="str">
        <f>IF(ISNA(MATCH($N775,data!$A:$A,0)),"",INDEX(data!H:H,MATCH($N775,data!$A:$A,0)))</f>
        <v/>
      </c>
      <c r="AT775" s="38" t="str">
        <f>IF(ISNA(MATCH($N775,data!$A:$A,0)),"",INDEX(data!I:I,MATCH($N775,data!$A:$A,0)))</f>
        <v/>
      </c>
      <c r="AU775" s="38" t="str">
        <f>IF(ISNA(MATCH($N775,[1]data!$A:$A,0)),"",INDEX([1]data!L:L,MATCH($N775,[1]data!$A:$A,0)))</f>
        <v/>
      </c>
      <c r="AV775" s="38" t="str">
        <f>IF(ISNA(MATCH($N775,[1]data!$A:$A,0)),"",INDEX([1]data!M:M,MATCH($N775,[1]data!$A:$A,0)))</f>
        <v/>
      </c>
      <c r="AW775" s="38" t="str">
        <f>IF(ISNA(MATCH($N775,data!$A:$A,0)),"",INDEX(data!J:J,MATCH($N775,data!$A:$A,0)))</f>
        <v/>
      </c>
      <c r="AX775" s="38" t="str">
        <f>IF(ISNA(MATCH($N775,data!$A:$A,0)),"",INDEX(data!K:K,MATCH($N775,data!$A:$A,0)))</f>
        <v/>
      </c>
      <c r="AY775" s="38" t="str">
        <f>IF(ISNA(MATCH($N775,data!$A:$A,0)),"",INDEX(data!O:O,MATCH($N775,data!$A:$A,0)))</f>
        <v/>
      </c>
      <c r="AZ775" s="38" t="str">
        <f>IF(ISNA(MATCH($N775,data!$A:$A,0)),"",INDEX(data!N:N,MATCH($N775,data!$A:$A,0)))</f>
        <v/>
      </c>
      <c r="BA775" s="38" t="str">
        <f>IF(ISNA(MATCH($N775,data!$A:$A,0)),"",INDEX(data!P:P,MATCH($N775,data!$A:$A,0)))</f>
        <v/>
      </c>
      <c r="BB775" s="38" t="str">
        <f>IF(ISNA(MATCH($N775,data!$A:$A,0)),"",INDEX(data!Q:Q,MATCH($N775,data!$A:$A,0)))</f>
        <v/>
      </c>
      <c r="BC775" s="38" t="str">
        <f>IF(ISNA(MATCH($N775,data!$A:$A,0)),"",INDEX(data!R:R,MATCH($N775,data!$A:$A,0)))</f>
        <v/>
      </c>
      <c r="BD775" s="38" t="str">
        <f>IF(ISNA(MATCH($N775,[1]data!$A:$A,0)),"",INDEX([1]data!U:U,MATCH($N775,[1]data!$A:$A,0)))</f>
        <v/>
      </c>
      <c r="BE775" s="61" t="e">
        <f>IF(COUNTIF([1]data!A:A,[1]!Table1[[#This Row],[UPC]])&lt;2,"","DUP")</f>
        <v>#VALUE!</v>
      </c>
      <c r="BF775" s="38" t="str">
        <f>IF(ISNA(MATCH($N775,data!$A:$A,0)),"",INDEX(data!W:W,MATCH($N775,data!$A:$A,0)))</f>
        <v/>
      </c>
    </row>
    <row r="776" spans="1:58">
      <c r="A776" s="35"/>
      <c r="B776" s="35"/>
      <c r="C776" s="35"/>
      <c r="D776" s="35"/>
      <c r="E776" s="67"/>
      <c r="F776" s="67"/>
      <c r="G776" s="36"/>
      <c r="H776" s="29"/>
      <c r="I776" s="78" t="str">
        <f t="shared" ref="I776:I839" si="20">IF(H776&lt;&gt;0,(H776-G776)/H776,"")</f>
        <v/>
      </c>
      <c r="J776" s="29"/>
      <c r="K776" s="29"/>
      <c r="L776" s="33"/>
      <c r="M776" s="33"/>
      <c r="N776" s="60"/>
      <c r="O776" s="71"/>
      <c r="P776" s="71"/>
      <c r="Q776" s="33"/>
      <c r="R776" s="31"/>
      <c r="S776" s="31"/>
      <c r="T776" s="59"/>
      <c r="U776" s="59"/>
      <c r="V776" s="59"/>
      <c r="W776" s="57">
        <f t="shared" ref="W776:W839" si="21">IF(ISERR(Q776*R776*S776),"",(Q776*R776*S776))</f>
        <v>0</v>
      </c>
      <c r="X776" s="126" t="str">
        <f>IF(Table1[[#This Row],[Shipping Weight Pounds]]&gt;150,"See LTL Form","No")</f>
        <v>No</v>
      </c>
      <c r="Y776" s="28"/>
      <c r="Z776" s="33"/>
      <c r="AA776" s="34"/>
      <c r="AB776" s="30"/>
      <c r="AC776" s="30"/>
      <c r="AD776" s="32"/>
      <c r="AE776" s="32"/>
      <c r="AF776" s="2"/>
      <c r="AG776" s="2"/>
      <c r="AH776" s="2"/>
      <c r="AI776" s="2"/>
      <c r="AK776" s="73" t="str">
        <f>IF(ISNA(MATCH($N776,[1]data!$A:$A,0)),"",INDEX([1]data!S:S,MATCH($N776,[1]data!$A:$A,0)))</f>
        <v/>
      </c>
      <c r="AL776" s="73" t="str">
        <f>IF(ISNA(MATCH($N776,[1]data!$A:$A,0)),"",INDEX([1]data!V:V,MATCH($N776,[1]data!$A:$A,0)))</f>
        <v/>
      </c>
      <c r="AM776" s="38" t="str">
        <f>IF(ISNA(MATCH($N776,data!$A:$A,0)),"",INDEX(data!B:B,MATCH($N776,data!$A:$A,0)))</f>
        <v/>
      </c>
      <c r="AN776" s="38" t="str">
        <f>IF(ISNA(MATCH($N776,data!$A:$A,0)),"",INDEX(data!C:C,MATCH($N776,data!$A:$A,0)))</f>
        <v/>
      </c>
      <c r="AO776" s="38" t="str">
        <f>IF(ISNA(MATCH($N776,data!$A:$A,0)),"",INDEX(data!D:D,MATCH($N776,data!$A:$A,0)))</f>
        <v/>
      </c>
      <c r="AP776" s="38" t="str">
        <f>IF(ISNA(MATCH($N776,data!$A:$A,0)),"",INDEX(data!E:E,MATCH($N776,data!$A:$A,0)))</f>
        <v/>
      </c>
      <c r="AQ776" s="38" t="str">
        <f>IF(ISNA(MATCH($N776,data!$A:$A,0)),"",INDEX(data!F:F,MATCH($N776,data!$A:$A,0)))</f>
        <v/>
      </c>
      <c r="AR776" s="38" t="str">
        <f>IF(ISNA(MATCH($N776,data!$A:$A,0)),"",INDEX(data!G:G,MATCH($N776,data!$A:$A,0)))</f>
        <v/>
      </c>
      <c r="AS776" s="38" t="str">
        <f>IF(ISNA(MATCH($N776,data!$A:$A,0)),"",INDEX(data!H:H,MATCH($N776,data!$A:$A,0)))</f>
        <v/>
      </c>
      <c r="AT776" s="38" t="str">
        <f>IF(ISNA(MATCH($N776,data!$A:$A,0)),"",INDEX(data!I:I,MATCH($N776,data!$A:$A,0)))</f>
        <v/>
      </c>
      <c r="AU776" s="38" t="str">
        <f>IF(ISNA(MATCH($N776,[1]data!$A:$A,0)),"",INDEX([1]data!L:L,MATCH($N776,[1]data!$A:$A,0)))</f>
        <v/>
      </c>
      <c r="AV776" s="38" t="str">
        <f>IF(ISNA(MATCH($N776,[1]data!$A:$A,0)),"",INDEX([1]data!M:M,MATCH($N776,[1]data!$A:$A,0)))</f>
        <v/>
      </c>
      <c r="AW776" s="38" t="str">
        <f>IF(ISNA(MATCH($N776,data!$A:$A,0)),"",INDEX(data!J:J,MATCH($N776,data!$A:$A,0)))</f>
        <v/>
      </c>
      <c r="AX776" s="38" t="str">
        <f>IF(ISNA(MATCH($N776,data!$A:$A,0)),"",INDEX(data!K:K,MATCH($N776,data!$A:$A,0)))</f>
        <v/>
      </c>
      <c r="AY776" s="38" t="str">
        <f>IF(ISNA(MATCH($N776,data!$A:$A,0)),"",INDEX(data!O:O,MATCH($N776,data!$A:$A,0)))</f>
        <v/>
      </c>
      <c r="AZ776" s="38" t="str">
        <f>IF(ISNA(MATCH($N776,data!$A:$A,0)),"",INDEX(data!N:N,MATCH($N776,data!$A:$A,0)))</f>
        <v/>
      </c>
      <c r="BA776" s="38" t="str">
        <f>IF(ISNA(MATCH($N776,data!$A:$A,0)),"",INDEX(data!P:P,MATCH($N776,data!$A:$A,0)))</f>
        <v/>
      </c>
      <c r="BB776" s="38" t="str">
        <f>IF(ISNA(MATCH($N776,data!$A:$A,0)),"",INDEX(data!Q:Q,MATCH($N776,data!$A:$A,0)))</f>
        <v/>
      </c>
      <c r="BC776" s="38" t="str">
        <f>IF(ISNA(MATCH($N776,data!$A:$A,0)),"",INDEX(data!R:R,MATCH($N776,data!$A:$A,0)))</f>
        <v/>
      </c>
      <c r="BD776" s="38" t="str">
        <f>IF(ISNA(MATCH($N776,[1]data!$A:$A,0)),"",INDEX([1]data!U:U,MATCH($N776,[1]data!$A:$A,0)))</f>
        <v/>
      </c>
      <c r="BE776" s="61" t="e">
        <f>IF(COUNTIF([1]data!A:A,[1]!Table1[[#This Row],[UPC]])&lt;2,"","DUP")</f>
        <v>#VALUE!</v>
      </c>
      <c r="BF776" s="38" t="str">
        <f>IF(ISNA(MATCH($N776,data!$A:$A,0)),"",INDEX(data!W:W,MATCH($N776,data!$A:$A,0)))</f>
        <v/>
      </c>
    </row>
    <row r="777" spans="1:58">
      <c r="A777" s="35"/>
      <c r="B777" s="35"/>
      <c r="C777" s="35"/>
      <c r="D777" s="35"/>
      <c r="E777" s="67"/>
      <c r="F777" s="67"/>
      <c r="G777" s="36"/>
      <c r="H777" s="29"/>
      <c r="I777" s="78" t="str">
        <f t="shared" si="20"/>
        <v/>
      </c>
      <c r="J777" s="29"/>
      <c r="K777" s="29"/>
      <c r="L777" s="33"/>
      <c r="M777" s="33"/>
      <c r="N777" s="60"/>
      <c r="O777" s="71"/>
      <c r="P777" s="71"/>
      <c r="Q777" s="33"/>
      <c r="R777" s="31"/>
      <c r="S777" s="31"/>
      <c r="T777" s="59"/>
      <c r="U777" s="59"/>
      <c r="V777" s="59"/>
      <c r="W777" s="57">
        <f t="shared" si="21"/>
        <v>0</v>
      </c>
      <c r="X777" s="126" t="str">
        <f>IF(Table1[[#This Row],[Shipping Weight Pounds]]&gt;150,"See LTL Form","No")</f>
        <v>No</v>
      </c>
      <c r="Y777" s="28"/>
      <c r="Z777" s="33"/>
      <c r="AA777" s="34"/>
      <c r="AB777" s="30"/>
      <c r="AC777" s="30"/>
      <c r="AD777" s="32"/>
      <c r="AE777" s="32"/>
      <c r="AF777" s="2"/>
      <c r="AG777" s="2"/>
      <c r="AH777" s="2"/>
      <c r="AI777" s="2"/>
      <c r="AK777" s="73" t="str">
        <f>IF(ISNA(MATCH($N777,[1]data!$A:$A,0)),"",INDEX([1]data!S:S,MATCH($N777,[1]data!$A:$A,0)))</f>
        <v/>
      </c>
      <c r="AL777" s="73" t="str">
        <f>IF(ISNA(MATCH($N777,[1]data!$A:$A,0)),"",INDEX([1]data!V:V,MATCH($N777,[1]data!$A:$A,0)))</f>
        <v/>
      </c>
      <c r="AM777" s="38" t="str">
        <f>IF(ISNA(MATCH($N777,data!$A:$A,0)),"",INDEX(data!B:B,MATCH($N777,data!$A:$A,0)))</f>
        <v/>
      </c>
      <c r="AN777" s="38" t="str">
        <f>IF(ISNA(MATCH($N777,data!$A:$A,0)),"",INDEX(data!C:C,MATCH($N777,data!$A:$A,0)))</f>
        <v/>
      </c>
      <c r="AO777" s="38" t="str">
        <f>IF(ISNA(MATCH($N777,data!$A:$A,0)),"",INDEX(data!D:D,MATCH($N777,data!$A:$A,0)))</f>
        <v/>
      </c>
      <c r="AP777" s="38" t="str">
        <f>IF(ISNA(MATCH($N777,data!$A:$A,0)),"",INDEX(data!E:E,MATCH($N777,data!$A:$A,0)))</f>
        <v/>
      </c>
      <c r="AQ777" s="38" t="str">
        <f>IF(ISNA(MATCH($N777,data!$A:$A,0)),"",INDEX(data!F:F,MATCH($N777,data!$A:$A,0)))</f>
        <v/>
      </c>
      <c r="AR777" s="38" t="str">
        <f>IF(ISNA(MATCH($N777,data!$A:$A,0)),"",INDEX(data!G:G,MATCH($N777,data!$A:$A,0)))</f>
        <v/>
      </c>
      <c r="AS777" s="38" t="str">
        <f>IF(ISNA(MATCH($N777,data!$A:$A,0)),"",INDEX(data!H:H,MATCH($N777,data!$A:$A,0)))</f>
        <v/>
      </c>
      <c r="AT777" s="38" t="str">
        <f>IF(ISNA(MATCH($N777,data!$A:$A,0)),"",INDEX(data!I:I,MATCH($N777,data!$A:$A,0)))</f>
        <v/>
      </c>
      <c r="AU777" s="38" t="str">
        <f>IF(ISNA(MATCH($N777,[1]data!$A:$A,0)),"",INDEX([1]data!L:L,MATCH($N777,[1]data!$A:$A,0)))</f>
        <v/>
      </c>
      <c r="AV777" s="38" t="str">
        <f>IF(ISNA(MATCH($N777,[1]data!$A:$A,0)),"",INDEX([1]data!M:M,MATCH($N777,[1]data!$A:$A,0)))</f>
        <v/>
      </c>
      <c r="AW777" s="38" t="str">
        <f>IF(ISNA(MATCH($N777,data!$A:$A,0)),"",INDEX(data!J:J,MATCH($N777,data!$A:$A,0)))</f>
        <v/>
      </c>
      <c r="AX777" s="38" t="str">
        <f>IF(ISNA(MATCH($N777,data!$A:$A,0)),"",INDEX(data!K:K,MATCH($N777,data!$A:$A,0)))</f>
        <v/>
      </c>
      <c r="AY777" s="38" t="str">
        <f>IF(ISNA(MATCH($N777,data!$A:$A,0)),"",INDEX(data!O:O,MATCH($N777,data!$A:$A,0)))</f>
        <v/>
      </c>
      <c r="AZ777" s="38" t="str">
        <f>IF(ISNA(MATCH($N777,data!$A:$A,0)),"",INDEX(data!N:N,MATCH($N777,data!$A:$A,0)))</f>
        <v/>
      </c>
      <c r="BA777" s="38" t="str">
        <f>IF(ISNA(MATCH($N777,data!$A:$A,0)),"",INDEX(data!P:P,MATCH($N777,data!$A:$A,0)))</f>
        <v/>
      </c>
      <c r="BB777" s="38" t="str">
        <f>IF(ISNA(MATCH($N777,data!$A:$A,0)),"",INDEX(data!Q:Q,MATCH($N777,data!$A:$A,0)))</f>
        <v/>
      </c>
      <c r="BC777" s="38" t="str">
        <f>IF(ISNA(MATCH($N777,data!$A:$A,0)),"",INDEX(data!R:R,MATCH($N777,data!$A:$A,0)))</f>
        <v/>
      </c>
      <c r="BD777" s="38" t="str">
        <f>IF(ISNA(MATCH($N777,[1]data!$A:$A,0)),"",INDEX([1]data!U:U,MATCH($N777,[1]data!$A:$A,0)))</f>
        <v/>
      </c>
      <c r="BE777" s="61" t="e">
        <f>IF(COUNTIF([1]data!A:A,[1]!Table1[[#This Row],[UPC]])&lt;2,"","DUP")</f>
        <v>#VALUE!</v>
      </c>
      <c r="BF777" s="38" t="str">
        <f>IF(ISNA(MATCH($N777,data!$A:$A,0)),"",INDEX(data!W:W,MATCH($N777,data!$A:$A,0)))</f>
        <v/>
      </c>
    </row>
    <row r="778" spans="1:58">
      <c r="A778" s="35"/>
      <c r="B778" s="35"/>
      <c r="C778" s="35"/>
      <c r="D778" s="35"/>
      <c r="E778" s="67"/>
      <c r="F778" s="67"/>
      <c r="G778" s="36"/>
      <c r="H778" s="29"/>
      <c r="I778" s="78" t="str">
        <f t="shared" si="20"/>
        <v/>
      </c>
      <c r="J778" s="29"/>
      <c r="K778" s="29"/>
      <c r="L778" s="33"/>
      <c r="M778" s="33"/>
      <c r="N778" s="60"/>
      <c r="O778" s="71"/>
      <c r="P778" s="71"/>
      <c r="Q778" s="33"/>
      <c r="R778" s="31"/>
      <c r="S778" s="31"/>
      <c r="T778" s="59"/>
      <c r="U778" s="59"/>
      <c r="V778" s="59"/>
      <c r="W778" s="57">
        <f t="shared" si="21"/>
        <v>0</v>
      </c>
      <c r="X778" s="126" t="str">
        <f>IF(Table1[[#This Row],[Shipping Weight Pounds]]&gt;150,"See LTL Form","No")</f>
        <v>No</v>
      </c>
      <c r="Y778" s="28"/>
      <c r="Z778" s="33"/>
      <c r="AA778" s="34"/>
      <c r="AB778" s="30"/>
      <c r="AC778" s="30"/>
      <c r="AD778" s="32"/>
      <c r="AE778" s="32"/>
      <c r="AF778" s="2"/>
      <c r="AG778" s="2"/>
      <c r="AH778" s="2"/>
      <c r="AI778" s="2"/>
      <c r="AK778" s="73" t="str">
        <f>IF(ISNA(MATCH($N778,[1]data!$A:$A,0)),"",INDEX([1]data!S:S,MATCH($N778,[1]data!$A:$A,0)))</f>
        <v/>
      </c>
      <c r="AL778" s="73" t="str">
        <f>IF(ISNA(MATCH($N778,[1]data!$A:$A,0)),"",INDEX([1]data!V:V,MATCH($N778,[1]data!$A:$A,0)))</f>
        <v/>
      </c>
      <c r="AM778" s="38" t="str">
        <f>IF(ISNA(MATCH($N778,data!$A:$A,0)),"",INDEX(data!B:B,MATCH($N778,data!$A:$A,0)))</f>
        <v/>
      </c>
      <c r="AN778" s="38" t="str">
        <f>IF(ISNA(MATCH($N778,data!$A:$A,0)),"",INDEX(data!C:C,MATCH($N778,data!$A:$A,0)))</f>
        <v/>
      </c>
      <c r="AO778" s="38" t="str">
        <f>IF(ISNA(MATCH($N778,data!$A:$A,0)),"",INDEX(data!D:D,MATCH($N778,data!$A:$A,0)))</f>
        <v/>
      </c>
      <c r="AP778" s="38" t="str">
        <f>IF(ISNA(MATCH($N778,data!$A:$A,0)),"",INDEX(data!E:E,MATCH($N778,data!$A:$A,0)))</f>
        <v/>
      </c>
      <c r="AQ778" s="38" t="str">
        <f>IF(ISNA(MATCH($N778,data!$A:$A,0)),"",INDEX(data!F:F,MATCH($N778,data!$A:$A,0)))</f>
        <v/>
      </c>
      <c r="AR778" s="38" t="str">
        <f>IF(ISNA(MATCH($N778,data!$A:$A,0)),"",INDEX(data!G:G,MATCH($N778,data!$A:$A,0)))</f>
        <v/>
      </c>
      <c r="AS778" s="38" t="str">
        <f>IF(ISNA(MATCH($N778,data!$A:$A,0)),"",INDEX(data!H:H,MATCH($N778,data!$A:$A,0)))</f>
        <v/>
      </c>
      <c r="AT778" s="38" t="str">
        <f>IF(ISNA(MATCH($N778,data!$A:$A,0)),"",INDEX(data!I:I,MATCH($N778,data!$A:$A,0)))</f>
        <v/>
      </c>
      <c r="AU778" s="38" t="str">
        <f>IF(ISNA(MATCH($N778,[1]data!$A:$A,0)),"",INDEX([1]data!L:L,MATCH($N778,[1]data!$A:$A,0)))</f>
        <v/>
      </c>
      <c r="AV778" s="38" t="str">
        <f>IF(ISNA(MATCH($N778,[1]data!$A:$A,0)),"",INDEX([1]data!M:M,MATCH($N778,[1]data!$A:$A,0)))</f>
        <v/>
      </c>
      <c r="AW778" s="38" t="str">
        <f>IF(ISNA(MATCH($N778,data!$A:$A,0)),"",INDEX(data!J:J,MATCH($N778,data!$A:$A,0)))</f>
        <v/>
      </c>
      <c r="AX778" s="38" t="str">
        <f>IF(ISNA(MATCH($N778,data!$A:$A,0)),"",INDEX(data!K:K,MATCH($N778,data!$A:$A,0)))</f>
        <v/>
      </c>
      <c r="AY778" s="38" t="str">
        <f>IF(ISNA(MATCH($N778,data!$A:$A,0)),"",INDEX(data!O:O,MATCH($N778,data!$A:$A,0)))</f>
        <v/>
      </c>
      <c r="AZ778" s="38" t="str">
        <f>IF(ISNA(MATCH($N778,data!$A:$A,0)),"",INDEX(data!N:N,MATCH($N778,data!$A:$A,0)))</f>
        <v/>
      </c>
      <c r="BA778" s="38" t="str">
        <f>IF(ISNA(MATCH($N778,data!$A:$A,0)),"",INDEX(data!P:P,MATCH($N778,data!$A:$A,0)))</f>
        <v/>
      </c>
      <c r="BB778" s="38" t="str">
        <f>IF(ISNA(MATCH($N778,data!$A:$A,0)),"",INDEX(data!Q:Q,MATCH($N778,data!$A:$A,0)))</f>
        <v/>
      </c>
      <c r="BC778" s="38" t="str">
        <f>IF(ISNA(MATCH($N778,data!$A:$A,0)),"",INDEX(data!R:R,MATCH($N778,data!$A:$A,0)))</f>
        <v/>
      </c>
      <c r="BD778" s="38" t="str">
        <f>IF(ISNA(MATCH($N778,[1]data!$A:$A,0)),"",INDEX([1]data!U:U,MATCH($N778,[1]data!$A:$A,0)))</f>
        <v/>
      </c>
      <c r="BE778" s="61" t="e">
        <f>IF(COUNTIF([1]data!A:A,[1]!Table1[[#This Row],[UPC]])&lt;2,"","DUP")</f>
        <v>#VALUE!</v>
      </c>
      <c r="BF778" s="38" t="str">
        <f>IF(ISNA(MATCH($N778,data!$A:$A,0)),"",INDEX(data!W:W,MATCH($N778,data!$A:$A,0)))</f>
        <v/>
      </c>
    </row>
    <row r="779" spans="1:58">
      <c r="A779" s="35"/>
      <c r="B779" s="35"/>
      <c r="C779" s="35"/>
      <c r="D779" s="35"/>
      <c r="E779" s="67"/>
      <c r="F779" s="67"/>
      <c r="G779" s="36"/>
      <c r="H779" s="29"/>
      <c r="I779" s="78" t="str">
        <f t="shared" si="20"/>
        <v/>
      </c>
      <c r="J779" s="29"/>
      <c r="K779" s="29"/>
      <c r="L779" s="33"/>
      <c r="M779" s="33"/>
      <c r="N779" s="60"/>
      <c r="O779" s="71"/>
      <c r="P779" s="71"/>
      <c r="Q779" s="33"/>
      <c r="R779" s="31"/>
      <c r="S779" s="31"/>
      <c r="T779" s="59"/>
      <c r="U779" s="59"/>
      <c r="V779" s="59"/>
      <c r="W779" s="57">
        <f t="shared" si="21"/>
        <v>0</v>
      </c>
      <c r="X779" s="126" t="str">
        <f>IF(Table1[[#This Row],[Shipping Weight Pounds]]&gt;150,"See LTL Form","No")</f>
        <v>No</v>
      </c>
      <c r="Y779" s="28"/>
      <c r="Z779" s="33"/>
      <c r="AA779" s="34"/>
      <c r="AB779" s="30"/>
      <c r="AC779" s="30"/>
      <c r="AD779" s="32"/>
      <c r="AE779" s="32"/>
      <c r="AF779" s="2"/>
      <c r="AG779" s="2"/>
      <c r="AH779" s="2"/>
      <c r="AI779" s="2"/>
      <c r="AK779" s="73" t="str">
        <f>IF(ISNA(MATCH($N779,[1]data!$A:$A,0)),"",INDEX([1]data!S:S,MATCH($N779,[1]data!$A:$A,0)))</f>
        <v/>
      </c>
      <c r="AL779" s="73" t="str">
        <f>IF(ISNA(MATCH($N779,[1]data!$A:$A,0)),"",INDEX([1]data!V:V,MATCH($N779,[1]data!$A:$A,0)))</f>
        <v/>
      </c>
      <c r="AM779" s="38" t="str">
        <f>IF(ISNA(MATCH($N779,data!$A:$A,0)),"",INDEX(data!B:B,MATCH($N779,data!$A:$A,0)))</f>
        <v/>
      </c>
      <c r="AN779" s="38" t="str">
        <f>IF(ISNA(MATCH($N779,data!$A:$A,0)),"",INDEX(data!C:C,MATCH($N779,data!$A:$A,0)))</f>
        <v/>
      </c>
      <c r="AO779" s="38" t="str">
        <f>IF(ISNA(MATCH($N779,data!$A:$A,0)),"",INDEX(data!D:D,MATCH($N779,data!$A:$A,0)))</f>
        <v/>
      </c>
      <c r="AP779" s="38" t="str">
        <f>IF(ISNA(MATCH($N779,data!$A:$A,0)),"",INDEX(data!E:E,MATCH($N779,data!$A:$A,0)))</f>
        <v/>
      </c>
      <c r="AQ779" s="38" t="str">
        <f>IF(ISNA(MATCH($N779,data!$A:$A,0)),"",INDEX(data!F:F,MATCH($N779,data!$A:$A,0)))</f>
        <v/>
      </c>
      <c r="AR779" s="38" t="str">
        <f>IF(ISNA(MATCH($N779,data!$A:$A,0)),"",INDEX(data!G:G,MATCH($N779,data!$A:$A,0)))</f>
        <v/>
      </c>
      <c r="AS779" s="38" t="str">
        <f>IF(ISNA(MATCH($N779,data!$A:$A,0)),"",INDEX(data!H:H,MATCH($N779,data!$A:$A,0)))</f>
        <v/>
      </c>
      <c r="AT779" s="38" t="str">
        <f>IF(ISNA(MATCH($N779,data!$A:$A,0)),"",INDEX(data!I:I,MATCH($N779,data!$A:$A,0)))</f>
        <v/>
      </c>
      <c r="AU779" s="38" t="str">
        <f>IF(ISNA(MATCH($N779,[1]data!$A:$A,0)),"",INDEX([1]data!L:L,MATCH($N779,[1]data!$A:$A,0)))</f>
        <v/>
      </c>
      <c r="AV779" s="38" t="str">
        <f>IF(ISNA(MATCH($N779,[1]data!$A:$A,0)),"",INDEX([1]data!M:M,MATCH($N779,[1]data!$A:$A,0)))</f>
        <v/>
      </c>
      <c r="AW779" s="38" t="str">
        <f>IF(ISNA(MATCH($N779,data!$A:$A,0)),"",INDEX(data!J:J,MATCH($N779,data!$A:$A,0)))</f>
        <v/>
      </c>
      <c r="AX779" s="38" t="str">
        <f>IF(ISNA(MATCH($N779,data!$A:$A,0)),"",INDEX(data!K:K,MATCH($N779,data!$A:$A,0)))</f>
        <v/>
      </c>
      <c r="AY779" s="38" t="str">
        <f>IF(ISNA(MATCH($N779,data!$A:$A,0)),"",INDEX(data!O:O,MATCH($N779,data!$A:$A,0)))</f>
        <v/>
      </c>
      <c r="AZ779" s="38" t="str">
        <f>IF(ISNA(MATCH($N779,data!$A:$A,0)),"",INDEX(data!N:N,MATCH($N779,data!$A:$A,0)))</f>
        <v/>
      </c>
      <c r="BA779" s="38" t="str">
        <f>IF(ISNA(MATCH($N779,data!$A:$A,0)),"",INDEX(data!P:P,MATCH($N779,data!$A:$A,0)))</f>
        <v/>
      </c>
      <c r="BB779" s="38" t="str">
        <f>IF(ISNA(MATCH($N779,data!$A:$A,0)),"",INDEX(data!Q:Q,MATCH($N779,data!$A:$A,0)))</f>
        <v/>
      </c>
      <c r="BC779" s="38" t="str">
        <f>IF(ISNA(MATCH($N779,data!$A:$A,0)),"",INDEX(data!R:R,MATCH($N779,data!$A:$A,0)))</f>
        <v/>
      </c>
      <c r="BD779" s="38" t="str">
        <f>IF(ISNA(MATCH($N779,[1]data!$A:$A,0)),"",INDEX([1]data!U:U,MATCH($N779,[1]data!$A:$A,0)))</f>
        <v/>
      </c>
      <c r="BE779" s="61" t="e">
        <f>IF(COUNTIF([1]data!A:A,[1]!Table1[[#This Row],[UPC]])&lt;2,"","DUP")</f>
        <v>#VALUE!</v>
      </c>
      <c r="BF779" s="38" t="str">
        <f>IF(ISNA(MATCH($N779,data!$A:$A,0)),"",INDEX(data!W:W,MATCH($N779,data!$A:$A,0)))</f>
        <v/>
      </c>
    </row>
    <row r="780" spans="1:58">
      <c r="A780" s="35"/>
      <c r="B780" s="35"/>
      <c r="C780" s="35"/>
      <c r="D780" s="35"/>
      <c r="E780" s="67"/>
      <c r="F780" s="67"/>
      <c r="G780" s="36"/>
      <c r="H780" s="29"/>
      <c r="I780" s="78" t="str">
        <f t="shared" si="20"/>
        <v/>
      </c>
      <c r="J780" s="29"/>
      <c r="K780" s="29"/>
      <c r="L780" s="33"/>
      <c r="M780" s="33"/>
      <c r="N780" s="60"/>
      <c r="O780" s="71"/>
      <c r="P780" s="71"/>
      <c r="Q780" s="33"/>
      <c r="R780" s="31"/>
      <c r="S780" s="31"/>
      <c r="T780" s="59"/>
      <c r="U780" s="59"/>
      <c r="V780" s="59"/>
      <c r="W780" s="57">
        <f t="shared" si="21"/>
        <v>0</v>
      </c>
      <c r="X780" s="126" t="str">
        <f>IF(Table1[[#This Row],[Shipping Weight Pounds]]&gt;150,"See LTL Form","No")</f>
        <v>No</v>
      </c>
      <c r="Y780" s="28"/>
      <c r="Z780" s="33"/>
      <c r="AA780" s="34"/>
      <c r="AB780" s="30"/>
      <c r="AC780" s="30"/>
      <c r="AD780" s="32"/>
      <c r="AE780" s="32"/>
      <c r="AF780" s="2"/>
      <c r="AG780" s="2"/>
      <c r="AH780" s="2"/>
      <c r="AI780" s="2"/>
      <c r="AK780" s="73" t="str">
        <f>IF(ISNA(MATCH($N780,[1]data!$A:$A,0)),"",INDEX([1]data!S:S,MATCH($N780,[1]data!$A:$A,0)))</f>
        <v/>
      </c>
      <c r="AL780" s="73" t="str">
        <f>IF(ISNA(MATCH($N780,[1]data!$A:$A,0)),"",INDEX([1]data!V:V,MATCH($N780,[1]data!$A:$A,0)))</f>
        <v/>
      </c>
      <c r="AM780" s="38" t="str">
        <f>IF(ISNA(MATCH($N780,data!$A:$A,0)),"",INDEX(data!B:B,MATCH($N780,data!$A:$A,0)))</f>
        <v/>
      </c>
      <c r="AN780" s="38" t="str">
        <f>IF(ISNA(MATCH($N780,data!$A:$A,0)),"",INDEX(data!C:C,MATCH($N780,data!$A:$A,0)))</f>
        <v/>
      </c>
      <c r="AO780" s="38" t="str">
        <f>IF(ISNA(MATCH($N780,data!$A:$A,0)),"",INDEX(data!D:D,MATCH($N780,data!$A:$A,0)))</f>
        <v/>
      </c>
      <c r="AP780" s="38" t="str">
        <f>IF(ISNA(MATCH($N780,data!$A:$A,0)),"",INDEX(data!E:E,MATCH($N780,data!$A:$A,0)))</f>
        <v/>
      </c>
      <c r="AQ780" s="38" t="str">
        <f>IF(ISNA(MATCH($N780,data!$A:$A,0)),"",INDEX(data!F:F,MATCH($N780,data!$A:$A,0)))</f>
        <v/>
      </c>
      <c r="AR780" s="38" t="str">
        <f>IF(ISNA(MATCH($N780,data!$A:$A,0)),"",INDEX(data!G:G,MATCH($N780,data!$A:$A,0)))</f>
        <v/>
      </c>
      <c r="AS780" s="38" t="str">
        <f>IF(ISNA(MATCH($N780,data!$A:$A,0)),"",INDEX(data!H:H,MATCH($N780,data!$A:$A,0)))</f>
        <v/>
      </c>
      <c r="AT780" s="38" t="str">
        <f>IF(ISNA(MATCH($N780,data!$A:$A,0)),"",INDEX(data!I:I,MATCH($N780,data!$A:$A,0)))</f>
        <v/>
      </c>
      <c r="AU780" s="38" t="str">
        <f>IF(ISNA(MATCH($N780,[1]data!$A:$A,0)),"",INDEX([1]data!L:L,MATCH($N780,[1]data!$A:$A,0)))</f>
        <v/>
      </c>
      <c r="AV780" s="38" t="str">
        <f>IF(ISNA(MATCH($N780,[1]data!$A:$A,0)),"",INDEX([1]data!M:M,MATCH($N780,[1]data!$A:$A,0)))</f>
        <v/>
      </c>
      <c r="AW780" s="38" t="str">
        <f>IF(ISNA(MATCH($N780,data!$A:$A,0)),"",INDEX(data!J:J,MATCH($N780,data!$A:$A,0)))</f>
        <v/>
      </c>
      <c r="AX780" s="38" t="str">
        <f>IF(ISNA(MATCH($N780,data!$A:$A,0)),"",INDEX(data!K:K,MATCH($N780,data!$A:$A,0)))</f>
        <v/>
      </c>
      <c r="AY780" s="38" t="str">
        <f>IF(ISNA(MATCH($N780,data!$A:$A,0)),"",INDEX(data!O:O,MATCH($N780,data!$A:$A,0)))</f>
        <v/>
      </c>
      <c r="AZ780" s="38" t="str">
        <f>IF(ISNA(MATCH($N780,data!$A:$A,0)),"",INDEX(data!N:N,MATCH($N780,data!$A:$A,0)))</f>
        <v/>
      </c>
      <c r="BA780" s="38" t="str">
        <f>IF(ISNA(MATCH($N780,data!$A:$A,0)),"",INDEX(data!P:P,MATCH($N780,data!$A:$A,0)))</f>
        <v/>
      </c>
      <c r="BB780" s="38" t="str">
        <f>IF(ISNA(MATCH($N780,data!$A:$A,0)),"",INDEX(data!Q:Q,MATCH($N780,data!$A:$A,0)))</f>
        <v/>
      </c>
      <c r="BC780" s="38" t="str">
        <f>IF(ISNA(MATCH($N780,data!$A:$A,0)),"",INDEX(data!R:R,MATCH($N780,data!$A:$A,0)))</f>
        <v/>
      </c>
      <c r="BD780" s="38" t="str">
        <f>IF(ISNA(MATCH($N780,[1]data!$A:$A,0)),"",INDEX([1]data!U:U,MATCH($N780,[1]data!$A:$A,0)))</f>
        <v/>
      </c>
      <c r="BE780" s="61" t="e">
        <f>IF(COUNTIF([1]data!A:A,[1]!Table1[[#This Row],[UPC]])&lt;2,"","DUP")</f>
        <v>#VALUE!</v>
      </c>
      <c r="BF780" s="38" t="str">
        <f>IF(ISNA(MATCH($N780,data!$A:$A,0)),"",INDEX(data!W:W,MATCH($N780,data!$A:$A,0)))</f>
        <v/>
      </c>
    </row>
    <row r="781" spans="1:58">
      <c r="A781" s="35"/>
      <c r="B781" s="35"/>
      <c r="C781" s="35"/>
      <c r="D781" s="35"/>
      <c r="E781" s="67"/>
      <c r="F781" s="67"/>
      <c r="G781" s="36"/>
      <c r="H781" s="29"/>
      <c r="I781" s="78" t="str">
        <f t="shared" si="20"/>
        <v/>
      </c>
      <c r="J781" s="29"/>
      <c r="K781" s="29"/>
      <c r="L781" s="33"/>
      <c r="M781" s="33"/>
      <c r="N781" s="60"/>
      <c r="O781" s="71"/>
      <c r="P781" s="71"/>
      <c r="Q781" s="33"/>
      <c r="R781" s="31"/>
      <c r="S781" s="31"/>
      <c r="T781" s="59"/>
      <c r="U781" s="59"/>
      <c r="V781" s="59"/>
      <c r="W781" s="57">
        <f t="shared" si="21"/>
        <v>0</v>
      </c>
      <c r="X781" s="126" t="str">
        <f>IF(Table1[[#This Row],[Shipping Weight Pounds]]&gt;150,"See LTL Form","No")</f>
        <v>No</v>
      </c>
      <c r="Y781" s="28"/>
      <c r="Z781" s="33"/>
      <c r="AA781" s="34"/>
      <c r="AB781" s="30"/>
      <c r="AC781" s="30"/>
      <c r="AD781" s="32"/>
      <c r="AE781" s="32"/>
      <c r="AF781" s="2"/>
      <c r="AG781" s="2"/>
      <c r="AH781" s="2"/>
      <c r="AI781" s="2"/>
      <c r="AK781" s="73" t="str">
        <f>IF(ISNA(MATCH($N781,[1]data!$A:$A,0)),"",INDEX([1]data!S:S,MATCH($N781,[1]data!$A:$A,0)))</f>
        <v/>
      </c>
      <c r="AL781" s="73" t="str">
        <f>IF(ISNA(MATCH($N781,[1]data!$A:$A,0)),"",INDEX([1]data!V:V,MATCH($N781,[1]data!$A:$A,0)))</f>
        <v/>
      </c>
      <c r="AM781" s="38" t="str">
        <f>IF(ISNA(MATCH($N781,data!$A:$A,0)),"",INDEX(data!B:B,MATCH($N781,data!$A:$A,0)))</f>
        <v/>
      </c>
      <c r="AN781" s="38" t="str">
        <f>IF(ISNA(MATCH($N781,data!$A:$A,0)),"",INDEX(data!C:C,MATCH($N781,data!$A:$A,0)))</f>
        <v/>
      </c>
      <c r="AO781" s="38" t="str">
        <f>IF(ISNA(MATCH($N781,data!$A:$A,0)),"",INDEX(data!D:D,MATCH($N781,data!$A:$A,0)))</f>
        <v/>
      </c>
      <c r="AP781" s="38" t="str">
        <f>IF(ISNA(MATCH($N781,data!$A:$A,0)),"",INDEX(data!E:E,MATCH($N781,data!$A:$A,0)))</f>
        <v/>
      </c>
      <c r="AQ781" s="38" t="str">
        <f>IF(ISNA(MATCH($N781,data!$A:$A,0)),"",INDEX(data!F:F,MATCH($N781,data!$A:$A,0)))</f>
        <v/>
      </c>
      <c r="AR781" s="38" t="str">
        <f>IF(ISNA(MATCH($N781,data!$A:$A,0)),"",INDEX(data!G:G,MATCH($N781,data!$A:$A,0)))</f>
        <v/>
      </c>
      <c r="AS781" s="38" t="str">
        <f>IF(ISNA(MATCH($N781,data!$A:$A,0)),"",INDEX(data!H:H,MATCH($N781,data!$A:$A,0)))</f>
        <v/>
      </c>
      <c r="AT781" s="38" t="str">
        <f>IF(ISNA(MATCH($N781,data!$A:$A,0)),"",INDEX(data!I:I,MATCH($N781,data!$A:$A,0)))</f>
        <v/>
      </c>
      <c r="AU781" s="38" t="str">
        <f>IF(ISNA(MATCH($N781,[1]data!$A:$A,0)),"",INDEX([1]data!L:L,MATCH($N781,[1]data!$A:$A,0)))</f>
        <v/>
      </c>
      <c r="AV781" s="38" t="str">
        <f>IF(ISNA(MATCH($N781,[1]data!$A:$A,0)),"",INDEX([1]data!M:M,MATCH($N781,[1]data!$A:$A,0)))</f>
        <v/>
      </c>
      <c r="AW781" s="38" t="str">
        <f>IF(ISNA(MATCH($N781,data!$A:$A,0)),"",INDEX(data!J:J,MATCH($N781,data!$A:$A,0)))</f>
        <v/>
      </c>
      <c r="AX781" s="38" t="str">
        <f>IF(ISNA(MATCH($N781,data!$A:$A,0)),"",INDEX(data!K:K,MATCH($N781,data!$A:$A,0)))</f>
        <v/>
      </c>
      <c r="AY781" s="38" t="str">
        <f>IF(ISNA(MATCH($N781,data!$A:$A,0)),"",INDEX(data!O:O,MATCH($N781,data!$A:$A,0)))</f>
        <v/>
      </c>
      <c r="AZ781" s="38" t="str">
        <f>IF(ISNA(MATCH($N781,data!$A:$A,0)),"",INDEX(data!N:N,MATCH($N781,data!$A:$A,0)))</f>
        <v/>
      </c>
      <c r="BA781" s="38" t="str">
        <f>IF(ISNA(MATCH($N781,data!$A:$A,0)),"",INDEX(data!P:P,MATCH($N781,data!$A:$A,0)))</f>
        <v/>
      </c>
      <c r="BB781" s="38" t="str">
        <f>IF(ISNA(MATCH($N781,data!$A:$A,0)),"",INDEX(data!Q:Q,MATCH($N781,data!$A:$A,0)))</f>
        <v/>
      </c>
      <c r="BC781" s="38" t="str">
        <f>IF(ISNA(MATCH($N781,data!$A:$A,0)),"",INDEX(data!R:R,MATCH($N781,data!$A:$A,0)))</f>
        <v/>
      </c>
      <c r="BD781" s="38" t="str">
        <f>IF(ISNA(MATCH($N781,[1]data!$A:$A,0)),"",INDEX([1]data!U:U,MATCH($N781,[1]data!$A:$A,0)))</f>
        <v/>
      </c>
      <c r="BE781" s="61" t="e">
        <f>IF(COUNTIF([1]data!A:A,[1]!Table1[[#This Row],[UPC]])&lt;2,"","DUP")</f>
        <v>#VALUE!</v>
      </c>
      <c r="BF781" s="38" t="str">
        <f>IF(ISNA(MATCH($N781,data!$A:$A,0)),"",INDEX(data!W:W,MATCH($N781,data!$A:$A,0)))</f>
        <v/>
      </c>
    </row>
    <row r="782" spans="1:58">
      <c r="A782" s="35"/>
      <c r="B782" s="35"/>
      <c r="C782" s="35"/>
      <c r="D782" s="35"/>
      <c r="E782" s="67"/>
      <c r="F782" s="67"/>
      <c r="G782" s="36"/>
      <c r="H782" s="29"/>
      <c r="I782" s="78" t="str">
        <f t="shared" si="20"/>
        <v/>
      </c>
      <c r="J782" s="29"/>
      <c r="K782" s="29"/>
      <c r="L782" s="33"/>
      <c r="M782" s="33"/>
      <c r="N782" s="60"/>
      <c r="O782" s="71"/>
      <c r="P782" s="71"/>
      <c r="Q782" s="33"/>
      <c r="R782" s="31"/>
      <c r="S782" s="31"/>
      <c r="T782" s="59"/>
      <c r="U782" s="59"/>
      <c r="V782" s="59"/>
      <c r="W782" s="57">
        <f t="shared" si="21"/>
        <v>0</v>
      </c>
      <c r="X782" s="126" t="str">
        <f>IF(Table1[[#This Row],[Shipping Weight Pounds]]&gt;150,"See LTL Form","No")</f>
        <v>No</v>
      </c>
      <c r="Y782" s="28"/>
      <c r="Z782" s="33"/>
      <c r="AA782" s="34"/>
      <c r="AB782" s="30"/>
      <c r="AC782" s="30"/>
      <c r="AD782" s="32"/>
      <c r="AE782" s="32"/>
      <c r="AF782" s="2"/>
      <c r="AG782" s="2"/>
      <c r="AH782" s="2"/>
      <c r="AI782" s="2"/>
      <c r="AK782" s="73" t="str">
        <f>IF(ISNA(MATCH($N782,[1]data!$A:$A,0)),"",INDEX([1]data!S:S,MATCH($N782,[1]data!$A:$A,0)))</f>
        <v/>
      </c>
      <c r="AL782" s="73" t="str">
        <f>IF(ISNA(MATCH($N782,[1]data!$A:$A,0)),"",INDEX([1]data!V:V,MATCH($N782,[1]data!$A:$A,0)))</f>
        <v/>
      </c>
      <c r="AM782" s="38" t="str">
        <f>IF(ISNA(MATCH($N782,data!$A:$A,0)),"",INDEX(data!B:B,MATCH($N782,data!$A:$A,0)))</f>
        <v/>
      </c>
      <c r="AN782" s="38" t="str">
        <f>IF(ISNA(MATCH($N782,data!$A:$A,0)),"",INDEX(data!C:C,MATCH($N782,data!$A:$A,0)))</f>
        <v/>
      </c>
      <c r="AO782" s="38" t="str">
        <f>IF(ISNA(MATCH($N782,data!$A:$A,0)),"",INDEX(data!D:D,MATCH($N782,data!$A:$A,0)))</f>
        <v/>
      </c>
      <c r="AP782" s="38" t="str">
        <f>IF(ISNA(MATCH($N782,data!$A:$A,0)),"",INDEX(data!E:E,MATCH($N782,data!$A:$A,0)))</f>
        <v/>
      </c>
      <c r="AQ782" s="38" t="str">
        <f>IF(ISNA(MATCH($N782,data!$A:$A,0)),"",INDEX(data!F:F,MATCH($N782,data!$A:$A,0)))</f>
        <v/>
      </c>
      <c r="AR782" s="38" t="str">
        <f>IF(ISNA(MATCH($N782,data!$A:$A,0)),"",INDEX(data!G:G,MATCH($N782,data!$A:$A,0)))</f>
        <v/>
      </c>
      <c r="AS782" s="38" t="str">
        <f>IF(ISNA(MATCH($N782,data!$A:$A,0)),"",INDEX(data!H:H,MATCH($N782,data!$A:$A,0)))</f>
        <v/>
      </c>
      <c r="AT782" s="38" t="str">
        <f>IF(ISNA(MATCH($N782,data!$A:$A,0)),"",INDEX(data!I:I,MATCH($N782,data!$A:$A,0)))</f>
        <v/>
      </c>
      <c r="AU782" s="38" t="str">
        <f>IF(ISNA(MATCH($N782,[1]data!$A:$A,0)),"",INDEX([1]data!L:L,MATCH($N782,[1]data!$A:$A,0)))</f>
        <v/>
      </c>
      <c r="AV782" s="38" t="str">
        <f>IF(ISNA(MATCH($N782,[1]data!$A:$A,0)),"",INDEX([1]data!M:M,MATCH($N782,[1]data!$A:$A,0)))</f>
        <v/>
      </c>
      <c r="AW782" s="38" t="str">
        <f>IF(ISNA(MATCH($N782,data!$A:$A,0)),"",INDEX(data!J:J,MATCH($N782,data!$A:$A,0)))</f>
        <v/>
      </c>
      <c r="AX782" s="38" t="str">
        <f>IF(ISNA(MATCH($N782,data!$A:$A,0)),"",INDEX(data!K:K,MATCH($N782,data!$A:$A,0)))</f>
        <v/>
      </c>
      <c r="AY782" s="38" t="str">
        <f>IF(ISNA(MATCH($N782,data!$A:$A,0)),"",INDEX(data!O:O,MATCH($N782,data!$A:$A,0)))</f>
        <v/>
      </c>
      <c r="AZ782" s="38" t="str">
        <f>IF(ISNA(MATCH($N782,data!$A:$A,0)),"",INDEX(data!N:N,MATCH($N782,data!$A:$A,0)))</f>
        <v/>
      </c>
      <c r="BA782" s="38" t="str">
        <f>IF(ISNA(MATCH($N782,data!$A:$A,0)),"",INDEX(data!P:P,MATCH($N782,data!$A:$A,0)))</f>
        <v/>
      </c>
      <c r="BB782" s="38" t="str">
        <f>IF(ISNA(MATCH($N782,data!$A:$A,0)),"",INDEX(data!Q:Q,MATCH($N782,data!$A:$A,0)))</f>
        <v/>
      </c>
      <c r="BC782" s="38" t="str">
        <f>IF(ISNA(MATCH($N782,data!$A:$A,0)),"",INDEX(data!R:R,MATCH($N782,data!$A:$A,0)))</f>
        <v/>
      </c>
      <c r="BD782" s="38" t="str">
        <f>IF(ISNA(MATCH($N782,[1]data!$A:$A,0)),"",INDEX([1]data!U:U,MATCH($N782,[1]data!$A:$A,0)))</f>
        <v/>
      </c>
      <c r="BE782" s="61" t="e">
        <f>IF(COUNTIF([1]data!A:A,[1]!Table1[[#This Row],[UPC]])&lt;2,"","DUP")</f>
        <v>#VALUE!</v>
      </c>
      <c r="BF782" s="38" t="str">
        <f>IF(ISNA(MATCH($N782,data!$A:$A,0)),"",INDEX(data!W:W,MATCH($N782,data!$A:$A,0)))</f>
        <v/>
      </c>
    </row>
    <row r="783" spans="1:58">
      <c r="A783" s="35"/>
      <c r="B783" s="35"/>
      <c r="C783" s="35"/>
      <c r="D783" s="35"/>
      <c r="E783" s="67"/>
      <c r="F783" s="67"/>
      <c r="G783" s="36"/>
      <c r="H783" s="29"/>
      <c r="I783" s="78" t="str">
        <f t="shared" si="20"/>
        <v/>
      </c>
      <c r="J783" s="29"/>
      <c r="K783" s="29"/>
      <c r="L783" s="33"/>
      <c r="M783" s="33"/>
      <c r="N783" s="60"/>
      <c r="O783" s="71"/>
      <c r="P783" s="71"/>
      <c r="Q783" s="33"/>
      <c r="R783" s="31"/>
      <c r="S783" s="31"/>
      <c r="T783" s="59"/>
      <c r="U783" s="59"/>
      <c r="V783" s="59"/>
      <c r="W783" s="57">
        <f t="shared" si="21"/>
        <v>0</v>
      </c>
      <c r="X783" s="126" t="str">
        <f>IF(Table1[[#This Row],[Shipping Weight Pounds]]&gt;150,"See LTL Form","No")</f>
        <v>No</v>
      </c>
      <c r="Y783" s="28"/>
      <c r="Z783" s="33"/>
      <c r="AA783" s="34"/>
      <c r="AB783" s="30"/>
      <c r="AC783" s="30"/>
      <c r="AD783" s="32"/>
      <c r="AE783" s="32"/>
      <c r="AF783" s="2"/>
      <c r="AG783" s="2"/>
      <c r="AH783" s="2"/>
      <c r="AI783" s="2"/>
      <c r="AK783" s="73" t="str">
        <f>IF(ISNA(MATCH($N783,[1]data!$A:$A,0)),"",INDEX([1]data!S:S,MATCH($N783,[1]data!$A:$A,0)))</f>
        <v/>
      </c>
      <c r="AL783" s="73" t="str">
        <f>IF(ISNA(MATCH($N783,[1]data!$A:$A,0)),"",INDEX([1]data!V:V,MATCH($N783,[1]data!$A:$A,0)))</f>
        <v/>
      </c>
      <c r="AM783" s="38" t="str">
        <f>IF(ISNA(MATCH($N783,data!$A:$A,0)),"",INDEX(data!B:B,MATCH($N783,data!$A:$A,0)))</f>
        <v/>
      </c>
      <c r="AN783" s="38" t="str">
        <f>IF(ISNA(MATCH($N783,data!$A:$A,0)),"",INDEX(data!C:C,MATCH($N783,data!$A:$A,0)))</f>
        <v/>
      </c>
      <c r="AO783" s="38" t="str">
        <f>IF(ISNA(MATCH($N783,data!$A:$A,0)),"",INDEX(data!D:D,MATCH($N783,data!$A:$A,0)))</f>
        <v/>
      </c>
      <c r="AP783" s="38" t="str">
        <f>IF(ISNA(MATCH($N783,data!$A:$A,0)),"",INDEX(data!E:E,MATCH($N783,data!$A:$A,0)))</f>
        <v/>
      </c>
      <c r="AQ783" s="38" t="str">
        <f>IF(ISNA(MATCH($N783,data!$A:$A,0)),"",INDEX(data!F:F,MATCH($N783,data!$A:$A,0)))</f>
        <v/>
      </c>
      <c r="AR783" s="38" t="str">
        <f>IF(ISNA(MATCH($N783,data!$A:$A,0)),"",INDEX(data!G:G,MATCH($N783,data!$A:$A,0)))</f>
        <v/>
      </c>
      <c r="AS783" s="38" t="str">
        <f>IF(ISNA(MATCH($N783,data!$A:$A,0)),"",INDEX(data!H:H,MATCH($N783,data!$A:$A,0)))</f>
        <v/>
      </c>
      <c r="AT783" s="38" t="str">
        <f>IF(ISNA(MATCH($N783,data!$A:$A,0)),"",INDEX(data!I:I,MATCH($N783,data!$A:$A,0)))</f>
        <v/>
      </c>
      <c r="AU783" s="38" t="str">
        <f>IF(ISNA(MATCH($N783,[1]data!$A:$A,0)),"",INDEX([1]data!L:L,MATCH($N783,[1]data!$A:$A,0)))</f>
        <v/>
      </c>
      <c r="AV783" s="38" t="str">
        <f>IF(ISNA(MATCH($N783,[1]data!$A:$A,0)),"",INDEX([1]data!M:M,MATCH($N783,[1]data!$A:$A,0)))</f>
        <v/>
      </c>
      <c r="AW783" s="38" t="str">
        <f>IF(ISNA(MATCH($N783,data!$A:$A,0)),"",INDEX(data!J:J,MATCH($N783,data!$A:$A,0)))</f>
        <v/>
      </c>
      <c r="AX783" s="38" t="str">
        <f>IF(ISNA(MATCH($N783,data!$A:$A,0)),"",INDEX(data!K:K,MATCH($N783,data!$A:$A,0)))</f>
        <v/>
      </c>
      <c r="AY783" s="38" t="str">
        <f>IF(ISNA(MATCH($N783,data!$A:$A,0)),"",INDEX(data!O:O,MATCH($N783,data!$A:$A,0)))</f>
        <v/>
      </c>
      <c r="AZ783" s="38" t="str">
        <f>IF(ISNA(MATCH($N783,data!$A:$A,0)),"",INDEX(data!N:N,MATCH($N783,data!$A:$A,0)))</f>
        <v/>
      </c>
      <c r="BA783" s="38" t="str">
        <f>IF(ISNA(MATCH($N783,data!$A:$A,0)),"",INDEX(data!P:P,MATCH($N783,data!$A:$A,0)))</f>
        <v/>
      </c>
      <c r="BB783" s="38" t="str">
        <f>IF(ISNA(MATCH($N783,data!$A:$A,0)),"",INDEX(data!Q:Q,MATCH($N783,data!$A:$A,0)))</f>
        <v/>
      </c>
      <c r="BC783" s="38" t="str">
        <f>IF(ISNA(MATCH($N783,data!$A:$A,0)),"",INDEX(data!R:R,MATCH($N783,data!$A:$A,0)))</f>
        <v/>
      </c>
      <c r="BD783" s="38" t="str">
        <f>IF(ISNA(MATCH($N783,[1]data!$A:$A,0)),"",INDEX([1]data!U:U,MATCH($N783,[1]data!$A:$A,0)))</f>
        <v/>
      </c>
      <c r="BE783" s="61" t="e">
        <f>IF(COUNTIF([1]data!A:A,[1]!Table1[[#This Row],[UPC]])&lt;2,"","DUP")</f>
        <v>#VALUE!</v>
      </c>
      <c r="BF783" s="38" t="str">
        <f>IF(ISNA(MATCH($N783,data!$A:$A,0)),"",INDEX(data!W:W,MATCH($N783,data!$A:$A,0)))</f>
        <v/>
      </c>
    </row>
    <row r="784" spans="1:58">
      <c r="A784" s="35"/>
      <c r="B784" s="35"/>
      <c r="C784" s="35"/>
      <c r="D784" s="35"/>
      <c r="E784" s="67"/>
      <c r="F784" s="67"/>
      <c r="G784" s="36"/>
      <c r="H784" s="29"/>
      <c r="I784" s="78" t="str">
        <f t="shared" si="20"/>
        <v/>
      </c>
      <c r="J784" s="29"/>
      <c r="K784" s="29"/>
      <c r="L784" s="33"/>
      <c r="M784" s="33"/>
      <c r="N784" s="60"/>
      <c r="O784" s="71"/>
      <c r="P784" s="71"/>
      <c r="Q784" s="33"/>
      <c r="R784" s="31"/>
      <c r="S784" s="31"/>
      <c r="T784" s="59"/>
      <c r="U784" s="59"/>
      <c r="V784" s="59"/>
      <c r="W784" s="57">
        <f t="shared" si="21"/>
        <v>0</v>
      </c>
      <c r="X784" s="126" t="str">
        <f>IF(Table1[[#This Row],[Shipping Weight Pounds]]&gt;150,"See LTL Form","No")</f>
        <v>No</v>
      </c>
      <c r="Y784" s="28"/>
      <c r="Z784" s="33"/>
      <c r="AA784" s="34"/>
      <c r="AB784" s="30"/>
      <c r="AC784" s="30"/>
      <c r="AD784" s="32"/>
      <c r="AE784" s="32"/>
      <c r="AF784" s="2"/>
      <c r="AG784" s="2"/>
      <c r="AH784" s="2"/>
      <c r="AI784" s="2"/>
      <c r="AK784" s="73" t="str">
        <f>IF(ISNA(MATCH($N784,[1]data!$A:$A,0)),"",INDEX([1]data!S:S,MATCH($N784,[1]data!$A:$A,0)))</f>
        <v/>
      </c>
      <c r="AL784" s="73" t="str">
        <f>IF(ISNA(MATCH($N784,[1]data!$A:$A,0)),"",INDEX([1]data!V:V,MATCH($N784,[1]data!$A:$A,0)))</f>
        <v/>
      </c>
      <c r="AM784" s="38" t="str">
        <f>IF(ISNA(MATCH($N784,data!$A:$A,0)),"",INDEX(data!B:B,MATCH($N784,data!$A:$A,0)))</f>
        <v/>
      </c>
      <c r="AN784" s="38" t="str">
        <f>IF(ISNA(MATCH($N784,data!$A:$A,0)),"",INDEX(data!C:C,MATCH($N784,data!$A:$A,0)))</f>
        <v/>
      </c>
      <c r="AO784" s="38" t="str">
        <f>IF(ISNA(MATCH($N784,data!$A:$A,0)),"",INDEX(data!D:D,MATCH($N784,data!$A:$A,0)))</f>
        <v/>
      </c>
      <c r="AP784" s="38" t="str">
        <f>IF(ISNA(MATCH($N784,data!$A:$A,0)),"",INDEX(data!E:E,MATCH($N784,data!$A:$A,0)))</f>
        <v/>
      </c>
      <c r="AQ784" s="38" t="str">
        <f>IF(ISNA(MATCH($N784,data!$A:$A,0)),"",INDEX(data!F:F,MATCH($N784,data!$A:$A,0)))</f>
        <v/>
      </c>
      <c r="AR784" s="38" t="str">
        <f>IF(ISNA(MATCH($N784,data!$A:$A,0)),"",INDEX(data!G:G,MATCH($N784,data!$A:$A,0)))</f>
        <v/>
      </c>
      <c r="AS784" s="38" t="str">
        <f>IF(ISNA(MATCH($N784,data!$A:$A,0)),"",INDEX(data!H:H,MATCH($N784,data!$A:$A,0)))</f>
        <v/>
      </c>
      <c r="AT784" s="38" t="str">
        <f>IF(ISNA(MATCH($N784,data!$A:$A,0)),"",INDEX(data!I:I,MATCH($N784,data!$A:$A,0)))</f>
        <v/>
      </c>
      <c r="AU784" s="38" t="str">
        <f>IF(ISNA(MATCH($N784,[1]data!$A:$A,0)),"",INDEX([1]data!L:L,MATCH($N784,[1]data!$A:$A,0)))</f>
        <v/>
      </c>
      <c r="AV784" s="38" t="str">
        <f>IF(ISNA(MATCH($N784,[1]data!$A:$A,0)),"",INDEX([1]data!M:M,MATCH($N784,[1]data!$A:$A,0)))</f>
        <v/>
      </c>
      <c r="AW784" s="38" t="str">
        <f>IF(ISNA(MATCH($N784,data!$A:$A,0)),"",INDEX(data!J:J,MATCH($N784,data!$A:$A,0)))</f>
        <v/>
      </c>
      <c r="AX784" s="38" t="str">
        <f>IF(ISNA(MATCH($N784,data!$A:$A,0)),"",INDEX(data!K:K,MATCH($N784,data!$A:$A,0)))</f>
        <v/>
      </c>
      <c r="AY784" s="38" t="str">
        <f>IF(ISNA(MATCH($N784,data!$A:$A,0)),"",INDEX(data!O:O,MATCH($N784,data!$A:$A,0)))</f>
        <v/>
      </c>
      <c r="AZ784" s="38" t="str">
        <f>IF(ISNA(MATCH($N784,data!$A:$A,0)),"",INDEX(data!N:N,MATCH($N784,data!$A:$A,0)))</f>
        <v/>
      </c>
      <c r="BA784" s="38" t="str">
        <f>IF(ISNA(MATCH($N784,data!$A:$A,0)),"",INDEX(data!P:P,MATCH($N784,data!$A:$A,0)))</f>
        <v/>
      </c>
      <c r="BB784" s="38" t="str">
        <f>IF(ISNA(MATCH($N784,data!$A:$A,0)),"",INDEX(data!Q:Q,MATCH($N784,data!$A:$A,0)))</f>
        <v/>
      </c>
      <c r="BC784" s="38" t="str">
        <f>IF(ISNA(MATCH($N784,data!$A:$A,0)),"",INDEX(data!R:R,MATCH($N784,data!$A:$A,0)))</f>
        <v/>
      </c>
      <c r="BD784" s="38" t="str">
        <f>IF(ISNA(MATCH($N784,[1]data!$A:$A,0)),"",INDEX([1]data!U:U,MATCH($N784,[1]data!$A:$A,0)))</f>
        <v/>
      </c>
      <c r="BE784" s="61" t="e">
        <f>IF(COUNTIF([1]data!A:A,[1]!Table1[[#This Row],[UPC]])&lt;2,"","DUP")</f>
        <v>#VALUE!</v>
      </c>
      <c r="BF784" s="38" t="str">
        <f>IF(ISNA(MATCH($N784,data!$A:$A,0)),"",INDEX(data!W:W,MATCH($N784,data!$A:$A,0)))</f>
        <v/>
      </c>
    </row>
    <row r="785" spans="1:58">
      <c r="A785" s="35"/>
      <c r="B785" s="35"/>
      <c r="C785" s="35"/>
      <c r="D785" s="35"/>
      <c r="E785" s="67"/>
      <c r="F785" s="67"/>
      <c r="G785" s="36"/>
      <c r="H785" s="29"/>
      <c r="I785" s="78" t="str">
        <f t="shared" si="20"/>
        <v/>
      </c>
      <c r="J785" s="29"/>
      <c r="K785" s="29"/>
      <c r="L785" s="33"/>
      <c r="M785" s="33"/>
      <c r="N785" s="60"/>
      <c r="O785" s="71"/>
      <c r="P785" s="71"/>
      <c r="Q785" s="33"/>
      <c r="R785" s="31"/>
      <c r="S785" s="31"/>
      <c r="T785" s="59"/>
      <c r="U785" s="59"/>
      <c r="V785" s="59"/>
      <c r="W785" s="57">
        <f t="shared" si="21"/>
        <v>0</v>
      </c>
      <c r="X785" s="126" t="str">
        <f>IF(Table1[[#This Row],[Shipping Weight Pounds]]&gt;150,"See LTL Form","No")</f>
        <v>No</v>
      </c>
      <c r="Y785" s="28"/>
      <c r="Z785" s="33"/>
      <c r="AA785" s="34"/>
      <c r="AB785" s="30"/>
      <c r="AC785" s="30"/>
      <c r="AD785" s="32"/>
      <c r="AE785" s="32"/>
      <c r="AF785" s="2"/>
      <c r="AG785" s="2"/>
      <c r="AH785" s="2"/>
      <c r="AI785" s="2"/>
      <c r="AK785" s="73" t="str">
        <f>IF(ISNA(MATCH($N785,[1]data!$A:$A,0)),"",INDEX([1]data!S:S,MATCH($N785,[1]data!$A:$A,0)))</f>
        <v/>
      </c>
      <c r="AL785" s="73" t="str">
        <f>IF(ISNA(MATCH($N785,[1]data!$A:$A,0)),"",INDEX([1]data!V:V,MATCH($N785,[1]data!$A:$A,0)))</f>
        <v/>
      </c>
      <c r="AM785" s="38" t="str">
        <f>IF(ISNA(MATCH($N785,data!$A:$A,0)),"",INDEX(data!B:B,MATCH($N785,data!$A:$A,0)))</f>
        <v/>
      </c>
      <c r="AN785" s="38" t="str">
        <f>IF(ISNA(MATCH($N785,data!$A:$A,0)),"",INDEX(data!C:C,MATCH($N785,data!$A:$A,0)))</f>
        <v/>
      </c>
      <c r="AO785" s="38" t="str">
        <f>IF(ISNA(MATCH($N785,data!$A:$A,0)),"",INDEX(data!D:D,MATCH($N785,data!$A:$A,0)))</f>
        <v/>
      </c>
      <c r="AP785" s="38" t="str">
        <f>IF(ISNA(MATCH($N785,data!$A:$A,0)),"",INDEX(data!E:E,MATCH($N785,data!$A:$A,0)))</f>
        <v/>
      </c>
      <c r="AQ785" s="38" t="str">
        <f>IF(ISNA(MATCH($N785,data!$A:$A,0)),"",INDEX(data!F:F,MATCH($N785,data!$A:$A,0)))</f>
        <v/>
      </c>
      <c r="AR785" s="38" t="str">
        <f>IF(ISNA(MATCH($N785,data!$A:$A,0)),"",INDEX(data!G:G,MATCH($N785,data!$A:$A,0)))</f>
        <v/>
      </c>
      <c r="AS785" s="38" t="str">
        <f>IF(ISNA(MATCH($N785,data!$A:$A,0)),"",INDEX(data!H:H,MATCH($N785,data!$A:$A,0)))</f>
        <v/>
      </c>
      <c r="AT785" s="38" t="str">
        <f>IF(ISNA(MATCH($N785,data!$A:$A,0)),"",INDEX(data!I:I,MATCH($N785,data!$A:$A,0)))</f>
        <v/>
      </c>
      <c r="AU785" s="38" t="str">
        <f>IF(ISNA(MATCH($N785,[1]data!$A:$A,0)),"",INDEX([1]data!L:L,MATCH($N785,[1]data!$A:$A,0)))</f>
        <v/>
      </c>
      <c r="AV785" s="38" t="str">
        <f>IF(ISNA(MATCH($N785,[1]data!$A:$A,0)),"",INDEX([1]data!M:M,MATCH($N785,[1]data!$A:$A,0)))</f>
        <v/>
      </c>
      <c r="AW785" s="38" t="str">
        <f>IF(ISNA(MATCH($N785,data!$A:$A,0)),"",INDEX(data!J:J,MATCH($N785,data!$A:$A,0)))</f>
        <v/>
      </c>
      <c r="AX785" s="38" t="str">
        <f>IF(ISNA(MATCH($N785,data!$A:$A,0)),"",INDEX(data!K:K,MATCH($N785,data!$A:$A,0)))</f>
        <v/>
      </c>
      <c r="AY785" s="38" t="str">
        <f>IF(ISNA(MATCH($N785,data!$A:$A,0)),"",INDEX(data!O:O,MATCH($N785,data!$A:$A,0)))</f>
        <v/>
      </c>
      <c r="AZ785" s="38" t="str">
        <f>IF(ISNA(MATCH($N785,data!$A:$A,0)),"",INDEX(data!N:N,MATCH($N785,data!$A:$A,0)))</f>
        <v/>
      </c>
      <c r="BA785" s="38" t="str">
        <f>IF(ISNA(MATCH($N785,data!$A:$A,0)),"",INDEX(data!P:P,MATCH($N785,data!$A:$A,0)))</f>
        <v/>
      </c>
      <c r="BB785" s="38" t="str">
        <f>IF(ISNA(MATCH($N785,data!$A:$A,0)),"",INDEX(data!Q:Q,MATCH($N785,data!$A:$A,0)))</f>
        <v/>
      </c>
      <c r="BC785" s="38" t="str">
        <f>IF(ISNA(MATCH($N785,data!$A:$A,0)),"",INDEX(data!R:R,MATCH($N785,data!$A:$A,0)))</f>
        <v/>
      </c>
      <c r="BD785" s="38" t="str">
        <f>IF(ISNA(MATCH($N785,[1]data!$A:$A,0)),"",INDEX([1]data!U:U,MATCH($N785,[1]data!$A:$A,0)))</f>
        <v/>
      </c>
      <c r="BE785" s="61" t="e">
        <f>IF(COUNTIF([1]data!A:A,[1]!Table1[[#This Row],[UPC]])&lt;2,"","DUP")</f>
        <v>#VALUE!</v>
      </c>
      <c r="BF785" s="38" t="str">
        <f>IF(ISNA(MATCH($N785,data!$A:$A,0)),"",INDEX(data!W:W,MATCH($N785,data!$A:$A,0)))</f>
        <v/>
      </c>
    </row>
    <row r="786" spans="1:58">
      <c r="A786" s="35"/>
      <c r="B786" s="35"/>
      <c r="C786" s="35"/>
      <c r="D786" s="35"/>
      <c r="E786" s="67"/>
      <c r="F786" s="67"/>
      <c r="G786" s="36"/>
      <c r="H786" s="29"/>
      <c r="I786" s="78" t="str">
        <f t="shared" si="20"/>
        <v/>
      </c>
      <c r="J786" s="29"/>
      <c r="K786" s="29"/>
      <c r="L786" s="33"/>
      <c r="M786" s="33"/>
      <c r="N786" s="60"/>
      <c r="O786" s="71"/>
      <c r="P786" s="71"/>
      <c r="Q786" s="33"/>
      <c r="R786" s="31"/>
      <c r="S786" s="31"/>
      <c r="T786" s="59"/>
      <c r="U786" s="59"/>
      <c r="V786" s="59"/>
      <c r="W786" s="57">
        <f t="shared" si="21"/>
        <v>0</v>
      </c>
      <c r="X786" s="126" t="str">
        <f>IF(Table1[[#This Row],[Shipping Weight Pounds]]&gt;150,"See LTL Form","No")</f>
        <v>No</v>
      </c>
      <c r="Y786" s="28"/>
      <c r="Z786" s="33"/>
      <c r="AA786" s="34"/>
      <c r="AB786" s="30"/>
      <c r="AC786" s="30"/>
      <c r="AD786" s="32"/>
      <c r="AE786" s="32"/>
      <c r="AF786" s="2"/>
      <c r="AG786" s="2"/>
      <c r="AH786" s="2"/>
      <c r="AI786" s="2"/>
      <c r="AK786" s="73" t="str">
        <f>IF(ISNA(MATCH($N786,[1]data!$A:$A,0)),"",INDEX([1]data!S:S,MATCH($N786,[1]data!$A:$A,0)))</f>
        <v/>
      </c>
      <c r="AL786" s="73" t="str">
        <f>IF(ISNA(MATCH($N786,[1]data!$A:$A,0)),"",INDEX([1]data!V:V,MATCH($N786,[1]data!$A:$A,0)))</f>
        <v/>
      </c>
      <c r="AM786" s="38" t="str">
        <f>IF(ISNA(MATCH($N786,data!$A:$A,0)),"",INDEX(data!B:B,MATCH($N786,data!$A:$A,0)))</f>
        <v/>
      </c>
      <c r="AN786" s="38" t="str">
        <f>IF(ISNA(MATCH($N786,data!$A:$A,0)),"",INDEX(data!C:C,MATCH($N786,data!$A:$A,0)))</f>
        <v/>
      </c>
      <c r="AO786" s="38" t="str">
        <f>IF(ISNA(MATCH($N786,data!$A:$A,0)),"",INDEX(data!D:D,MATCH($N786,data!$A:$A,0)))</f>
        <v/>
      </c>
      <c r="AP786" s="38" t="str">
        <f>IF(ISNA(MATCH($N786,data!$A:$A,0)),"",INDEX(data!E:E,MATCH($N786,data!$A:$A,0)))</f>
        <v/>
      </c>
      <c r="AQ786" s="38" t="str">
        <f>IF(ISNA(MATCH($N786,data!$A:$A,0)),"",INDEX(data!F:F,MATCH($N786,data!$A:$A,0)))</f>
        <v/>
      </c>
      <c r="AR786" s="38" t="str">
        <f>IF(ISNA(MATCH($N786,data!$A:$A,0)),"",INDEX(data!G:G,MATCH($N786,data!$A:$A,0)))</f>
        <v/>
      </c>
      <c r="AS786" s="38" t="str">
        <f>IF(ISNA(MATCH($N786,data!$A:$A,0)),"",INDEX(data!H:H,MATCH($N786,data!$A:$A,0)))</f>
        <v/>
      </c>
      <c r="AT786" s="38" t="str">
        <f>IF(ISNA(MATCH($N786,data!$A:$A,0)),"",INDEX(data!I:I,MATCH($N786,data!$A:$A,0)))</f>
        <v/>
      </c>
      <c r="AU786" s="38" t="str">
        <f>IF(ISNA(MATCH($N786,[1]data!$A:$A,0)),"",INDEX([1]data!L:L,MATCH($N786,[1]data!$A:$A,0)))</f>
        <v/>
      </c>
      <c r="AV786" s="38" t="str">
        <f>IF(ISNA(MATCH($N786,[1]data!$A:$A,0)),"",INDEX([1]data!M:M,MATCH($N786,[1]data!$A:$A,0)))</f>
        <v/>
      </c>
      <c r="AW786" s="38" t="str">
        <f>IF(ISNA(MATCH($N786,data!$A:$A,0)),"",INDEX(data!J:J,MATCH($N786,data!$A:$A,0)))</f>
        <v/>
      </c>
      <c r="AX786" s="38" t="str">
        <f>IF(ISNA(MATCH($N786,data!$A:$A,0)),"",INDEX(data!K:K,MATCH($N786,data!$A:$A,0)))</f>
        <v/>
      </c>
      <c r="AY786" s="38" t="str">
        <f>IF(ISNA(MATCH($N786,data!$A:$A,0)),"",INDEX(data!O:O,MATCH($N786,data!$A:$A,0)))</f>
        <v/>
      </c>
      <c r="AZ786" s="38" t="str">
        <f>IF(ISNA(MATCH($N786,data!$A:$A,0)),"",INDEX(data!N:N,MATCH($N786,data!$A:$A,0)))</f>
        <v/>
      </c>
      <c r="BA786" s="38" t="str">
        <f>IF(ISNA(MATCH($N786,data!$A:$A,0)),"",INDEX(data!P:P,MATCH($N786,data!$A:$A,0)))</f>
        <v/>
      </c>
      <c r="BB786" s="38" t="str">
        <f>IF(ISNA(MATCH($N786,data!$A:$A,0)),"",INDEX(data!Q:Q,MATCH($N786,data!$A:$A,0)))</f>
        <v/>
      </c>
      <c r="BC786" s="38" t="str">
        <f>IF(ISNA(MATCH($N786,data!$A:$A,0)),"",INDEX(data!R:R,MATCH($N786,data!$A:$A,0)))</f>
        <v/>
      </c>
      <c r="BD786" s="38" t="str">
        <f>IF(ISNA(MATCH($N786,[1]data!$A:$A,0)),"",INDEX([1]data!U:U,MATCH($N786,[1]data!$A:$A,0)))</f>
        <v/>
      </c>
      <c r="BE786" s="61" t="e">
        <f>IF(COUNTIF([1]data!A:A,[1]!Table1[[#This Row],[UPC]])&lt;2,"","DUP")</f>
        <v>#VALUE!</v>
      </c>
      <c r="BF786" s="38" t="str">
        <f>IF(ISNA(MATCH($N786,data!$A:$A,0)),"",INDEX(data!W:W,MATCH($N786,data!$A:$A,0)))</f>
        <v/>
      </c>
    </row>
    <row r="787" spans="1:58">
      <c r="A787" s="35"/>
      <c r="B787" s="35"/>
      <c r="C787" s="35"/>
      <c r="D787" s="35"/>
      <c r="E787" s="67"/>
      <c r="F787" s="67"/>
      <c r="G787" s="36"/>
      <c r="H787" s="29"/>
      <c r="I787" s="78" t="str">
        <f t="shared" si="20"/>
        <v/>
      </c>
      <c r="J787" s="29"/>
      <c r="K787" s="29"/>
      <c r="L787" s="33"/>
      <c r="M787" s="33"/>
      <c r="N787" s="60"/>
      <c r="O787" s="71"/>
      <c r="P787" s="71"/>
      <c r="Q787" s="33"/>
      <c r="R787" s="31"/>
      <c r="S787" s="31"/>
      <c r="T787" s="59"/>
      <c r="U787" s="59"/>
      <c r="V787" s="59"/>
      <c r="W787" s="57">
        <f t="shared" si="21"/>
        <v>0</v>
      </c>
      <c r="X787" s="126" t="str">
        <f>IF(Table1[[#This Row],[Shipping Weight Pounds]]&gt;150,"See LTL Form","No")</f>
        <v>No</v>
      </c>
      <c r="Y787" s="28"/>
      <c r="Z787" s="33"/>
      <c r="AA787" s="34"/>
      <c r="AB787" s="30"/>
      <c r="AC787" s="30"/>
      <c r="AD787" s="32"/>
      <c r="AE787" s="32"/>
      <c r="AF787" s="2"/>
      <c r="AG787" s="2"/>
      <c r="AH787" s="2"/>
      <c r="AI787" s="2"/>
      <c r="AK787" s="73" t="str">
        <f>IF(ISNA(MATCH($N787,[1]data!$A:$A,0)),"",INDEX([1]data!S:S,MATCH($N787,[1]data!$A:$A,0)))</f>
        <v/>
      </c>
      <c r="AL787" s="73" t="str">
        <f>IF(ISNA(MATCH($N787,[1]data!$A:$A,0)),"",INDEX([1]data!V:V,MATCH($N787,[1]data!$A:$A,0)))</f>
        <v/>
      </c>
      <c r="AM787" s="38" t="str">
        <f>IF(ISNA(MATCH($N787,data!$A:$A,0)),"",INDEX(data!B:B,MATCH($N787,data!$A:$A,0)))</f>
        <v/>
      </c>
      <c r="AN787" s="38" t="str">
        <f>IF(ISNA(MATCH($N787,data!$A:$A,0)),"",INDEX(data!C:C,MATCH($N787,data!$A:$A,0)))</f>
        <v/>
      </c>
      <c r="AO787" s="38" t="str">
        <f>IF(ISNA(MATCH($N787,data!$A:$A,0)),"",INDEX(data!D:D,MATCH($N787,data!$A:$A,0)))</f>
        <v/>
      </c>
      <c r="AP787" s="38" t="str">
        <f>IF(ISNA(MATCH($N787,data!$A:$A,0)),"",INDEX(data!E:E,MATCH($N787,data!$A:$A,0)))</f>
        <v/>
      </c>
      <c r="AQ787" s="38" t="str">
        <f>IF(ISNA(MATCH($N787,data!$A:$A,0)),"",INDEX(data!F:F,MATCH($N787,data!$A:$A,0)))</f>
        <v/>
      </c>
      <c r="AR787" s="38" t="str">
        <f>IF(ISNA(MATCH($N787,data!$A:$A,0)),"",INDEX(data!G:G,MATCH($N787,data!$A:$A,0)))</f>
        <v/>
      </c>
      <c r="AS787" s="38" t="str">
        <f>IF(ISNA(MATCH($N787,data!$A:$A,0)),"",INDEX(data!H:H,MATCH($N787,data!$A:$A,0)))</f>
        <v/>
      </c>
      <c r="AT787" s="38" t="str">
        <f>IF(ISNA(MATCH($N787,data!$A:$A,0)),"",INDEX(data!I:I,MATCH($N787,data!$A:$A,0)))</f>
        <v/>
      </c>
      <c r="AU787" s="38" t="str">
        <f>IF(ISNA(MATCH($N787,[1]data!$A:$A,0)),"",INDEX([1]data!L:L,MATCH($N787,[1]data!$A:$A,0)))</f>
        <v/>
      </c>
      <c r="AV787" s="38" t="str">
        <f>IF(ISNA(MATCH($N787,[1]data!$A:$A,0)),"",INDEX([1]data!M:M,MATCH($N787,[1]data!$A:$A,0)))</f>
        <v/>
      </c>
      <c r="AW787" s="38" t="str">
        <f>IF(ISNA(MATCH($N787,data!$A:$A,0)),"",INDEX(data!J:J,MATCH($N787,data!$A:$A,0)))</f>
        <v/>
      </c>
      <c r="AX787" s="38" t="str">
        <f>IF(ISNA(MATCH($N787,data!$A:$A,0)),"",INDEX(data!K:K,MATCH($N787,data!$A:$A,0)))</f>
        <v/>
      </c>
      <c r="AY787" s="38" t="str">
        <f>IF(ISNA(MATCH($N787,data!$A:$A,0)),"",INDEX(data!O:O,MATCH($N787,data!$A:$A,0)))</f>
        <v/>
      </c>
      <c r="AZ787" s="38" t="str">
        <f>IF(ISNA(MATCH($N787,data!$A:$A,0)),"",INDEX(data!N:N,MATCH($N787,data!$A:$A,0)))</f>
        <v/>
      </c>
      <c r="BA787" s="38" t="str">
        <f>IF(ISNA(MATCH($N787,data!$A:$A,0)),"",INDEX(data!P:P,MATCH($N787,data!$A:$A,0)))</f>
        <v/>
      </c>
      <c r="BB787" s="38" t="str">
        <f>IF(ISNA(MATCH($N787,data!$A:$A,0)),"",INDEX(data!Q:Q,MATCH($N787,data!$A:$A,0)))</f>
        <v/>
      </c>
      <c r="BC787" s="38" t="str">
        <f>IF(ISNA(MATCH($N787,data!$A:$A,0)),"",INDEX(data!R:R,MATCH($N787,data!$A:$A,0)))</f>
        <v/>
      </c>
      <c r="BD787" s="38" t="str">
        <f>IF(ISNA(MATCH($N787,[1]data!$A:$A,0)),"",INDEX([1]data!U:U,MATCH($N787,[1]data!$A:$A,0)))</f>
        <v/>
      </c>
      <c r="BE787" s="61" t="e">
        <f>IF(COUNTIF([1]data!A:A,[1]!Table1[[#This Row],[UPC]])&lt;2,"","DUP")</f>
        <v>#VALUE!</v>
      </c>
      <c r="BF787" s="38" t="str">
        <f>IF(ISNA(MATCH($N787,data!$A:$A,0)),"",INDEX(data!W:W,MATCH($N787,data!$A:$A,0)))</f>
        <v/>
      </c>
    </row>
    <row r="788" spans="1:58">
      <c r="A788" s="35"/>
      <c r="B788" s="35"/>
      <c r="C788" s="35"/>
      <c r="D788" s="35"/>
      <c r="E788" s="67"/>
      <c r="F788" s="67"/>
      <c r="G788" s="36"/>
      <c r="H788" s="29"/>
      <c r="I788" s="78" t="str">
        <f t="shared" si="20"/>
        <v/>
      </c>
      <c r="J788" s="29"/>
      <c r="K788" s="29"/>
      <c r="L788" s="33"/>
      <c r="M788" s="33"/>
      <c r="N788" s="60"/>
      <c r="O788" s="71"/>
      <c r="P788" s="71"/>
      <c r="Q788" s="33"/>
      <c r="R788" s="31"/>
      <c r="S788" s="31"/>
      <c r="T788" s="59"/>
      <c r="U788" s="59"/>
      <c r="V788" s="59"/>
      <c r="W788" s="57">
        <f t="shared" si="21"/>
        <v>0</v>
      </c>
      <c r="X788" s="126" t="str">
        <f>IF(Table1[[#This Row],[Shipping Weight Pounds]]&gt;150,"See LTL Form","No")</f>
        <v>No</v>
      </c>
      <c r="Y788" s="28"/>
      <c r="Z788" s="33"/>
      <c r="AA788" s="34"/>
      <c r="AB788" s="30"/>
      <c r="AC788" s="30"/>
      <c r="AD788" s="32"/>
      <c r="AE788" s="32"/>
      <c r="AF788" s="2"/>
      <c r="AG788" s="2"/>
      <c r="AH788" s="2"/>
      <c r="AI788" s="2"/>
      <c r="AK788" s="73" t="str">
        <f>IF(ISNA(MATCH($N788,[1]data!$A:$A,0)),"",INDEX([1]data!S:S,MATCH($N788,[1]data!$A:$A,0)))</f>
        <v/>
      </c>
      <c r="AL788" s="73" t="str">
        <f>IF(ISNA(MATCH($N788,[1]data!$A:$A,0)),"",INDEX([1]data!V:V,MATCH($N788,[1]data!$A:$A,0)))</f>
        <v/>
      </c>
      <c r="AM788" s="38" t="str">
        <f>IF(ISNA(MATCH($N788,data!$A:$A,0)),"",INDEX(data!B:B,MATCH($N788,data!$A:$A,0)))</f>
        <v/>
      </c>
      <c r="AN788" s="38" t="str">
        <f>IF(ISNA(MATCH($N788,data!$A:$A,0)),"",INDEX(data!C:C,MATCH($N788,data!$A:$A,0)))</f>
        <v/>
      </c>
      <c r="AO788" s="38" t="str">
        <f>IF(ISNA(MATCH($N788,data!$A:$A,0)),"",INDEX(data!D:D,MATCH($N788,data!$A:$A,0)))</f>
        <v/>
      </c>
      <c r="AP788" s="38" t="str">
        <f>IF(ISNA(MATCH($N788,data!$A:$A,0)),"",INDEX(data!E:E,MATCH($N788,data!$A:$A,0)))</f>
        <v/>
      </c>
      <c r="AQ788" s="38" t="str">
        <f>IF(ISNA(MATCH($N788,data!$A:$A,0)),"",INDEX(data!F:F,MATCH($N788,data!$A:$A,0)))</f>
        <v/>
      </c>
      <c r="AR788" s="38" t="str">
        <f>IF(ISNA(MATCH($N788,data!$A:$A,0)),"",INDEX(data!G:G,MATCH($N788,data!$A:$A,0)))</f>
        <v/>
      </c>
      <c r="AS788" s="38" t="str">
        <f>IF(ISNA(MATCH($N788,data!$A:$A,0)),"",INDEX(data!H:H,MATCH($N788,data!$A:$A,0)))</f>
        <v/>
      </c>
      <c r="AT788" s="38" t="str">
        <f>IF(ISNA(MATCH($N788,data!$A:$A,0)),"",INDEX(data!I:I,MATCH($N788,data!$A:$A,0)))</f>
        <v/>
      </c>
      <c r="AU788" s="38" t="str">
        <f>IF(ISNA(MATCH($N788,[1]data!$A:$A,0)),"",INDEX([1]data!L:L,MATCH($N788,[1]data!$A:$A,0)))</f>
        <v/>
      </c>
      <c r="AV788" s="38" t="str">
        <f>IF(ISNA(MATCH($N788,[1]data!$A:$A,0)),"",INDEX([1]data!M:M,MATCH($N788,[1]data!$A:$A,0)))</f>
        <v/>
      </c>
      <c r="AW788" s="38" t="str">
        <f>IF(ISNA(MATCH($N788,data!$A:$A,0)),"",INDEX(data!J:J,MATCH($N788,data!$A:$A,0)))</f>
        <v/>
      </c>
      <c r="AX788" s="38" t="str">
        <f>IF(ISNA(MATCH($N788,data!$A:$A,0)),"",INDEX(data!K:K,MATCH($N788,data!$A:$A,0)))</f>
        <v/>
      </c>
      <c r="AY788" s="38" t="str">
        <f>IF(ISNA(MATCH($N788,data!$A:$A,0)),"",INDEX(data!O:O,MATCH($N788,data!$A:$A,0)))</f>
        <v/>
      </c>
      <c r="AZ788" s="38" t="str">
        <f>IF(ISNA(MATCH($N788,data!$A:$A,0)),"",INDEX(data!N:N,MATCH($N788,data!$A:$A,0)))</f>
        <v/>
      </c>
      <c r="BA788" s="38" t="str">
        <f>IF(ISNA(MATCH($N788,data!$A:$A,0)),"",INDEX(data!P:P,MATCH($N788,data!$A:$A,0)))</f>
        <v/>
      </c>
      <c r="BB788" s="38" t="str">
        <f>IF(ISNA(MATCH($N788,data!$A:$A,0)),"",INDEX(data!Q:Q,MATCH($N788,data!$A:$A,0)))</f>
        <v/>
      </c>
      <c r="BC788" s="38" t="str">
        <f>IF(ISNA(MATCH($N788,data!$A:$A,0)),"",INDEX(data!R:R,MATCH($N788,data!$A:$A,0)))</f>
        <v/>
      </c>
      <c r="BD788" s="38" t="str">
        <f>IF(ISNA(MATCH($N788,[1]data!$A:$A,0)),"",INDEX([1]data!U:U,MATCH($N788,[1]data!$A:$A,0)))</f>
        <v/>
      </c>
      <c r="BE788" s="61" t="e">
        <f>IF(COUNTIF([1]data!A:A,[1]!Table1[[#This Row],[UPC]])&lt;2,"","DUP")</f>
        <v>#VALUE!</v>
      </c>
      <c r="BF788" s="38" t="str">
        <f>IF(ISNA(MATCH($N788,data!$A:$A,0)),"",INDEX(data!W:W,MATCH($N788,data!$A:$A,0)))</f>
        <v/>
      </c>
    </row>
    <row r="789" spans="1:58">
      <c r="A789" s="35"/>
      <c r="B789" s="35"/>
      <c r="C789" s="35"/>
      <c r="D789" s="35"/>
      <c r="E789" s="67"/>
      <c r="F789" s="67"/>
      <c r="G789" s="36"/>
      <c r="H789" s="29"/>
      <c r="I789" s="78" t="str">
        <f t="shared" si="20"/>
        <v/>
      </c>
      <c r="J789" s="29"/>
      <c r="K789" s="29"/>
      <c r="L789" s="33"/>
      <c r="M789" s="33"/>
      <c r="N789" s="60"/>
      <c r="O789" s="71"/>
      <c r="P789" s="71"/>
      <c r="Q789" s="33"/>
      <c r="R789" s="31"/>
      <c r="S789" s="31"/>
      <c r="T789" s="59"/>
      <c r="U789" s="59"/>
      <c r="V789" s="59"/>
      <c r="W789" s="57">
        <f t="shared" si="21"/>
        <v>0</v>
      </c>
      <c r="X789" s="126" t="str">
        <f>IF(Table1[[#This Row],[Shipping Weight Pounds]]&gt;150,"See LTL Form","No")</f>
        <v>No</v>
      </c>
      <c r="Y789" s="28"/>
      <c r="Z789" s="33"/>
      <c r="AA789" s="34"/>
      <c r="AB789" s="30"/>
      <c r="AC789" s="30"/>
      <c r="AD789" s="32"/>
      <c r="AE789" s="32"/>
      <c r="AF789" s="2"/>
      <c r="AG789" s="2"/>
      <c r="AH789" s="2"/>
      <c r="AI789" s="2"/>
      <c r="AK789" s="73" t="str">
        <f>IF(ISNA(MATCH($N789,[1]data!$A:$A,0)),"",INDEX([1]data!S:S,MATCH($N789,[1]data!$A:$A,0)))</f>
        <v/>
      </c>
      <c r="AL789" s="73" t="str">
        <f>IF(ISNA(MATCH($N789,[1]data!$A:$A,0)),"",INDEX([1]data!V:V,MATCH($N789,[1]data!$A:$A,0)))</f>
        <v/>
      </c>
      <c r="AM789" s="38" t="str">
        <f>IF(ISNA(MATCH($N789,data!$A:$A,0)),"",INDEX(data!B:B,MATCH($N789,data!$A:$A,0)))</f>
        <v/>
      </c>
      <c r="AN789" s="38" t="str">
        <f>IF(ISNA(MATCH($N789,data!$A:$A,0)),"",INDEX(data!C:C,MATCH($N789,data!$A:$A,0)))</f>
        <v/>
      </c>
      <c r="AO789" s="38" t="str">
        <f>IF(ISNA(MATCH($N789,data!$A:$A,0)),"",INDEX(data!D:D,MATCH($N789,data!$A:$A,0)))</f>
        <v/>
      </c>
      <c r="AP789" s="38" t="str">
        <f>IF(ISNA(MATCH($N789,data!$A:$A,0)),"",INDEX(data!E:E,MATCH($N789,data!$A:$A,0)))</f>
        <v/>
      </c>
      <c r="AQ789" s="38" t="str">
        <f>IF(ISNA(MATCH($N789,data!$A:$A,0)),"",INDEX(data!F:F,MATCH($N789,data!$A:$A,0)))</f>
        <v/>
      </c>
      <c r="AR789" s="38" t="str">
        <f>IF(ISNA(MATCH($N789,data!$A:$A,0)),"",INDEX(data!G:G,MATCH($N789,data!$A:$A,0)))</f>
        <v/>
      </c>
      <c r="AS789" s="38" t="str">
        <f>IF(ISNA(MATCH($N789,data!$A:$A,0)),"",INDEX(data!H:H,MATCH($N789,data!$A:$A,0)))</f>
        <v/>
      </c>
      <c r="AT789" s="38" t="str">
        <f>IF(ISNA(MATCH($N789,data!$A:$A,0)),"",INDEX(data!I:I,MATCH($N789,data!$A:$A,0)))</f>
        <v/>
      </c>
      <c r="AU789" s="38" t="str">
        <f>IF(ISNA(MATCH($N789,[1]data!$A:$A,0)),"",INDEX([1]data!L:L,MATCH($N789,[1]data!$A:$A,0)))</f>
        <v/>
      </c>
      <c r="AV789" s="38" t="str">
        <f>IF(ISNA(MATCH($N789,[1]data!$A:$A,0)),"",INDEX([1]data!M:M,MATCH($N789,[1]data!$A:$A,0)))</f>
        <v/>
      </c>
      <c r="AW789" s="38" t="str">
        <f>IF(ISNA(MATCH($N789,data!$A:$A,0)),"",INDEX(data!J:J,MATCH($N789,data!$A:$A,0)))</f>
        <v/>
      </c>
      <c r="AX789" s="38" t="str">
        <f>IF(ISNA(MATCH($N789,data!$A:$A,0)),"",INDEX(data!K:K,MATCH($N789,data!$A:$A,0)))</f>
        <v/>
      </c>
      <c r="AY789" s="38" t="str">
        <f>IF(ISNA(MATCH($N789,data!$A:$A,0)),"",INDEX(data!O:O,MATCH($N789,data!$A:$A,0)))</f>
        <v/>
      </c>
      <c r="AZ789" s="38" t="str">
        <f>IF(ISNA(MATCH($N789,data!$A:$A,0)),"",INDEX(data!N:N,MATCH($N789,data!$A:$A,0)))</f>
        <v/>
      </c>
      <c r="BA789" s="38" t="str">
        <f>IF(ISNA(MATCH($N789,data!$A:$A,0)),"",INDEX(data!P:P,MATCH($N789,data!$A:$A,0)))</f>
        <v/>
      </c>
      <c r="BB789" s="38" t="str">
        <f>IF(ISNA(MATCH($N789,data!$A:$A,0)),"",INDEX(data!Q:Q,MATCH($N789,data!$A:$A,0)))</f>
        <v/>
      </c>
      <c r="BC789" s="38" t="str">
        <f>IF(ISNA(MATCH($N789,data!$A:$A,0)),"",INDEX(data!R:R,MATCH($N789,data!$A:$A,0)))</f>
        <v/>
      </c>
      <c r="BD789" s="38" t="str">
        <f>IF(ISNA(MATCH($N789,[1]data!$A:$A,0)),"",INDEX([1]data!U:U,MATCH($N789,[1]data!$A:$A,0)))</f>
        <v/>
      </c>
      <c r="BE789" s="61" t="e">
        <f>IF(COUNTIF([1]data!A:A,[1]!Table1[[#This Row],[UPC]])&lt;2,"","DUP")</f>
        <v>#VALUE!</v>
      </c>
      <c r="BF789" s="38" t="str">
        <f>IF(ISNA(MATCH($N789,data!$A:$A,0)),"",INDEX(data!W:W,MATCH($N789,data!$A:$A,0)))</f>
        <v/>
      </c>
    </row>
    <row r="790" spans="1:58">
      <c r="A790" s="35"/>
      <c r="B790" s="35"/>
      <c r="C790" s="35"/>
      <c r="D790" s="35"/>
      <c r="E790" s="67"/>
      <c r="F790" s="67"/>
      <c r="G790" s="36"/>
      <c r="H790" s="29"/>
      <c r="I790" s="78" t="str">
        <f t="shared" si="20"/>
        <v/>
      </c>
      <c r="J790" s="29"/>
      <c r="K790" s="29"/>
      <c r="L790" s="33"/>
      <c r="M790" s="33"/>
      <c r="N790" s="60"/>
      <c r="O790" s="71"/>
      <c r="P790" s="71"/>
      <c r="Q790" s="33"/>
      <c r="R790" s="31"/>
      <c r="S790" s="31"/>
      <c r="T790" s="59"/>
      <c r="U790" s="59"/>
      <c r="V790" s="59"/>
      <c r="W790" s="57">
        <f t="shared" si="21"/>
        <v>0</v>
      </c>
      <c r="X790" s="126" t="str">
        <f>IF(Table1[[#This Row],[Shipping Weight Pounds]]&gt;150,"See LTL Form","No")</f>
        <v>No</v>
      </c>
      <c r="Y790" s="28"/>
      <c r="Z790" s="33"/>
      <c r="AA790" s="34"/>
      <c r="AB790" s="30"/>
      <c r="AC790" s="30"/>
      <c r="AD790" s="32"/>
      <c r="AE790" s="32"/>
      <c r="AF790" s="2"/>
      <c r="AG790" s="2"/>
      <c r="AH790" s="2"/>
      <c r="AI790" s="2"/>
      <c r="AK790" s="73" t="str">
        <f>IF(ISNA(MATCH($N790,[1]data!$A:$A,0)),"",INDEX([1]data!S:S,MATCH($N790,[1]data!$A:$A,0)))</f>
        <v/>
      </c>
      <c r="AL790" s="73" t="str">
        <f>IF(ISNA(MATCH($N790,[1]data!$A:$A,0)),"",INDEX([1]data!V:V,MATCH($N790,[1]data!$A:$A,0)))</f>
        <v/>
      </c>
      <c r="AM790" s="38" t="str">
        <f>IF(ISNA(MATCH($N790,data!$A:$A,0)),"",INDEX(data!B:B,MATCH($N790,data!$A:$A,0)))</f>
        <v/>
      </c>
      <c r="AN790" s="38" t="str">
        <f>IF(ISNA(MATCH($N790,data!$A:$A,0)),"",INDEX(data!C:C,MATCH($N790,data!$A:$A,0)))</f>
        <v/>
      </c>
      <c r="AO790" s="38" t="str">
        <f>IF(ISNA(MATCH($N790,data!$A:$A,0)),"",INDEX(data!D:D,MATCH($N790,data!$A:$A,0)))</f>
        <v/>
      </c>
      <c r="AP790" s="38" t="str">
        <f>IF(ISNA(MATCH($N790,data!$A:$A,0)),"",INDEX(data!E:E,MATCH($N790,data!$A:$A,0)))</f>
        <v/>
      </c>
      <c r="AQ790" s="38" t="str">
        <f>IF(ISNA(MATCH($N790,data!$A:$A,0)),"",INDEX(data!F:F,MATCH($N790,data!$A:$A,0)))</f>
        <v/>
      </c>
      <c r="AR790" s="38" t="str">
        <f>IF(ISNA(MATCH($N790,data!$A:$A,0)),"",INDEX(data!G:G,MATCH($N790,data!$A:$A,0)))</f>
        <v/>
      </c>
      <c r="AS790" s="38" t="str">
        <f>IF(ISNA(MATCH($N790,data!$A:$A,0)),"",INDEX(data!H:H,MATCH($N790,data!$A:$A,0)))</f>
        <v/>
      </c>
      <c r="AT790" s="38" t="str">
        <f>IF(ISNA(MATCH($N790,data!$A:$A,0)),"",INDEX(data!I:I,MATCH($N790,data!$A:$A,0)))</f>
        <v/>
      </c>
      <c r="AU790" s="38" t="str">
        <f>IF(ISNA(MATCH($N790,[1]data!$A:$A,0)),"",INDEX([1]data!L:L,MATCH($N790,[1]data!$A:$A,0)))</f>
        <v/>
      </c>
      <c r="AV790" s="38" t="str">
        <f>IF(ISNA(MATCH($N790,[1]data!$A:$A,0)),"",INDEX([1]data!M:M,MATCH($N790,[1]data!$A:$A,0)))</f>
        <v/>
      </c>
      <c r="AW790" s="38" t="str">
        <f>IF(ISNA(MATCH($N790,data!$A:$A,0)),"",INDEX(data!J:J,MATCH($N790,data!$A:$A,0)))</f>
        <v/>
      </c>
      <c r="AX790" s="38" t="str">
        <f>IF(ISNA(MATCH($N790,data!$A:$A,0)),"",INDEX(data!K:K,MATCH($N790,data!$A:$A,0)))</f>
        <v/>
      </c>
      <c r="AY790" s="38" t="str">
        <f>IF(ISNA(MATCH($N790,data!$A:$A,0)),"",INDEX(data!O:O,MATCH($N790,data!$A:$A,0)))</f>
        <v/>
      </c>
      <c r="AZ790" s="38" t="str">
        <f>IF(ISNA(MATCH($N790,data!$A:$A,0)),"",INDEX(data!N:N,MATCH($N790,data!$A:$A,0)))</f>
        <v/>
      </c>
      <c r="BA790" s="38" t="str">
        <f>IF(ISNA(MATCH($N790,data!$A:$A,0)),"",INDEX(data!P:P,MATCH($N790,data!$A:$A,0)))</f>
        <v/>
      </c>
      <c r="BB790" s="38" t="str">
        <f>IF(ISNA(MATCH($N790,data!$A:$A,0)),"",INDEX(data!Q:Q,MATCH($N790,data!$A:$A,0)))</f>
        <v/>
      </c>
      <c r="BC790" s="38" t="str">
        <f>IF(ISNA(MATCH($N790,data!$A:$A,0)),"",INDEX(data!R:R,MATCH($N790,data!$A:$A,0)))</f>
        <v/>
      </c>
      <c r="BD790" s="38" t="str">
        <f>IF(ISNA(MATCH($N790,[1]data!$A:$A,0)),"",INDEX([1]data!U:U,MATCH($N790,[1]data!$A:$A,0)))</f>
        <v/>
      </c>
      <c r="BE790" s="61" t="e">
        <f>IF(COUNTIF([1]data!A:A,[1]!Table1[[#This Row],[UPC]])&lt;2,"","DUP")</f>
        <v>#VALUE!</v>
      </c>
      <c r="BF790" s="38" t="str">
        <f>IF(ISNA(MATCH($N790,data!$A:$A,0)),"",INDEX(data!W:W,MATCH($N790,data!$A:$A,0)))</f>
        <v/>
      </c>
    </row>
    <row r="791" spans="1:58">
      <c r="A791" s="35"/>
      <c r="B791" s="35"/>
      <c r="C791" s="35"/>
      <c r="D791" s="35"/>
      <c r="E791" s="67"/>
      <c r="F791" s="67"/>
      <c r="G791" s="36"/>
      <c r="H791" s="29"/>
      <c r="I791" s="78" t="str">
        <f t="shared" si="20"/>
        <v/>
      </c>
      <c r="J791" s="29"/>
      <c r="K791" s="29"/>
      <c r="L791" s="33"/>
      <c r="M791" s="33"/>
      <c r="N791" s="60"/>
      <c r="O791" s="71"/>
      <c r="P791" s="71"/>
      <c r="Q791" s="33"/>
      <c r="R791" s="31"/>
      <c r="S791" s="31"/>
      <c r="T791" s="59"/>
      <c r="U791" s="59"/>
      <c r="V791" s="59"/>
      <c r="W791" s="57">
        <f t="shared" si="21"/>
        <v>0</v>
      </c>
      <c r="X791" s="126" t="str">
        <f>IF(Table1[[#This Row],[Shipping Weight Pounds]]&gt;150,"See LTL Form","No")</f>
        <v>No</v>
      </c>
      <c r="Y791" s="28"/>
      <c r="Z791" s="33"/>
      <c r="AA791" s="34"/>
      <c r="AB791" s="30"/>
      <c r="AC791" s="30"/>
      <c r="AD791" s="32"/>
      <c r="AE791" s="32"/>
      <c r="AF791" s="2"/>
      <c r="AG791" s="2"/>
      <c r="AH791" s="2"/>
      <c r="AI791" s="2"/>
      <c r="AK791" s="73" t="str">
        <f>IF(ISNA(MATCH($N791,[1]data!$A:$A,0)),"",INDEX([1]data!S:S,MATCH($N791,[1]data!$A:$A,0)))</f>
        <v/>
      </c>
      <c r="AL791" s="73" t="str">
        <f>IF(ISNA(MATCH($N791,[1]data!$A:$A,0)),"",INDEX([1]data!V:V,MATCH($N791,[1]data!$A:$A,0)))</f>
        <v/>
      </c>
      <c r="AM791" s="38" t="str">
        <f>IF(ISNA(MATCH($N791,data!$A:$A,0)),"",INDEX(data!B:B,MATCH($N791,data!$A:$A,0)))</f>
        <v/>
      </c>
      <c r="AN791" s="38" t="str">
        <f>IF(ISNA(MATCH($N791,data!$A:$A,0)),"",INDEX(data!C:C,MATCH($N791,data!$A:$A,0)))</f>
        <v/>
      </c>
      <c r="AO791" s="38" t="str">
        <f>IF(ISNA(MATCH($N791,data!$A:$A,0)),"",INDEX(data!D:D,MATCH($N791,data!$A:$A,0)))</f>
        <v/>
      </c>
      <c r="AP791" s="38" t="str">
        <f>IF(ISNA(MATCH($N791,data!$A:$A,0)),"",INDEX(data!E:E,MATCH($N791,data!$A:$A,0)))</f>
        <v/>
      </c>
      <c r="AQ791" s="38" t="str">
        <f>IF(ISNA(MATCH($N791,data!$A:$A,0)),"",INDEX(data!F:F,MATCH($N791,data!$A:$A,0)))</f>
        <v/>
      </c>
      <c r="AR791" s="38" t="str">
        <f>IF(ISNA(MATCH($N791,data!$A:$A,0)),"",INDEX(data!G:G,MATCH($N791,data!$A:$A,0)))</f>
        <v/>
      </c>
      <c r="AS791" s="38" t="str">
        <f>IF(ISNA(MATCH($N791,data!$A:$A,0)),"",INDEX(data!H:H,MATCH($N791,data!$A:$A,0)))</f>
        <v/>
      </c>
      <c r="AT791" s="38" t="str">
        <f>IF(ISNA(MATCH($N791,data!$A:$A,0)),"",INDEX(data!I:I,MATCH($N791,data!$A:$A,0)))</f>
        <v/>
      </c>
      <c r="AU791" s="38" t="str">
        <f>IF(ISNA(MATCH($N791,[1]data!$A:$A,0)),"",INDEX([1]data!L:L,MATCH($N791,[1]data!$A:$A,0)))</f>
        <v/>
      </c>
      <c r="AV791" s="38" t="str">
        <f>IF(ISNA(MATCH($N791,[1]data!$A:$A,0)),"",INDEX([1]data!M:M,MATCH($N791,[1]data!$A:$A,0)))</f>
        <v/>
      </c>
      <c r="AW791" s="38" t="str">
        <f>IF(ISNA(MATCH($N791,data!$A:$A,0)),"",INDEX(data!J:J,MATCH($N791,data!$A:$A,0)))</f>
        <v/>
      </c>
      <c r="AX791" s="38" t="str">
        <f>IF(ISNA(MATCH($N791,data!$A:$A,0)),"",INDEX(data!K:K,MATCH($N791,data!$A:$A,0)))</f>
        <v/>
      </c>
      <c r="AY791" s="38" t="str">
        <f>IF(ISNA(MATCH($N791,data!$A:$A,0)),"",INDEX(data!O:O,MATCH($N791,data!$A:$A,0)))</f>
        <v/>
      </c>
      <c r="AZ791" s="38" t="str">
        <f>IF(ISNA(MATCH($N791,data!$A:$A,0)),"",INDEX(data!N:N,MATCH($N791,data!$A:$A,0)))</f>
        <v/>
      </c>
      <c r="BA791" s="38" t="str">
        <f>IF(ISNA(MATCH($N791,data!$A:$A,0)),"",INDEX(data!P:P,MATCH($N791,data!$A:$A,0)))</f>
        <v/>
      </c>
      <c r="BB791" s="38" t="str">
        <f>IF(ISNA(MATCH($N791,data!$A:$A,0)),"",INDEX(data!Q:Q,MATCH($N791,data!$A:$A,0)))</f>
        <v/>
      </c>
      <c r="BC791" s="38" t="str">
        <f>IF(ISNA(MATCH($N791,data!$A:$A,0)),"",INDEX(data!R:R,MATCH($N791,data!$A:$A,0)))</f>
        <v/>
      </c>
      <c r="BD791" s="38" t="str">
        <f>IF(ISNA(MATCH($N791,[1]data!$A:$A,0)),"",INDEX([1]data!U:U,MATCH($N791,[1]data!$A:$A,0)))</f>
        <v/>
      </c>
      <c r="BE791" s="61" t="e">
        <f>IF(COUNTIF([1]data!A:A,[1]!Table1[[#This Row],[UPC]])&lt;2,"","DUP")</f>
        <v>#VALUE!</v>
      </c>
      <c r="BF791" s="38" t="str">
        <f>IF(ISNA(MATCH($N791,data!$A:$A,0)),"",INDEX(data!W:W,MATCH($N791,data!$A:$A,0)))</f>
        <v/>
      </c>
    </row>
    <row r="792" spans="1:58">
      <c r="A792" s="35"/>
      <c r="B792" s="35"/>
      <c r="C792" s="35"/>
      <c r="D792" s="35"/>
      <c r="E792" s="67"/>
      <c r="F792" s="67"/>
      <c r="G792" s="36"/>
      <c r="H792" s="29"/>
      <c r="I792" s="78" t="str">
        <f t="shared" si="20"/>
        <v/>
      </c>
      <c r="J792" s="29"/>
      <c r="K792" s="29"/>
      <c r="L792" s="33"/>
      <c r="M792" s="33"/>
      <c r="N792" s="60"/>
      <c r="O792" s="71"/>
      <c r="P792" s="71"/>
      <c r="Q792" s="33"/>
      <c r="R792" s="31"/>
      <c r="S792" s="31"/>
      <c r="T792" s="59"/>
      <c r="U792" s="59"/>
      <c r="V792" s="59"/>
      <c r="W792" s="57">
        <f t="shared" si="21"/>
        <v>0</v>
      </c>
      <c r="X792" s="126" t="str">
        <f>IF(Table1[[#This Row],[Shipping Weight Pounds]]&gt;150,"See LTL Form","No")</f>
        <v>No</v>
      </c>
      <c r="Y792" s="28"/>
      <c r="Z792" s="33"/>
      <c r="AA792" s="34"/>
      <c r="AB792" s="30"/>
      <c r="AC792" s="30"/>
      <c r="AD792" s="32"/>
      <c r="AE792" s="32"/>
      <c r="AF792" s="2"/>
      <c r="AG792" s="2"/>
      <c r="AH792" s="2"/>
      <c r="AI792" s="2"/>
      <c r="AK792" s="73" t="str">
        <f>IF(ISNA(MATCH($N792,[1]data!$A:$A,0)),"",INDEX([1]data!S:S,MATCH($N792,[1]data!$A:$A,0)))</f>
        <v/>
      </c>
      <c r="AL792" s="73" t="str">
        <f>IF(ISNA(MATCH($N792,[1]data!$A:$A,0)),"",INDEX([1]data!V:V,MATCH($N792,[1]data!$A:$A,0)))</f>
        <v/>
      </c>
      <c r="AM792" s="38" t="str">
        <f>IF(ISNA(MATCH($N792,data!$A:$A,0)),"",INDEX(data!B:B,MATCH($N792,data!$A:$A,0)))</f>
        <v/>
      </c>
      <c r="AN792" s="38" t="str">
        <f>IF(ISNA(MATCH($N792,data!$A:$A,0)),"",INDEX(data!C:C,MATCH($N792,data!$A:$A,0)))</f>
        <v/>
      </c>
      <c r="AO792" s="38" t="str">
        <f>IF(ISNA(MATCH($N792,data!$A:$A,0)),"",INDEX(data!D:D,MATCH($N792,data!$A:$A,0)))</f>
        <v/>
      </c>
      <c r="AP792" s="38" t="str">
        <f>IF(ISNA(MATCH($N792,data!$A:$A,0)),"",INDEX(data!E:E,MATCH($N792,data!$A:$A,0)))</f>
        <v/>
      </c>
      <c r="AQ792" s="38" t="str">
        <f>IF(ISNA(MATCH($N792,data!$A:$A,0)),"",INDEX(data!F:F,MATCH($N792,data!$A:$A,0)))</f>
        <v/>
      </c>
      <c r="AR792" s="38" t="str">
        <f>IF(ISNA(MATCH($N792,data!$A:$A,0)),"",INDEX(data!G:G,MATCH($N792,data!$A:$A,0)))</f>
        <v/>
      </c>
      <c r="AS792" s="38" t="str">
        <f>IF(ISNA(MATCH($N792,data!$A:$A,0)),"",INDEX(data!H:H,MATCH($N792,data!$A:$A,0)))</f>
        <v/>
      </c>
      <c r="AT792" s="38" t="str">
        <f>IF(ISNA(MATCH($N792,data!$A:$A,0)),"",INDEX(data!I:I,MATCH($N792,data!$A:$A,0)))</f>
        <v/>
      </c>
      <c r="AU792" s="38" t="str">
        <f>IF(ISNA(MATCH($N792,[1]data!$A:$A,0)),"",INDEX([1]data!L:L,MATCH($N792,[1]data!$A:$A,0)))</f>
        <v/>
      </c>
      <c r="AV792" s="38" t="str">
        <f>IF(ISNA(MATCH($N792,[1]data!$A:$A,0)),"",INDEX([1]data!M:M,MATCH($N792,[1]data!$A:$A,0)))</f>
        <v/>
      </c>
      <c r="AW792" s="38" t="str">
        <f>IF(ISNA(MATCH($N792,data!$A:$A,0)),"",INDEX(data!J:J,MATCH($N792,data!$A:$A,0)))</f>
        <v/>
      </c>
      <c r="AX792" s="38" t="str">
        <f>IF(ISNA(MATCH($N792,data!$A:$A,0)),"",INDEX(data!K:K,MATCH($N792,data!$A:$A,0)))</f>
        <v/>
      </c>
      <c r="AY792" s="38" t="str">
        <f>IF(ISNA(MATCH($N792,data!$A:$A,0)),"",INDEX(data!O:O,MATCH($N792,data!$A:$A,0)))</f>
        <v/>
      </c>
      <c r="AZ792" s="38" t="str">
        <f>IF(ISNA(MATCH($N792,data!$A:$A,0)),"",INDEX(data!N:N,MATCH($N792,data!$A:$A,0)))</f>
        <v/>
      </c>
      <c r="BA792" s="38" t="str">
        <f>IF(ISNA(MATCH($N792,data!$A:$A,0)),"",INDEX(data!P:P,MATCH($N792,data!$A:$A,0)))</f>
        <v/>
      </c>
      <c r="BB792" s="38" t="str">
        <f>IF(ISNA(MATCH($N792,data!$A:$A,0)),"",INDEX(data!Q:Q,MATCH($N792,data!$A:$A,0)))</f>
        <v/>
      </c>
      <c r="BC792" s="38" t="str">
        <f>IF(ISNA(MATCH($N792,data!$A:$A,0)),"",INDEX(data!R:R,MATCH($N792,data!$A:$A,0)))</f>
        <v/>
      </c>
      <c r="BD792" s="38" t="str">
        <f>IF(ISNA(MATCH($N792,[1]data!$A:$A,0)),"",INDEX([1]data!U:U,MATCH($N792,[1]data!$A:$A,0)))</f>
        <v/>
      </c>
      <c r="BE792" s="61" t="e">
        <f>IF(COUNTIF([1]data!A:A,[1]!Table1[[#This Row],[UPC]])&lt;2,"","DUP")</f>
        <v>#VALUE!</v>
      </c>
      <c r="BF792" s="38" t="str">
        <f>IF(ISNA(MATCH($N792,data!$A:$A,0)),"",INDEX(data!W:W,MATCH($N792,data!$A:$A,0)))</f>
        <v/>
      </c>
    </row>
    <row r="793" spans="1:58">
      <c r="A793" s="35"/>
      <c r="B793" s="35"/>
      <c r="C793" s="35"/>
      <c r="D793" s="35"/>
      <c r="E793" s="67"/>
      <c r="F793" s="67"/>
      <c r="G793" s="36"/>
      <c r="H793" s="29"/>
      <c r="I793" s="78" t="str">
        <f t="shared" si="20"/>
        <v/>
      </c>
      <c r="J793" s="29"/>
      <c r="K793" s="29"/>
      <c r="L793" s="33"/>
      <c r="M793" s="33"/>
      <c r="N793" s="60"/>
      <c r="O793" s="71"/>
      <c r="P793" s="71"/>
      <c r="Q793" s="33"/>
      <c r="R793" s="31"/>
      <c r="S793" s="31"/>
      <c r="T793" s="59"/>
      <c r="U793" s="59"/>
      <c r="V793" s="59"/>
      <c r="W793" s="57">
        <f t="shared" si="21"/>
        <v>0</v>
      </c>
      <c r="X793" s="126" t="str">
        <f>IF(Table1[[#This Row],[Shipping Weight Pounds]]&gt;150,"See LTL Form","No")</f>
        <v>No</v>
      </c>
      <c r="Y793" s="28"/>
      <c r="Z793" s="33"/>
      <c r="AA793" s="34"/>
      <c r="AB793" s="30"/>
      <c r="AC793" s="30"/>
      <c r="AD793" s="32"/>
      <c r="AE793" s="32"/>
      <c r="AF793" s="2"/>
      <c r="AG793" s="2"/>
      <c r="AH793" s="2"/>
      <c r="AI793" s="2"/>
      <c r="AK793" s="73" t="str">
        <f>IF(ISNA(MATCH($N793,[1]data!$A:$A,0)),"",INDEX([1]data!S:S,MATCH($N793,[1]data!$A:$A,0)))</f>
        <v/>
      </c>
      <c r="AL793" s="73" t="str">
        <f>IF(ISNA(MATCH($N793,[1]data!$A:$A,0)),"",INDEX([1]data!V:V,MATCH($N793,[1]data!$A:$A,0)))</f>
        <v/>
      </c>
      <c r="AM793" s="38" t="str">
        <f>IF(ISNA(MATCH($N793,data!$A:$A,0)),"",INDEX(data!B:B,MATCH($N793,data!$A:$A,0)))</f>
        <v/>
      </c>
      <c r="AN793" s="38" t="str">
        <f>IF(ISNA(MATCH($N793,data!$A:$A,0)),"",INDEX(data!C:C,MATCH($N793,data!$A:$A,0)))</f>
        <v/>
      </c>
      <c r="AO793" s="38" t="str">
        <f>IF(ISNA(MATCH($N793,data!$A:$A,0)),"",INDEX(data!D:D,MATCH($N793,data!$A:$A,0)))</f>
        <v/>
      </c>
      <c r="AP793" s="38" t="str">
        <f>IF(ISNA(MATCH($N793,data!$A:$A,0)),"",INDEX(data!E:E,MATCH($N793,data!$A:$A,0)))</f>
        <v/>
      </c>
      <c r="AQ793" s="38" t="str">
        <f>IF(ISNA(MATCH($N793,data!$A:$A,0)),"",INDEX(data!F:F,MATCH($N793,data!$A:$A,0)))</f>
        <v/>
      </c>
      <c r="AR793" s="38" t="str">
        <f>IF(ISNA(MATCH($N793,data!$A:$A,0)),"",INDEX(data!G:G,MATCH($N793,data!$A:$A,0)))</f>
        <v/>
      </c>
      <c r="AS793" s="38" t="str">
        <f>IF(ISNA(MATCH($N793,data!$A:$A,0)),"",INDEX(data!H:H,MATCH($N793,data!$A:$A,0)))</f>
        <v/>
      </c>
      <c r="AT793" s="38" t="str">
        <f>IF(ISNA(MATCH($N793,data!$A:$A,0)),"",INDEX(data!I:I,MATCH($N793,data!$A:$A,0)))</f>
        <v/>
      </c>
      <c r="AU793" s="38" t="str">
        <f>IF(ISNA(MATCH($N793,[1]data!$A:$A,0)),"",INDEX([1]data!L:L,MATCH($N793,[1]data!$A:$A,0)))</f>
        <v/>
      </c>
      <c r="AV793" s="38" t="str">
        <f>IF(ISNA(MATCH($N793,[1]data!$A:$A,0)),"",INDEX([1]data!M:M,MATCH($N793,[1]data!$A:$A,0)))</f>
        <v/>
      </c>
      <c r="AW793" s="38" t="str">
        <f>IF(ISNA(MATCH($N793,data!$A:$A,0)),"",INDEX(data!J:J,MATCH($N793,data!$A:$A,0)))</f>
        <v/>
      </c>
      <c r="AX793" s="38" t="str">
        <f>IF(ISNA(MATCH($N793,data!$A:$A,0)),"",INDEX(data!K:K,MATCH($N793,data!$A:$A,0)))</f>
        <v/>
      </c>
      <c r="AY793" s="38" t="str">
        <f>IF(ISNA(MATCH($N793,data!$A:$A,0)),"",INDEX(data!O:O,MATCH($N793,data!$A:$A,0)))</f>
        <v/>
      </c>
      <c r="AZ793" s="38" t="str">
        <f>IF(ISNA(MATCH($N793,data!$A:$A,0)),"",INDEX(data!N:N,MATCH($N793,data!$A:$A,0)))</f>
        <v/>
      </c>
      <c r="BA793" s="38" t="str">
        <f>IF(ISNA(MATCH($N793,data!$A:$A,0)),"",INDEX(data!P:P,MATCH($N793,data!$A:$A,0)))</f>
        <v/>
      </c>
      <c r="BB793" s="38" t="str">
        <f>IF(ISNA(MATCH($N793,data!$A:$A,0)),"",INDEX(data!Q:Q,MATCH($N793,data!$A:$A,0)))</f>
        <v/>
      </c>
      <c r="BC793" s="38" t="str">
        <f>IF(ISNA(MATCH($N793,data!$A:$A,0)),"",INDEX(data!R:R,MATCH($N793,data!$A:$A,0)))</f>
        <v/>
      </c>
      <c r="BD793" s="38" t="str">
        <f>IF(ISNA(MATCH($N793,[1]data!$A:$A,0)),"",INDEX([1]data!U:U,MATCH($N793,[1]data!$A:$A,0)))</f>
        <v/>
      </c>
      <c r="BE793" s="61" t="e">
        <f>IF(COUNTIF([1]data!A:A,[1]!Table1[[#This Row],[UPC]])&lt;2,"","DUP")</f>
        <v>#VALUE!</v>
      </c>
      <c r="BF793" s="38" t="str">
        <f>IF(ISNA(MATCH($N793,data!$A:$A,0)),"",INDEX(data!W:W,MATCH($N793,data!$A:$A,0)))</f>
        <v/>
      </c>
    </row>
    <row r="794" spans="1:58">
      <c r="A794" s="35"/>
      <c r="B794" s="35"/>
      <c r="C794" s="35"/>
      <c r="D794" s="35"/>
      <c r="E794" s="67"/>
      <c r="F794" s="67"/>
      <c r="G794" s="36"/>
      <c r="H794" s="29"/>
      <c r="I794" s="78" t="str">
        <f t="shared" si="20"/>
        <v/>
      </c>
      <c r="J794" s="29"/>
      <c r="K794" s="29"/>
      <c r="L794" s="33"/>
      <c r="M794" s="33"/>
      <c r="N794" s="60"/>
      <c r="O794" s="71"/>
      <c r="P794" s="71"/>
      <c r="Q794" s="33"/>
      <c r="R794" s="31"/>
      <c r="S794" s="31"/>
      <c r="T794" s="59"/>
      <c r="U794" s="59"/>
      <c r="V794" s="59"/>
      <c r="W794" s="57">
        <f t="shared" si="21"/>
        <v>0</v>
      </c>
      <c r="X794" s="126" t="str">
        <f>IF(Table1[[#This Row],[Shipping Weight Pounds]]&gt;150,"See LTL Form","No")</f>
        <v>No</v>
      </c>
      <c r="Y794" s="28"/>
      <c r="Z794" s="33"/>
      <c r="AA794" s="34"/>
      <c r="AB794" s="30"/>
      <c r="AC794" s="30"/>
      <c r="AD794" s="32"/>
      <c r="AE794" s="32"/>
      <c r="AF794" s="2"/>
      <c r="AG794" s="2"/>
      <c r="AH794" s="2"/>
      <c r="AI794" s="2"/>
      <c r="AK794" s="73" t="str">
        <f>IF(ISNA(MATCH($N794,[1]data!$A:$A,0)),"",INDEX([1]data!S:S,MATCH($N794,[1]data!$A:$A,0)))</f>
        <v/>
      </c>
      <c r="AL794" s="73" t="str">
        <f>IF(ISNA(MATCH($N794,[1]data!$A:$A,0)),"",INDEX([1]data!V:V,MATCH($N794,[1]data!$A:$A,0)))</f>
        <v/>
      </c>
      <c r="AM794" s="38" t="str">
        <f>IF(ISNA(MATCH($N794,data!$A:$A,0)),"",INDEX(data!B:B,MATCH($N794,data!$A:$A,0)))</f>
        <v/>
      </c>
      <c r="AN794" s="38" t="str">
        <f>IF(ISNA(MATCH($N794,data!$A:$A,0)),"",INDEX(data!C:C,MATCH($N794,data!$A:$A,0)))</f>
        <v/>
      </c>
      <c r="AO794" s="38" t="str">
        <f>IF(ISNA(MATCH($N794,data!$A:$A,0)),"",INDEX(data!D:D,MATCH($N794,data!$A:$A,0)))</f>
        <v/>
      </c>
      <c r="AP794" s="38" t="str">
        <f>IF(ISNA(MATCH($N794,data!$A:$A,0)),"",INDEX(data!E:E,MATCH($N794,data!$A:$A,0)))</f>
        <v/>
      </c>
      <c r="AQ794" s="38" t="str">
        <f>IF(ISNA(MATCH($N794,data!$A:$A,0)),"",INDEX(data!F:F,MATCH($N794,data!$A:$A,0)))</f>
        <v/>
      </c>
      <c r="AR794" s="38" t="str">
        <f>IF(ISNA(MATCH($N794,data!$A:$A,0)),"",INDEX(data!G:G,MATCH($N794,data!$A:$A,0)))</f>
        <v/>
      </c>
      <c r="AS794" s="38" t="str">
        <f>IF(ISNA(MATCH($N794,data!$A:$A,0)),"",INDEX(data!H:H,MATCH($N794,data!$A:$A,0)))</f>
        <v/>
      </c>
      <c r="AT794" s="38" t="str">
        <f>IF(ISNA(MATCH($N794,data!$A:$A,0)),"",INDEX(data!I:I,MATCH($N794,data!$A:$A,0)))</f>
        <v/>
      </c>
      <c r="AU794" s="38" t="str">
        <f>IF(ISNA(MATCH($N794,[1]data!$A:$A,0)),"",INDEX([1]data!L:L,MATCH($N794,[1]data!$A:$A,0)))</f>
        <v/>
      </c>
      <c r="AV794" s="38" t="str">
        <f>IF(ISNA(MATCH($N794,[1]data!$A:$A,0)),"",INDEX([1]data!M:M,MATCH($N794,[1]data!$A:$A,0)))</f>
        <v/>
      </c>
      <c r="AW794" s="38" t="str">
        <f>IF(ISNA(MATCH($N794,data!$A:$A,0)),"",INDEX(data!J:J,MATCH($N794,data!$A:$A,0)))</f>
        <v/>
      </c>
      <c r="AX794" s="38" t="str">
        <f>IF(ISNA(MATCH($N794,data!$A:$A,0)),"",INDEX(data!K:K,MATCH($N794,data!$A:$A,0)))</f>
        <v/>
      </c>
      <c r="AY794" s="38" t="str">
        <f>IF(ISNA(MATCH($N794,data!$A:$A,0)),"",INDEX(data!O:O,MATCH($N794,data!$A:$A,0)))</f>
        <v/>
      </c>
      <c r="AZ794" s="38" t="str">
        <f>IF(ISNA(MATCH($N794,data!$A:$A,0)),"",INDEX(data!N:N,MATCH($N794,data!$A:$A,0)))</f>
        <v/>
      </c>
      <c r="BA794" s="38" t="str">
        <f>IF(ISNA(MATCH($N794,data!$A:$A,0)),"",INDEX(data!P:P,MATCH($N794,data!$A:$A,0)))</f>
        <v/>
      </c>
      <c r="BB794" s="38" t="str">
        <f>IF(ISNA(MATCH($N794,data!$A:$A,0)),"",INDEX(data!Q:Q,MATCH($N794,data!$A:$A,0)))</f>
        <v/>
      </c>
      <c r="BC794" s="38" t="str">
        <f>IF(ISNA(MATCH($N794,data!$A:$A,0)),"",INDEX(data!R:R,MATCH($N794,data!$A:$A,0)))</f>
        <v/>
      </c>
      <c r="BD794" s="38" t="str">
        <f>IF(ISNA(MATCH($N794,[1]data!$A:$A,0)),"",INDEX([1]data!U:U,MATCH($N794,[1]data!$A:$A,0)))</f>
        <v/>
      </c>
      <c r="BE794" s="61" t="e">
        <f>IF(COUNTIF([1]data!A:A,[1]!Table1[[#This Row],[UPC]])&lt;2,"","DUP")</f>
        <v>#VALUE!</v>
      </c>
      <c r="BF794" s="38" t="str">
        <f>IF(ISNA(MATCH($N794,data!$A:$A,0)),"",INDEX(data!W:W,MATCH($N794,data!$A:$A,0)))</f>
        <v/>
      </c>
    </row>
    <row r="795" spans="1:58">
      <c r="A795" s="35"/>
      <c r="B795" s="35"/>
      <c r="C795" s="35"/>
      <c r="D795" s="35"/>
      <c r="E795" s="67"/>
      <c r="F795" s="67"/>
      <c r="G795" s="36"/>
      <c r="H795" s="29"/>
      <c r="I795" s="78" t="str">
        <f t="shared" si="20"/>
        <v/>
      </c>
      <c r="J795" s="29"/>
      <c r="K795" s="29"/>
      <c r="L795" s="33"/>
      <c r="M795" s="33"/>
      <c r="N795" s="60"/>
      <c r="O795" s="71"/>
      <c r="P795" s="71"/>
      <c r="Q795" s="33"/>
      <c r="R795" s="31"/>
      <c r="S795" s="31"/>
      <c r="T795" s="59"/>
      <c r="U795" s="59"/>
      <c r="V795" s="59"/>
      <c r="W795" s="57">
        <f t="shared" si="21"/>
        <v>0</v>
      </c>
      <c r="X795" s="126" t="str">
        <f>IF(Table1[[#This Row],[Shipping Weight Pounds]]&gt;150,"See LTL Form","No")</f>
        <v>No</v>
      </c>
      <c r="Y795" s="28"/>
      <c r="Z795" s="33"/>
      <c r="AA795" s="34"/>
      <c r="AB795" s="30"/>
      <c r="AC795" s="30"/>
      <c r="AD795" s="32"/>
      <c r="AE795" s="32"/>
      <c r="AF795" s="2"/>
      <c r="AG795" s="2"/>
      <c r="AH795" s="2"/>
      <c r="AI795" s="2"/>
      <c r="AK795" s="73" t="str">
        <f>IF(ISNA(MATCH($N795,[1]data!$A:$A,0)),"",INDEX([1]data!S:S,MATCH($N795,[1]data!$A:$A,0)))</f>
        <v/>
      </c>
      <c r="AL795" s="73" t="str">
        <f>IF(ISNA(MATCH($N795,[1]data!$A:$A,0)),"",INDEX([1]data!V:V,MATCH($N795,[1]data!$A:$A,0)))</f>
        <v/>
      </c>
      <c r="AM795" s="38" t="str">
        <f>IF(ISNA(MATCH($N795,data!$A:$A,0)),"",INDEX(data!B:B,MATCH($N795,data!$A:$A,0)))</f>
        <v/>
      </c>
      <c r="AN795" s="38" t="str">
        <f>IF(ISNA(MATCH($N795,data!$A:$A,0)),"",INDEX(data!C:C,MATCH($N795,data!$A:$A,0)))</f>
        <v/>
      </c>
      <c r="AO795" s="38" t="str">
        <f>IF(ISNA(MATCH($N795,data!$A:$A,0)),"",INDEX(data!D:D,MATCH($N795,data!$A:$A,0)))</f>
        <v/>
      </c>
      <c r="AP795" s="38" t="str">
        <f>IF(ISNA(MATCH($N795,data!$A:$A,0)),"",INDEX(data!E:E,MATCH($N795,data!$A:$A,0)))</f>
        <v/>
      </c>
      <c r="AQ795" s="38" t="str">
        <f>IF(ISNA(MATCH($N795,data!$A:$A,0)),"",INDEX(data!F:F,MATCH($N795,data!$A:$A,0)))</f>
        <v/>
      </c>
      <c r="AR795" s="38" t="str">
        <f>IF(ISNA(MATCH($N795,data!$A:$A,0)),"",INDEX(data!G:G,MATCH($N795,data!$A:$A,0)))</f>
        <v/>
      </c>
      <c r="AS795" s="38" t="str">
        <f>IF(ISNA(MATCH($N795,data!$A:$A,0)),"",INDEX(data!H:H,MATCH($N795,data!$A:$A,0)))</f>
        <v/>
      </c>
      <c r="AT795" s="38" t="str">
        <f>IF(ISNA(MATCH($N795,data!$A:$A,0)),"",INDEX(data!I:I,MATCH($N795,data!$A:$A,0)))</f>
        <v/>
      </c>
      <c r="AU795" s="38" t="str">
        <f>IF(ISNA(MATCH($N795,[1]data!$A:$A,0)),"",INDEX([1]data!L:L,MATCH($N795,[1]data!$A:$A,0)))</f>
        <v/>
      </c>
      <c r="AV795" s="38" t="str">
        <f>IF(ISNA(MATCH($N795,[1]data!$A:$A,0)),"",INDEX([1]data!M:M,MATCH($N795,[1]data!$A:$A,0)))</f>
        <v/>
      </c>
      <c r="AW795" s="38" t="str">
        <f>IF(ISNA(MATCH($N795,data!$A:$A,0)),"",INDEX(data!J:J,MATCH($N795,data!$A:$A,0)))</f>
        <v/>
      </c>
      <c r="AX795" s="38" t="str">
        <f>IF(ISNA(MATCH($N795,data!$A:$A,0)),"",INDEX(data!K:K,MATCH($N795,data!$A:$A,0)))</f>
        <v/>
      </c>
      <c r="AY795" s="38" t="str">
        <f>IF(ISNA(MATCH($N795,data!$A:$A,0)),"",INDEX(data!O:O,MATCH($N795,data!$A:$A,0)))</f>
        <v/>
      </c>
      <c r="AZ795" s="38" t="str">
        <f>IF(ISNA(MATCH($N795,data!$A:$A,0)),"",INDEX(data!N:N,MATCH($N795,data!$A:$A,0)))</f>
        <v/>
      </c>
      <c r="BA795" s="38" t="str">
        <f>IF(ISNA(MATCH($N795,data!$A:$A,0)),"",INDEX(data!P:P,MATCH($N795,data!$A:$A,0)))</f>
        <v/>
      </c>
      <c r="BB795" s="38" t="str">
        <f>IF(ISNA(MATCH($N795,data!$A:$A,0)),"",INDEX(data!Q:Q,MATCH($N795,data!$A:$A,0)))</f>
        <v/>
      </c>
      <c r="BC795" s="38" t="str">
        <f>IF(ISNA(MATCH($N795,data!$A:$A,0)),"",INDEX(data!R:R,MATCH($N795,data!$A:$A,0)))</f>
        <v/>
      </c>
      <c r="BD795" s="38" t="str">
        <f>IF(ISNA(MATCH($N795,[1]data!$A:$A,0)),"",INDEX([1]data!U:U,MATCH($N795,[1]data!$A:$A,0)))</f>
        <v/>
      </c>
      <c r="BE795" s="61" t="e">
        <f>IF(COUNTIF([1]data!A:A,[1]!Table1[[#This Row],[UPC]])&lt;2,"","DUP")</f>
        <v>#VALUE!</v>
      </c>
      <c r="BF795" s="38" t="str">
        <f>IF(ISNA(MATCH($N795,data!$A:$A,0)),"",INDEX(data!W:W,MATCH($N795,data!$A:$A,0)))</f>
        <v/>
      </c>
    </row>
    <row r="796" spans="1:58">
      <c r="A796" s="35"/>
      <c r="B796" s="35"/>
      <c r="C796" s="35"/>
      <c r="D796" s="35"/>
      <c r="E796" s="67"/>
      <c r="F796" s="67"/>
      <c r="G796" s="36"/>
      <c r="H796" s="29"/>
      <c r="I796" s="78" t="str">
        <f t="shared" si="20"/>
        <v/>
      </c>
      <c r="J796" s="29"/>
      <c r="K796" s="29"/>
      <c r="L796" s="33"/>
      <c r="M796" s="33"/>
      <c r="N796" s="60"/>
      <c r="O796" s="71"/>
      <c r="P796" s="71"/>
      <c r="Q796" s="33"/>
      <c r="R796" s="31"/>
      <c r="S796" s="31"/>
      <c r="T796" s="59"/>
      <c r="U796" s="59"/>
      <c r="V796" s="59"/>
      <c r="W796" s="57">
        <f t="shared" si="21"/>
        <v>0</v>
      </c>
      <c r="X796" s="126" t="str">
        <f>IF(Table1[[#This Row],[Shipping Weight Pounds]]&gt;150,"See LTL Form","No")</f>
        <v>No</v>
      </c>
      <c r="Y796" s="28"/>
      <c r="Z796" s="33"/>
      <c r="AA796" s="34"/>
      <c r="AB796" s="30"/>
      <c r="AC796" s="30"/>
      <c r="AD796" s="32"/>
      <c r="AE796" s="32"/>
      <c r="AF796" s="2"/>
      <c r="AG796" s="2"/>
      <c r="AH796" s="2"/>
      <c r="AI796" s="2"/>
      <c r="AK796" s="73" t="str">
        <f>IF(ISNA(MATCH($N796,[1]data!$A:$A,0)),"",INDEX([1]data!S:S,MATCH($N796,[1]data!$A:$A,0)))</f>
        <v/>
      </c>
      <c r="AL796" s="73" t="str">
        <f>IF(ISNA(MATCH($N796,[1]data!$A:$A,0)),"",INDEX([1]data!V:V,MATCH($N796,[1]data!$A:$A,0)))</f>
        <v/>
      </c>
      <c r="AM796" s="38" t="str">
        <f>IF(ISNA(MATCH($N796,data!$A:$A,0)),"",INDEX(data!B:B,MATCH($N796,data!$A:$A,0)))</f>
        <v/>
      </c>
      <c r="AN796" s="38" t="str">
        <f>IF(ISNA(MATCH($N796,data!$A:$A,0)),"",INDEX(data!C:C,MATCH($N796,data!$A:$A,0)))</f>
        <v/>
      </c>
      <c r="AO796" s="38" t="str">
        <f>IF(ISNA(MATCH($N796,data!$A:$A,0)),"",INDEX(data!D:D,MATCH($N796,data!$A:$A,0)))</f>
        <v/>
      </c>
      <c r="AP796" s="38" t="str">
        <f>IF(ISNA(MATCH($N796,data!$A:$A,0)),"",INDEX(data!E:E,MATCH($N796,data!$A:$A,0)))</f>
        <v/>
      </c>
      <c r="AQ796" s="38" t="str">
        <f>IF(ISNA(MATCH($N796,data!$A:$A,0)),"",INDEX(data!F:F,MATCH($N796,data!$A:$A,0)))</f>
        <v/>
      </c>
      <c r="AR796" s="38" t="str">
        <f>IF(ISNA(MATCH($N796,data!$A:$A,0)),"",INDEX(data!G:G,MATCH($N796,data!$A:$A,0)))</f>
        <v/>
      </c>
      <c r="AS796" s="38" t="str">
        <f>IF(ISNA(MATCH($N796,data!$A:$A,0)),"",INDEX(data!H:H,MATCH($N796,data!$A:$A,0)))</f>
        <v/>
      </c>
      <c r="AT796" s="38" t="str">
        <f>IF(ISNA(MATCH($N796,data!$A:$A,0)),"",INDEX(data!I:I,MATCH($N796,data!$A:$A,0)))</f>
        <v/>
      </c>
      <c r="AU796" s="38" t="str">
        <f>IF(ISNA(MATCH($N796,[1]data!$A:$A,0)),"",INDEX([1]data!L:L,MATCH($N796,[1]data!$A:$A,0)))</f>
        <v/>
      </c>
      <c r="AV796" s="38" t="str">
        <f>IF(ISNA(MATCH($N796,[1]data!$A:$A,0)),"",INDEX([1]data!M:M,MATCH($N796,[1]data!$A:$A,0)))</f>
        <v/>
      </c>
      <c r="AW796" s="38" t="str">
        <f>IF(ISNA(MATCH($N796,data!$A:$A,0)),"",INDEX(data!J:J,MATCH($N796,data!$A:$A,0)))</f>
        <v/>
      </c>
      <c r="AX796" s="38" t="str">
        <f>IF(ISNA(MATCH($N796,data!$A:$A,0)),"",INDEX(data!K:K,MATCH($N796,data!$A:$A,0)))</f>
        <v/>
      </c>
      <c r="AY796" s="38" t="str">
        <f>IF(ISNA(MATCH($N796,data!$A:$A,0)),"",INDEX(data!O:O,MATCH($N796,data!$A:$A,0)))</f>
        <v/>
      </c>
      <c r="AZ796" s="38" t="str">
        <f>IF(ISNA(MATCH($N796,data!$A:$A,0)),"",INDEX(data!N:N,MATCH($N796,data!$A:$A,0)))</f>
        <v/>
      </c>
      <c r="BA796" s="38" t="str">
        <f>IF(ISNA(MATCH($N796,data!$A:$A,0)),"",INDEX(data!P:P,MATCH($N796,data!$A:$A,0)))</f>
        <v/>
      </c>
      <c r="BB796" s="38" t="str">
        <f>IF(ISNA(MATCH($N796,data!$A:$A,0)),"",INDEX(data!Q:Q,MATCH($N796,data!$A:$A,0)))</f>
        <v/>
      </c>
      <c r="BC796" s="38" t="str">
        <f>IF(ISNA(MATCH($N796,data!$A:$A,0)),"",INDEX(data!R:R,MATCH($N796,data!$A:$A,0)))</f>
        <v/>
      </c>
      <c r="BD796" s="38" t="str">
        <f>IF(ISNA(MATCH($N796,[1]data!$A:$A,0)),"",INDEX([1]data!U:U,MATCH($N796,[1]data!$A:$A,0)))</f>
        <v/>
      </c>
      <c r="BE796" s="61" t="e">
        <f>IF(COUNTIF([1]data!A:A,[1]!Table1[[#This Row],[UPC]])&lt;2,"","DUP")</f>
        <v>#VALUE!</v>
      </c>
      <c r="BF796" s="38" t="str">
        <f>IF(ISNA(MATCH($N796,data!$A:$A,0)),"",INDEX(data!W:W,MATCH($N796,data!$A:$A,0)))</f>
        <v/>
      </c>
    </row>
    <row r="797" spans="1:58">
      <c r="A797" s="35"/>
      <c r="B797" s="35"/>
      <c r="C797" s="35"/>
      <c r="D797" s="35"/>
      <c r="E797" s="67"/>
      <c r="F797" s="67"/>
      <c r="G797" s="36"/>
      <c r="H797" s="29"/>
      <c r="I797" s="78" t="str">
        <f t="shared" si="20"/>
        <v/>
      </c>
      <c r="J797" s="29"/>
      <c r="K797" s="29"/>
      <c r="L797" s="33"/>
      <c r="M797" s="33"/>
      <c r="N797" s="60"/>
      <c r="O797" s="71"/>
      <c r="P797" s="71"/>
      <c r="Q797" s="33"/>
      <c r="R797" s="31"/>
      <c r="S797" s="31"/>
      <c r="T797" s="59"/>
      <c r="U797" s="59"/>
      <c r="V797" s="59"/>
      <c r="W797" s="57">
        <f t="shared" si="21"/>
        <v>0</v>
      </c>
      <c r="X797" s="126" t="str">
        <f>IF(Table1[[#This Row],[Shipping Weight Pounds]]&gt;150,"See LTL Form","No")</f>
        <v>No</v>
      </c>
      <c r="Y797" s="28"/>
      <c r="Z797" s="33"/>
      <c r="AA797" s="34"/>
      <c r="AB797" s="30"/>
      <c r="AC797" s="30"/>
      <c r="AD797" s="32"/>
      <c r="AE797" s="32"/>
      <c r="AF797" s="2"/>
      <c r="AG797" s="2"/>
      <c r="AH797" s="2"/>
      <c r="AI797" s="2"/>
      <c r="AK797" s="73" t="str">
        <f>IF(ISNA(MATCH($N797,[1]data!$A:$A,0)),"",INDEX([1]data!S:S,MATCH($N797,[1]data!$A:$A,0)))</f>
        <v/>
      </c>
      <c r="AL797" s="73" t="str">
        <f>IF(ISNA(MATCH($N797,[1]data!$A:$A,0)),"",INDEX([1]data!V:V,MATCH($N797,[1]data!$A:$A,0)))</f>
        <v/>
      </c>
      <c r="AM797" s="38" t="str">
        <f>IF(ISNA(MATCH($N797,data!$A:$A,0)),"",INDEX(data!B:B,MATCH($N797,data!$A:$A,0)))</f>
        <v/>
      </c>
      <c r="AN797" s="38" t="str">
        <f>IF(ISNA(MATCH($N797,data!$A:$A,0)),"",INDEX(data!C:C,MATCH($N797,data!$A:$A,0)))</f>
        <v/>
      </c>
      <c r="AO797" s="38" t="str">
        <f>IF(ISNA(MATCH($N797,data!$A:$A,0)),"",INDEX(data!D:D,MATCH($N797,data!$A:$A,0)))</f>
        <v/>
      </c>
      <c r="AP797" s="38" t="str">
        <f>IF(ISNA(MATCH($N797,data!$A:$A,0)),"",INDEX(data!E:E,MATCH($N797,data!$A:$A,0)))</f>
        <v/>
      </c>
      <c r="AQ797" s="38" t="str">
        <f>IF(ISNA(MATCH($N797,data!$A:$A,0)),"",INDEX(data!F:F,MATCH($N797,data!$A:$A,0)))</f>
        <v/>
      </c>
      <c r="AR797" s="38" t="str">
        <f>IF(ISNA(MATCH($N797,data!$A:$A,0)),"",INDEX(data!G:G,MATCH($N797,data!$A:$A,0)))</f>
        <v/>
      </c>
      <c r="AS797" s="38" t="str">
        <f>IF(ISNA(MATCH($N797,data!$A:$A,0)),"",INDEX(data!H:H,MATCH($N797,data!$A:$A,0)))</f>
        <v/>
      </c>
      <c r="AT797" s="38" t="str">
        <f>IF(ISNA(MATCH($N797,data!$A:$A,0)),"",INDEX(data!I:I,MATCH($N797,data!$A:$A,0)))</f>
        <v/>
      </c>
      <c r="AU797" s="38" t="str">
        <f>IF(ISNA(MATCH($N797,[1]data!$A:$A,0)),"",INDEX([1]data!L:L,MATCH($N797,[1]data!$A:$A,0)))</f>
        <v/>
      </c>
      <c r="AV797" s="38" t="str">
        <f>IF(ISNA(MATCH($N797,[1]data!$A:$A,0)),"",INDEX([1]data!M:M,MATCH($N797,[1]data!$A:$A,0)))</f>
        <v/>
      </c>
      <c r="AW797" s="38" t="str">
        <f>IF(ISNA(MATCH($N797,data!$A:$A,0)),"",INDEX(data!J:J,MATCH($N797,data!$A:$A,0)))</f>
        <v/>
      </c>
      <c r="AX797" s="38" t="str">
        <f>IF(ISNA(MATCH($N797,data!$A:$A,0)),"",INDEX(data!K:K,MATCH($N797,data!$A:$A,0)))</f>
        <v/>
      </c>
      <c r="AY797" s="38" t="str">
        <f>IF(ISNA(MATCH($N797,data!$A:$A,0)),"",INDEX(data!O:O,MATCH($N797,data!$A:$A,0)))</f>
        <v/>
      </c>
      <c r="AZ797" s="38" t="str">
        <f>IF(ISNA(MATCH($N797,data!$A:$A,0)),"",INDEX(data!N:N,MATCH($N797,data!$A:$A,0)))</f>
        <v/>
      </c>
      <c r="BA797" s="38" t="str">
        <f>IF(ISNA(MATCH($N797,data!$A:$A,0)),"",INDEX(data!P:P,MATCH($N797,data!$A:$A,0)))</f>
        <v/>
      </c>
      <c r="BB797" s="38" t="str">
        <f>IF(ISNA(MATCH($N797,data!$A:$A,0)),"",INDEX(data!Q:Q,MATCH($N797,data!$A:$A,0)))</f>
        <v/>
      </c>
      <c r="BC797" s="38" t="str">
        <f>IF(ISNA(MATCH($N797,data!$A:$A,0)),"",INDEX(data!R:R,MATCH($N797,data!$A:$A,0)))</f>
        <v/>
      </c>
      <c r="BD797" s="38" t="str">
        <f>IF(ISNA(MATCH($N797,[1]data!$A:$A,0)),"",INDEX([1]data!U:U,MATCH($N797,[1]data!$A:$A,0)))</f>
        <v/>
      </c>
      <c r="BE797" s="61" t="e">
        <f>IF(COUNTIF([1]data!A:A,[1]!Table1[[#This Row],[UPC]])&lt;2,"","DUP")</f>
        <v>#VALUE!</v>
      </c>
      <c r="BF797" s="38" t="str">
        <f>IF(ISNA(MATCH($N797,data!$A:$A,0)),"",INDEX(data!W:W,MATCH($N797,data!$A:$A,0)))</f>
        <v/>
      </c>
    </row>
    <row r="798" spans="1:58">
      <c r="A798" s="35"/>
      <c r="B798" s="35"/>
      <c r="C798" s="35"/>
      <c r="D798" s="35"/>
      <c r="E798" s="67"/>
      <c r="F798" s="67"/>
      <c r="G798" s="36"/>
      <c r="H798" s="29"/>
      <c r="I798" s="78" t="str">
        <f t="shared" si="20"/>
        <v/>
      </c>
      <c r="J798" s="29"/>
      <c r="K798" s="29"/>
      <c r="L798" s="33"/>
      <c r="M798" s="33"/>
      <c r="N798" s="60"/>
      <c r="O798" s="71"/>
      <c r="P798" s="71"/>
      <c r="Q798" s="33"/>
      <c r="R798" s="31"/>
      <c r="S798" s="31"/>
      <c r="T798" s="59"/>
      <c r="U798" s="59"/>
      <c r="V798" s="59"/>
      <c r="W798" s="57">
        <f t="shared" si="21"/>
        <v>0</v>
      </c>
      <c r="X798" s="126" t="str">
        <f>IF(Table1[[#This Row],[Shipping Weight Pounds]]&gt;150,"See LTL Form","No")</f>
        <v>No</v>
      </c>
      <c r="Y798" s="28"/>
      <c r="Z798" s="33"/>
      <c r="AA798" s="34"/>
      <c r="AB798" s="30"/>
      <c r="AC798" s="30"/>
      <c r="AD798" s="32"/>
      <c r="AE798" s="32"/>
      <c r="AF798" s="2"/>
      <c r="AG798" s="2"/>
      <c r="AH798" s="2"/>
      <c r="AI798" s="2"/>
      <c r="AK798" s="73" t="str">
        <f>IF(ISNA(MATCH($N798,[1]data!$A:$A,0)),"",INDEX([1]data!S:S,MATCH($N798,[1]data!$A:$A,0)))</f>
        <v/>
      </c>
      <c r="AL798" s="73" t="str">
        <f>IF(ISNA(MATCH($N798,[1]data!$A:$A,0)),"",INDEX([1]data!V:V,MATCH($N798,[1]data!$A:$A,0)))</f>
        <v/>
      </c>
      <c r="AM798" s="38" t="str">
        <f>IF(ISNA(MATCH($N798,data!$A:$A,0)),"",INDEX(data!B:B,MATCH($N798,data!$A:$A,0)))</f>
        <v/>
      </c>
      <c r="AN798" s="38" t="str">
        <f>IF(ISNA(MATCH($N798,data!$A:$A,0)),"",INDEX(data!C:C,MATCH($N798,data!$A:$A,0)))</f>
        <v/>
      </c>
      <c r="AO798" s="38" t="str">
        <f>IF(ISNA(MATCH($N798,data!$A:$A,0)),"",INDEX(data!D:D,MATCH($N798,data!$A:$A,0)))</f>
        <v/>
      </c>
      <c r="AP798" s="38" t="str">
        <f>IF(ISNA(MATCH($N798,data!$A:$A,0)),"",INDEX(data!E:E,MATCH($N798,data!$A:$A,0)))</f>
        <v/>
      </c>
      <c r="AQ798" s="38" t="str">
        <f>IF(ISNA(MATCH($N798,data!$A:$A,0)),"",INDEX(data!F:F,MATCH($N798,data!$A:$A,0)))</f>
        <v/>
      </c>
      <c r="AR798" s="38" t="str">
        <f>IF(ISNA(MATCH($N798,data!$A:$A,0)),"",INDEX(data!G:G,MATCH($N798,data!$A:$A,0)))</f>
        <v/>
      </c>
      <c r="AS798" s="38" t="str">
        <f>IF(ISNA(MATCH($N798,data!$A:$A,0)),"",INDEX(data!H:H,MATCH($N798,data!$A:$A,0)))</f>
        <v/>
      </c>
      <c r="AT798" s="38" t="str">
        <f>IF(ISNA(MATCH($N798,data!$A:$A,0)),"",INDEX(data!I:I,MATCH($N798,data!$A:$A,0)))</f>
        <v/>
      </c>
      <c r="AU798" s="38" t="str">
        <f>IF(ISNA(MATCH($N798,[1]data!$A:$A,0)),"",INDEX([1]data!L:L,MATCH($N798,[1]data!$A:$A,0)))</f>
        <v/>
      </c>
      <c r="AV798" s="38" t="str">
        <f>IF(ISNA(MATCH($N798,[1]data!$A:$A,0)),"",INDEX([1]data!M:M,MATCH($N798,[1]data!$A:$A,0)))</f>
        <v/>
      </c>
      <c r="AW798" s="38" t="str">
        <f>IF(ISNA(MATCH($N798,data!$A:$A,0)),"",INDEX(data!J:J,MATCH($N798,data!$A:$A,0)))</f>
        <v/>
      </c>
      <c r="AX798" s="38" t="str">
        <f>IF(ISNA(MATCH($N798,data!$A:$A,0)),"",INDEX(data!K:K,MATCH($N798,data!$A:$A,0)))</f>
        <v/>
      </c>
      <c r="AY798" s="38" t="str">
        <f>IF(ISNA(MATCH($N798,data!$A:$A,0)),"",INDEX(data!O:O,MATCH($N798,data!$A:$A,0)))</f>
        <v/>
      </c>
      <c r="AZ798" s="38" t="str">
        <f>IF(ISNA(MATCH($N798,data!$A:$A,0)),"",INDEX(data!N:N,MATCH($N798,data!$A:$A,0)))</f>
        <v/>
      </c>
      <c r="BA798" s="38" t="str">
        <f>IF(ISNA(MATCH($N798,data!$A:$A,0)),"",INDEX(data!P:P,MATCH($N798,data!$A:$A,0)))</f>
        <v/>
      </c>
      <c r="BB798" s="38" t="str">
        <f>IF(ISNA(MATCH($N798,data!$A:$A,0)),"",INDEX(data!Q:Q,MATCH($N798,data!$A:$A,0)))</f>
        <v/>
      </c>
      <c r="BC798" s="38" t="str">
        <f>IF(ISNA(MATCH($N798,data!$A:$A,0)),"",INDEX(data!R:R,MATCH($N798,data!$A:$A,0)))</f>
        <v/>
      </c>
      <c r="BD798" s="38" t="str">
        <f>IF(ISNA(MATCH($N798,[1]data!$A:$A,0)),"",INDEX([1]data!U:U,MATCH($N798,[1]data!$A:$A,0)))</f>
        <v/>
      </c>
      <c r="BE798" s="61" t="e">
        <f>IF(COUNTIF([1]data!A:A,[1]!Table1[[#This Row],[UPC]])&lt;2,"","DUP")</f>
        <v>#VALUE!</v>
      </c>
      <c r="BF798" s="38" t="str">
        <f>IF(ISNA(MATCH($N798,data!$A:$A,0)),"",INDEX(data!W:W,MATCH($N798,data!$A:$A,0)))</f>
        <v/>
      </c>
    </row>
    <row r="799" spans="1:58">
      <c r="A799" s="35"/>
      <c r="B799" s="35"/>
      <c r="C799" s="35"/>
      <c r="D799" s="35"/>
      <c r="E799" s="67"/>
      <c r="F799" s="67"/>
      <c r="G799" s="36"/>
      <c r="H799" s="29"/>
      <c r="I799" s="78" t="str">
        <f t="shared" si="20"/>
        <v/>
      </c>
      <c r="J799" s="29"/>
      <c r="K799" s="29"/>
      <c r="L799" s="33"/>
      <c r="M799" s="33"/>
      <c r="N799" s="60"/>
      <c r="O799" s="71"/>
      <c r="P799" s="71"/>
      <c r="Q799" s="33"/>
      <c r="R799" s="31"/>
      <c r="S799" s="31"/>
      <c r="T799" s="59"/>
      <c r="U799" s="59"/>
      <c r="V799" s="59"/>
      <c r="W799" s="57">
        <f t="shared" si="21"/>
        <v>0</v>
      </c>
      <c r="X799" s="126" t="str">
        <f>IF(Table1[[#This Row],[Shipping Weight Pounds]]&gt;150,"See LTL Form","No")</f>
        <v>No</v>
      </c>
      <c r="Y799" s="28"/>
      <c r="Z799" s="33"/>
      <c r="AA799" s="34"/>
      <c r="AB799" s="30"/>
      <c r="AC799" s="30"/>
      <c r="AD799" s="32"/>
      <c r="AE799" s="32"/>
      <c r="AF799" s="2"/>
      <c r="AG799" s="2"/>
      <c r="AH799" s="2"/>
      <c r="AI799" s="2"/>
      <c r="AK799" s="73" t="str">
        <f>IF(ISNA(MATCH($N799,[1]data!$A:$A,0)),"",INDEX([1]data!S:S,MATCH($N799,[1]data!$A:$A,0)))</f>
        <v/>
      </c>
      <c r="AL799" s="73" t="str">
        <f>IF(ISNA(MATCH($N799,[1]data!$A:$A,0)),"",INDEX([1]data!V:V,MATCH($N799,[1]data!$A:$A,0)))</f>
        <v/>
      </c>
      <c r="AM799" s="38" t="str">
        <f>IF(ISNA(MATCH($N799,data!$A:$A,0)),"",INDEX(data!B:B,MATCH($N799,data!$A:$A,0)))</f>
        <v/>
      </c>
      <c r="AN799" s="38" t="str">
        <f>IF(ISNA(MATCH($N799,data!$A:$A,0)),"",INDEX(data!C:C,MATCH($N799,data!$A:$A,0)))</f>
        <v/>
      </c>
      <c r="AO799" s="38" t="str">
        <f>IF(ISNA(MATCH($N799,data!$A:$A,0)),"",INDEX(data!D:D,MATCH($N799,data!$A:$A,0)))</f>
        <v/>
      </c>
      <c r="AP799" s="38" t="str">
        <f>IF(ISNA(MATCH($N799,data!$A:$A,0)),"",INDEX(data!E:E,MATCH($N799,data!$A:$A,0)))</f>
        <v/>
      </c>
      <c r="AQ799" s="38" t="str">
        <f>IF(ISNA(MATCH($N799,data!$A:$A,0)),"",INDEX(data!F:F,MATCH($N799,data!$A:$A,0)))</f>
        <v/>
      </c>
      <c r="AR799" s="38" t="str">
        <f>IF(ISNA(MATCH($N799,data!$A:$A,0)),"",INDEX(data!G:G,MATCH($N799,data!$A:$A,0)))</f>
        <v/>
      </c>
      <c r="AS799" s="38" t="str">
        <f>IF(ISNA(MATCH($N799,data!$A:$A,0)),"",INDEX(data!H:H,MATCH($N799,data!$A:$A,0)))</f>
        <v/>
      </c>
      <c r="AT799" s="38" t="str">
        <f>IF(ISNA(MATCH($N799,data!$A:$A,0)),"",INDEX(data!I:I,MATCH($N799,data!$A:$A,0)))</f>
        <v/>
      </c>
      <c r="AU799" s="38" t="str">
        <f>IF(ISNA(MATCH($N799,[1]data!$A:$A,0)),"",INDEX([1]data!L:L,MATCH($N799,[1]data!$A:$A,0)))</f>
        <v/>
      </c>
      <c r="AV799" s="38" t="str">
        <f>IF(ISNA(MATCH($N799,[1]data!$A:$A,0)),"",INDEX([1]data!M:M,MATCH($N799,[1]data!$A:$A,0)))</f>
        <v/>
      </c>
      <c r="AW799" s="38" t="str">
        <f>IF(ISNA(MATCH($N799,data!$A:$A,0)),"",INDEX(data!J:J,MATCH($N799,data!$A:$A,0)))</f>
        <v/>
      </c>
      <c r="AX799" s="38" t="str">
        <f>IF(ISNA(MATCH($N799,data!$A:$A,0)),"",INDEX(data!K:K,MATCH($N799,data!$A:$A,0)))</f>
        <v/>
      </c>
      <c r="AY799" s="38" t="str">
        <f>IF(ISNA(MATCH($N799,data!$A:$A,0)),"",INDEX(data!O:O,MATCH($N799,data!$A:$A,0)))</f>
        <v/>
      </c>
      <c r="AZ799" s="38" t="str">
        <f>IF(ISNA(MATCH($N799,data!$A:$A,0)),"",INDEX(data!N:N,MATCH($N799,data!$A:$A,0)))</f>
        <v/>
      </c>
      <c r="BA799" s="38" t="str">
        <f>IF(ISNA(MATCH($N799,data!$A:$A,0)),"",INDEX(data!P:P,MATCH($N799,data!$A:$A,0)))</f>
        <v/>
      </c>
      <c r="BB799" s="38" t="str">
        <f>IF(ISNA(MATCH($N799,data!$A:$A,0)),"",INDEX(data!Q:Q,MATCH($N799,data!$A:$A,0)))</f>
        <v/>
      </c>
      <c r="BC799" s="38" t="str">
        <f>IF(ISNA(MATCH($N799,data!$A:$A,0)),"",INDEX(data!R:R,MATCH($N799,data!$A:$A,0)))</f>
        <v/>
      </c>
      <c r="BD799" s="38" t="str">
        <f>IF(ISNA(MATCH($N799,[1]data!$A:$A,0)),"",INDEX([1]data!U:U,MATCH($N799,[1]data!$A:$A,0)))</f>
        <v/>
      </c>
      <c r="BE799" s="61" t="e">
        <f>IF(COUNTIF([1]data!A:A,[1]!Table1[[#This Row],[UPC]])&lt;2,"","DUP")</f>
        <v>#VALUE!</v>
      </c>
      <c r="BF799" s="38" t="str">
        <f>IF(ISNA(MATCH($N799,data!$A:$A,0)),"",INDEX(data!W:W,MATCH($N799,data!$A:$A,0)))</f>
        <v/>
      </c>
    </row>
    <row r="800" spans="1:58">
      <c r="A800" s="35"/>
      <c r="B800" s="35"/>
      <c r="C800" s="35"/>
      <c r="D800" s="35"/>
      <c r="E800" s="67"/>
      <c r="F800" s="67"/>
      <c r="G800" s="36"/>
      <c r="H800" s="29"/>
      <c r="I800" s="78" t="str">
        <f t="shared" si="20"/>
        <v/>
      </c>
      <c r="J800" s="29"/>
      <c r="K800" s="29"/>
      <c r="L800" s="33"/>
      <c r="M800" s="33"/>
      <c r="N800" s="60"/>
      <c r="O800" s="71"/>
      <c r="P800" s="71"/>
      <c r="Q800" s="33"/>
      <c r="R800" s="31"/>
      <c r="S800" s="31"/>
      <c r="T800" s="59"/>
      <c r="U800" s="59"/>
      <c r="V800" s="59"/>
      <c r="W800" s="57">
        <f t="shared" si="21"/>
        <v>0</v>
      </c>
      <c r="X800" s="126" t="str">
        <f>IF(Table1[[#This Row],[Shipping Weight Pounds]]&gt;150,"See LTL Form","No")</f>
        <v>No</v>
      </c>
      <c r="Y800" s="28"/>
      <c r="Z800" s="33"/>
      <c r="AA800" s="34"/>
      <c r="AB800" s="30"/>
      <c r="AC800" s="30"/>
      <c r="AD800" s="32"/>
      <c r="AE800" s="32"/>
      <c r="AF800" s="2"/>
      <c r="AG800" s="2"/>
      <c r="AH800" s="2"/>
      <c r="AI800" s="2"/>
      <c r="AK800" s="73" t="str">
        <f>IF(ISNA(MATCH($N800,[1]data!$A:$A,0)),"",INDEX([1]data!S:S,MATCH($N800,[1]data!$A:$A,0)))</f>
        <v/>
      </c>
      <c r="AL800" s="73" t="str">
        <f>IF(ISNA(MATCH($N800,[1]data!$A:$A,0)),"",INDEX([1]data!V:V,MATCH($N800,[1]data!$A:$A,0)))</f>
        <v/>
      </c>
      <c r="AM800" s="38" t="str">
        <f>IF(ISNA(MATCH($N800,data!$A:$A,0)),"",INDEX(data!B:B,MATCH($N800,data!$A:$A,0)))</f>
        <v/>
      </c>
      <c r="AN800" s="38" t="str">
        <f>IF(ISNA(MATCH($N800,data!$A:$A,0)),"",INDEX(data!C:C,MATCH($N800,data!$A:$A,0)))</f>
        <v/>
      </c>
      <c r="AO800" s="38" t="str">
        <f>IF(ISNA(MATCH($N800,data!$A:$A,0)),"",INDEX(data!D:D,MATCH($N800,data!$A:$A,0)))</f>
        <v/>
      </c>
      <c r="AP800" s="38" t="str">
        <f>IF(ISNA(MATCH($N800,data!$A:$A,0)),"",INDEX(data!E:E,MATCH($N800,data!$A:$A,0)))</f>
        <v/>
      </c>
      <c r="AQ800" s="38" t="str">
        <f>IF(ISNA(MATCH($N800,data!$A:$A,0)),"",INDEX(data!F:F,MATCH($N800,data!$A:$A,0)))</f>
        <v/>
      </c>
      <c r="AR800" s="38" t="str">
        <f>IF(ISNA(MATCH($N800,data!$A:$A,0)),"",INDEX(data!G:G,MATCH($N800,data!$A:$A,0)))</f>
        <v/>
      </c>
      <c r="AS800" s="38" t="str">
        <f>IF(ISNA(MATCH($N800,data!$A:$A,0)),"",INDEX(data!H:H,MATCH($N800,data!$A:$A,0)))</f>
        <v/>
      </c>
      <c r="AT800" s="38" t="str">
        <f>IF(ISNA(MATCH($N800,data!$A:$A,0)),"",INDEX(data!I:I,MATCH($N800,data!$A:$A,0)))</f>
        <v/>
      </c>
      <c r="AU800" s="38" t="str">
        <f>IF(ISNA(MATCH($N800,[1]data!$A:$A,0)),"",INDEX([1]data!L:L,MATCH($N800,[1]data!$A:$A,0)))</f>
        <v/>
      </c>
      <c r="AV800" s="38" t="str">
        <f>IF(ISNA(MATCH($N800,[1]data!$A:$A,0)),"",INDEX([1]data!M:M,MATCH($N800,[1]data!$A:$A,0)))</f>
        <v/>
      </c>
      <c r="AW800" s="38" t="str">
        <f>IF(ISNA(MATCH($N800,data!$A:$A,0)),"",INDEX(data!J:J,MATCH($N800,data!$A:$A,0)))</f>
        <v/>
      </c>
      <c r="AX800" s="38" t="str">
        <f>IF(ISNA(MATCH($N800,data!$A:$A,0)),"",INDEX(data!K:K,MATCH($N800,data!$A:$A,0)))</f>
        <v/>
      </c>
      <c r="AY800" s="38" t="str">
        <f>IF(ISNA(MATCH($N800,data!$A:$A,0)),"",INDEX(data!O:O,MATCH($N800,data!$A:$A,0)))</f>
        <v/>
      </c>
      <c r="AZ800" s="38" t="str">
        <f>IF(ISNA(MATCH($N800,data!$A:$A,0)),"",INDEX(data!N:N,MATCH($N800,data!$A:$A,0)))</f>
        <v/>
      </c>
      <c r="BA800" s="38" t="str">
        <f>IF(ISNA(MATCH($N800,data!$A:$A,0)),"",INDEX(data!P:P,MATCH($N800,data!$A:$A,0)))</f>
        <v/>
      </c>
      <c r="BB800" s="38" t="str">
        <f>IF(ISNA(MATCH($N800,data!$A:$A,0)),"",INDEX(data!Q:Q,MATCH($N800,data!$A:$A,0)))</f>
        <v/>
      </c>
      <c r="BC800" s="38" t="str">
        <f>IF(ISNA(MATCH($N800,data!$A:$A,0)),"",INDEX(data!R:R,MATCH($N800,data!$A:$A,0)))</f>
        <v/>
      </c>
      <c r="BD800" s="38" t="str">
        <f>IF(ISNA(MATCH($N800,[1]data!$A:$A,0)),"",INDEX([1]data!U:U,MATCH($N800,[1]data!$A:$A,0)))</f>
        <v/>
      </c>
      <c r="BE800" s="61" t="e">
        <f>IF(COUNTIF([1]data!A:A,[1]!Table1[[#This Row],[UPC]])&lt;2,"","DUP")</f>
        <v>#VALUE!</v>
      </c>
      <c r="BF800" s="38" t="str">
        <f>IF(ISNA(MATCH($N800,data!$A:$A,0)),"",INDEX(data!W:W,MATCH($N800,data!$A:$A,0)))</f>
        <v/>
      </c>
    </row>
    <row r="801" spans="1:58">
      <c r="A801" s="35"/>
      <c r="B801" s="35"/>
      <c r="C801" s="35"/>
      <c r="D801" s="35"/>
      <c r="E801" s="67"/>
      <c r="F801" s="67"/>
      <c r="G801" s="36"/>
      <c r="H801" s="29"/>
      <c r="I801" s="78" t="str">
        <f t="shared" si="20"/>
        <v/>
      </c>
      <c r="J801" s="29"/>
      <c r="K801" s="29"/>
      <c r="L801" s="33"/>
      <c r="M801" s="33"/>
      <c r="N801" s="60"/>
      <c r="O801" s="71"/>
      <c r="P801" s="71"/>
      <c r="Q801" s="33"/>
      <c r="R801" s="31"/>
      <c r="S801" s="31"/>
      <c r="T801" s="59"/>
      <c r="U801" s="59"/>
      <c r="V801" s="59"/>
      <c r="W801" s="57">
        <f t="shared" si="21"/>
        <v>0</v>
      </c>
      <c r="X801" s="126" t="str">
        <f>IF(Table1[[#This Row],[Shipping Weight Pounds]]&gt;150,"See LTL Form","No")</f>
        <v>No</v>
      </c>
      <c r="Y801" s="28"/>
      <c r="Z801" s="33"/>
      <c r="AA801" s="34"/>
      <c r="AB801" s="30"/>
      <c r="AC801" s="30"/>
      <c r="AD801" s="32"/>
      <c r="AE801" s="32"/>
      <c r="AF801" s="2"/>
      <c r="AG801" s="2"/>
      <c r="AH801" s="2"/>
      <c r="AI801" s="2"/>
      <c r="AK801" s="73" t="str">
        <f>IF(ISNA(MATCH($N801,[1]data!$A:$A,0)),"",INDEX([1]data!S:S,MATCH($N801,[1]data!$A:$A,0)))</f>
        <v/>
      </c>
      <c r="AL801" s="73" t="str">
        <f>IF(ISNA(MATCH($N801,[1]data!$A:$A,0)),"",INDEX([1]data!V:V,MATCH($N801,[1]data!$A:$A,0)))</f>
        <v/>
      </c>
      <c r="AM801" s="38" t="str">
        <f>IF(ISNA(MATCH($N801,data!$A:$A,0)),"",INDEX(data!B:B,MATCH($N801,data!$A:$A,0)))</f>
        <v/>
      </c>
      <c r="AN801" s="38" t="str">
        <f>IF(ISNA(MATCH($N801,data!$A:$A,0)),"",INDEX(data!C:C,MATCH($N801,data!$A:$A,0)))</f>
        <v/>
      </c>
      <c r="AO801" s="38" t="str">
        <f>IF(ISNA(MATCH($N801,data!$A:$A,0)),"",INDEX(data!D:D,MATCH($N801,data!$A:$A,0)))</f>
        <v/>
      </c>
      <c r="AP801" s="38" t="str">
        <f>IF(ISNA(MATCH($N801,data!$A:$A,0)),"",INDEX(data!E:E,MATCH($N801,data!$A:$A,0)))</f>
        <v/>
      </c>
      <c r="AQ801" s="38" t="str">
        <f>IF(ISNA(MATCH($N801,data!$A:$A,0)),"",INDEX(data!F:F,MATCH($N801,data!$A:$A,0)))</f>
        <v/>
      </c>
      <c r="AR801" s="38" t="str">
        <f>IF(ISNA(MATCH($N801,data!$A:$A,0)),"",INDEX(data!G:G,MATCH($N801,data!$A:$A,0)))</f>
        <v/>
      </c>
      <c r="AS801" s="38" t="str">
        <f>IF(ISNA(MATCH($N801,data!$A:$A,0)),"",INDEX(data!H:H,MATCH($N801,data!$A:$A,0)))</f>
        <v/>
      </c>
      <c r="AT801" s="38" t="str">
        <f>IF(ISNA(MATCH($N801,data!$A:$A,0)),"",INDEX(data!I:I,MATCH($N801,data!$A:$A,0)))</f>
        <v/>
      </c>
      <c r="AU801" s="38" t="str">
        <f>IF(ISNA(MATCH($N801,[1]data!$A:$A,0)),"",INDEX([1]data!L:L,MATCH($N801,[1]data!$A:$A,0)))</f>
        <v/>
      </c>
      <c r="AV801" s="38" t="str">
        <f>IF(ISNA(MATCH($N801,[1]data!$A:$A,0)),"",INDEX([1]data!M:M,MATCH($N801,[1]data!$A:$A,0)))</f>
        <v/>
      </c>
      <c r="AW801" s="38" t="str">
        <f>IF(ISNA(MATCH($N801,data!$A:$A,0)),"",INDEX(data!J:J,MATCH($N801,data!$A:$A,0)))</f>
        <v/>
      </c>
      <c r="AX801" s="38" t="str">
        <f>IF(ISNA(MATCH($N801,data!$A:$A,0)),"",INDEX(data!K:K,MATCH($N801,data!$A:$A,0)))</f>
        <v/>
      </c>
      <c r="AY801" s="38" t="str">
        <f>IF(ISNA(MATCH($N801,data!$A:$A,0)),"",INDEX(data!O:O,MATCH($N801,data!$A:$A,0)))</f>
        <v/>
      </c>
      <c r="AZ801" s="38" t="str">
        <f>IF(ISNA(MATCH($N801,data!$A:$A,0)),"",INDEX(data!N:N,MATCH($N801,data!$A:$A,0)))</f>
        <v/>
      </c>
      <c r="BA801" s="38" t="str">
        <f>IF(ISNA(MATCH($N801,data!$A:$A,0)),"",INDEX(data!P:P,MATCH($N801,data!$A:$A,0)))</f>
        <v/>
      </c>
      <c r="BB801" s="38" t="str">
        <f>IF(ISNA(MATCH($N801,data!$A:$A,0)),"",INDEX(data!Q:Q,MATCH($N801,data!$A:$A,0)))</f>
        <v/>
      </c>
      <c r="BC801" s="38" t="str">
        <f>IF(ISNA(MATCH($N801,data!$A:$A,0)),"",INDEX(data!R:R,MATCH($N801,data!$A:$A,0)))</f>
        <v/>
      </c>
      <c r="BD801" s="38" t="str">
        <f>IF(ISNA(MATCH($N801,[1]data!$A:$A,0)),"",INDEX([1]data!U:U,MATCH($N801,[1]data!$A:$A,0)))</f>
        <v/>
      </c>
      <c r="BE801" s="61" t="e">
        <f>IF(COUNTIF([1]data!A:A,[1]!Table1[[#This Row],[UPC]])&lt;2,"","DUP")</f>
        <v>#VALUE!</v>
      </c>
      <c r="BF801" s="38" t="str">
        <f>IF(ISNA(MATCH($N801,data!$A:$A,0)),"",INDEX(data!W:W,MATCH($N801,data!$A:$A,0)))</f>
        <v/>
      </c>
    </row>
    <row r="802" spans="1:58">
      <c r="A802" s="35"/>
      <c r="B802" s="35"/>
      <c r="C802" s="35"/>
      <c r="D802" s="35"/>
      <c r="E802" s="67"/>
      <c r="F802" s="67"/>
      <c r="G802" s="36"/>
      <c r="H802" s="29"/>
      <c r="I802" s="78" t="str">
        <f t="shared" si="20"/>
        <v/>
      </c>
      <c r="J802" s="29"/>
      <c r="K802" s="29"/>
      <c r="L802" s="33"/>
      <c r="M802" s="33"/>
      <c r="N802" s="60"/>
      <c r="O802" s="71"/>
      <c r="P802" s="71"/>
      <c r="Q802" s="33"/>
      <c r="R802" s="31"/>
      <c r="S802" s="31"/>
      <c r="T802" s="59"/>
      <c r="U802" s="59"/>
      <c r="V802" s="59"/>
      <c r="W802" s="57">
        <f t="shared" si="21"/>
        <v>0</v>
      </c>
      <c r="X802" s="126" t="str">
        <f>IF(Table1[[#This Row],[Shipping Weight Pounds]]&gt;150,"See LTL Form","No")</f>
        <v>No</v>
      </c>
      <c r="Y802" s="28"/>
      <c r="Z802" s="33"/>
      <c r="AA802" s="34"/>
      <c r="AB802" s="30"/>
      <c r="AC802" s="30"/>
      <c r="AD802" s="32"/>
      <c r="AE802" s="32"/>
      <c r="AF802" s="2"/>
      <c r="AG802" s="2"/>
      <c r="AH802" s="2"/>
      <c r="AI802" s="2"/>
      <c r="AK802" s="73" t="str">
        <f>IF(ISNA(MATCH($N802,[1]data!$A:$A,0)),"",INDEX([1]data!S:S,MATCH($N802,[1]data!$A:$A,0)))</f>
        <v/>
      </c>
      <c r="AL802" s="73" t="str">
        <f>IF(ISNA(MATCH($N802,[1]data!$A:$A,0)),"",INDEX([1]data!V:V,MATCH($N802,[1]data!$A:$A,0)))</f>
        <v/>
      </c>
      <c r="AM802" s="38" t="str">
        <f>IF(ISNA(MATCH($N802,data!$A:$A,0)),"",INDEX(data!B:B,MATCH($N802,data!$A:$A,0)))</f>
        <v/>
      </c>
      <c r="AN802" s="38" t="str">
        <f>IF(ISNA(MATCH($N802,data!$A:$A,0)),"",INDEX(data!C:C,MATCH($N802,data!$A:$A,0)))</f>
        <v/>
      </c>
      <c r="AO802" s="38" t="str">
        <f>IF(ISNA(MATCH($N802,data!$A:$A,0)),"",INDEX(data!D:D,MATCH($N802,data!$A:$A,0)))</f>
        <v/>
      </c>
      <c r="AP802" s="38" t="str">
        <f>IF(ISNA(MATCH($N802,data!$A:$A,0)),"",INDEX(data!E:E,MATCH($N802,data!$A:$A,0)))</f>
        <v/>
      </c>
      <c r="AQ802" s="38" t="str">
        <f>IF(ISNA(MATCH($N802,data!$A:$A,0)),"",INDEX(data!F:F,MATCH($N802,data!$A:$A,0)))</f>
        <v/>
      </c>
      <c r="AR802" s="38" t="str">
        <f>IF(ISNA(MATCH($N802,data!$A:$A,0)),"",INDEX(data!G:G,MATCH($N802,data!$A:$A,0)))</f>
        <v/>
      </c>
      <c r="AS802" s="38" t="str">
        <f>IF(ISNA(MATCH($N802,data!$A:$A,0)),"",INDEX(data!H:H,MATCH($N802,data!$A:$A,0)))</f>
        <v/>
      </c>
      <c r="AT802" s="38" t="str">
        <f>IF(ISNA(MATCH($N802,data!$A:$A,0)),"",INDEX(data!I:I,MATCH($N802,data!$A:$A,0)))</f>
        <v/>
      </c>
      <c r="AU802" s="38" t="str">
        <f>IF(ISNA(MATCH($N802,[1]data!$A:$A,0)),"",INDEX([1]data!L:L,MATCH($N802,[1]data!$A:$A,0)))</f>
        <v/>
      </c>
      <c r="AV802" s="38" t="str">
        <f>IF(ISNA(MATCH($N802,[1]data!$A:$A,0)),"",INDEX([1]data!M:M,MATCH($N802,[1]data!$A:$A,0)))</f>
        <v/>
      </c>
      <c r="AW802" s="38" t="str">
        <f>IF(ISNA(MATCH($N802,data!$A:$A,0)),"",INDEX(data!J:J,MATCH($N802,data!$A:$A,0)))</f>
        <v/>
      </c>
      <c r="AX802" s="38" t="str">
        <f>IF(ISNA(MATCH($N802,data!$A:$A,0)),"",INDEX(data!K:K,MATCH($N802,data!$A:$A,0)))</f>
        <v/>
      </c>
      <c r="AY802" s="38" t="str">
        <f>IF(ISNA(MATCH($N802,data!$A:$A,0)),"",INDEX(data!O:O,MATCH($N802,data!$A:$A,0)))</f>
        <v/>
      </c>
      <c r="AZ802" s="38" t="str">
        <f>IF(ISNA(MATCH($N802,data!$A:$A,0)),"",INDEX(data!N:N,MATCH($N802,data!$A:$A,0)))</f>
        <v/>
      </c>
      <c r="BA802" s="38" t="str">
        <f>IF(ISNA(MATCH($N802,data!$A:$A,0)),"",INDEX(data!P:P,MATCH($N802,data!$A:$A,0)))</f>
        <v/>
      </c>
      <c r="BB802" s="38" t="str">
        <f>IF(ISNA(MATCH($N802,data!$A:$A,0)),"",INDEX(data!Q:Q,MATCH($N802,data!$A:$A,0)))</f>
        <v/>
      </c>
      <c r="BC802" s="38" t="str">
        <f>IF(ISNA(MATCH($N802,data!$A:$A,0)),"",INDEX(data!R:R,MATCH($N802,data!$A:$A,0)))</f>
        <v/>
      </c>
      <c r="BD802" s="38" t="str">
        <f>IF(ISNA(MATCH($N802,[1]data!$A:$A,0)),"",INDEX([1]data!U:U,MATCH($N802,[1]data!$A:$A,0)))</f>
        <v/>
      </c>
      <c r="BE802" s="61" t="e">
        <f>IF(COUNTIF([1]data!A:A,[1]!Table1[[#This Row],[UPC]])&lt;2,"","DUP")</f>
        <v>#VALUE!</v>
      </c>
      <c r="BF802" s="38" t="str">
        <f>IF(ISNA(MATCH($N802,data!$A:$A,0)),"",INDEX(data!W:W,MATCH($N802,data!$A:$A,0)))</f>
        <v/>
      </c>
    </row>
    <row r="803" spans="1:58">
      <c r="A803" s="35"/>
      <c r="B803" s="35"/>
      <c r="C803" s="35"/>
      <c r="D803" s="35"/>
      <c r="E803" s="67"/>
      <c r="F803" s="67"/>
      <c r="G803" s="36"/>
      <c r="H803" s="29"/>
      <c r="I803" s="78" t="str">
        <f t="shared" si="20"/>
        <v/>
      </c>
      <c r="J803" s="29"/>
      <c r="K803" s="29"/>
      <c r="L803" s="33"/>
      <c r="M803" s="33"/>
      <c r="N803" s="60"/>
      <c r="O803" s="71"/>
      <c r="P803" s="71"/>
      <c r="Q803" s="33"/>
      <c r="R803" s="31"/>
      <c r="S803" s="31"/>
      <c r="T803" s="59"/>
      <c r="U803" s="59"/>
      <c r="V803" s="59"/>
      <c r="W803" s="57">
        <f t="shared" si="21"/>
        <v>0</v>
      </c>
      <c r="X803" s="126" t="str">
        <f>IF(Table1[[#This Row],[Shipping Weight Pounds]]&gt;150,"See LTL Form","No")</f>
        <v>No</v>
      </c>
      <c r="Y803" s="28"/>
      <c r="Z803" s="33"/>
      <c r="AA803" s="34"/>
      <c r="AB803" s="30"/>
      <c r="AC803" s="30"/>
      <c r="AD803" s="32"/>
      <c r="AE803" s="32"/>
      <c r="AF803" s="2"/>
      <c r="AG803" s="2"/>
      <c r="AH803" s="2"/>
      <c r="AI803" s="2"/>
      <c r="AK803" s="73" t="str">
        <f>IF(ISNA(MATCH($N803,[1]data!$A:$A,0)),"",INDEX([1]data!S:S,MATCH($N803,[1]data!$A:$A,0)))</f>
        <v/>
      </c>
      <c r="AL803" s="73" t="str">
        <f>IF(ISNA(MATCH($N803,[1]data!$A:$A,0)),"",INDEX([1]data!V:V,MATCH($N803,[1]data!$A:$A,0)))</f>
        <v/>
      </c>
      <c r="AM803" s="38" t="str">
        <f>IF(ISNA(MATCH($N803,data!$A:$A,0)),"",INDEX(data!B:B,MATCH($N803,data!$A:$A,0)))</f>
        <v/>
      </c>
      <c r="AN803" s="38" t="str">
        <f>IF(ISNA(MATCH($N803,data!$A:$A,0)),"",INDEX(data!C:C,MATCH($N803,data!$A:$A,0)))</f>
        <v/>
      </c>
      <c r="AO803" s="38" t="str">
        <f>IF(ISNA(MATCH($N803,data!$A:$A,0)),"",INDEX(data!D:D,MATCH($N803,data!$A:$A,0)))</f>
        <v/>
      </c>
      <c r="AP803" s="38" t="str">
        <f>IF(ISNA(MATCH($N803,data!$A:$A,0)),"",INDEX(data!E:E,MATCH($N803,data!$A:$A,0)))</f>
        <v/>
      </c>
      <c r="AQ803" s="38" t="str">
        <f>IF(ISNA(MATCH($N803,data!$A:$A,0)),"",INDEX(data!F:F,MATCH($N803,data!$A:$A,0)))</f>
        <v/>
      </c>
      <c r="AR803" s="38" t="str">
        <f>IF(ISNA(MATCH($N803,data!$A:$A,0)),"",INDEX(data!G:G,MATCH($N803,data!$A:$A,0)))</f>
        <v/>
      </c>
      <c r="AS803" s="38" t="str">
        <f>IF(ISNA(MATCH($N803,data!$A:$A,0)),"",INDEX(data!H:H,MATCH($N803,data!$A:$A,0)))</f>
        <v/>
      </c>
      <c r="AT803" s="38" t="str">
        <f>IF(ISNA(MATCH($N803,data!$A:$A,0)),"",INDEX(data!I:I,MATCH($N803,data!$A:$A,0)))</f>
        <v/>
      </c>
      <c r="AU803" s="38" t="str">
        <f>IF(ISNA(MATCH($N803,[1]data!$A:$A,0)),"",INDEX([1]data!L:L,MATCH($N803,[1]data!$A:$A,0)))</f>
        <v/>
      </c>
      <c r="AV803" s="38" t="str">
        <f>IF(ISNA(MATCH($N803,[1]data!$A:$A,0)),"",INDEX([1]data!M:M,MATCH($N803,[1]data!$A:$A,0)))</f>
        <v/>
      </c>
      <c r="AW803" s="38" t="str">
        <f>IF(ISNA(MATCH($N803,data!$A:$A,0)),"",INDEX(data!J:J,MATCH($N803,data!$A:$A,0)))</f>
        <v/>
      </c>
      <c r="AX803" s="38" t="str">
        <f>IF(ISNA(MATCH($N803,data!$A:$A,0)),"",INDEX(data!K:K,MATCH($N803,data!$A:$A,0)))</f>
        <v/>
      </c>
      <c r="AY803" s="38" t="str">
        <f>IF(ISNA(MATCH($N803,data!$A:$A,0)),"",INDEX(data!O:O,MATCH($N803,data!$A:$A,0)))</f>
        <v/>
      </c>
      <c r="AZ803" s="38" t="str">
        <f>IF(ISNA(MATCH($N803,data!$A:$A,0)),"",INDEX(data!N:N,MATCH($N803,data!$A:$A,0)))</f>
        <v/>
      </c>
      <c r="BA803" s="38" t="str">
        <f>IF(ISNA(MATCH($N803,data!$A:$A,0)),"",INDEX(data!P:P,MATCH($N803,data!$A:$A,0)))</f>
        <v/>
      </c>
      <c r="BB803" s="38" t="str">
        <f>IF(ISNA(MATCH($N803,data!$A:$A,0)),"",INDEX(data!Q:Q,MATCH($N803,data!$A:$A,0)))</f>
        <v/>
      </c>
      <c r="BC803" s="38" t="str">
        <f>IF(ISNA(MATCH($N803,data!$A:$A,0)),"",INDEX(data!R:R,MATCH($N803,data!$A:$A,0)))</f>
        <v/>
      </c>
      <c r="BD803" s="38" t="str">
        <f>IF(ISNA(MATCH($N803,[1]data!$A:$A,0)),"",INDEX([1]data!U:U,MATCH($N803,[1]data!$A:$A,0)))</f>
        <v/>
      </c>
      <c r="BE803" s="61" t="e">
        <f>IF(COUNTIF([1]data!A:A,[1]!Table1[[#This Row],[UPC]])&lt;2,"","DUP")</f>
        <v>#VALUE!</v>
      </c>
      <c r="BF803" s="38" t="str">
        <f>IF(ISNA(MATCH($N803,data!$A:$A,0)),"",INDEX(data!W:W,MATCH($N803,data!$A:$A,0)))</f>
        <v/>
      </c>
    </row>
    <row r="804" spans="1:58">
      <c r="A804" s="35"/>
      <c r="B804" s="35"/>
      <c r="C804" s="35"/>
      <c r="D804" s="35"/>
      <c r="E804" s="67"/>
      <c r="F804" s="67"/>
      <c r="G804" s="36"/>
      <c r="H804" s="29"/>
      <c r="I804" s="78" t="str">
        <f t="shared" si="20"/>
        <v/>
      </c>
      <c r="J804" s="29"/>
      <c r="K804" s="29"/>
      <c r="L804" s="33"/>
      <c r="M804" s="33"/>
      <c r="N804" s="60"/>
      <c r="O804" s="71"/>
      <c r="P804" s="71"/>
      <c r="Q804" s="33"/>
      <c r="R804" s="31"/>
      <c r="S804" s="31"/>
      <c r="T804" s="59"/>
      <c r="U804" s="59"/>
      <c r="V804" s="59"/>
      <c r="W804" s="57">
        <f t="shared" si="21"/>
        <v>0</v>
      </c>
      <c r="X804" s="126" t="str">
        <f>IF(Table1[[#This Row],[Shipping Weight Pounds]]&gt;150,"See LTL Form","No")</f>
        <v>No</v>
      </c>
      <c r="Y804" s="28"/>
      <c r="Z804" s="33"/>
      <c r="AA804" s="34"/>
      <c r="AB804" s="30"/>
      <c r="AC804" s="30"/>
      <c r="AD804" s="32"/>
      <c r="AE804" s="32"/>
      <c r="AF804" s="2"/>
      <c r="AG804" s="2"/>
      <c r="AH804" s="2"/>
      <c r="AI804" s="2"/>
      <c r="AK804" s="73" t="str">
        <f>IF(ISNA(MATCH($N804,[1]data!$A:$A,0)),"",INDEX([1]data!S:S,MATCH($N804,[1]data!$A:$A,0)))</f>
        <v/>
      </c>
      <c r="AL804" s="73" t="str">
        <f>IF(ISNA(MATCH($N804,[1]data!$A:$A,0)),"",INDEX([1]data!V:V,MATCH($N804,[1]data!$A:$A,0)))</f>
        <v/>
      </c>
      <c r="AM804" s="38" t="str">
        <f>IF(ISNA(MATCH($N804,data!$A:$A,0)),"",INDEX(data!B:B,MATCH($N804,data!$A:$A,0)))</f>
        <v/>
      </c>
      <c r="AN804" s="38" t="str">
        <f>IF(ISNA(MATCH($N804,data!$A:$A,0)),"",INDEX(data!C:C,MATCH($N804,data!$A:$A,0)))</f>
        <v/>
      </c>
      <c r="AO804" s="38" t="str">
        <f>IF(ISNA(MATCH($N804,data!$A:$A,0)),"",INDEX(data!D:D,MATCH($N804,data!$A:$A,0)))</f>
        <v/>
      </c>
      <c r="AP804" s="38" t="str">
        <f>IF(ISNA(MATCH($N804,data!$A:$A,0)),"",INDEX(data!E:E,MATCH($N804,data!$A:$A,0)))</f>
        <v/>
      </c>
      <c r="AQ804" s="38" t="str">
        <f>IF(ISNA(MATCH($N804,data!$A:$A,0)),"",INDEX(data!F:F,MATCH($N804,data!$A:$A,0)))</f>
        <v/>
      </c>
      <c r="AR804" s="38" t="str">
        <f>IF(ISNA(MATCH($N804,data!$A:$A,0)),"",INDEX(data!G:G,MATCH($N804,data!$A:$A,0)))</f>
        <v/>
      </c>
      <c r="AS804" s="38" t="str">
        <f>IF(ISNA(MATCH($N804,data!$A:$A,0)),"",INDEX(data!H:H,MATCH($N804,data!$A:$A,0)))</f>
        <v/>
      </c>
      <c r="AT804" s="38" t="str">
        <f>IF(ISNA(MATCH($N804,data!$A:$A,0)),"",INDEX(data!I:I,MATCH($N804,data!$A:$A,0)))</f>
        <v/>
      </c>
      <c r="AU804" s="38" t="str">
        <f>IF(ISNA(MATCH($N804,[1]data!$A:$A,0)),"",INDEX([1]data!L:L,MATCH($N804,[1]data!$A:$A,0)))</f>
        <v/>
      </c>
      <c r="AV804" s="38" t="str">
        <f>IF(ISNA(MATCH($N804,[1]data!$A:$A,0)),"",INDEX([1]data!M:M,MATCH($N804,[1]data!$A:$A,0)))</f>
        <v/>
      </c>
      <c r="AW804" s="38" t="str">
        <f>IF(ISNA(MATCH($N804,data!$A:$A,0)),"",INDEX(data!J:J,MATCH($N804,data!$A:$A,0)))</f>
        <v/>
      </c>
      <c r="AX804" s="38" t="str">
        <f>IF(ISNA(MATCH($N804,data!$A:$A,0)),"",INDEX(data!K:K,MATCH($N804,data!$A:$A,0)))</f>
        <v/>
      </c>
      <c r="AY804" s="38" t="str">
        <f>IF(ISNA(MATCH($N804,data!$A:$A,0)),"",INDEX(data!O:O,MATCH($N804,data!$A:$A,0)))</f>
        <v/>
      </c>
      <c r="AZ804" s="38" t="str">
        <f>IF(ISNA(MATCH($N804,data!$A:$A,0)),"",INDEX(data!N:N,MATCH($N804,data!$A:$A,0)))</f>
        <v/>
      </c>
      <c r="BA804" s="38" t="str">
        <f>IF(ISNA(MATCH($N804,data!$A:$A,0)),"",INDEX(data!P:P,MATCH($N804,data!$A:$A,0)))</f>
        <v/>
      </c>
      <c r="BB804" s="38" t="str">
        <f>IF(ISNA(MATCH($N804,data!$A:$A,0)),"",INDEX(data!Q:Q,MATCH($N804,data!$A:$A,0)))</f>
        <v/>
      </c>
      <c r="BC804" s="38" t="str">
        <f>IF(ISNA(MATCH($N804,data!$A:$A,0)),"",INDEX(data!R:R,MATCH($N804,data!$A:$A,0)))</f>
        <v/>
      </c>
      <c r="BD804" s="38" t="str">
        <f>IF(ISNA(MATCH($N804,[1]data!$A:$A,0)),"",INDEX([1]data!U:U,MATCH($N804,[1]data!$A:$A,0)))</f>
        <v/>
      </c>
      <c r="BE804" s="61" t="e">
        <f>IF(COUNTIF([1]data!A:A,[1]!Table1[[#This Row],[UPC]])&lt;2,"","DUP")</f>
        <v>#VALUE!</v>
      </c>
      <c r="BF804" s="38" t="str">
        <f>IF(ISNA(MATCH($N804,data!$A:$A,0)),"",INDEX(data!W:W,MATCH($N804,data!$A:$A,0)))</f>
        <v/>
      </c>
    </row>
    <row r="805" spans="1:58">
      <c r="A805" s="35"/>
      <c r="B805" s="35"/>
      <c r="C805" s="35"/>
      <c r="D805" s="35"/>
      <c r="E805" s="67"/>
      <c r="F805" s="67"/>
      <c r="G805" s="36"/>
      <c r="H805" s="29"/>
      <c r="I805" s="78" t="str">
        <f t="shared" si="20"/>
        <v/>
      </c>
      <c r="J805" s="29"/>
      <c r="K805" s="29"/>
      <c r="L805" s="33"/>
      <c r="M805" s="33"/>
      <c r="N805" s="60"/>
      <c r="O805" s="71"/>
      <c r="P805" s="71"/>
      <c r="Q805" s="33"/>
      <c r="R805" s="31"/>
      <c r="S805" s="31"/>
      <c r="T805" s="59"/>
      <c r="U805" s="59"/>
      <c r="V805" s="59"/>
      <c r="W805" s="57">
        <f t="shared" si="21"/>
        <v>0</v>
      </c>
      <c r="X805" s="126" t="str">
        <f>IF(Table1[[#This Row],[Shipping Weight Pounds]]&gt;150,"See LTL Form","No")</f>
        <v>No</v>
      </c>
      <c r="Y805" s="28"/>
      <c r="Z805" s="33"/>
      <c r="AA805" s="34"/>
      <c r="AB805" s="30"/>
      <c r="AC805" s="30"/>
      <c r="AD805" s="32"/>
      <c r="AE805" s="32"/>
      <c r="AF805" s="2"/>
      <c r="AG805" s="2"/>
      <c r="AH805" s="2"/>
      <c r="AI805" s="2"/>
      <c r="AK805" s="73" t="str">
        <f>IF(ISNA(MATCH($N805,[1]data!$A:$A,0)),"",INDEX([1]data!S:S,MATCH($N805,[1]data!$A:$A,0)))</f>
        <v/>
      </c>
      <c r="AL805" s="73" t="str">
        <f>IF(ISNA(MATCH($N805,[1]data!$A:$A,0)),"",INDEX([1]data!V:V,MATCH($N805,[1]data!$A:$A,0)))</f>
        <v/>
      </c>
      <c r="AM805" s="38" t="str">
        <f>IF(ISNA(MATCH($N805,data!$A:$A,0)),"",INDEX(data!B:B,MATCH($N805,data!$A:$A,0)))</f>
        <v/>
      </c>
      <c r="AN805" s="38" t="str">
        <f>IF(ISNA(MATCH($N805,data!$A:$A,0)),"",INDEX(data!C:C,MATCH($N805,data!$A:$A,0)))</f>
        <v/>
      </c>
      <c r="AO805" s="38" t="str">
        <f>IF(ISNA(MATCH($N805,data!$A:$A,0)),"",INDEX(data!D:D,MATCH($N805,data!$A:$A,0)))</f>
        <v/>
      </c>
      <c r="AP805" s="38" t="str">
        <f>IF(ISNA(MATCH($N805,data!$A:$A,0)),"",INDEX(data!E:E,MATCH($N805,data!$A:$A,0)))</f>
        <v/>
      </c>
      <c r="AQ805" s="38" t="str">
        <f>IF(ISNA(MATCH($N805,data!$A:$A,0)),"",INDEX(data!F:F,MATCH($N805,data!$A:$A,0)))</f>
        <v/>
      </c>
      <c r="AR805" s="38" t="str">
        <f>IF(ISNA(MATCH($N805,data!$A:$A,0)),"",INDEX(data!G:G,MATCH($N805,data!$A:$A,0)))</f>
        <v/>
      </c>
      <c r="AS805" s="38" t="str">
        <f>IF(ISNA(MATCH($N805,data!$A:$A,0)),"",INDEX(data!H:H,MATCH($N805,data!$A:$A,0)))</f>
        <v/>
      </c>
      <c r="AT805" s="38" t="str">
        <f>IF(ISNA(MATCH($N805,data!$A:$A,0)),"",INDEX(data!I:I,MATCH($N805,data!$A:$A,0)))</f>
        <v/>
      </c>
      <c r="AU805" s="38" t="str">
        <f>IF(ISNA(MATCH($N805,[1]data!$A:$A,0)),"",INDEX([1]data!L:L,MATCH($N805,[1]data!$A:$A,0)))</f>
        <v/>
      </c>
      <c r="AV805" s="38" t="str">
        <f>IF(ISNA(MATCH($N805,[1]data!$A:$A,0)),"",INDEX([1]data!M:M,MATCH($N805,[1]data!$A:$A,0)))</f>
        <v/>
      </c>
      <c r="AW805" s="38" t="str">
        <f>IF(ISNA(MATCH($N805,data!$A:$A,0)),"",INDEX(data!J:J,MATCH($N805,data!$A:$A,0)))</f>
        <v/>
      </c>
      <c r="AX805" s="38" t="str">
        <f>IF(ISNA(MATCH($N805,data!$A:$A,0)),"",INDEX(data!K:K,MATCH($N805,data!$A:$A,0)))</f>
        <v/>
      </c>
      <c r="AY805" s="38" t="str">
        <f>IF(ISNA(MATCH($N805,data!$A:$A,0)),"",INDEX(data!O:O,MATCH($N805,data!$A:$A,0)))</f>
        <v/>
      </c>
      <c r="AZ805" s="38" t="str">
        <f>IF(ISNA(MATCH($N805,data!$A:$A,0)),"",INDEX(data!N:N,MATCH($N805,data!$A:$A,0)))</f>
        <v/>
      </c>
      <c r="BA805" s="38" t="str">
        <f>IF(ISNA(MATCH($N805,data!$A:$A,0)),"",INDEX(data!P:P,MATCH($N805,data!$A:$A,0)))</f>
        <v/>
      </c>
      <c r="BB805" s="38" t="str">
        <f>IF(ISNA(MATCH($N805,data!$A:$A,0)),"",INDEX(data!Q:Q,MATCH($N805,data!$A:$A,0)))</f>
        <v/>
      </c>
      <c r="BC805" s="38" t="str">
        <f>IF(ISNA(MATCH($N805,data!$A:$A,0)),"",INDEX(data!R:R,MATCH($N805,data!$A:$A,0)))</f>
        <v/>
      </c>
      <c r="BD805" s="38" t="str">
        <f>IF(ISNA(MATCH($N805,[1]data!$A:$A,0)),"",INDEX([1]data!U:U,MATCH($N805,[1]data!$A:$A,0)))</f>
        <v/>
      </c>
      <c r="BE805" s="61" t="e">
        <f>IF(COUNTIF([1]data!A:A,[1]!Table1[[#This Row],[UPC]])&lt;2,"","DUP")</f>
        <v>#VALUE!</v>
      </c>
      <c r="BF805" s="38" t="str">
        <f>IF(ISNA(MATCH($N805,data!$A:$A,0)),"",INDEX(data!W:W,MATCH($N805,data!$A:$A,0)))</f>
        <v/>
      </c>
    </row>
    <row r="806" spans="1:58">
      <c r="A806" s="35"/>
      <c r="B806" s="35"/>
      <c r="C806" s="35"/>
      <c r="D806" s="35"/>
      <c r="E806" s="67"/>
      <c r="F806" s="67"/>
      <c r="G806" s="36"/>
      <c r="H806" s="29"/>
      <c r="I806" s="78" t="str">
        <f t="shared" si="20"/>
        <v/>
      </c>
      <c r="J806" s="29"/>
      <c r="K806" s="29"/>
      <c r="L806" s="33"/>
      <c r="M806" s="33"/>
      <c r="N806" s="60"/>
      <c r="O806" s="71"/>
      <c r="P806" s="71"/>
      <c r="Q806" s="33"/>
      <c r="R806" s="31"/>
      <c r="S806" s="31"/>
      <c r="T806" s="59"/>
      <c r="U806" s="59"/>
      <c r="V806" s="59"/>
      <c r="W806" s="57">
        <f t="shared" si="21"/>
        <v>0</v>
      </c>
      <c r="X806" s="126" t="str">
        <f>IF(Table1[[#This Row],[Shipping Weight Pounds]]&gt;150,"See LTL Form","No")</f>
        <v>No</v>
      </c>
      <c r="Y806" s="28"/>
      <c r="Z806" s="33"/>
      <c r="AA806" s="34"/>
      <c r="AB806" s="30"/>
      <c r="AC806" s="30"/>
      <c r="AD806" s="32"/>
      <c r="AE806" s="32"/>
      <c r="AF806" s="2"/>
      <c r="AG806" s="2"/>
      <c r="AH806" s="2"/>
      <c r="AI806" s="2"/>
      <c r="AK806" s="73" t="str">
        <f>IF(ISNA(MATCH($N806,[1]data!$A:$A,0)),"",INDEX([1]data!S:S,MATCH($N806,[1]data!$A:$A,0)))</f>
        <v/>
      </c>
      <c r="AL806" s="73" t="str">
        <f>IF(ISNA(MATCH($N806,[1]data!$A:$A,0)),"",INDEX([1]data!V:V,MATCH($N806,[1]data!$A:$A,0)))</f>
        <v/>
      </c>
      <c r="AM806" s="38" t="str">
        <f>IF(ISNA(MATCH($N806,data!$A:$A,0)),"",INDEX(data!B:B,MATCH($N806,data!$A:$A,0)))</f>
        <v/>
      </c>
      <c r="AN806" s="38" t="str">
        <f>IF(ISNA(MATCH($N806,data!$A:$A,0)),"",INDEX(data!C:C,MATCH($N806,data!$A:$A,0)))</f>
        <v/>
      </c>
      <c r="AO806" s="38" t="str">
        <f>IF(ISNA(MATCH($N806,data!$A:$A,0)),"",INDEX(data!D:D,MATCH($N806,data!$A:$A,0)))</f>
        <v/>
      </c>
      <c r="AP806" s="38" t="str">
        <f>IF(ISNA(MATCH($N806,data!$A:$A,0)),"",INDEX(data!E:E,MATCH($N806,data!$A:$A,0)))</f>
        <v/>
      </c>
      <c r="AQ806" s="38" t="str">
        <f>IF(ISNA(MATCH($N806,data!$A:$A,0)),"",INDEX(data!F:F,MATCH($N806,data!$A:$A,0)))</f>
        <v/>
      </c>
      <c r="AR806" s="38" t="str">
        <f>IF(ISNA(MATCH($N806,data!$A:$A,0)),"",INDEX(data!G:G,MATCH($N806,data!$A:$A,0)))</f>
        <v/>
      </c>
      <c r="AS806" s="38" t="str">
        <f>IF(ISNA(MATCH($N806,data!$A:$A,0)),"",INDEX(data!H:H,MATCH($N806,data!$A:$A,0)))</f>
        <v/>
      </c>
      <c r="AT806" s="38" t="str">
        <f>IF(ISNA(MATCH($N806,data!$A:$A,0)),"",INDEX(data!I:I,MATCH($N806,data!$A:$A,0)))</f>
        <v/>
      </c>
      <c r="AU806" s="38" t="str">
        <f>IF(ISNA(MATCH($N806,[1]data!$A:$A,0)),"",INDEX([1]data!L:L,MATCH($N806,[1]data!$A:$A,0)))</f>
        <v/>
      </c>
      <c r="AV806" s="38" t="str">
        <f>IF(ISNA(MATCH($N806,[1]data!$A:$A,0)),"",INDEX([1]data!M:M,MATCH($N806,[1]data!$A:$A,0)))</f>
        <v/>
      </c>
      <c r="AW806" s="38" t="str">
        <f>IF(ISNA(MATCH($N806,data!$A:$A,0)),"",INDEX(data!J:J,MATCH($N806,data!$A:$A,0)))</f>
        <v/>
      </c>
      <c r="AX806" s="38" t="str">
        <f>IF(ISNA(MATCH($N806,data!$A:$A,0)),"",INDEX(data!K:K,MATCH($N806,data!$A:$A,0)))</f>
        <v/>
      </c>
      <c r="AY806" s="38" t="str">
        <f>IF(ISNA(MATCH($N806,data!$A:$A,0)),"",INDEX(data!O:O,MATCH($N806,data!$A:$A,0)))</f>
        <v/>
      </c>
      <c r="AZ806" s="38" t="str">
        <f>IF(ISNA(MATCH($N806,data!$A:$A,0)),"",INDEX(data!N:N,MATCH($N806,data!$A:$A,0)))</f>
        <v/>
      </c>
      <c r="BA806" s="38" t="str">
        <f>IF(ISNA(MATCH($N806,data!$A:$A,0)),"",INDEX(data!P:P,MATCH($N806,data!$A:$A,0)))</f>
        <v/>
      </c>
      <c r="BB806" s="38" t="str">
        <f>IF(ISNA(MATCH($N806,data!$A:$A,0)),"",INDEX(data!Q:Q,MATCH($N806,data!$A:$A,0)))</f>
        <v/>
      </c>
      <c r="BC806" s="38" t="str">
        <f>IF(ISNA(MATCH($N806,data!$A:$A,0)),"",INDEX(data!R:R,MATCH($N806,data!$A:$A,0)))</f>
        <v/>
      </c>
      <c r="BD806" s="38" t="str">
        <f>IF(ISNA(MATCH($N806,[1]data!$A:$A,0)),"",INDEX([1]data!U:U,MATCH($N806,[1]data!$A:$A,0)))</f>
        <v/>
      </c>
      <c r="BE806" s="61" t="e">
        <f>IF(COUNTIF([1]data!A:A,[1]!Table1[[#This Row],[UPC]])&lt;2,"","DUP")</f>
        <v>#VALUE!</v>
      </c>
      <c r="BF806" s="38" t="str">
        <f>IF(ISNA(MATCH($N806,data!$A:$A,0)),"",INDEX(data!W:W,MATCH($N806,data!$A:$A,0)))</f>
        <v/>
      </c>
    </row>
    <row r="807" spans="1:58">
      <c r="A807" s="35"/>
      <c r="B807" s="35"/>
      <c r="C807" s="35"/>
      <c r="D807" s="35"/>
      <c r="E807" s="67"/>
      <c r="F807" s="67"/>
      <c r="G807" s="36"/>
      <c r="H807" s="29"/>
      <c r="I807" s="78" t="str">
        <f t="shared" si="20"/>
        <v/>
      </c>
      <c r="J807" s="29"/>
      <c r="K807" s="29"/>
      <c r="L807" s="33"/>
      <c r="M807" s="33"/>
      <c r="N807" s="60"/>
      <c r="O807" s="71"/>
      <c r="P807" s="71"/>
      <c r="Q807" s="33"/>
      <c r="R807" s="31"/>
      <c r="S807" s="31"/>
      <c r="T807" s="59"/>
      <c r="U807" s="59"/>
      <c r="V807" s="59"/>
      <c r="W807" s="57">
        <f t="shared" si="21"/>
        <v>0</v>
      </c>
      <c r="X807" s="126" t="str">
        <f>IF(Table1[[#This Row],[Shipping Weight Pounds]]&gt;150,"See LTL Form","No")</f>
        <v>No</v>
      </c>
      <c r="Y807" s="28"/>
      <c r="Z807" s="33"/>
      <c r="AA807" s="34"/>
      <c r="AB807" s="30"/>
      <c r="AC807" s="30"/>
      <c r="AD807" s="32"/>
      <c r="AE807" s="32"/>
      <c r="AF807" s="2"/>
      <c r="AG807" s="2"/>
      <c r="AH807" s="2"/>
      <c r="AI807" s="2"/>
      <c r="AK807" s="73" t="str">
        <f>IF(ISNA(MATCH($N807,[1]data!$A:$A,0)),"",INDEX([1]data!S:S,MATCH($N807,[1]data!$A:$A,0)))</f>
        <v/>
      </c>
      <c r="AL807" s="73" t="str">
        <f>IF(ISNA(MATCH($N807,[1]data!$A:$A,0)),"",INDEX([1]data!V:V,MATCH($N807,[1]data!$A:$A,0)))</f>
        <v/>
      </c>
      <c r="AM807" s="38" t="str">
        <f>IF(ISNA(MATCH($N807,data!$A:$A,0)),"",INDEX(data!B:B,MATCH($N807,data!$A:$A,0)))</f>
        <v/>
      </c>
      <c r="AN807" s="38" t="str">
        <f>IF(ISNA(MATCH($N807,data!$A:$A,0)),"",INDEX(data!C:C,MATCH($N807,data!$A:$A,0)))</f>
        <v/>
      </c>
      <c r="AO807" s="38" t="str">
        <f>IF(ISNA(MATCH($N807,data!$A:$A,0)),"",INDEX(data!D:D,MATCH($N807,data!$A:$A,0)))</f>
        <v/>
      </c>
      <c r="AP807" s="38" t="str">
        <f>IF(ISNA(MATCH($N807,data!$A:$A,0)),"",INDEX(data!E:E,MATCH($N807,data!$A:$A,0)))</f>
        <v/>
      </c>
      <c r="AQ807" s="38" t="str">
        <f>IF(ISNA(MATCH($N807,data!$A:$A,0)),"",INDEX(data!F:F,MATCH($N807,data!$A:$A,0)))</f>
        <v/>
      </c>
      <c r="AR807" s="38" t="str">
        <f>IF(ISNA(MATCH($N807,data!$A:$A,0)),"",INDEX(data!G:G,MATCH($N807,data!$A:$A,0)))</f>
        <v/>
      </c>
      <c r="AS807" s="38" t="str">
        <f>IF(ISNA(MATCH($N807,data!$A:$A,0)),"",INDEX(data!H:H,MATCH($N807,data!$A:$A,0)))</f>
        <v/>
      </c>
      <c r="AT807" s="38" t="str">
        <f>IF(ISNA(MATCH($N807,data!$A:$A,0)),"",INDEX(data!I:I,MATCH($N807,data!$A:$A,0)))</f>
        <v/>
      </c>
      <c r="AU807" s="38" t="str">
        <f>IF(ISNA(MATCH($N807,[1]data!$A:$A,0)),"",INDEX([1]data!L:L,MATCH($N807,[1]data!$A:$A,0)))</f>
        <v/>
      </c>
      <c r="AV807" s="38" t="str">
        <f>IF(ISNA(MATCH($N807,[1]data!$A:$A,0)),"",INDEX([1]data!M:M,MATCH($N807,[1]data!$A:$A,0)))</f>
        <v/>
      </c>
      <c r="AW807" s="38" t="str">
        <f>IF(ISNA(MATCH($N807,data!$A:$A,0)),"",INDEX(data!J:J,MATCH($N807,data!$A:$A,0)))</f>
        <v/>
      </c>
      <c r="AX807" s="38" t="str">
        <f>IF(ISNA(MATCH($N807,data!$A:$A,0)),"",INDEX(data!K:K,MATCH($N807,data!$A:$A,0)))</f>
        <v/>
      </c>
      <c r="AY807" s="38" t="str">
        <f>IF(ISNA(MATCH($N807,data!$A:$A,0)),"",INDEX(data!O:O,MATCH($N807,data!$A:$A,0)))</f>
        <v/>
      </c>
      <c r="AZ807" s="38" t="str">
        <f>IF(ISNA(MATCH($N807,data!$A:$A,0)),"",INDEX(data!N:N,MATCH($N807,data!$A:$A,0)))</f>
        <v/>
      </c>
      <c r="BA807" s="38" t="str">
        <f>IF(ISNA(MATCH($N807,data!$A:$A,0)),"",INDEX(data!P:P,MATCH($N807,data!$A:$A,0)))</f>
        <v/>
      </c>
      <c r="BB807" s="38" t="str">
        <f>IF(ISNA(MATCH($N807,data!$A:$A,0)),"",INDEX(data!Q:Q,MATCH($N807,data!$A:$A,0)))</f>
        <v/>
      </c>
      <c r="BC807" s="38" t="str">
        <f>IF(ISNA(MATCH($N807,data!$A:$A,0)),"",INDEX(data!R:R,MATCH($N807,data!$A:$A,0)))</f>
        <v/>
      </c>
      <c r="BD807" s="38" t="str">
        <f>IF(ISNA(MATCH($N807,[1]data!$A:$A,0)),"",INDEX([1]data!U:U,MATCH($N807,[1]data!$A:$A,0)))</f>
        <v/>
      </c>
      <c r="BE807" s="61" t="e">
        <f>IF(COUNTIF([1]data!A:A,[1]!Table1[[#This Row],[UPC]])&lt;2,"","DUP")</f>
        <v>#VALUE!</v>
      </c>
      <c r="BF807" s="38" t="str">
        <f>IF(ISNA(MATCH($N807,data!$A:$A,0)),"",INDEX(data!W:W,MATCH($N807,data!$A:$A,0)))</f>
        <v/>
      </c>
    </row>
    <row r="808" spans="1:58">
      <c r="A808" s="35"/>
      <c r="B808" s="35"/>
      <c r="C808" s="35"/>
      <c r="D808" s="35"/>
      <c r="E808" s="67"/>
      <c r="F808" s="67"/>
      <c r="G808" s="36"/>
      <c r="H808" s="29"/>
      <c r="I808" s="78" t="str">
        <f t="shared" si="20"/>
        <v/>
      </c>
      <c r="J808" s="29"/>
      <c r="K808" s="29"/>
      <c r="L808" s="33"/>
      <c r="M808" s="33"/>
      <c r="N808" s="60"/>
      <c r="O808" s="71"/>
      <c r="P808" s="71"/>
      <c r="Q808" s="33"/>
      <c r="R808" s="31"/>
      <c r="S808" s="31"/>
      <c r="T808" s="59"/>
      <c r="U808" s="59"/>
      <c r="V808" s="59"/>
      <c r="W808" s="57">
        <f t="shared" si="21"/>
        <v>0</v>
      </c>
      <c r="X808" s="126" t="str">
        <f>IF(Table1[[#This Row],[Shipping Weight Pounds]]&gt;150,"See LTL Form","No")</f>
        <v>No</v>
      </c>
      <c r="Y808" s="28"/>
      <c r="Z808" s="33"/>
      <c r="AA808" s="34"/>
      <c r="AB808" s="30"/>
      <c r="AC808" s="30"/>
      <c r="AD808" s="32"/>
      <c r="AE808" s="32"/>
      <c r="AF808" s="2"/>
      <c r="AG808" s="2"/>
      <c r="AH808" s="2"/>
      <c r="AI808" s="2"/>
      <c r="AK808" s="73" t="str">
        <f>IF(ISNA(MATCH($N808,[1]data!$A:$A,0)),"",INDEX([1]data!S:S,MATCH($N808,[1]data!$A:$A,0)))</f>
        <v/>
      </c>
      <c r="AL808" s="73" t="str">
        <f>IF(ISNA(MATCH($N808,[1]data!$A:$A,0)),"",INDEX([1]data!V:V,MATCH($N808,[1]data!$A:$A,0)))</f>
        <v/>
      </c>
      <c r="AM808" s="38" t="str">
        <f>IF(ISNA(MATCH($N808,data!$A:$A,0)),"",INDEX(data!B:B,MATCH($N808,data!$A:$A,0)))</f>
        <v/>
      </c>
      <c r="AN808" s="38" t="str">
        <f>IF(ISNA(MATCH($N808,data!$A:$A,0)),"",INDEX(data!C:C,MATCH($N808,data!$A:$A,0)))</f>
        <v/>
      </c>
      <c r="AO808" s="38" t="str">
        <f>IF(ISNA(MATCH($N808,data!$A:$A,0)),"",INDEX(data!D:D,MATCH($N808,data!$A:$A,0)))</f>
        <v/>
      </c>
      <c r="AP808" s="38" t="str">
        <f>IF(ISNA(MATCH($N808,data!$A:$A,0)),"",INDEX(data!E:E,MATCH($N808,data!$A:$A,0)))</f>
        <v/>
      </c>
      <c r="AQ808" s="38" t="str">
        <f>IF(ISNA(MATCH($N808,data!$A:$A,0)),"",INDEX(data!F:F,MATCH($N808,data!$A:$A,0)))</f>
        <v/>
      </c>
      <c r="AR808" s="38" t="str">
        <f>IF(ISNA(MATCH($N808,data!$A:$A,0)),"",INDEX(data!G:G,MATCH($N808,data!$A:$A,0)))</f>
        <v/>
      </c>
      <c r="AS808" s="38" t="str">
        <f>IF(ISNA(MATCH($N808,data!$A:$A,0)),"",INDEX(data!H:H,MATCH($N808,data!$A:$A,0)))</f>
        <v/>
      </c>
      <c r="AT808" s="38" t="str">
        <f>IF(ISNA(MATCH($N808,data!$A:$A,0)),"",INDEX(data!I:I,MATCH($N808,data!$A:$A,0)))</f>
        <v/>
      </c>
      <c r="AU808" s="38" t="str">
        <f>IF(ISNA(MATCH($N808,[1]data!$A:$A,0)),"",INDEX([1]data!L:L,MATCH($N808,[1]data!$A:$A,0)))</f>
        <v/>
      </c>
      <c r="AV808" s="38" t="str">
        <f>IF(ISNA(MATCH($N808,[1]data!$A:$A,0)),"",INDEX([1]data!M:M,MATCH($N808,[1]data!$A:$A,0)))</f>
        <v/>
      </c>
      <c r="AW808" s="38" t="str">
        <f>IF(ISNA(MATCH($N808,data!$A:$A,0)),"",INDEX(data!J:J,MATCH($N808,data!$A:$A,0)))</f>
        <v/>
      </c>
      <c r="AX808" s="38" t="str">
        <f>IF(ISNA(MATCH($N808,data!$A:$A,0)),"",INDEX(data!K:K,MATCH($N808,data!$A:$A,0)))</f>
        <v/>
      </c>
      <c r="AY808" s="38" t="str">
        <f>IF(ISNA(MATCH($N808,data!$A:$A,0)),"",INDEX(data!O:O,MATCH($N808,data!$A:$A,0)))</f>
        <v/>
      </c>
      <c r="AZ808" s="38" t="str">
        <f>IF(ISNA(MATCH($N808,data!$A:$A,0)),"",INDEX(data!N:N,MATCH($N808,data!$A:$A,0)))</f>
        <v/>
      </c>
      <c r="BA808" s="38" t="str">
        <f>IF(ISNA(MATCH($N808,data!$A:$A,0)),"",INDEX(data!P:P,MATCH($N808,data!$A:$A,0)))</f>
        <v/>
      </c>
      <c r="BB808" s="38" t="str">
        <f>IF(ISNA(MATCH($N808,data!$A:$A,0)),"",INDEX(data!Q:Q,MATCH($N808,data!$A:$A,0)))</f>
        <v/>
      </c>
      <c r="BC808" s="38" t="str">
        <f>IF(ISNA(MATCH($N808,data!$A:$A,0)),"",INDEX(data!R:R,MATCH($N808,data!$A:$A,0)))</f>
        <v/>
      </c>
      <c r="BD808" s="38" t="str">
        <f>IF(ISNA(MATCH($N808,[1]data!$A:$A,0)),"",INDEX([1]data!U:U,MATCH($N808,[1]data!$A:$A,0)))</f>
        <v/>
      </c>
      <c r="BE808" s="61" t="e">
        <f>IF(COUNTIF([1]data!A:A,[1]!Table1[[#This Row],[UPC]])&lt;2,"","DUP")</f>
        <v>#VALUE!</v>
      </c>
      <c r="BF808" s="38" t="str">
        <f>IF(ISNA(MATCH($N808,data!$A:$A,0)),"",INDEX(data!W:W,MATCH($N808,data!$A:$A,0)))</f>
        <v/>
      </c>
    </row>
    <row r="809" spans="1:58">
      <c r="A809" s="35"/>
      <c r="B809" s="35"/>
      <c r="C809" s="35"/>
      <c r="D809" s="35"/>
      <c r="E809" s="67"/>
      <c r="F809" s="67"/>
      <c r="G809" s="36"/>
      <c r="H809" s="29"/>
      <c r="I809" s="78" t="str">
        <f t="shared" si="20"/>
        <v/>
      </c>
      <c r="J809" s="29"/>
      <c r="K809" s="29"/>
      <c r="L809" s="33"/>
      <c r="M809" s="33"/>
      <c r="N809" s="60"/>
      <c r="O809" s="71"/>
      <c r="P809" s="71"/>
      <c r="Q809" s="33"/>
      <c r="R809" s="31"/>
      <c r="S809" s="31"/>
      <c r="T809" s="59"/>
      <c r="U809" s="59"/>
      <c r="V809" s="59"/>
      <c r="W809" s="57">
        <f t="shared" si="21"/>
        <v>0</v>
      </c>
      <c r="X809" s="126" t="str">
        <f>IF(Table1[[#This Row],[Shipping Weight Pounds]]&gt;150,"See LTL Form","No")</f>
        <v>No</v>
      </c>
      <c r="Y809" s="28"/>
      <c r="Z809" s="33"/>
      <c r="AA809" s="34"/>
      <c r="AB809" s="30"/>
      <c r="AC809" s="30"/>
      <c r="AD809" s="32"/>
      <c r="AE809" s="32"/>
      <c r="AF809" s="2"/>
      <c r="AG809" s="2"/>
      <c r="AH809" s="2"/>
      <c r="AI809" s="2"/>
      <c r="AK809" s="73" t="str">
        <f>IF(ISNA(MATCH($N809,[1]data!$A:$A,0)),"",INDEX([1]data!S:S,MATCH($N809,[1]data!$A:$A,0)))</f>
        <v/>
      </c>
      <c r="AL809" s="73" t="str">
        <f>IF(ISNA(MATCH($N809,[1]data!$A:$A,0)),"",INDEX([1]data!V:V,MATCH($N809,[1]data!$A:$A,0)))</f>
        <v/>
      </c>
      <c r="AM809" s="38" t="str">
        <f>IF(ISNA(MATCH($N809,data!$A:$A,0)),"",INDEX(data!B:B,MATCH($N809,data!$A:$A,0)))</f>
        <v/>
      </c>
      <c r="AN809" s="38" t="str">
        <f>IF(ISNA(MATCH($N809,data!$A:$A,0)),"",INDEX(data!C:C,MATCH($N809,data!$A:$A,0)))</f>
        <v/>
      </c>
      <c r="AO809" s="38" t="str">
        <f>IF(ISNA(MATCH($N809,data!$A:$A,0)),"",INDEX(data!D:D,MATCH($N809,data!$A:$A,0)))</f>
        <v/>
      </c>
      <c r="AP809" s="38" t="str">
        <f>IF(ISNA(MATCH($N809,data!$A:$A,0)),"",INDEX(data!E:E,MATCH($N809,data!$A:$A,0)))</f>
        <v/>
      </c>
      <c r="AQ809" s="38" t="str">
        <f>IF(ISNA(MATCH($N809,data!$A:$A,0)),"",INDEX(data!F:F,MATCH($N809,data!$A:$A,0)))</f>
        <v/>
      </c>
      <c r="AR809" s="38" t="str">
        <f>IF(ISNA(MATCH($N809,data!$A:$A,0)),"",INDEX(data!G:G,MATCH($N809,data!$A:$A,0)))</f>
        <v/>
      </c>
      <c r="AS809" s="38" t="str">
        <f>IF(ISNA(MATCH($N809,data!$A:$A,0)),"",INDEX(data!H:H,MATCH($N809,data!$A:$A,0)))</f>
        <v/>
      </c>
      <c r="AT809" s="38" t="str">
        <f>IF(ISNA(MATCH($N809,data!$A:$A,0)),"",INDEX(data!I:I,MATCH($N809,data!$A:$A,0)))</f>
        <v/>
      </c>
      <c r="AU809" s="38" t="str">
        <f>IF(ISNA(MATCH($N809,[1]data!$A:$A,0)),"",INDEX([1]data!L:L,MATCH($N809,[1]data!$A:$A,0)))</f>
        <v/>
      </c>
      <c r="AV809" s="38" t="str">
        <f>IF(ISNA(MATCH($N809,[1]data!$A:$A,0)),"",INDEX([1]data!M:M,MATCH($N809,[1]data!$A:$A,0)))</f>
        <v/>
      </c>
      <c r="AW809" s="38" t="str">
        <f>IF(ISNA(MATCH($N809,data!$A:$A,0)),"",INDEX(data!J:J,MATCH($N809,data!$A:$A,0)))</f>
        <v/>
      </c>
      <c r="AX809" s="38" t="str">
        <f>IF(ISNA(MATCH($N809,data!$A:$A,0)),"",INDEX(data!K:K,MATCH($N809,data!$A:$A,0)))</f>
        <v/>
      </c>
      <c r="AY809" s="38" t="str">
        <f>IF(ISNA(MATCH($N809,data!$A:$A,0)),"",INDEX(data!O:O,MATCH($N809,data!$A:$A,0)))</f>
        <v/>
      </c>
      <c r="AZ809" s="38" t="str">
        <f>IF(ISNA(MATCH($N809,data!$A:$A,0)),"",INDEX(data!N:N,MATCH($N809,data!$A:$A,0)))</f>
        <v/>
      </c>
      <c r="BA809" s="38" t="str">
        <f>IF(ISNA(MATCH($N809,data!$A:$A,0)),"",INDEX(data!P:P,MATCH($N809,data!$A:$A,0)))</f>
        <v/>
      </c>
      <c r="BB809" s="38" t="str">
        <f>IF(ISNA(MATCH($N809,data!$A:$A,0)),"",INDEX(data!Q:Q,MATCH($N809,data!$A:$A,0)))</f>
        <v/>
      </c>
      <c r="BC809" s="38" t="str">
        <f>IF(ISNA(MATCH($N809,data!$A:$A,0)),"",INDEX(data!R:R,MATCH($N809,data!$A:$A,0)))</f>
        <v/>
      </c>
      <c r="BD809" s="38" t="str">
        <f>IF(ISNA(MATCH($N809,[1]data!$A:$A,0)),"",INDEX([1]data!U:U,MATCH($N809,[1]data!$A:$A,0)))</f>
        <v/>
      </c>
      <c r="BE809" s="61" t="e">
        <f>IF(COUNTIF([1]data!A:A,[1]!Table1[[#This Row],[UPC]])&lt;2,"","DUP")</f>
        <v>#VALUE!</v>
      </c>
      <c r="BF809" s="38" t="str">
        <f>IF(ISNA(MATCH($N809,data!$A:$A,0)),"",INDEX(data!W:W,MATCH($N809,data!$A:$A,0)))</f>
        <v/>
      </c>
    </row>
    <row r="810" spans="1:58">
      <c r="A810" s="35"/>
      <c r="B810" s="35"/>
      <c r="C810" s="35"/>
      <c r="D810" s="35"/>
      <c r="E810" s="67"/>
      <c r="F810" s="67"/>
      <c r="G810" s="36"/>
      <c r="H810" s="29"/>
      <c r="I810" s="78" t="str">
        <f t="shared" si="20"/>
        <v/>
      </c>
      <c r="J810" s="29"/>
      <c r="K810" s="29"/>
      <c r="L810" s="33"/>
      <c r="M810" s="33"/>
      <c r="N810" s="60"/>
      <c r="O810" s="71"/>
      <c r="P810" s="71"/>
      <c r="Q810" s="33"/>
      <c r="R810" s="31"/>
      <c r="S810" s="31"/>
      <c r="T810" s="59"/>
      <c r="U810" s="59"/>
      <c r="V810" s="59"/>
      <c r="W810" s="57">
        <f t="shared" si="21"/>
        <v>0</v>
      </c>
      <c r="X810" s="126" t="str">
        <f>IF(Table1[[#This Row],[Shipping Weight Pounds]]&gt;150,"See LTL Form","No")</f>
        <v>No</v>
      </c>
      <c r="Y810" s="28"/>
      <c r="Z810" s="33"/>
      <c r="AA810" s="34"/>
      <c r="AB810" s="30"/>
      <c r="AC810" s="30"/>
      <c r="AD810" s="32"/>
      <c r="AE810" s="32"/>
      <c r="AF810" s="2"/>
      <c r="AG810" s="2"/>
      <c r="AH810" s="2"/>
      <c r="AI810" s="2"/>
      <c r="AK810" s="73" t="str">
        <f>IF(ISNA(MATCH($N810,[1]data!$A:$A,0)),"",INDEX([1]data!S:S,MATCH($N810,[1]data!$A:$A,0)))</f>
        <v/>
      </c>
      <c r="AL810" s="73" t="str">
        <f>IF(ISNA(MATCH($N810,[1]data!$A:$A,0)),"",INDEX([1]data!V:V,MATCH($N810,[1]data!$A:$A,0)))</f>
        <v/>
      </c>
      <c r="AM810" s="38" t="str">
        <f>IF(ISNA(MATCH($N810,data!$A:$A,0)),"",INDEX(data!B:B,MATCH($N810,data!$A:$A,0)))</f>
        <v/>
      </c>
      <c r="AN810" s="38" t="str">
        <f>IF(ISNA(MATCH($N810,data!$A:$A,0)),"",INDEX(data!C:C,MATCH($N810,data!$A:$A,0)))</f>
        <v/>
      </c>
      <c r="AO810" s="38" t="str">
        <f>IF(ISNA(MATCH($N810,data!$A:$A,0)),"",INDEX(data!D:D,MATCH($N810,data!$A:$A,0)))</f>
        <v/>
      </c>
      <c r="AP810" s="38" t="str">
        <f>IF(ISNA(MATCH($N810,data!$A:$A,0)),"",INDEX(data!E:E,MATCH($N810,data!$A:$A,0)))</f>
        <v/>
      </c>
      <c r="AQ810" s="38" t="str">
        <f>IF(ISNA(MATCH($N810,data!$A:$A,0)),"",INDEX(data!F:F,MATCH($N810,data!$A:$A,0)))</f>
        <v/>
      </c>
      <c r="AR810" s="38" t="str">
        <f>IF(ISNA(MATCH($N810,data!$A:$A,0)),"",INDEX(data!G:G,MATCH($N810,data!$A:$A,0)))</f>
        <v/>
      </c>
      <c r="AS810" s="38" t="str">
        <f>IF(ISNA(MATCH($N810,data!$A:$A,0)),"",INDEX(data!H:H,MATCH($N810,data!$A:$A,0)))</f>
        <v/>
      </c>
      <c r="AT810" s="38" t="str">
        <f>IF(ISNA(MATCH($N810,data!$A:$A,0)),"",INDEX(data!I:I,MATCH($N810,data!$A:$A,0)))</f>
        <v/>
      </c>
      <c r="AU810" s="38" t="str">
        <f>IF(ISNA(MATCH($N810,[1]data!$A:$A,0)),"",INDEX([1]data!L:L,MATCH($N810,[1]data!$A:$A,0)))</f>
        <v/>
      </c>
      <c r="AV810" s="38" t="str">
        <f>IF(ISNA(MATCH($N810,[1]data!$A:$A,0)),"",INDEX([1]data!M:M,MATCH($N810,[1]data!$A:$A,0)))</f>
        <v/>
      </c>
      <c r="AW810" s="38" t="str">
        <f>IF(ISNA(MATCH($N810,data!$A:$A,0)),"",INDEX(data!J:J,MATCH($N810,data!$A:$A,0)))</f>
        <v/>
      </c>
      <c r="AX810" s="38" t="str">
        <f>IF(ISNA(MATCH($N810,data!$A:$A,0)),"",INDEX(data!K:K,MATCH($N810,data!$A:$A,0)))</f>
        <v/>
      </c>
      <c r="AY810" s="38" t="str">
        <f>IF(ISNA(MATCH($N810,data!$A:$A,0)),"",INDEX(data!O:O,MATCH($N810,data!$A:$A,0)))</f>
        <v/>
      </c>
      <c r="AZ810" s="38" t="str">
        <f>IF(ISNA(MATCH($N810,data!$A:$A,0)),"",INDEX(data!N:N,MATCH($N810,data!$A:$A,0)))</f>
        <v/>
      </c>
      <c r="BA810" s="38" t="str">
        <f>IF(ISNA(MATCH($N810,data!$A:$A,0)),"",INDEX(data!P:P,MATCH($N810,data!$A:$A,0)))</f>
        <v/>
      </c>
      <c r="BB810" s="38" t="str">
        <f>IF(ISNA(MATCH($N810,data!$A:$A,0)),"",INDEX(data!Q:Q,MATCH($N810,data!$A:$A,0)))</f>
        <v/>
      </c>
      <c r="BC810" s="38" t="str">
        <f>IF(ISNA(MATCH($N810,data!$A:$A,0)),"",INDEX(data!R:R,MATCH($N810,data!$A:$A,0)))</f>
        <v/>
      </c>
      <c r="BD810" s="38" t="str">
        <f>IF(ISNA(MATCH($N810,[1]data!$A:$A,0)),"",INDEX([1]data!U:U,MATCH($N810,[1]data!$A:$A,0)))</f>
        <v/>
      </c>
      <c r="BE810" s="61" t="e">
        <f>IF(COUNTIF([1]data!A:A,[1]!Table1[[#This Row],[UPC]])&lt;2,"","DUP")</f>
        <v>#VALUE!</v>
      </c>
      <c r="BF810" s="38" t="str">
        <f>IF(ISNA(MATCH($N810,data!$A:$A,0)),"",INDEX(data!W:W,MATCH($N810,data!$A:$A,0)))</f>
        <v/>
      </c>
    </row>
    <row r="811" spans="1:58">
      <c r="A811" s="35"/>
      <c r="B811" s="35"/>
      <c r="C811" s="35"/>
      <c r="D811" s="35"/>
      <c r="E811" s="67"/>
      <c r="F811" s="67"/>
      <c r="G811" s="36"/>
      <c r="H811" s="29"/>
      <c r="I811" s="78" t="str">
        <f t="shared" si="20"/>
        <v/>
      </c>
      <c r="J811" s="29"/>
      <c r="K811" s="29"/>
      <c r="L811" s="33"/>
      <c r="M811" s="33"/>
      <c r="N811" s="60"/>
      <c r="O811" s="71"/>
      <c r="P811" s="71"/>
      <c r="Q811" s="33"/>
      <c r="R811" s="31"/>
      <c r="S811" s="31"/>
      <c r="T811" s="59"/>
      <c r="U811" s="59"/>
      <c r="V811" s="59"/>
      <c r="W811" s="57">
        <f t="shared" si="21"/>
        <v>0</v>
      </c>
      <c r="X811" s="126" t="str">
        <f>IF(Table1[[#This Row],[Shipping Weight Pounds]]&gt;150,"See LTL Form","No")</f>
        <v>No</v>
      </c>
      <c r="Y811" s="28"/>
      <c r="Z811" s="33"/>
      <c r="AA811" s="34"/>
      <c r="AB811" s="30"/>
      <c r="AC811" s="30"/>
      <c r="AD811" s="32"/>
      <c r="AE811" s="32"/>
      <c r="AF811" s="2"/>
      <c r="AG811" s="2"/>
      <c r="AH811" s="2"/>
      <c r="AI811" s="2"/>
      <c r="AK811" s="73" t="str">
        <f>IF(ISNA(MATCH($N811,[1]data!$A:$A,0)),"",INDEX([1]data!S:S,MATCH($N811,[1]data!$A:$A,0)))</f>
        <v/>
      </c>
      <c r="AL811" s="73" t="str">
        <f>IF(ISNA(MATCH($N811,[1]data!$A:$A,0)),"",INDEX([1]data!V:V,MATCH($N811,[1]data!$A:$A,0)))</f>
        <v/>
      </c>
      <c r="AM811" s="38" t="str">
        <f>IF(ISNA(MATCH($N811,data!$A:$A,0)),"",INDEX(data!B:B,MATCH($N811,data!$A:$A,0)))</f>
        <v/>
      </c>
      <c r="AN811" s="38" t="str">
        <f>IF(ISNA(MATCH($N811,data!$A:$A,0)),"",INDEX(data!C:C,MATCH($N811,data!$A:$A,0)))</f>
        <v/>
      </c>
      <c r="AO811" s="38" t="str">
        <f>IF(ISNA(MATCH($N811,data!$A:$A,0)),"",INDEX(data!D:D,MATCH($N811,data!$A:$A,0)))</f>
        <v/>
      </c>
      <c r="AP811" s="38" t="str">
        <f>IF(ISNA(MATCH($N811,data!$A:$A,0)),"",INDEX(data!E:E,MATCH($N811,data!$A:$A,0)))</f>
        <v/>
      </c>
      <c r="AQ811" s="38" t="str">
        <f>IF(ISNA(MATCH($N811,data!$A:$A,0)),"",INDEX(data!F:F,MATCH($N811,data!$A:$A,0)))</f>
        <v/>
      </c>
      <c r="AR811" s="38" t="str">
        <f>IF(ISNA(MATCH($N811,data!$A:$A,0)),"",INDEX(data!G:G,MATCH($N811,data!$A:$A,0)))</f>
        <v/>
      </c>
      <c r="AS811" s="38" t="str">
        <f>IF(ISNA(MATCH($N811,data!$A:$A,0)),"",INDEX(data!H:H,MATCH($N811,data!$A:$A,0)))</f>
        <v/>
      </c>
      <c r="AT811" s="38" t="str">
        <f>IF(ISNA(MATCH($N811,data!$A:$A,0)),"",INDEX(data!I:I,MATCH($N811,data!$A:$A,0)))</f>
        <v/>
      </c>
      <c r="AU811" s="38" t="str">
        <f>IF(ISNA(MATCH($N811,[1]data!$A:$A,0)),"",INDEX([1]data!L:L,MATCH($N811,[1]data!$A:$A,0)))</f>
        <v/>
      </c>
      <c r="AV811" s="38" t="str">
        <f>IF(ISNA(MATCH($N811,[1]data!$A:$A,0)),"",INDEX([1]data!M:M,MATCH($N811,[1]data!$A:$A,0)))</f>
        <v/>
      </c>
      <c r="AW811" s="38" t="str">
        <f>IF(ISNA(MATCH($N811,data!$A:$A,0)),"",INDEX(data!J:J,MATCH($N811,data!$A:$A,0)))</f>
        <v/>
      </c>
      <c r="AX811" s="38" t="str">
        <f>IF(ISNA(MATCH($N811,data!$A:$A,0)),"",INDEX(data!K:K,MATCH($N811,data!$A:$A,0)))</f>
        <v/>
      </c>
      <c r="AY811" s="38" t="str">
        <f>IF(ISNA(MATCH($N811,data!$A:$A,0)),"",INDEX(data!O:O,MATCH($N811,data!$A:$A,0)))</f>
        <v/>
      </c>
      <c r="AZ811" s="38" t="str">
        <f>IF(ISNA(MATCH($N811,data!$A:$A,0)),"",INDEX(data!N:N,MATCH($N811,data!$A:$A,0)))</f>
        <v/>
      </c>
      <c r="BA811" s="38" t="str">
        <f>IF(ISNA(MATCH($N811,data!$A:$A,0)),"",INDEX(data!P:P,MATCH($N811,data!$A:$A,0)))</f>
        <v/>
      </c>
      <c r="BB811" s="38" t="str">
        <f>IF(ISNA(MATCH($N811,data!$A:$A,0)),"",INDEX(data!Q:Q,MATCH($N811,data!$A:$A,0)))</f>
        <v/>
      </c>
      <c r="BC811" s="38" t="str">
        <f>IF(ISNA(MATCH($N811,data!$A:$A,0)),"",INDEX(data!R:R,MATCH($N811,data!$A:$A,0)))</f>
        <v/>
      </c>
      <c r="BD811" s="38" t="str">
        <f>IF(ISNA(MATCH($N811,[1]data!$A:$A,0)),"",INDEX([1]data!U:U,MATCH($N811,[1]data!$A:$A,0)))</f>
        <v/>
      </c>
      <c r="BE811" s="61" t="e">
        <f>IF(COUNTIF([1]data!A:A,[1]!Table1[[#This Row],[UPC]])&lt;2,"","DUP")</f>
        <v>#VALUE!</v>
      </c>
      <c r="BF811" s="38" t="str">
        <f>IF(ISNA(MATCH($N811,data!$A:$A,0)),"",INDEX(data!W:W,MATCH($N811,data!$A:$A,0)))</f>
        <v/>
      </c>
    </row>
    <row r="812" spans="1:58">
      <c r="A812" s="35"/>
      <c r="B812" s="35"/>
      <c r="C812" s="35"/>
      <c r="D812" s="35"/>
      <c r="E812" s="67"/>
      <c r="F812" s="67"/>
      <c r="G812" s="36"/>
      <c r="H812" s="29"/>
      <c r="I812" s="78" t="str">
        <f t="shared" si="20"/>
        <v/>
      </c>
      <c r="J812" s="29"/>
      <c r="K812" s="29"/>
      <c r="L812" s="33"/>
      <c r="M812" s="33"/>
      <c r="N812" s="60"/>
      <c r="O812" s="71"/>
      <c r="P812" s="71"/>
      <c r="Q812" s="33"/>
      <c r="R812" s="31"/>
      <c r="S812" s="31"/>
      <c r="T812" s="59"/>
      <c r="U812" s="59"/>
      <c r="V812" s="59"/>
      <c r="W812" s="57">
        <f t="shared" si="21"/>
        <v>0</v>
      </c>
      <c r="X812" s="126" t="str">
        <f>IF(Table1[[#This Row],[Shipping Weight Pounds]]&gt;150,"See LTL Form","No")</f>
        <v>No</v>
      </c>
      <c r="Y812" s="28"/>
      <c r="Z812" s="33"/>
      <c r="AA812" s="34"/>
      <c r="AB812" s="30"/>
      <c r="AC812" s="30"/>
      <c r="AD812" s="32"/>
      <c r="AE812" s="32"/>
      <c r="AF812" s="2"/>
      <c r="AG812" s="2"/>
      <c r="AH812" s="2"/>
      <c r="AI812" s="2"/>
      <c r="AK812" s="73" t="str">
        <f>IF(ISNA(MATCH($N812,[1]data!$A:$A,0)),"",INDEX([1]data!S:S,MATCH($N812,[1]data!$A:$A,0)))</f>
        <v/>
      </c>
      <c r="AL812" s="73" t="str">
        <f>IF(ISNA(MATCH($N812,[1]data!$A:$A,0)),"",INDEX([1]data!V:V,MATCH($N812,[1]data!$A:$A,0)))</f>
        <v/>
      </c>
      <c r="AM812" s="38" t="str">
        <f>IF(ISNA(MATCH($N812,data!$A:$A,0)),"",INDEX(data!B:B,MATCH($N812,data!$A:$A,0)))</f>
        <v/>
      </c>
      <c r="AN812" s="38" t="str">
        <f>IF(ISNA(MATCH($N812,data!$A:$A,0)),"",INDEX(data!C:C,MATCH($N812,data!$A:$A,0)))</f>
        <v/>
      </c>
      <c r="AO812" s="38" t="str">
        <f>IF(ISNA(MATCH($N812,data!$A:$A,0)),"",INDEX(data!D:D,MATCH($N812,data!$A:$A,0)))</f>
        <v/>
      </c>
      <c r="AP812" s="38" t="str">
        <f>IF(ISNA(MATCH($N812,data!$A:$A,0)),"",INDEX(data!E:E,MATCH($N812,data!$A:$A,0)))</f>
        <v/>
      </c>
      <c r="AQ812" s="38" t="str">
        <f>IF(ISNA(MATCH($N812,data!$A:$A,0)),"",INDEX(data!F:F,MATCH($N812,data!$A:$A,0)))</f>
        <v/>
      </c>
      <c r="AR812" s="38" t="str">
        <f>IF(ISNA(MATCH($N812,data!$A:$A,0)),"",INDEX(data!G:G,MATCH($N812,data!$A:$A,0)))</f>
        <v/>
      </c>
      <c r="AS812" s="38" t="str">
        <f>IF(ISNA(MATCH($N812,data!$A:$A,0)),"",INDEX(data!H:H,MATCH($N812,data!$A:$A,0)))</f>
        <v/>
      </c>
      <c r="AT812" s="38" t="str">
        <f>IF(ISNA(MATCH($N812,data!$A:$A,0)),"",INDEX(data!I:I,MATCH($N812,data!$A:$A,0)))</f>
        <v/>
      </c>
      <c r="AU812" s="38" t="str">
        <f>IF(ISNA(MATCH($N812,[1]data!$A:$A,0)),"",INDEX([1]data!L:L,MATCH($N812,[1]data!$A:$A,0)))</f>
        <v/>
      </c>
      <c r="AV812" s="38" t="str">
        <f>IF(ISNA(MATCH($N812,[1]data!$A:$A,0)),"",INDEX([1]data!M:M,MATCH($N812,[1]data!$A:$A,0)))</f>
        <v/>
      </c>
      <c r="AW812" s="38" t="str">
        <f>IF(ISNA(MATCH($N812,data!$A:$A,0)),"",INDEX(data!J:J,MATCH($N812,data!$A:$A,0)))</f>
        <v/>
      </c>
      <c r="AX812" s="38" t="str">
        <f>IF(ISNA(MATCH($N812,data!$A:$A,0)),"",INDEX(data!K:K,MATCH($N812,data!$A:$A,0)))</f>
        <v/>
      </c>
      <c r="AY812" s="38" t="str">
        <f>IF(ISNA(MATCH($N812,data!$A:$A,0)),"",INDEX(data!O:O,MATCH($N812,data!$A:$A,0)))</f>
        <v/>
      </c>
      <c r="AZ812" s="38" t="str">
        <f>IF(ISNA(MATCH($N812,data!$A:$A,0)),"",INDEX(data!N:N,MATCH($N812,data!$A:$A,0)))</f>
        <v/>
      </c>
      <c r="BA812" s="38" t="str">
        <f>IF(ISNA(MATCH($N812,data!$A:$A,0)),"",INDEX(data!P:P,MATCH($N812,data!$A:$A,0)))</f>
        <v/>
      </c>
      <c r="BB812" s="38" t="str">
        <f>IF(ISNA(MATCH($N812,data!$A:$A,0)),"",INDEX(data!Q:Q,MATCH($N812,data!$A:$A,0)))</f>
        <v/>
      </c>
      <c r="BC812" s="38" t="str">
        <f>IF(ISNA(MATCH($N812,data!$A:$A,0)),"",INDEX(data!R:R,MATCH($N812,data!$A:$A,0)))</f>
        <v/>
      </c>
      <c r="BD812" s="38" t="str">
        <f>IF(ISNA(MATCH($N812,[1]data!$A:$A,0)),"",INDEX([1]data!U:U,MATCH($N812,[1]data!$A:$A,0)))</f>
        <v/>
      </c>
      <c r="BE812" s="61" t="e">
        <f>IF(COUNTIF([1]data!A:A,[1]!Table1[[#This Row],[UPC]])&lt;2,"","DUP")</f>
        <v>#VALUE!</v>
      </c>
      <c r="BF812" s="38" t="str">
        <f>IF(ISNA(MATCH($N812,data!$A:$A,0)),"",INDEX(data!W:W,MATCH($N812,data!$A:$A,0)))</f>
        <v/>
      </c>
    </row>
    <row r="813" spans="1:58">
      <c r="A813" s="35"/>
      <c r="B813" s="35"/>
      <c r="C813" s="35"/>
      <c r="D813" s="35"/>
      <c r="E813" s="67"/>
      <c r="F813" s="67"/>
      <c r="G813" s="36"/>
      <c r="H813" s="29"/>
      <c r="I813" s="78" t="str">
        <f t="shared" si="20"/>
        <v/>
      </c>
      <c r="J813" s="29"/>
      <c r="K813" s="29"/>
      <c r="L813" s="33"/>
      <c r="M813" s="33"/>
      <c r="N813" s="60"/>
      <c r="O813" s="71"/>
      <c r="P813" s="71"/>
      <c r="Q813" s="33"/>
      <c r="R813" s="31"/>
      <c r="S813" s="31"/>
      <c r="T813" s="59"/>
      <c r="U813" s="59"/>
      <c r="V813" s="59"/>
      <c r="W813" s="57">
        <f t="shared" si="21"/>
        <v>0</v>
      </c>
      <c r="X813" s="126" t="str">
        <f>IF(Table1[[#This Row],[Shipping Weight Pounds]]&gt;150,"See LTL Form","No")</f>
        <v>No</v>
      </c>
      <c r="Y813" s="28"/>
      <c r="Z813" s="33"/>
      <c r="AA813" s="34"/>
      <c r="AB813" s="30"/>
      <c r="AC813" s="30"/>
      <c r="AD813" s="32"/>
      <c r="AE813" s="32"/>
      <c r="AF813" s="2"/>
      <c r="AG813" s="2"/>
      <c r="AH813" s="2"/>
      <c r="AI813" s="2"/>
      <c r="AK813" s="73" t="str">
        <f>IF(ISNA(MATCH($N813,[1]data!$A:$A,0)),"",INDEX([1]data!S:S,MATCH($N813,[1]data!$A:$A,0)))</f>
        <v/>
      </c>
      <c r="AL813" s="73" t="str">
        <f>IF(ISNA(MATCH($N813,[1]data!$A:$A,0)),"",INDEX([1]data!V:V,MATCH($N813,[1]data!$A:$A,0)))</f>
        <v/>
      </c>
      <c r="AM813" s="38" t="str">
        <f>IF(ISNA(MATCH($N813,data!$A:$A,0)),"",INDEX(data!B:B,MATCH($N813,data!$A:$A,0)))</f>
        <v/>
      </c>
      <c r="AN813" s="38" t="str">
        <f>IF(ISNA(MATCH($N813,data!$A:$A,0)),"",INDEX(data!C:C,MATCH($N813,data!$A:$A,0)))</f>
        <v/>
      </c>
      <c r="AO813" s="38" t="str">
        <f>IF(ISNA(MATCH($N813,data!$A:$A,0)),"",INDEX(data!D:D,MATCH($N813,data!$A:$A,0)))</f>
        <v/>
      </c>
      <c r="AP813" s="38" t="str">
        <f>IF(ISNA(MATCH($N813,data!$A:$A,0)),"",INDEX(data!E:E,MATCH($N813,data!$A:$A,0)))</f>
        <v/>
      </c>
      <c r="AQ813" s="38" t="str">
        <f>IF(ISNA(MATCH($N813,data!$A:$A,0)),"",INDEX(data!F:F,MATCH($N813,data!$A:$A,0)))</f>
        <v/>
      </c>
      <c r="AR813" s="38" t="str">
        <f>IF(ISNA(MATCH($N813,data!$A:$A,0)),"",INDEX(data!G:G,MATCH($N813,data!$A:$A,0)))</f>
        <v/>
      </c>
      <c r="AS813" s="38" t="str">
        <f>IF(ISNA(MATCH($N813,data!$A:$A,0)),"",INDEX(data!H:H,MATCH($N813,data!$A:$A,0)))</f>
        <v/>
      </c>
      <c r="AT813" s="38" t="str">
        <f>IF(ISNA(MATCH($N813,data!$A:$A,0)),"",INDEX(data!I:I,MATCH($N813,data!$A:$A,0)))</f>
        <v/>
      </c>
      <c r="AU813" s="38" t="str">
        <f>IF(ISNA(MATCH($N813,[1]data!$A:$A,0)),"",INDEX([1]data!L:L,MATCH($N813,[1]data!$A:$A,0)))</f>
        <v/>
      </c>
      <c r="AV813" s="38" t="str">
        <f>IF(ISNA(MATCH($N813,[1]data!$A:$A,0)),"",INDEX([1]data!M:M,MATCH($N813,[1]data!$A:$A,0)))</f>
        <v/>
      </c>
      <c r="AW813" s="38" t="str">
        <f>IF(ISNA(MATCH($N813,data!$A:$A,0)),"",INDEX(data!J:J,MATCH($N813,data!$A:$A,0)))</f>
        <v/>
      </c>
      <c r="AX813" s="38" t="str">
        <f>IF(ISNA(MATCH($N813,data!$A:$A,0)),"",INDEX(data!K:K,MATCH($N813,data!$A:$A,0)))</f>
        <v/>
      </c>
      <c r="AY813" s="38" t="str">
        <f>IF(ISNA(MATCH($N813,data!$A:$A,0)),"",INDEX(data!O:O,MATCH($N813,data!$A:$A,0)))</f>
        <v/>
      </c>
      <c r="AZ813" s="38" t="str">
        <f>IF(ISNA(MATCH($N813,data!$A:$A,0)),"",INDEX(data!N:N,MATCH($N813,data!$A:$A,0)))</f>
        <v/>
      </c>
      <c r="BA813" s="38" t="str">
        <f>IF(ISNA(MATCH($N813,data!$A:$A,0)),"",INDEX(data!P:P,MATCH($N813,data!$A:$A,0)))</f>
        <v/>
      </c>
      <c r="BB813" s="38" t="str">
        <f>IF(ISNA(MATCH($N813,data!$A:$A,0)),"",INDEX(data!Q:Q,MATCH($N813,data!$A:$A,0)))</f>
        <v/>
      </c>
      <c r="BC813" s="38" t="str">
        <f>IF(ISNA(MATCH($N813,data!$A:$A,0)),"",INDEX(data!R:R,MATCH($N813,data!$A:$A,0)))</f>
        <v/>
      </c>
      <c r="BD813" s="38" t="str">
        <f>IF(ISNA(MATCH($N813,[1]data!$A:$A,0)),"",INDEX([1]data!U:U,MATCH($N813,[1]data!$A:$A,0)))</f>
        <v/>
      </c>
      <c r="BE813" s="61" t="e">
        <f>IF(COUNTIF([1]data!A:A,[1]!Table1[[#This Row],[UPC]])&lt;2,"","DUP")</f>
        <v>#VALUE!</v>
      </c>
      <c r="BF813" s="38" t="str">
        <f>IF(ISNA(MATCH($N813,data!$A:$A,0)),"",INDEX(data!W:W,MATCH($N813,data!$A:$A,0)))</f>
        <v/>
      </c>
    </row>
    <row r="814" spans="1:58">
      <c r="A814" s="35"/>
      <c r="B814" s="35"/>
      <c r="C814" s="35"/>
      <c r="D814" s="35"/>
      <c r="E814" s="67"/>
      <c r="F814" s="67"/>
      <c r="G814" s="36"/>
      <c r="H814" s="29"/>
      <c r="I814" s="78" t="str">
        <f t="shared" si="20"/>
        <v/>
      </c>
      <c r="J814" s="29"/>
      <c r="K814" s="29"/>
      <c r="L814" s="33"/>
      <c r="M814" s="33"/>
      <c r="N814" s="60"/>
      <c r="O814" s="71"/>
      <c r="P814" s="71"/>
      <c r="Q814" s="33"/>
      <c r="R814" s="31"/>
      <c r="S814" s="31"/>
      <c r="T814" s="59"/>
      <c r="U814" s="59"/>
      <c r="V814" s="59"/>
      <c r="W814" s="57">
        <f t="shared" si="21"/>
        <v>0</v>
      </c>
      <c r="X814" s="126" t="str">
        <f>IF(Table1[[#This Row],[Shipping Weight Pounds]]&gt;150,"See LTL Form","No")</f>
        <v>No</v>
      </c>
      <c r="Y814" s="28"/>
      <c r="Z814" s="33"/>
      <c r="AA814" s="34"/>
      <c r="AB814" s="30"/>
      <c r="AC814" s="30"/>
      <c r="AD814" s="32"/>
      <c r="AE814" s="32"/>
      <c r="AF814" s="2"/>
      <c r="AG814" s="2"/>
      <c r="AH814" s="2"/>
      <c r="AI814" s="2"/>
      <c r="AK814" s="73" t="str">
        <f>IF(ISNA(MATCH($N814,[1]data!$A:$A,0)),"",INDEX([1]data!S:S,MATCH($N814,[1]data!$A:$A,0)))</f>
        <v/>
      </c>
      <c r="AL814" s="73" t="str">
        <f>IF(ISNA(MATCH($N814,[1]data!$A:$A,0)),"",INDEX([1]data!V:V,MATCH($N814,[1]data!$A:$A,0)))</f>
        <v/>
      </c>
      <c r="AM814" s="38" t="str">
        <f>IF(ISNA(MATCH($N814,data!$A:$A,0)),"",INDEX(data!B:B,MATCH($N814,data!$A:$A,0)))</f>
        <v/>
      </c>
      <c r="AN814" s="38" t="str">
        <f>IF(ISNA(MATCH($N814,data!$A:$A,0)),"",INDEX(data!C:C,MATCH($N814,data!$A:$A,0)))</f>
        <v/>
      </c>
      <c r="AO814" s="38" t="str">
        <f>IF(ISNA(MATCH($N814,data!$A:$A,0)),"",INDEX(data!D:D,MATCH($N814,data!$A:$A,0)))</f>
        <v/>
      </c>
      <c r="AP814" s="38" t="str">
        <f>IF(ISNA(MATCH($N814,data!$A:$A,0)),"",INDEX(data!E:E,MATCH($N814,data!$A:$A,0)))</f>
        <v/>
      </c>
      <c r="AQ814" s="38" t="str">
        <f>IF(ISNA(MATCH($N814,data!$A:$A,0)),"",INDEX(data!F:F,MATCH($N814,data!$A:$A,0)))</f>
        <v/>
      </c>
      <c r="AR814" s="38" t="str">
        <f>IF(ISNA(MATCH($N814,data!$A:$A,0)),"",INDEX(data!G:G,MATCH($N814,data!$A:$A,0)))</f>
        <v/>
      </c>
      <c r="AS814" s="38" t="str">
        <f>IF(ISNA(MATCH($N814,data!$A:$A,0)),"",INDEX(data!H:H,MATCH($N814,data!$A:$A,0)))</f>
        <v/>
      </c>
      <c r="AT814" s="38" t="str">
        <f>IF(ISNA(MATCH($N814,data!$A:$A,0)),"",INDEX(data!I:I,MATCH($N814,data!$A:$A,0)))</f>
        <v/>
      </c>
      <c r="AU814" s="38" t="str">
        <f>IF(ISNA(MATCH($N814,[1]data!$A:$A,0)),"",INDEX([1]data!L:L,MATCH($N814,[1]data!$A:$A,0)))</f>
        <v/>
      </c>
      <c r="AV814" s="38" t="str">
        <f>IF(ISNA(MATCH($N814,[1]data!$A:$A,0)),"",INDEX([1]data!M:M,MATCH($N814,[1]data!$A:$A,0)))</f>
        <v/>
      </c>
      <c r="AW814" s="38" t="str">
        <f>IF(ISNA(MATCH($N814,data!$A:$A,0)),"",INDEX(data!J:J,MATCH($N814,data!$A:$A,0)))</f>
        <v/>
      </c>
      <c r="AX814" s="38" t="str">
        <f>IF(ISNA(MATCH($N814,data!$A:$A,0)),"",INDEX(data!K:K,MATCH($N814,data!$A:$A,0)))</f>
        <v/>
      </c>
      <c r="AY814" s="38" t="str">
        <f>IF(ISNA(MATCH($N814,data!$A:$A,0)),"",INDEX(data!O:O,MATCH($N814,data!$A:$A,0)))</f>
        <v/>
      </c>
      <c r="AZ814" s="38" t="str">
        <f>IF(ISNA(MATCH($N814,data!$A:$A,0)),"",INDEX(data!N:N,MATCH($N814,data!$A:$A,0)))</f>
        <v/>
      </c>
      <c r="BA814" s="38" t="str">
        <f>IF(ISNA(MATCH($N814,data!$A:$A,0)),"",INDEX(data!P:P,MATCH($N814,data!$A:$A,0)))</f>
        <v/>
      </c>
      <c r="BB814" s="38" t="str">
        <f>IF(ISNA(MATCH($N814,data!$A:$A,0)),"",INDEX(data!Q:Q,MATCH($N814,data!$A:$A,0)))</f>
        <v/>
      </c>
      <c r="BC814" s="38" t="str">
        <f>IF(ISNA(MATCH($N814,data!$A:$A,0)),"",INDEX(data!R:R,MATCH($N814,data!$A:$A,0)))</f>
        <v/>
      </c>
      <c r="BD814" s="38" t="str">
        <f>IF(ISNA(MATCH($N814,[1]data!$A:$A,0)),"",INDEX([1]data!U:U,MATCH($N814,[1]data!$A:$A,0)))</f>
        <v/>
      </c>
      <c r="BE814" s="61" t="e">
        <f>IF(COUNTIF([1]data!A:A,[1]!Table1[[#This Row],[UPC]])&lt;2,"","DUP")</f>
        <v>#VALUE!</v>
      </c>
      <c r="BF814" s="38" t="str">
        <f>IF(ISNA(MATCH($N814,data!$A:$A,0)),"",INDEX(data!W:W,MATCH($N814,data!$A:$A,0)))</f>
        <v/>
      </c>
    </row>
    <row r="815" spans="1:58">
      <c r="A815" s="35"/>
      <c r="B815" s="35"/>
      <c r="C815" s="35"/>
      <c r="D815" s="35"/>
      <c r="E815" s="67"/>
      <c r="F815" s="67"/>
      <c r="G815" s="36"/>
      <c r="H815" s="29"/>
      <c r="I815" s="78" t="str">
        <f t="shared" si="20"/>
        <v/>
      </c>
      <c r="J815" s="29"/>
      <c r="K815" s="29"/>
      <c r="L815" s="33"/>
      <c r="M815" s="33"/>
      <c r="N815" s="60"/>
      <c r="O815" s="71"/>
      <c r="P815" s="71"/>
      <c r="Q815" s="33"/>
      <c r="R815" s="31"/>
      <c r="S815" s="31"/>
      <c r="T815" s="59"/>
      <c r="U815" s="59"/>
      <c r="V815" s="59"/>
      <c r="W815" s="57">
        <f t="shared" si="21"/>
        <v>0</v>
      </c>
      <c r="X815" s="126" t="str">
        <f>IF(Table1[[#This Row],[Shipping Weight Pounds]]&gt;150,"See LTL Form","No")</f>
        <v>No</v>
      </c>
      <c r="Y815" s="28"/>
      <c r="Z815" s="33"/>
      <c r="AA815" s="34"/>
      <c r="AB815" s="30"/>
      <c r="AC815" s="30"/>
      <c r="AD815" s="32"/>
      <c r="AE815" s="32"/>
      <c r="AF815" s="2"/>
      <c r="AG815" s="2"/>
      <c r="AH815" s="2"/>
      <c r="AI815" s="2"/>
      <c r="AK815" s="73" t="str">
        <f>IF(ISNA(MATCH($N815,[1]data!$A:$A,0)),"",INDEX([1]data!S:S,MATCH($N815,[1]data!$A:$A,0)))</f>
        <v/>
      </c>
      <c r="AL815" s="73" t="str">
        <f>IF(ISNA(MATCH($N815,[1]data!$A:$A,0)),"",INDEX([1]data!V:V,MATCH($N815,[1]data!$A:$A,0)))</f>
        <v/>
      </c>
      <c r="AM815" s="38" t="str">
        <f>IF(ISNA(MATCH($N815,data!$A:$A,0)),"",INDEX(data!B:B,MATCH($N815,data!$A:$A,0)))</f>
        <v/>
      </c>
      <c r="AN815" s="38" t="str">
        <f>IF(ISNA(MATCH($N815,data!$A:$A,0)),"",INDEX(data!C:C,MATCH($N815,data!$A:$A,0)))</f>
        <v/>
      </c>
      <c r="AO815" s="38" t="str">
        <f>IF(ISNA(MATCH($N815,data!$A:$A,0)),"",INDEX(data!D:D,MATCH($N815,data!$A:$A,0)))</f>
        <v/>
      </c>
      <c r="AP815" s="38" t="str">
        <f>IF(ISNA(MATCH($N815,data!$A:$A,0)),"",INDEX(data!E:E,MATCH($N815,data!$A:$A,0)))</f>
        <v/>
      </c>
      <c r="AQ815" s="38" t="str">
        <f>IF(ISNA(MATCH($N815,data!$A:$A,0)),"",INDEX(data!F:F,MATCH($N815,data!$A:$A,0)))</f>
        <v/>
      </c>
      <c r="AR815" s="38" t="str">
        <f>IF(ISNA(MATCH($N815,data!$A:$A,0)),"",INDEX(data!G:G,MATCH($N815,data!$A:$A,0)))</f>
        <v/>
      </c>
      <c r="AS815" s="38" t="str">
        <f>IF(ISNA(MATCH($N815,data!$A:$A,0)),"",INDEX(data!H:H,MATCH($N815,data!$A:$A,0)))</f>
        <v/>
      </c>
      <c r="AT815" s="38" t="str">
        <f>IF(ISNA(MATCH($N815,data!$A:$A,0)),"",INDEX(data!I:I,MATCH($N815,data!$A:$A,0)))</f>
        <v/>
      </c>
      <c r="AU815" s="38" t="str">
        <f>IF(ISNA(MATCH($N815,[1]data!$A:$A,0)),"",INDEX([1]data!L:L,MATCH($N815,[1]data!$A:$A,0)))</f>
        <v/>
      </c>
      <c r="AV815" s="38" t="str">
        <f>IF(ISNA(MATCH($N815,[1]data!$A:$A,0)),"",INDEX([1]data!M:M,MATCH($N815,[1]data!$A:$A,0)))</f>
        <v/>
      </c>
      <c r="AW815" s="38" t="str">
        <f>IF(ISNA(MATCH($N815,data!$A:$A,0)),"",INDEX(data!J:J,MATCH($N815,data!$A:$A,0)))</f>
        <v/>
      </c>
      <c r="AX815" s="38" t="str">
        <f>IF(ISNA(MATCH($N815,data!$A:$A,0)),"",INDEX(data!K:K,MATCH($N815,data!$A:$A,0)))</f>
        <v/>
      </c>
      <c r="AY815" s="38" t="str">
        <f>IF(ISNA(MATCH($N815,data!$A:$A,0)),"",INDEX(data!O:O,MATCH($N815,data!$A:$A,0)))</f>
        <v/>
      </c>
      <c r="AZ815" s="38" t="str">
        <f>IF(ISNA(MATCH($N815,data!$A:$A,0)),"",INDEX(data!N:N,MATCH($N815,data!$A:$A,0)))</f>
        <v/>
      </c>
      <c r="BA815" s="38" t="str">
        <f>IF(ISNA(MATCH($N815,data!$A:$A,0)),"",INDEX(data!P:P,MATCH($N815,data!$A:$A,0)))</f>
        <v/>
      </c>
      <c r="BB815" s="38" t="str">
        <f>IF(ISNA(MATCH($N815,data!$A:$A,0)),"",INDEX(data!Q:Q,MATCH($N815,data!$A:$A,0)))</f>
        <v/>
      </c>
      <c r="BC815" s="38" t="str">
        <f>IF(ISNA(MATCH($N815,data!$A:$A,0)),"",INDEX(data!R:R,MATCH($N815,data!$A:$A,0)))</f>
        <v/>
      </c>
      <c r="BD815" s="38" t="str">
        <f>IF(ISNA(MATCH($N815,[1]data!$A:$A,0)),"",INDEX([1]data!U:U,MATCH($N815,[1]data!$A:$A,0)))</f>
        <v/>
      </c>
      <c r="BE815" s="61" t="e">
        <f>IF(COUNTIF([1]data!A:A,[1]!Table1[[#This Row],[UPC]])&lt;2,"","DUP")</f>
        <v>#VALUE!</v>
      </c>
      <c r="BF815" s="38" t="str">
        <f>IF(ISNA(MATCH($N815,data!$A:$A,0)),"",INDEX(data!W:W,MATCH($N815,data!$A:$A,0)))</f>
        <v/>
      </c>
    </row>
    <row r="816" spans="1:58">
      <c r="A816" s="35"/>
      <c r="B816" s="35"/>
      <c r="C816" s="35"/>
      <c r="D816" s="35"/>
      <c r="E816" s="67"/>
      <c r="F816" s="67"/>
      <c r="G816" s="36"/>
      <c r="H816" s="29"/>
      <c r="I816" s="78" t="str">
        <f t="shared" si="20"/>
        <v/>
      </c>
      <c r="J816" s="29"/>
      <c r="K816" s="29"/>
      <c r="L816" s="33"/>
      <c r="M816" s="33"/>
      <c r="N816" s="60"/>
      <c r="O816" s="71"/>
      <c r="P816" s="71"/>
      <c r="Q816" s="33"/>
      <c r="R816" s="31"/>
      <c r="S816" s="31"/>
      <c r="T816" s="59"/>
      <c r="U816" s="59"/>
      <c r="V816" s="59"/>
      <c r="W816" s="57">
        <f t="shared" si="21"/>
        <v>0</v>
      </c>
      <c r="X816" s="126" t="str">
        <f>IF(Table1[[#This Row],[Shipping Weight Pounds]]&gt;150,"See LTL Form","No")</f>
        <v>No</v>
      </c>
      <c r="Y816" s="28"/>
      <c r="Z816" s="33"/>
      <c r="AA816" s="34"/>
      <c r="AB816" s="30"/>
      <c r="AC816" s="30"/>
      <c r="AD816" s="32"/>
      <c r="AE816" s="32"/>
      <c r="AF816" s="2"/>
      <c r="AG816" s="2"/>
      <c r="AH816" s="2"/>
      <c r="AI816" s="2"/>
      <c r="AK816" s="73" t="str">
        <f>IF(ISNA(MATCH($N816,[1]data!$A:$A,0)),"",INDEX([1]data!S:S,MATCH($N816,[1]data!$A:$A,0)))</f>
        <v/>
      </c>
      <c r="AL816" s="73" t="str">
        <f>IF(ISNA(MATCH($N816,[1]data!$A:$A,0)),"",INDEX([1]data!V:V,MATCH($N816,[1]data!$A:$A,0)))</f>
        <v/>
      </c>
      <c r="AM816" s="38" t="str">
        <f>IF(ISNA(MATCH($N816,data!$A:$A,0)),"",INDEX(data!B:B,MATCH($N816,data!$A:$A,0)))</f>
        <v/>
      </c>
      <c r="AN816" s="38" t="str">
        <f>IF(ISNA(MATCH($N816,data!$A:$A,0)),"",INDEX(data!C:C,MATCH($N816,data!$A:$A,0)))</f>
        <v/>
      </c>
      <c r="AO816" s="38" t="str">
        <f>IF(ISNA(MATCH($N816,data!$A:$A,0)),"",INDEX(data!D:D,MATCH($N816,data!$A:$A,0)))</f>
        <v/>
      </c>
      <c r="AP816" s="38" t="str">
        <f>IF(ISNA(MATCH($N816,data!$A:$A,0)),"",INDEX(data!E:E,MATCH($N816,data!$A:$A,0)))</f>
        <v/>
      </c>
      <c r="AQ816" s="38" t="str">
        <f>IF(ISNA(MATCH($N816,data!$A:$A,0)),"",INDEX(data!F:F,MATCH($N816,data!$A:$A,0)))</f>
        <v/>
      </c>
      <c r="AR816" s="38" t="str">
        <f>IF(ISNA(MATCH($N816,data!$A:$A,0)),"",INDEX(data!G:G,MATCH($N816,data!$A:$A,0)))</f>
        <v/>
      </c>
      <c r="AS816" s="38" t="str">
        <f>IF(ISNA(MATCH($N816,data!$A:$A,0)),"",INDEX(data!H:H,MATCH($N816,data!$A:$A,0)))</f>
        <v/>
      </c>
      <c r="AT816" s="38" t="str">
        <f>IF(ISNA(MATCH($N816,data!$A:$A,0)),"",INDEX(data!I:I,MATCH($N816,data!$A:$A,0)))</f>
        <v/>
      </c>
      <c r="AU816" s="38" t="str">
        <f>IF(ISNA(MATCH($N816,[1]data!$A:$A,0)),"",INDEX([1]data!L:L,MATCH($N816,[1]data!$A:$A,0)))</f>
        <v/>
      </c>
      <c r="AV816" s="38" t="str">
        <f>IF(ISNA(MATCH($N816,[1]data!$A:$A,0)),"",INDEX([1]data!M:M,MATCH($N816,[1]data!$A:$A,0)))</f>
        <v/>
      </c>
      <c r="AW816" s="38" t="str">
        <f>IF(ISNA(MATCH($N816,data!$A:$A,0)),"",INDEX(data!J:J,MATCH($N816,data!$A:$A,0)))</f>
        <v/>
      </c>
      <c r="AX816" s="38" t="str">
        <f>IF(ISNA(MATCH($N816,data!$A:$A,0)),"",INDEX(data!K:K,MATCH($N816,data!$A:$A,0)))</f>
        <v/>
      </c>
      <c r="AY816" s="38" t="str">
        <f>IF(ISNA(MATCH($N816,data!$A:$A,0)),"",INDEX(data!O:O,MATCH($N816,data!$A:$A,0)))</f>
        <v/>
      </c>
      <c r="AZ816" s="38" t="str">
        <f>IF(ISNA(MATCH($N816,data!$A:$A,0)),"",INDEX(data!N:N,MATCH($N816,data!$A:$A,0)))</f>
        <v/>
      </c>
      <c r="BA816" s="38" t="str">
        <f>IF(ISNA(MATCH($N816,data!$A:$A,0)),"",INDEX(data!P:P,MATCH($N816,data!$A:$A,0)))</f>
        <v/>
      </c>
      <c r="BB816" s="38" t="str">
        <f>IF(ISNA(MATCH($N816,data!$A:$A,0)),"",INDEX(data!Q:Q,MATCH($N816,data!$A:$A,0)))</f>
        <v/>
      </c>
      <c r="BC816" s="38" t="str">
        <f>IF(ISNA(MATCH($N816,data!$A:$A,0)),"",INDEX(data!R:R,MATCH($N816,data!$A:$A,0)))</f>
        <v/>
      </c>
      <c r="BD816" s="38" t="str">
        <f>IF(ISNA(MATCH($N816,[1]data!$A:$A,0)),"",INDEX([1]data!U:U,MATCH($N816,[1]data!$A:$A,0)))</f>
        <v/>
      </c>
      <c r="BE816" s="61" t="e">
        <f>IF(COUNTIF([1]data!A:A,[1]!Table1[[#This Row],[UPC]])&lt;2,"","DUP")</f>
        <v>#VALUE!</v>
      </c>
      <c r="BF816" s="38" t="str">
        <f>IF(ISNA(MATCH($N816,data!$A:$A,0)),"",INDEX(data!W:W,MATCH($N816,data!$A:$A,0)))</f>
        <v/>
      </c>
    </row>
    <row r="817" spans="1:58">
      <c r="A817" s="35"/>
      <c r="B817" s="35"/>
      <c r="C817" s="35"/>
      <c r="D817" s="35"/>
      <c r="E817" s="67"/>
      <c r="F817" s="67"/>
      <c r="G817" s="36"/>
      <c r="H817" s="29"/>
      <c r="I817" s="78" t="str">
        <f t="shared" si="20"/>
        <v/>
      </c>
      <c r="J817" s="29"/>
      <c r="K817" s="29"/>
      <c r="L817" s="33"/>
      <c r="M817" s="33"/>
      <c r="N817" s="60"/>
      <c r="O817" s="71"/>
      <c r="P817" s="71"/>
      <c r="Q817" s="33"/>
      <c r="R817" s="31"/>
      <c r="S817" s="31"/>
      <c r="T817" s="59"/>
      <c r="U817" s="59"/>
      <c r="V817" s="59"/>
      <c r="W817" s="57">
        <f t="shared" si="21"/>
        <v>0</v>
      </c>
      <c r="X817" s="126" t="str">
        <f>IF(Table1[[#This Row],[Shipping Weight Pounds]]&gt;150,"See LTL Form","No")</f>
        <v>No</v>
      </c>
      <c r="Y817" s="28"/>
      <c r="Z817" s="33"/>
      <c r="AA817" s="34"/>
      <c r="AB817" s="30"/>
      <c r="AC817" s="30"/>
      <c r="AD817" s="32"/>
      <c r="AE817" s="32"/>
      <c r="AF817" s="2"/>
      <c r="AG817" s="2"/>
      <c r="AH817" s="2"/>
      <c r="AI817" s="2"/>
      <c r="AK817" s="73" t="str">
        <f>IF(ISNA(MATCH($N817,[1]data!$A:$A,0)),"",INDEX([1]data!S:S,MATCH($N817,[1]data!$A:$A,0)))</f>
        <v/>
      </c>
      <c r="AL817" s="73" t="str">
        <f>IF(ISNA(MATCH($N817,[1]data!$A:$A,0)),"",INDEX([1]data!V:V,MATCH($N817,[1]data!$A:$A,0)))</f>
        <v/>
      </c>
      <c r="AM817" s="38" t="str">
        <f>IF(ISNA(MATCH($N817,data!$A:$A,0)),"",INDEX(data!B:B,MATCH($N817,data!$A:$A,0)))</f>
        <v/>
      </c>
      <c r="AN817" s="38" t="str">
        <f>IF(ISNA(MATCH($N817,data!$A:$A,0)),"",INDEX(data!C:C,MATCH($N817,data!$A:$A,0)))</f>
        <v/>
      </c>
      <c r="AO817" s="38" t="str">
        <f>IF(ISNA(MATCH($N817,data!$A:$A,0)),"",INDEX(data!D:D,MATCH($N817,data!$A:$A,0)))</f>
        <v/>
      </c>
      <c r="AP817" s="38" t="str">
        <f>IF(ISNA(MATCH($N817,data!$A:$A,0)),"",INDEX(data!E:E,MATCH($N817,data!$A:$A,0)))</f>
        <v/>
      </c>
      <c r="AQ817" s="38" t="str">
        <f>IF(ISNA(MATCH($N817,data!$A:$A,0)),"",INDEX(data!F:F,MATCH($N817,data!$A:$A,0)))</f>
        <v/>
      </c>
      <c r="AR817" s="38" t="str">
        <f>IF(ISNA(MATCH($N817,data!$A:$A,0)),"",INDEX(data!G:G,MATCH($N817,data!$A:$A,0)))</f>
        <v/>
      </c>
      <c r="AS817" s="38" t="str">
        <f>IF(ISNA(MATCH($N817,data!$A:$A,0)),"",INDEX(data!H:H,MATCH($N817,data!$A:$A,0)))</f>
        <v/>
      </c>
      <c r="AT817" s="38" t="str">
        <f>IF(ISNA(MATCH($N817,data!$A:$A,0)),"",INDEX(data!I:I,MATCH($N817,data!$A:$A,0)))</f>
        <v/>
      </c>
      <c r="AU817" s="38" t="str">
        <f>IF(ISNA(MATCH($N817,[1]data!$A:$A,0)),"",INDEX([1]data!L:L,MATCH($N817,[1]data!$A:$A,0)))</f>
        <v/>
      </c>
      <c r="AV817" s="38" t="str">
        <f>IF(ISNA(MATCH($N817,[1]data!$A:$A,0)),"",INDEX([1]data!M:M,MATCH($N817,[1]data!$A:$A,0)))</f>
        <v/>
      </c>
      <c r="AW817" s="38" t="str">
        <f>IF(ISNA(MATCH($N817,data!$A:$A,0)),"",INDEX(data!J:J,MATCH($N817,data!$A:$A,0)))</f>
        <v/>
      </c>
      <c r="AX817" s="38" t="str">
        <f>IF(ISNA(MATCH($N817,data!$A:$A,0)),"",INDEX(data!K:K,MATCH($N817,data!$A:$A,0)))</f>
        <v/>
      </c>
      <c r="AY817" s="38" t="str">
        <f>IF(ISNA(MATCH($N817,data!$A:$A,0)),"",INDEX(data!O:O,MATCH($N817,data!$A:$A,0)))</f>
        <v/>
      </c>
      <c r="AZ817" s="38" t="str">
        <f>IF(ISNA(MATCH($N817,data!$A:$A,0)),"",INDEX(data!N:N,MATCH($N817,data!$A:$A,0)))</f>
        <v/>
      </c>
      <c r="BA817" s="38" t="str">
        <f>IF(ISNA(MATCH($N817,data!$A:$A,0)),"",INDEX(data!P:P,MATCH($N817,data!$A:$A,0)))</f>
        <v/>
      </c>
      <c r="BB817" s="38" t="str">
        <f>IF(ISNA(MATCH($N817,data!$A:$A,0)),"",INDEX(data!Q:Q,MATCH($N817,data!$A:$A,0)))</f>
        <v/>
      </c>
      <c r="BC817" s="38" t="str">
        <f>IF(ISNA(MATCH($N817,data!$A:$A,0)),"",INDEX(data!R:R,MATCH($N817,data!$A:$A,0)))</f>
        <v/>
      </c>
      <c r="BD817" s="38" t="str">
        <f>IF(ISNA(MATCH($N817,[1]data!$A:$A,0)),"",INDEX([1]data!U:U,MATCH($N817,[1]data!$A:$A,0)))</f>
        <v/>
      </c>
      <c r="BE817" s="61" t="e">
        <f>IF(COUNTIF([1]data!A:A,[1]!Table1[[#This Row],[UPC]])&lt;2,"","DUP")</f>
        <v>#VALUE!</v>
      </c>
      <c r="BF817" s="38" t="str">
        <f>IF(ISNA(MATCH($N817,data!$A:$A,0)),"",INDEX(data!W:W,MATCH($N817,data!$A:$A,0)))</f>
        <v/>
      </c>
    </row>
    <row r="818" spans="1:58">
      <c r="A818" s="35"/>
      <c r="B818" s="35"/>
      <c r="C818" s="35"/>
      <c r="D818" s="35"/>
      <c r="E818" s="67"/>
      <c r="F818" s="67"/>
      <c r="G818" s="36"/>
      <c r="H818" s="29"/>
      <c r="I818" s="78" t="str">
        <f t="shared" si="20"/>
        <v/>
      </c>
      <c r="J818" s="29"/>
      <c r="K818" s="29"/>
      <c r="L818" s="33"/>
      <c r="M818" s="33"/>
      <c r="N818" s="60"/>
      <c r="O818" s="71"/>
      <c r="P818" s="71"/>
      <c r="Q818" s="33"/>
      <c r="R818" s="31"/>
      <c r="S818" s="31"/>
      <c r="T818" s="59"/>
      <c r="U818" s="59"/>
      <c r="V818" s="59"/>
      <c r="W818" s="57">
        <f t="shared" si="21"/>
        <v>0</v>
      </c>
      <c r="X818" s="126" t="str">
        <f>IF(Table1[[#This Row],[Shipping Weight Pounds]]&gt;150,"See LTL Form","No")</f>
        <v>No</v>
      </c>
      <c r="Y818" s="28"/>
      <c r="Z818" s="33"/>
      <c r="AA818" s="34"/>
      <c r="AB818" s="30"/>
      <c r="AC818" s="30"/>
      <c r="AD818" s="32"/>
      <c r="AE818" s="32"/>
      <c r="AF818" s="2"/>
      <c r="AG818" s="2"/>
      <c r="AH818" s="2"/>
      <c r="AI818" s="2"/>
      <c r="AK818" s="73" t="str">
        <f>IF(ISNA(MATCH($N818,[1]data!$A:$A,0)),"",INDEX([1]data!S:S,MATCH($N818,[1]data!$A:$A,0)))</f>
        <v/>
      </c>
      <c r="AL818" s="73" t="str">
        <f>IF(ISNA(MATCH($N818,[1]data!$A:$A,0)),"",INDEX([1]data!V:V,MATCH($N818,[1]data!$A:$A,0)))</f>
        <v/>
      </c>
      <c r="AM818" s="38" t="str">
        <f>IF(ISNA(MATCH($N818,data!$A:$A,0)),"",INDEX(data!B:B,MATCH($N818,data!$A:$A,0)))</f>
        <v/>
      </c>
      <c r="AN818" s="38" t="str">
        <f>IF(ISNA(MATCH($N818,data!$A:$A,0)),"",INDEX(data!C:C,MATCH($N818,data!$A:$A,0)))</f>
        <v/>
      </c>
      <c r="AO818" s="38" t="str">
        <f>IF(ISNA(MATCH($N818,data!$A:$A,0)),"",INDEX(data!D:D,MATCH($N818,data!$A:$A,0)))</f>
        <v/>
      </c>
      <c r="AP818" s="38" t="str">
        <f>IF(ISNA(MATCH($N818,data!$A:$A,0)),"",INDEX(data!E:E,MATCH($N818,data!$A:$A,0)))</f>
        <v/>
      </c>
      <c r="AQ818" s="38" t="str">
        <f>IF(ISNA(MATCH($N818,data!$A:$A,0)),"",INDEX(data!F:F,MATCH($N818,data!$A:$A,0)))</f>
        <v/>
      </c>
      <c r="AR818" s="38" t="str">
        <f>IF(ISNA(MATCH($N818,data!$A:$A,0)),"",INDEX(data!G:G,MATCH($N818,data!$A:$A,0)))</f>
        <v/>
      </c>
      <c r="AS818" s="38" t="str">
        <f>IF(ISNA(MATCH($N818,data!$A:$A,0)),"",INDEX(data!H:H,MATCH($N818,data!$A:$A,0)))</f>
        <v/>
      </c>
      <c r="AT818" s="38" t="str">
        <f>IF(ISNA(MATCH($N818,data!$A:$A,0)),"",INDEX(data!I:I,MATCH($N818,data!$A:$A,0)))</f>
        <v/>
      </c>
      <c r="AU818" s="38" t="str">
        <f>IF(ISNA(MATCH($N818,[1]data!$A:$A,0)),"",INDEX([1]data!L:L,MATCH($N818,[1]data!$A:$A,0)))</f>
        <v/>
      </c>
      <c r="AV818" s="38" t="str">
        <f>IF(ISNA(MATCH($N818,[1]data!$A:$A,0)),"",INDEX([1]data!M:M,MATCH($N818,[1]data!$A:$A,0)))</f>
        <v/>
      </c>
      <c r="AW818" s="38" t="str">
        <f>IF(ISNA(MATCH($N818,data!$A:$A,0)),"",INDEX(data!J:J,MATCH($N818,data!$A:$A,0)))</f>
        <v/>
      </c>
      <c r="AX818" s="38" t="str">
        <f>IF(ISNA(MATCH($N818,data!$A:$A,0)),"",INDEX(data!K:K,MATCH($N818,data!$A:$A,0)))</f>
        <v/>
      </c>
      <c r="AY818" s="38" t="str">
        <f>IF(ISNA(MATCH($N818,data!$A:$A,0)),"",INDEX(data!O:O,MATCH($N818,data!$A:$A,0)))</f>
        <v/>
      </c>
      <c r="AZ818" s="38" t="str">
        <f>IF(ISNA(MATCH($N818,data!$A:$A,0)),"",INDEX(data!N:N,MATCH($N818,data!$A:$A,0)))</f>
        <v/>
      </c>
      <c r="BA818" s="38" t="str">
        <f>IF(ISNA(MATCH($N818,data!$A:$A,0)),"",INDEX(data!P:P,MATCH($N818,data!$A:$A,0)))</f>
        <v/>
      </c>
      <c r="BB818" s="38" t="str">
        <f>IF(ISNA(MATCH($N818,data!$A:$A,0)),"",INDEX(data!Q:Q,MATCH($N818,data!$A:$A,0)))</f>
        <v/>
      </c>
      <c r="BC818" s="38" t="str">
        <f>IF(ISNA(MATCH($N818,data!$A:$A,0)),"",INDEX(data!R:R,MATCH($N818,data!$A:$A,0)))</f>
        <v/>
      </c>
      <c r="BD818" s="38" t="str">
        <f>IF(ISNA(MATCH($N818,[1]data!$A:$A,0)),"",INDEX([1]data!U:U,MATCH($N818,[1]data!$A:$A,0)))</f>
        <v/>
      </c>
      <c r="BE818" s="61" t="e">
        <f>IF(COUNTIF([1]data!A:A,[1]!Table1[[#This Row],[UPC]])&lt;2,"","DUP")</f>
        <v>#VALUE!</v>
      </c>
      <c r="BF818" s="38" t="str">
        <f>IF(ISNA(MATCH($N818,data!$A:$A,0)),"",INDEX(data!W:W,MATCH($N818,data!$A:$A,0)))</f>
        <v/>
      </c>
    </row>
    <row r="819" spans="1:58">
      <c r="A819" s="35"/>
      <c r="B819" s="35"/>
      <c r="C819" s="35"/>
      <c r="D819" s="35"/>
      <c r="E819" s="67"/>
      <c r="F819" s="67"/>
      <c r="G819" s="36"/>
      <c r="H819" s="29"/>
      <c r="I819" s="78" t="str">
        <f t="shared" si="20"/>
        <v/>
      </c>
      <c r="J819" s="29"/>
      <c r="K819" s="29"/>
      <c r="L819" s="33"/>
      <c r="M819" s="33"/>
      <c r="N819" s="60"/>
      <c r="O819" s="71"/>
      <c r="P819" s="71"/>
      <c r="Q819" s="33"/>
      <c r="R819" s="31"/>
      <c r="S819" s="31"/>
      <c r="T819" s="59"/>
      <c r="U819" s="59"/>
      <c r="V819" s="59"/>
      <c r="W819" s="57">
        <f t="shared" si="21"/>
        <v>0</v>
      </c>
      <c r="X819" s="126" t="str">
        <f>IF(Table1[[#This Row],[Shipping Weight Pounds]]&gt;150,"See LTL Form","No")</f>
        <v>No</v>
      </c>
      <c r="Y819" s="28"/>
      <c r="Z819" s="33"/>
      <c r="AA819" s="34"/>
      <c r="AB819" s="30"/>
      <c r="AC819" s="30"/>
      <c r="AD819" s="32"/>
      <c r="AE819" s="32"/>
      <c r="AF819" s="2"/>
      <c r="AG819" s="2"/>
      <c r="AH819" s="2"/>
      <c r="AI819" s="2"/>
      <c r="AK819" s="73" t="str">
        <f>IF(ISNA(MATCH($N819,[1]data!$A:$A,0)),"",INDEX([1]data!S:S,MATCH($N819,[1]data!$A:$A,0)))</f>
        <v/>
      </c>
      <c r="AL819" s="73" t="str">
        <f>IF(ISNA(MATCH($N819,[1]data!$A:$A,0)),"",INDEX([1]data!V:V,MATCH($N819,[1]data!$A:$A,0)))</f>
        <v/>
      </c>
      <c r="AM819" s="38" t="str">
        <f>IF(ISNA(MATCH($N819,data!$A:$A,0)),"",INDEX(data!B:B,MATCH($N819,data!$A:$A,0)))</f>
        <v/>
      </c>
      <c r="AN819" s="38" t="str">
        <f>IF(ISNA(MATCH($N819,data!$A:$A,0)),"",INDEX(data!C:C,MATCH($N819,data!$A:$A,0)))</f>
        <v/>
      </c>
      <c r="AO819" s="38" t="str">
        <f>IF(ISNA(MATCH($N819,data!$A:$A,0)),"",INDEX(data!D:D,MATCH($N819,data!$A:$A,0)))</f>
        <v/>
      </c>
      <c r="AP819" s="38" t="str">
        <f>IF(ISNA(MATCH($N819,data!$A:$A,0)),"",INDEX(data!E:E,MATCH($N819,data!$A:$A,0)))</f>
        <v/>
      </c>
      <c r="AQ819" s="38" t="str">
        <f>IF(ISNA(MATCH($N819,data!$A:$A,0)),"",INDEX(data!F:F,MATCH($N819,data!$A:$A,0)))</f>
        <v/>
      </c>
      <c r="AR819" s="38" t="str">
        <f>IF(ISNA(MATCH($N819,data!$A:$A,0)),"",INDEX(data!G:G,MATCH($N819,data!$A:$A,0)))</f>
        <v/>
      </c>
      <c r="AS819" s="38" t="str">
        <f>IF(ISNA(MATCH($N819,data!$A:$A,0)),"",INDEX(data!H:H,MATCH($N819,data!$A:$A,0)))</f>
        <v/>
      </c>
      <c r="AT819" s="38" t="str">
        <f>IF(ISNA(MATCH($N819,data!$A:$A,0)),"",INDEX(data!I:I,MATCH($N819,data!$A:$A,0)))</f>
        <v/>
      </c>
      <c r="AU819" s="38" t="str">
        <f>IF(ISNA(MATCH($N819,[1]data!$A:$A,0)),"",INDEX([1]data!L:L,MATCH($N819,[1]data!$A:$A,0)))</f>
        <v/>
      </c>
      <c r="AV819" s="38" t="str">
        <f>IF(ISNA(MATCH($N819,[1]data!$A:$A,0)),"",INDEX([1]data!M:M,MATCH($N819,[1]data!$A:$A,0)))</f>
        <v/>
      </c>
      <c r="AW819" s="38" t="str">
        <f>IF(ISNA(MATCH($N819,data!$A:$A,0)),"",INDEX(data!J:J,MATCH($N819,data!$A:$A,0)))</f>
        <v/>
      </c>
      <c r="AX819" s="38" t="str">
        <f>IF(ISNA(MATCH($N819,data!$A:$A,0)),"",INDEX(data!K:K,MATCH($N819,data!$A:$A,0)))</f>
        <v/>
      </c>
      <c r="AY819" s="38" t="str">
        <f>IF(ISNA(MATCH($N819,data!$A:$A,0)),"",INDEX(data!O:O,MATCH($N819,data!$A:$A,0)))</f>
        <v/>
      </c>
      <c r="AZ819" s="38" t="str">
        <f>IF(ISNA(MATCH($N819,data!$A:$A,0)),"",INDEX(data!N:N,MATCH($N819,data!$A:$A,0)))</f>
        <v/>
      </c>
      <c r="BA819" s="38" t="str">
        <f>IF(ISNA(MATCH($N819,data!$A:$A,0)),"",INDEX(data!P:P,MATCH($N819,data!$A:$A,0)))</f>
        <v/>
      </c>
      <c r="BB819" s="38" t="str">
        <f>IF(ISNA(MATCH($N819,data!$A:$A,0)),"",INDEX(data!Q:Q,MATCH($N819,data!$A:$A,0)))</f>
        <v/>
      </c>
      <c r="BC819" s="38" t="str">
        <f>IF(ISNA(MATCH($N819,data!$A:$A,0)),"",INDEX(data!R:R,MATCH($N819,data!$A:$A,0)))</f>
        <v/>
      </c>
      <c r="BD819" s="38" t="str">
        <f>IF(ISNA(MATCH($N819,[1]data!$A:$A,0)),"",INDEX([1]data!U:U,MATCH($N819,[1]data!$A:$A,0)))</f>
        <v/>
      </c>
      <c r="BE819" s="61" t="e">
        <f>IF(COUNTIF([1]data!A:A,[1]!Table1[[#This Row],[UPC]])&lt;2,"","DUP")</f>
        <v>#VALUE!</v>
      </c>
      <c r="BF819" s="38" t="str">
        <f>IF(ISNA(MATCH($N819,data!$A:$A,0)),"",INDEX(data!W:W,MATCH($N819,data!$A:$A,0)))</f>
        <v/>
      </c>
    </row>
    <row r="820" spans="1:58">
      <c r="A820" s="35"/>
      <c r="B820" s="35"/>
      <c r="C820" s="35"/>
      <c r="D820" s="35"/>
      <c r="E820" s="67"/>
      <c r="F820" s="67"/>
      <c r="G820" s="36"/>
      <c r="H820" s="29"/>
      <c r="I820" s="78" t="str">
        <f t="shared" si="20"/>
        <v/>
      </c>
      <c r="J820" s="29"/>
      <c r="K820" s="29"/>
      <c r="L820" s="33"/>
      <c r="M820" s="33"/>
      <c r="N820" s="60"/>
      <c r="O820" s="71"/>
      <c r="P820" s="71"/>
      <c r="Q820" s="33"/>
      <c r="R820" s="31"/>
      <c r="S820" s="31"/>
      <c r="T820" s="59"/>
      <c r="U820" s="59"/>
      <c r="V820" s="59"/>
      <c r="W820" s="57">
        <f t="shared" si="21"/>
        <v>0</v>
      </c>
      <c r="X820" s="126" t="str">
        <f>IF(Table1[[#This Row],[Shipping Weight Pounds]]&gt;150,"See LTL Form","No")</f>
        <v>No</v>
      </c>
      <c r="Y820" s="28"/>
      <c r="Z820" s="33"/>
      <c r="AA820" s="34"/>
      <c r="AB820" s="30"/>
      <c r="AC820" s="30"/>
      <c r="AD820" s="32"/>
      <c r="AE820" s="32"/>
      <c r="AF820" s="2"/>
      <c r="AG820" s="2"/>
      <c r="AH820" s="2"/>
      <c r="AI820" s="2"/>
      <c r="AK820" s="73" t="str">
        <f>IF(ISNA(MATCH($N820,[1]data!$A:$A,0)),"",INDEX([1]data!S:S,MATCH($N820,[1]data!$A:$A,0)))</f>
        <v/>
      </c>
      <c r="AL820" s="73" t="str">
        <f>IF(ISNA(MATCH($N820,[1]data!$A:$A,0)),"",INDEX([1]data!V:V,MATCH($N820,[1]data!$A:$A,0)))</f>
        <v/>
      </c>
      <c r="AM820" s="38" t="str">
        <f>IF(ISNA(MATCH($N820,data!$A:$A,0)),"",INDEX(data!B:B,MATCH($N820,data!$A:$A,0)))</f>
        <v/>
      </c>
      <c r="AN820" s="38" t="str">
        <f>IF(ISNA(MATCH($N820,data!$A:$A,0)),"",INDEX(data!C:C,MATCH($N820,data!$A:$A,0)))</f>
        <v/>
      </c>
      <c r="AO820" s="38" t="str">
        <f>IF(ISNA(MATCH($N820,data!$A:$A,0)),"",INDEX(data!D:D,MATCH($N820,data!$A:$A,0)))</f>
        <v/>
      </c>
      <c r="AP820" s="38" t="str">
        <f>IF(ISNA(MATCH($N820,data!$A:$A,0)),"",INDEX(data!E:E,MATCH($N820,data!$A:$A,0)))</f>
        <v/>
      </c>
      <c r="AQ820" s="38" t="str">
        <f>IF(ISNA(MATCH($N820,data!$A:$A,0)),"",INDEX(data!F:F,MATCH($N820,data!$A:$A,0)))</f>
        <v/>
      </c>
      <c r="AR820" s="38" t="str">
        <f>IF(ISNA(MATCH($N820,data!$A:$A,0)),"",INDEX(data!G:G,MATCH($N820,data!$A:$A,0)))</f>
        <v/>
      </c>
      <c r="AS820" s="38" t="str">
        <f>IF(ISNA(MATCH($N820,data!$A:$A,0)),"",INDEX(data!H:H,MATCH($N820,data!$A:$A,0)))</f>
        <v/>
      </c>
      <c r="AT820" s="38" t="str">
        <f>IF(ISNA(MATCH($N820,data!$A:$A,0)),"",INDEX(data!I:I,MATCH($N820,data!$A:$A,0)))</f>
        <v/>
      </c>
      <c r="AU820" s="38" t="str">
        <f>IF(ISNA(MATCH($N820,[1]data!$A:$A,0)),"",INDEX([1]data!L:L,MATCH($N820,[1]data!$A:$A,0)))</f>
        <v/>
      </c>
      <c r="AV820" s="38" t="str">
        <f>IF(ISNA(MATCH($N820,[1]data!$A:$A,0)),"",INDEX([1]data!M:M,MATCH($N820,[1]data!$A:$A,0)))</f>
        <v/>
      </c>
      <c r="AW820" s="38" t="str">
        <f>IF(ISNA(MATCH($N820,data!$A:$A,0)),"",INDEX(data!J:J,MATCH($N820,data!$A:$A,0)))</f>
        <v/>
      </c>
      <c r="AX820" s="38" t="str">
        <f>IF(ISNA(MATCH($N820,data!$A:$A,0)),"",INDEX(data!K:K,MATCH($N820,data!$A:$A,0)))</f>
        <v/>
      </c>
      <c r="AY820" s="38" t="str">
        <f>IF(ISNA(MATCH($N820,data!$A:$A,0)),"",INDEX(data!O:O,MATCH($N820,data!$A:$A,0)))</f>
        <v/>
      </c>
      <c r="AZ820" s="38" t="str">
        <f>IF(ISNA(MATCH($N820,data!$A:$A,0)),"",INDEX(data!N:N,MATCH($N820,data!$A:$A,0)))</f>
        <v/>
      </c>
      <c r="BA820" s="38" t="str">
        <f>IF(ISNA(MATCH($N820,data!$A:$A,0)),"",INDEX(data!P:P,MATCH($N820,data!$A:$A,0)))</f>
        <v/>
      </c>
      <c r="BB820" s="38" t="str">
        <f>IF(ISNA(MATCH($N820,data!$A:$A,0)),"",INDEX(data!Q:Q,MATCH($N820,data!$A:$A,0)))</f>
        <v/>
      </c>
      <c r="BC820" s="38" t="str">
        <f>IF(ISNA(MATCH($N820,data!$A:$A,0)),"",INDEX(data!R:R,MATCH($N820,data!$A:$A,0)))</f>
        <v/>
      </c>
      <c r="BD820" s="38" t="str">
        <f>IF(ISNA(MATCH($N820,[1]data!$A:$A,0)),"",INDEX([1]data!U:U,MATCH($N820,[1]data!$A:$A,0)))</f>
        <v/>
      </c>
      <c r="BE820" s="61" t="e">
        <f>IF(COUNTIF([1]data!A:A,[1]!Table1[[#This Row],[UPC]])&lt;2,"","DUP")</f>
        <v>#VALUE!</v>
      </c>
      <c r="BF820" s="38" t="str">
        <f>IF(ISNA(MATCH($N820,data!$A:$A,0)),"",INDEX(data!W:W,MATCH($N820,data!$A:$A,0)))</f>
        <v/>
      </c>
    </row>
    <row r="821" spans="1:58">
      <c r="A821" s="35"/>
      <c r="B821" s="35"/>
      <c r="C821" s="35"/>
      <c r="D821" s="35"/>
      <c r="E821" s="67"/>
      <c r="F821" s="67"/>
      <c r="G821" s="36"/>
      <c r="H821" s="29"/>
      <c r="I821" s="78" t="str">
        <f t="shared" si="20"/>
        <v/>
      </c>
      <c r="J821" s="29"/>
      <c r="K821" s="29"/>
      <c r="L821" s="33"/>
      <c r="M821" s="33"/>
      <c r="N821" s="60"/>
      <c r="O821" s="71"/>
      <c r="P821" s="71"/>
      <c r="Q821" s="33"/>
      <c r="R821" s="31"/>
      <c r="S821" s="31"/>
      <c r="T821" s="59"/>
      <c r="U821" s="59"/>
      <c r="V821" s="59"/>
      <c r="W821" s="57">
        <f t="shared" si="21"/>
        <v>0</v>
      </c>
      <c r="X821" s="126" t="str">
        <f>IF(Table1[[#This Row],[Shipping Weight Pounds]]&gt;150,"See LTL Form","No")</f>
        <v>No</v>
      </c>
      <c r="Y821" s="28"/>
      <c r="Z821" s="33"/>
      <c r="AA821" s="34"/>
      <c r="AB821" s="30"/>
      <c r="AC821" s="30"/>
      <c r="AD821" s="32"/>
      <c r="AE821" s="32"/>
      <c r="AF821" s="2"/>
      <c r="AG821" s="2"/>
      <c r="AH821" s="2"/>
      <c r="AI821" s="2"/>
      <c r="AK821" s="73" t="str">
        <f>IF(ISNA(MATCH($N821,[1]data!$A:$A,0)),"",INDEX([1]data!S:S,MATCH($N821,[1]data!$A:$A,0)))</f>
        <v/>
      </c>
      <c r="AL821" s="73" t="str">
        <f>IF(ISNA(MATCH($N821,[1]data!$A:$A,0)),"",INDEX([1]data!V:V,MATCH($N821,[1]data!$A:$A,0)))</f>
        <v/>
      </c>
      <c r="AM821" s="38" t="str">
        <f>IF(ISNA(MATCH($N821,data!$A:$A,0)),"",INDEX(data!B:B,MATCH($N821,data!$A:$A,0)))</f>
        <v/>
      </c>
      <c r="AN821" s="38" t="str">
        <f>IF(ISNA(MATCH($N821,data!$A:$A,0)),"",INDEX(data!C:C,MATCH($N821,data!$A:$A,0)))</f>
        <v/>
      </c>
      <c r="AO821" s="38" t="str">
        <f>IF(ISNA(MATCH($N821,data!$A:$A,0)),"",INDEX(data!D:D,MATCH($N821,data!$A:$A,0)))</f>
        <v/>
      </c>
      <c r="AP821" s="38" t="str">
        <f>IF(ISNA(MATCH($N821,data!$A:$A,0)),"",INDEX(data!E:E,MATCH($N821,data!$A:$A,0)))</f>
        <v/>
      </c>
      <c r="AQ821" s="38" t="str">
        <f>IF(ISNA(MATCH($N821,data!$A:$A,0)),"",INDEX(data!F:F,MATCH($N821,data!$A:$A,0)))</f>
        <v/>
      </c>
      <c r="AR821" s="38" t="str">
        <f>IF(ISNA(MATCH($N821,data!$A:$A,0)),"",INDEX(data!G:G,MATCH($N821,data!$A:$A,0)))</f>
        <v/>
      </c>
      <c r="AS821" s="38" t="str">
        <f>IF(ISNA(MATCH($N821,data!$A:$A,0)),"",INDEX(data!H:H,MATCH($N821,data!$A:$A,0)))</f>
        <v/>
      </c>
      <c r="AT821" s="38" t="str">
        <f>IF(ISNA(MATCH($N821,data!$A:$A,0)),"",INDEX(data!I:I,MATCH($N821,data!$A:$A,0)))</f>
        <v/>
      </c>
      <c r="AU821" s="38" t="str">
        <f>IF(ISNA(MATCH($N821,[1]data!$A:$A,0)),"",INDEX([1]data!L:L,MATCH($N821,[1]data!$A:$A,0)))</f>
        <v/>
      </c>
      <c r="AV821" s="38" t="str">
        <f>IF(ISNA(MATCH($N821,[1]data!$A:$A,0)),"",INDEX([1]data!M:M,MATCH($N821,[1]data!$A:$A,0)))</f>
        <v/>
      </c>
      <c r="AW821" s="38" t="str">
        <f>IF(ISNA(MATCH($N821,data!$A:$A,0)),"",INDEX(data!J:J,MATCH($N821,data!$A:$A,0)))</f>
        <v/>
      </c>
      <c r="AX821" s="38" t="str">
        <f>IF(ISNA(MATCH($N821,data!$A:$A,0)),"",INDEX(data!K:K,MATCH($N821,data!$A:$A,0)))</f>
        <v/>
      </c>
      <c r="AY821" s="38" t="str">
        <f>IF(ISNA(MATCH($N821,data!$A:$A,0)),"",INDEX(data!O:O,MATCH($N821,data!$A:$A,0)))</f>
        <v/>
      </c>
      <c r="AZ821" s="38" t="str">
        <f>IF(ISNA(MATCH($N821,data!$A:$A,0)),"",INDEX(data!N:N,MATCH($N821,data!$A:$A,0)))</f>
        <v/>
      </c>
      <c r="BA821" s="38" t="str">
        <f>IF(ISNA(MATCH($N821,data!$A:$A,0)),"",INDEX(data!P:P,MATCH($N821,data!$A:$A,0)))</f>
        <v/>
      </c>
      <c r="BB821" s="38" t="str">
        <f>IF(ISNA(MATCH($N821,data!$A:$A,0)),"",INDEX(data!Q:Q,MATCH($N821,data!$A:$A,0)))</f>
        <v/>
      </c>
      <c r="BC821" s="38" t="str">
        <f>IF(ISNA(MATCH($N821,data!$A:$A,0)),"",INDEX(data!R:R,MATCH($N821,data!$A:$A,0)))</f>
        <v/>
      </c>
      <c r="BD821" s="38" t="str">
        <f>IF(ISNA(MATCH($N821,[1]data!$A:$A,0)),"",INDEX([1]data!U:U,MATCH($N821,[1]data!$A:$A,0)))</f>
        <v/>
      </c>
      <c r="BE821" s="61" t="e">
        <f>IF(COUNTIF([1]data!A:A,[1]!Table1[[#This Row],[UPC]])&lt;2,"","DUP")</f>
        <v>#VALUE!</v>
      </c>
      <c r="BF821" s="38" t="str">
        <f>IF(ISNA(MATCH($N821,data!$A:$A,0)),"",INDEX(data!W:W,MATCH($N821,data!$A:$A,0)))</f>
        <v/>
      </c>
    </row>
    <row r="822" spans="1:58">
      <c r="A822" s="35"/>
      <c r="B822" s="35"/>
      <c r="C822" s="35"/>
      <c r="D822" s="35"/>
      <c r="E822" s="67"/>
      <c r="F822" s="67"/>
      <c r="G822" s="36"/>
      <c r="H822" s="29"/>
      <c r="I822" s="78" t="str">
        <f t="shared" si="20"/>
        <v/>
      </c>
      <c r="J822" s="29"/>
      <c r="K822" s="29"/>
      <c r="L822" s="33"/>
      <c r="M822" s="33"/>
      <c r="N822" s="60"/>
      <c r="O822" s="71"/>
      <c r="P822" s="71"/>
      <c r="Q822" s="33"/>
      <c r="R822" s="31"/>
      <c r="S822" s="31"/>
      <c r="T822" s="59"/>
      <c r="U822" s="59"/>
      <c r="V822" s="59"/>
      <c r="W822" s="57">
        <f t="shared" si="21"/>
        <v>0</v>
      </c>
      <c r="X822" s="126" t="str">
        <f>IF(Table1[[#This Row],[Shipping Weight Pounds]]&gt;150,"See LTL Form","No")</f>
        <v>No</v>
      </c>
      <c r="Y822" s="28"/>
      <c r="Z822" s="33"/>
      <c r="AA822" s="34"/>
      <c r="AB822" s="30"/>
      <c r="AC822" s="30"/>
      <c r="AD822" s="32"/>
      <c r="AE822" s="32"/>
      <c r="AF822" s="2"/>
      <c r="AG822" s="2"/>
      <c r="AH822" s="2"/>
      <c r="AI822" s="2"/>
      <c r="AK822" s="73" t="str">
        <f>IF(ISNA(MATCH($N822,[1]data!$A:$A,0)),"",INDEX([1]data!S:S,MATCH($N822,[1]data!$A:$A,0)))</f>
        <v/>
      </c>
      <c r="AL822" s="73" t="str">
        <f>IF(ISNA(MATCH($N822,[1]data!$A:$A,0)),"",INDEX([1]data!V:V,MATCH($N822,[1]data!$A:$A,0)))</f>
        <v/>
      </c>
      <c r="AM822" s="38" t="str">
        <f>IF(ISNA(MATCH($N822,data!$A:$A,0)),"",INDEX(data!B:B,MATCH($N822,data!$A:$A,0)))</f>
        <v/>
      </c>
      <c r="AN822" s="38" t="str">
        <f>IF(ISNA(MATCH($N822,data!$A:$A,0)),"",INDEX(data!C:C,MATCH($N822,data!$A:$A,0)))</f>
        <v/>
      </c>
      <c r="AO822" s="38" t="str">
        <f>IF(ISNA(MATCH($N822,data!$A:$A,0)),"",INDEX(data!D:D,MATCH($N822,data!$A:$A,0)))</f>
        <v/>
      </c>
      <c r="AP822" s="38" t="str">
        <f>IF(ISNA(MATCH($N822,data!$A:$A,0)),"",INDEX(data!E:E,MATCH($N822,data!$A:$A,0)))</f>
        <v/>
      </c>
      <c r="AQ822" s="38" t="str">
        <f>IF(ISNA(MATCH($N822,data!$A:$A,0)),"",INDEX(data!F:F,MATCH($N822,data!$A:$A,0)))</f>
        <v/>
      </c>
      <c r="AR822" s="38" t="str">
        <f>IF(ISNA(MATCH($N822,data!$A:$A,0)),"",INDEX(data!G:G,MATCH($N822,data!$A:$A,0)))</f>
        <v/>
      </c>
      <c r="AS822" s="38" t="str">
        <f>IF(ISNA(MATCH($N822,data!$A:$A,0)),"",INDEX(data!H:H,MATCH($N822,data!$A:$A,0)))</f>
        <v/>
      </c>
      <c r="AT822" s="38" t="str">
        <f>IF(ISNA(MATCH($N822,data!$A:$A,0)),"",INDEX(data!I:I,MATCH($N822,data!$A:$A,0)))</f>
        <v/>
      </c>
      <c r="AU822" s="38" t="str">
        <f>IF(ISNA(MATCH($N822,[1]data!$A:$A,0)),"",INDEX([1]data!L:L,MATCH($N822,[1]data!$A:$A,0)))</f>
        <v/>
      </c>
      <c r="AV822" s="38" t="str">
        <f>IF(ISNA(MATCH($N822,[1]data!$A:$A,0)),"",INDEX([1]data!M:M,MATCH($N822,[1]data!$A:$A,0)))</f>
        <v/>
      </c>
      <c r="AW822" s="38" t="str">
        <f>IF(ISNA(MATCH($N822,data!$A:$A,0)),"",INDEX(data!J:J,MATCH($N822,data!$A:$A,0)))</f>
        <v/>
      </c>
      <c r="AX822" s="38" t="str">
        <f>IF(ISNA(MATCH($N822,data!$A:$A,0)),"",INDEX(data!K:K,MATCH($N822,data!$A:$A,0)))</f>
        <v/>
      </c>
      <c r="AY822" s="38" t="str">
        <f>IF(ISNA(MATCH($N822,data!$A:$A,0)),"",INDEX(data!O:O,MATCH($N822,data!$A:$A,0)))</f>
        <v/>
      </c>
      <c r="AZ822" s="38" t="str">
        <f>IF(ISNA(MATCH($N822,data!$A:$A,0)),"",INDEX(data!N:N,MATCH($N822,data!$A:$A,0)))</f>
        <v/>
      </c>
      <c r="BA822" s="38" t="str">
        <f>IF(ISNA(MATCH($N822,data!$A:$A,0)),"",INDEX(data!P:P,MATCH($N822,data!$A:$A,0)))</f>
        <v/>
      </c>
      <c r="BB822" s="38" t="str">
        <f>IF(ISNA(MATCH($N822,data!$A:$A,0)),"",INDEX(data!Q:Q,MATCH($N822,data!$A:$A,0)))</f>
        <v/>
      </c>
      <c r="BC822" s="38" t="str">
        <f>IF(ISNA(MATCH($N822,data!$A:$A,0)),"",INDEX(data!R:R,MATCH($N822,data!$A:$A,0)))</f>
        <v/>
      </c>
      <c r="BD822" s="38" t="str">
        <f>IF(ISNA(MATCH($N822,[1]data!$A:$A,0)),"",INDEX([1]data!U:U,MATCH($N822,[1]data!$A:$A,0)))</f>
        <v/>
      </c>
      <c r="BE822" s="61" t="e">
        <f>IF(COUNTIF([1]data!A:A,[1]!Table1[[#This Row],[UPC]])&lt;2,"","DUP")</f>
        <v>#VALUE!</v>
      </c>
      <c r="BF822" s="38" t="str">
        <f>IF(ISNA(MATCH($N822,data!$A:$A,0)),"",INDEX(data!W:W,MATCH($N822,data!$A:$A,0)))</f>
        <v/>
      </c>
    </row>
    <row r="823" spans="1:58">
      <c r="A823" s="35"/>
      <c r="B823" s="35"/>
      <c r="C823" s="35"/>
      <c r="D823" s="35"/>
      <c r="E823" s="67"/>
      <c r="F823" s="67"/>
      <c r="G823" s="36"/>
      <c r="H823" s="29"/>
      <c r="I823" s="78" t="str">
        <f t="shared" si="20"/>
        <v/>
      </c>
      <c r="J823" s="29"/>
      <c r="K823" s="29"/>
      <c r="L823" s="33"/>
      <c r="M823" s="33"/>
      <c r="N823" s="60"/>
      <c r="O823" s="71"/>
      <c r="P823" s="71"/>
      <c r="Q823" s="33"/>
      <c r="R823" s="31"/>
      <c r="S823" s="31"/>
      <c r="T823" s="59"/>
      <c r="U823" s="59"/>
      <c r="V823" s="59"/>
      <c r="W823" s="57">
        <f t="shared" si="21"/>
        <v>0</v>
      </c>
      <c r="X823" s="126" t="str">
        <f>IF(Table1[[#This Row],[Shipping Weight Pounds]]&gt;150,"See LTL Form","No")</f>
        <v>No</v>
      </c>
      <c r="Y823" s="28"/>
      <c r="Z823" s="33"/>
      <c r="AA823" s="34"/>
      <c r="AB823" s="30"/>
      <c r="AC823" s="30"/>
      <c r="AD823" s="32"/>
      <c r="AE823" s="32"/>
      <c r="AF823" s="2"/>
      <c r="AG823" s="2"/>
      <c r="AH823" s="2"/>
      <c r="AI823" s="2"/>
      <c r="AK823" s="73" t="str">
        <f>IF(ISNA(MATCH($N823,[1]data!$A:$A,0)),"",INDEX([1]data!S:S,MATCH($N823,[1]data!$A:$A,0)))</f>
        <v/>
      </c>
      <c r="AL823" s="73" t="str">
        <f>IF(ISNA(MATCH($N823,[1]data!$A:$A,0)),"",INDEX([1]data!V:V,MATCH($N823,[1]data!$A:$A,0)))</f>
        <v/>
      </c>
      <c r="AM823" s="38" t="str">
        <f>IF(ISNA(MATCH($N823,data!$A:$A,0)),"",INDEX(data!B:B,MATCH($N823,data!$A:$A,0)))</f>
        <v/>
      </c>
      <c r="AN823" s="38" t="str">
        <f>IF(ISNA(MATCH($N823,data!$A:$A,0)),"",INDEX(data!C:C,MATCH($N823,data!$A:$A,0)))</f>
        <v/>
      </c>
      <c r="AO823" s="38" t="str">
        <f>IF(ISNA(MATCH($N823,data!$A:$A,0)),"",INDEX(data!D:D,MATCH($N823,data!$A:$A,0)))</f>
        <v/>
      </c>
      <c r="AP823" s="38" t="str">
        <f>IF(ISNA(MATCH($N823,data!$A:$A,0)),"",INDEX(data!E:E,MATCH($N823,data!$A:$A,0)))</f>
        <v/>
      </c>
      <c r="AQ823" s="38" t="str">
        <f>IF(ISNA(MATCH($N823,data!$A:$A,0)),"",INDEX(data!F:F,MATCH($N823,data!$A:$A,0)))</f>
        <v/>
      </c>
      <c r="AR823" s="38" t="str">
        <f>IF(ISNA(MATCH($N823,data!$A:$A,0)),"",INDEX(data!G:G,MATCH($N823,data!$A:$A,0)))</f>
        <v/>
      </c>
      <c r="AS823" s="38" t="str">
        <f>IF(ISNA(MATCH($N823,data!$A:$A,0)),"",INDEX(data!H:H,MATCH($N823,data!$A:$A,0)))</f>
        <v/>
      </c>
      <c r="AT823" s="38" t="str">
        <f>IF(ISNA(MATCH($N823,data!$A:$A,0)),"",INDEX(data!I:I,MATCH($N823,data!$A:$A,0)))</f>
        <v/>
      </c>
      <c r="AU823" s="38" t="str">
        <f>IF(ISNA(MATCH($N823,[1]data!$A:$A,0)),"",INDEX([1]data!L:L,MATCH($N823,[1]data!$A:$A,0)))</f>
        <v/>
      </c>
      <c r="AV823" s="38" t="str">
        <f>IF(ISNA(MATCH($N823,[1]data!$A:$A,0)),"",INDEX([1]data!M:M,MATCH($N823,[1]data!$A:$A,0)))</f>
        <v/>
      </c>
      <c r="AW823" s="38" t="str">
        <f>IF(ISNA(MATCH($N823,data!$A:$A,0)),"",INDEX(data!J:J,MATCH($N823,data!$A:$A,0)))</f>
        <v/>
      </c>
      <c r="AX823" s="38" t="str">
        <f>IF(ISNA(MATCH($N823,data!$A:$A,0)),"",INDEX(data!K:K,MATCH($N823,data!$A:$A,0)))</f>
        <v/>
      </c>
      <c r="AY823" s="38" t="str">
        <f>IF(ISNA(MATCH($N823,data!$A:$A,0)),"",INDEX(data!O:O,MATCH($N823,data!$A:$A,0)))</f>
        <v/>
      </c>
      <c r="AZ823" s="38" t="str">
        <f>IF(ISNA(MATCH($N823,data!$A:$A,0)),"",INDEX(data!N:N,MATCH($N823,data!$A:$A,0)))</f>
        <v/>
      </c>
      <c r="BA823" s="38" t="str">
        <f>IF(ISNA(MATCH($N823,data!$A:$A,0)),"",INDEX(data!P:P,MATCH($N823,data!$A:$A,0)))</f>
        <v/>
      </c>
      <c r="BB823" s="38" t="str">
        <f>IF(ISNA(MATCH($N823,data!$A:$A,0)),"",INDEX(data!Q:Q,MATCH($N823,data!$A:$A,0)))</f>
        <v/>
      </c>
      <c r="BC823" s="38" t="str">
        <f>IF(ISNA(MATCH($N823,data!$A:$A,0)),"",INDEX(data!R:R,MATCH($N823,data!$A:$A,0)))</f>
        <v/>
      </c>
      <c r="BD823" s="38" t="str">
        <f>IF(ISNA(MATCH($N823,[1]data!$A:$A,0)),"",INDEX([1]data!U:U,MATCH($N823,[1]data!$A:$A,0)))</f>
        <v/>
      </c>
      <c r="BE823" s="61" t="e">
        <f>IF(COUNTIF([1]data!A:A,[1]!Table1[[#This Row],[UPC]])&lt;2,"","DUP")</f>
        <v>#VALUE!</v>
      </c>
      <c r="BF823" s="38" t="str">
        <f>IF(ISNA(MATCH($N823,data!$A:$A,0)),"",INDEX(data!W:W,MATCH($N823,data!$A:$A,0)))</f>
        <v/>
      </c>
    </row>
    <row r="824" spans="1:58">
      <c r="A824" s="35"/>
      <c r="B824" s="35"/>
      <c r="C824" s="35"/>
      <c r="D824" s="35"/>
      <c r="E824" s="67"/>
      <c r="F824" s="67"/>
      <c r="G824" s="36"/>
      <c r="H824" s="29"/>
      <c r="I824" s="78" t="str">
        <f t="shared" si="20"/>
        <v/>
      </c>
      <c r="J824" s="29"/>
      <c r="K824" s="29"/>
      <c r="L824" s="33"/>
      <c r="M824" s="33"/>
      <c r="N824" s="60"/>
      <c r="O824" s="71"/>
      <c r="P824" s="71"/>
      <c r="Q824" s="33"/>
      <c r="R824" s="31"/>
      <c r="S824" s="31"/>
      <c r="T824" s="59"/>
      <c r="U824" s="59"/>
      <c r="V824" s="59"/>
      <c r="W824" s="57">
        <f t="shared" si="21"/>
        <v>0</v>
      </c>
      <c r="X824" s="126" t="str">
        <f>IF(Table1[[#This Row],[Shipping Weight Pounds]]&gt;150,"See LTL Form","No")</f>
        <v>No</v>
      </c>
      <c r="Y824" s="28"/>
      <c r="Z824" s="33"/>
      <c r="AA824" s="34"/>
      <c r="AB824" s="30"/>
      <c r="AC824" s="30"/>
      <c r="AD824" s="32"/>
      <c r="AE824" s="32"/>
      <c r="AF824" s="2"/>
      <c r="AG824" s="2"/>
      <c r="AH824" s="2"/>
      <c r="AI824" s="2"/>
      <c r="AK824" s="73" t="str">
        <f>IF(ISNA(MATCH($N824,[1]data!$A:$A,0)),"",INDEX([1]data!S:S,MATCH($N824,[1]data!$A:$A,0)))</f>
        <v/>
      </c>
      <c r="AL824" s="73" t="str">
        <f>IF(ISNA(MATCH($N824,[1]data!$A:$A,0)),"",INDEX([1]data!V:V,MATCH($N824,[1]data!$A:$A,0)))</f>
        <v/>
      </c>
      <c r="AM824" s="38" t="str">
        <f>IF(ISNA(MATCH($N824,data!$A:$A,0)),"",INDEX(data!B:B,MATCH($N824,data!$A:$A,0)))</f>
        <v/>
      </c>
      <c r="AN824" s="38" t="str">
        <f>IF(ISNA(MATCH($N824,data!$A:$A,0)),"",INDEX(data!C:C,MATCH($N824,data!$A:$A,0)))</f>
        <v/>
      </c>
      <c r="AO824" s="38" t="str">
        <f>IF(ISNA(MATCH($N824,data!$A:$A,0)),"",INDEX(data!D:D,MATCH($N824,data!$A:$A,0)))</f>
        <v/>
      </c>
      <c r="AP824" s="38" t="str">
        <f>IF(ISNA(MATCH($N824,data!$A:$A,0)),"",INDEX(data!E:E,MATCH($N824,data!$A:$A,0)))</f>
        <v/>
      </c>
      <c r="AQ824" s="38" t="str">
        <f>IF(ISNA(MATCH($N824,data!$A:$A,0)),"",INDEX(data!F:F,MATCH($N824,data!$A:$A,0)))</f>
        <v/>
      </c>
      <c r="AR824" s="38" t="str">
        <f>IF(ISNA(MATCH($N824,data!$A:$A,0)),"",INDEX(data!G:G,MATCH($N824,data!$A:$A,0)))</f>
        <v/>
      </c>
      <c r="AS824" s="38" t="str">
        <f>IF(ISNA(MATCH($N824,data!$A:$A,0)),"",INDEX(data!H:H,MATCH($N824,data!$A:$A,0)))</f>
        <v/>
      </c>
      <c r="AT824" s="38" t="str">
        <f>IF(ISNA(MATCH($N824,data!$A:$A,0)),"",INDEX(data!I:I,MATCH($N824,data!$A:$A,0)))</f>
        <v/>
      </c>
      <c r="AU824" s="38" t="str">
        <f>IF(ISNA(MATCH($N824,[1]data!$A:$A,0)),"",INDEX([1]data!L:L,MATCH($N824,[1]data!$A:$A,0)))</f>
        <v/>
      </c>
      <c r="AV824" s="38" t="str">
        <f>IF(ISNA(MATCH($N824,[1]data!$A:$A,0)),"",INDEX([1]data!M:M,MATCH($N824,[1]data!$A:$A,0)))</f>
        <v/>
      </c>
      <c r="AW824" s="38" t="str">
        <f>IF(ISNA(MATCH($N824,data!$A:$A,0)),"",INDEX(data!J:J,MATCH($N824,data!$A:$A,0)))</f>
        <v/>
      </c>
      <c r="AX824" s="38" t="str">
        <f>IF(ISNA(MATCH($N824,data!$A:$A,0)),"",INDEX(data!K:K,MATCH($N824,data!$A:$A,0)))</f>
        <v/>
      </c>
      <c r="AY824" s="38" t="str">
        <f>IF(ISNA(MATCH($N824,data!$A:$A,0)),"",INDEX(data!O:O,MATCH($N824,data!$A:$A,0)))</f>
        <v/>
      </c>
      <c r="AZ824" s="38" t="str">
        <f>IF(ISNA(MATCH($N824,data!$A:$A,0)),"",INDEX(data!N:N,MATCH($N824,data!$A:$A,0)))</f>
        <v/>
      </c>
      <c r="BA824" s="38" t="str">
        <f>IF(ISNA(MATCH($N824,data!$A:$A,0)),"",INDEX(data!P:P,MATCH($N824,data!$A:$A,0)))</f>
        <v/>
      </c>
      <c r="BB824" s="38" t="str">
        <f>IF(ISNA(MATCH($N824,data!$A:$A,0)),"",INDEX(data!Q:Q,MATCH($N824,data!$A:$A,0)))</f>
        <v/>
      </c>
      <c r="BC824" s="38" t="str">
        <f>IF(ISNA(MATCH($N824,data!$A:$A,0)),"",INDEX(data!R:R,MATCH($N824,data!$A:$A,0)))</f>
        <v/>
      </c>
      <c r="BD824" s="38" t="str">
        <f>IF(ISNA(MATCH($N824,[1]data!$A:$A,0)),"",INDEX([1]data!U:U,MATCH($N824,[1]data!$A:$A,0)))</f>
        <v/>
      </c>
      <c r="BE824" s="61" t="e">
        <f>IF(COUNTIF([1]data!A:A,[1]!Table1[[#This Row],[UPC]])&lt;2,"","DUP")</f>
        <v>#VALUE!</v>
      </c>
      <c r="BF824" s="38" t="str">
        <f>IF(ISNA(MATCH($N824,data!$A:$A,0)),"",INDEX(data!W:W,MATCH($N824,data!$A:$A,0)))</f>
        <v/>
      </c>
    </row>
    <row r="825" spans="1:58">
      <c r="A825" s="35"/>
      <c r="B825" s="35"/>
      <c r="C825" s="35"/>
      <c r="D825" s="35"/>
      <c r="E825" s="67"/>
      <c r="F825" s="67"/>
      <c r="G825" s="36"/>
      <c r="H825" s="29"/>
      <c r="I825" s="78" t="str">
        <f t="shared" si="20"/>
        <v/>
      </c>
      <c r="J825" s="29"/>
      <c r="K825" s="29"/>
      <c r="L825" s="33"/>
      <c r="M825" s="33"/>
      <c r="N825" s="60"/>
      <c r="O825" s="71"/>
      <c r="P825" s="71"/>
      <c r="Q825" s="33"/>
      <c r="R825" s="31"/>
      <c r="S825" s="31"/>
      <c r="T825" s="59"/>
      <c r="U825" s="59"/>
      <c r="V825" s="59"/>
      <c r="W825" s="57">
        <f t="shared" si="21"/>
        <v>0</v>
      </c>
      <c r="X825" s="126" t="str">
        <f>IF(Table1[[#This Row],[Shipping Weight Pounds]]&gt;150,"See LTL Form","No")</f>
        <v>No</v>
      </c>
      <c r="Y825" s="28"/>
      <c r="Z825" s="33"/>
      <c r="AA825" s="34"/>
      <c r="AB825" s="30"/>
      <c r="AC825" s="30"/>
      <c r="AD825" s="32"/>
      <c r="AE825" s="32"/>
      <c r="AF825" s="2"/>
      <c r="AG825" s="2"/>
      <c r="AH825" s="2"/>
      <c r="AI825" s="2"/>
      <c r="AK825" s="73" t="str">
        <f>IF(ISNA(MATCH($N825,[1]data!$A:$A,0)),"",INDEX([1]data!S:S,MATCH($N825,[1]data!$A:$A,0)))</f>
        <v/>
      </c>
      <c r="AL825" s="73" t="str">
        <f>IF(ISNA(MATCH($N825,[1]data!$A:$A,0)),"",INDEX([1]data!V:V,MATCH($N825,[1]data!$A:$A,0)))</f>
        <v/>
      </c>
      <c r="AM825" s="38" t="str">
        <f>IF(ISNA(MATCH($N825,data!$A:$A,0)),"",INDEX(data!B:B,MATCH($N825,data!$A:$A,0)))</f>
        <v/>
      </c>
      <c r="AN825" s="38" t="str">
        <f>IF(ISNA(MATCH($N825,data!$A:$A,0)),"",INDEX(data!C:C,MATCH($N825,data!$A:$A,0)))</f>
        <v/>
      </c>
      <c r="AO825" s="38" t="str">
        <f>IF(ISNA(MATCH($N825,data!$A:$A,0)),"",INDEX(data!D:D,MATCH($N825,data!$A:$A,0)))</f>
        <v/>
      </c>
      <c r="AP825" s="38" t="str">
        <f>IF(ISNA(MATCH($N825,data!$A:$A,0)),"",INDEX(data!E:E,MATCH($N825,data!$A:$A,0)))</f>
        <v/>
      </c>
      <c r="AQ825" s="38" t="str">
        <f>IF(ISNA(MATCH($N825,data!$A:$A,0)),"",INDEX(data!F:F,MATCH($N825,data!$A:$A,0)))</f>
        <v/>
      </c>
      <c r="AR825" s="38" t="str">
        <f>IF(ISNA(MATCH($N825,data!$A:$A,0)),"",INDEX(data!G:G,MATCH($N825,data!$A:$A,0)))</f>
        <v/>
      </c>
      <c r="AS825" s="38" t="str">
        <f>IF(ISNA(MATCH($N825,data!$A:$A,0)),"",INDEX(data!H:H,MATCH($N825,data!$A:$A,0)))</f>
        <v/>
      </c>
      <c r="AT825" s="38" t="str">
        <f>IF(ISNA(MATCH($N825,data!$A:$A,0)),"",INDEX(data!I:I,MATCH($N825,data!$A:$A,0)))</f>
        <v/>
      </c>
      <c r="AU825" s="38" t="str">
        <f>IF(ISNA(MATCH($N825,[1]data!$A:$A,0)),"",INDEX([1]data!L:L,MATCH($N825,[1]data!$A:$A,0)))</f>
        <v/>
      </c>
      <c r="AV825" s="38" t="str">
        <f>IF(ISNA(MATCH($N825,[1]data!$A:$A,0)),"",INDEX([1]data!M:M,MATCH($N825,[1]data!$A:$A,0)))</f>
        <v/>
      </c>
      <c r="AW825" s="38" t="str">
        <f>IF(ISNA(MATCH($N825,data!$A:$A,0)),"",INDEX(data!J:J,MATCH($N825,data!$A:$A,0)))</f>
        <v/>
      </c>
      <c r="AX825" s="38" t="str">
        <f>IF(ISNA(MATCH($N825,data!$A:$A,0)),"",INDEX(data!K:K,MATCH($N825,data!$A:$A,0)))</f>
        <v/>
      </c>
      <c r="AY825" s="38" t="str">
        <f>IF(ISNA(MATCH($N825,data!$A:$A,0)),"",INDEX(data!O:O,MATCH($N825,data!$A:$A,0)))</f>
        <v/>
      </c>
      <c r="AZ825" s="38" t="str">
        <f>IF(ISNA(MATCH($N825,data!$A:$A,0)),"",INDEX(data!N:N,MATCH($N825,data!$A:$A,0)))</f>
        <v/>
      </c>
      <c r="BA825" s="38" t="str">
        <f>IF(ISNA(MATCH($N825,data!$A:$A,0)),"",INDEX(data!P:P,MATCH($N825,data!$A:$A,0)))</f>
        <v/>
      </c>
      <c r="BB825" s="38" t="str">
        <f>IF(ISNA(MATCH($N825,data!$A:$A,0)),"",INDEX(data!Q:Q,MATCH($N825,data!$A:$A,0)))</f>
        <v/>
      </c>
      <c r="BC825" s="38" t="str">
        <f>IF(ISNA(MATCH($N825,data!$A:$A,0)),"",INDEX(data!R:R,MATCH($N825,data!$A:$A,0)))</f>
        <v/>
      </c>
      <c r="BD825" s="38" t="str">
        <f>IF(ISNA(MATCH($N825,[1]data!$A:$A,0)),"",INDEX([1]data!U:U,MATCH($N825,[1]data!$A:$A,0)))</f>
        <v/>
      </c>
      <c r="BE825" s="61" t="e">
        <f>IF(COUNTIF([1]data!A:A,[1]!Table1[[#This Row],[UPC]])&lt;2,"","DUP")</f>
        <v>#VALUE!</v>
      </c>
      <c r="BF825" s="38" t="str">
        <f>IF(ISNA(MATCH($N825,data!$A:$A,0)),"",INDEX(data!W:W,MATCH($N825,data!$A:$A,0)))</f>
        <v/>
      </c>
    </row>
    <row r="826" spans="1:58">
      <c r="A826" s="35"/>
      <c r="B826" s="35"/>
      <c r="C826" s="35"/>
      <c r="D826" s="35"/>
      <c r="E826" s="67"/>
      <c r="F826" s="67"/>
      <c r="G826" s="36"/>
      <c r="H826" s="29"/>
      <c r="I826" s="78" t="str">
        <f t="shared" si="20"/>
        <v/>
      </c>
      <c r="J826" s="29"/>
      <c r="K826" s="29"/>
      <c r="L826" s="33"/>
      <c r="M826" s="33"/>
      <c r="N826" s="60"/>
      <c r="O826" s="71"/>
      <c r="P826" s="71"/>
      <c r="Q826" s="33"/>
      <c r="R826" s="31"/>
      <c r="S826" s="31"/>
      <c r="T826" s="59"/>
      <c r="U826" s="59"/>
      <c r="V826" s="59"/>
      <c r="W826" s="57">
        <f t="shared" si="21"/>
        <v>0</v>
      </c>
      <c r="X826" s="126" t="str">
        <f>IF(Table1[[#This Row],[Shipping Weight Pounds]]&gt;150,"See LTL Form","No")</f>
        <v>No</v>
      </c>
      <c r="Y826" s="28"/>
      <c r="Z826" s="33"/>
      <c r="AA826" s="34"/>
      <c r="AB826" s="30"/>
      <c r="AC826" s="30"/>
      <c r="AD826" s="32"/>
      <c r="AE826" s="32"/>
      <c r="AF826" s="2"/>
      <c r="AG826" s="2"/>
      <c r="AH826" s="2"/>
      <c r="AI826" s="2"/>
      <c r="AK826" s="73" t="str">
        <f>IF(ISNA(MATCH($N826,[1]data!$A:$A,0)),"",INDEX([1]data!S:S,MATCH($N826,[1]data!$A:$A,0)))</f>
        <v/>
      </c>
      <c r="AL826" s="73" t="str">
        <f>IF(ISNA(MATCH($N826,[1]data!$A:$A,0)),"",INDEX([1]data!V:V,MATCH($N826,[1]data!$A:$A,0)))</f>
        <v/>
      </c>
      <c r="AM826" s="38" t="str">
        <f>IF(ISNA(MATCH($N826,data!$A:$A,0)),"",INDEX(data!B:B,MATCH($N826,data!$A:$A,0)))</f>
        <v/>
      </c>
      <c r="AN826" s="38" t="str">
        <f>IF(ISNA(MATCH($N826,data!$A:$A,0)),"",INDEX(data!C:C,MATCH($N826,data!$A:$A,0)))</f>
        <v/>
      </c>
      <c r="AO826" s="38" t="str">
        <f>IF(ISNA(MATCH($N826,data!$A:$A,0)),"",INDEX(data!D:D,MATCH($N826,data!$A:$A,0)))</f>
        <v/>
      </c>
      <c r="AP826" s="38" t="str">
        <f>IF(ISNA(MATCH($N826,data!$A:$A,0)),"",INDEX(data!E:E,MATCH($N826,data!$A:$A,0)))</f>
        <v/>
      </c>
      <c r="AQ826" s="38" t="str">
        <f>IF(ISNA(MATCH($N826,data!$A:$A,0)),"",INDEX(data!F:F,MATCH($N826,data!$A:$A,0)))</f>
        <v/>
      </c>
      <c r="AR826" s="38" t="str">
        <f>IF(ISNA(MATCH($N826,data!$A:$A,0)),"",INDEX(data!G:G,MATCH($N826,data!$A:$A,0)))</f>
        <v/>
      </c>
      <c r="AS826" s="38" t="str">
        <f>IF(ISNA(MATCH($N826,data!$A:$A,0)),"",INDEX(data!H:H,MATCH($N826,data!$A:$A,0)))</f>
        <v/>
      </c>
      <c r="AT826" s="38" t="str">
        <f>IF(ISNA(MATCH($N826,data!$A:$A,0)),"",INDEX(data!I:I,MATCH($N826,data!$A:$A,0)))</f>
        <v/>
      </c>
      <c r="AU826" s="38" t="str">
        <f>IF(ISNA(MATCH($N826,[1]data!$A:$A,0)),"",INDEX([1]data!L:L,MATCH($N826,[1]data!$A:$A,0)))</f>
        <v/>
      </c>
      <c r="AV826" s="38" t="str">
        <f>IF(ISNA(MATCH($N826,[1]data!$A:$A,0)),"",INDEX([1]data!M:M,MATCH($N826,[1]data!$A:$A,0)))</f>
        <v/>
      </c>
      <c r="AW826" s="38" t="str">
        <f>IF(ISNA(MATCH($N826,data!$A:$A,0)),"",INDEX(data!J:J,MATCH($N826,data!$A:$A,0)))</f>
        <v/>
      </c>
      <c r="AX826" s="38" t="str">
        <f>IF(ISNA(MATCH($N826,data!$A:$A,0)),"",INDEX(data!K:K,MATCH($N826,data!$A:$A,0)))</f>
        <v/>
      </c>
      <c r="AY826" s="38" t="str">
        <f>IF(ISNA(MATCH($N826,data!$A:$A,0)),"",INDEX(data!O:O,MATCH($N826,data!$A:$A,0)))</f>
        <v/>
      </c>
      <c r="AZ826" s="38" t="str">
        <f>IF(ISNA(MATCH($N826,data!$A:$A,0)),"",INDEX(data!N:N,MATCH($N826,data!$A:$A,0)))</f>
        <v/>
      </c>
      <c r="BA826" s="38" t="str">
        <f>IF(ISNA(MATCH($N826,data!$A:$A,0)),"",INDEX(data!P:P,MATCH($N826,data!$A:$A,0)))</f>
        <v/>
      </c>
      <c r="BB826" s="38" t="str">
        <f>IF(ISNA(MATCH($N826,data!$A:$A,0)),"",INDEX(data!Q:Q,MATCH($N826,data!$A:$A,0)))</f>
        <v/>
      </c>
      <c r="BC826" s="38" t="str">
        <f>IF(ISNA(MATCH($N826,data!$A:$A,0)),"",INDEX(data!R:R,MATCH($N826,data!$A:$A,0)))</f>
        <v/>
      </c>
      <c r="BD826" s="38" t="str">
        <f>IF(ISNA(MATCH($N826,[1]data!$A:$A,0)),"",INDEX([1]data!U:U,MATCH($N826,[1]data!$A:$A,0)))</f>
        <v/>
      </c>
      <c r="BE826" s="61" t="e">
        <f>IF(COUNTIF([1]data!A:A,[1]!Table1[[#This Row],[UPC]])&lt;2,"","DUP")</f>
        <v>#VALUE!</v>
      </c>
      <c r="BF826" s="38" t="str">
        <f>IF(ISNA(MATCH($N826,data!$A:$A,0)),"",INDEX(data!W:W,MATCH($N826,data!$A:$A,0)))</f>
        <v/>
      </c>
    </row>
    <row r="827" spans="1:58">
      <c r="A827" s="35"/>
      <c r="B827" s="35"/>
      <c r="C827" s="35"/>
      <c r="D827" s="35"/>
      <c r="E827" s="67"/>
      <c r="F827" s="67"/>
      <c r="G827" s="36"/>
      <c r="H827" s="29"/>
      <c r="I827" s="78" t="str">
        <f t="shared" si="20"/>
        <v/>
      </c>
      <c r="J827" s="29"/>
      <c r="K827" s="29"/>
      <c r="L827" s="33"/>
      <c r="M827" s="33"/>
      <c r="N827" s="60"/>
      <c r="O827" s="71"/>
      <c r="P827" s="71"/>
      <c r="Q827" s="33"/>
      <c r="R827" s="31"/>
      <c r="S827" s="31"/>
      <c r="T827" s="59"/>
      <c r="U827" s="59"/>
      <c r="V827" s="59"/>
      <c r="W827" s="57">
        <f t="shared" si="21"/>
        <v>0</v>
      </c>
      <c r="X827" s="126" t="str">
        <f>IF(Table1[[#This Row],[Shipping Weight Pounds]]&gt;150,"See LTL Form","No")</f>
        <v>No</v>
      </c>
      <c r="Y827" s="28"/>
      <c r="Z827" s="33"/>
      <c r="AA827" s="34"/>
      <c r="AB827" s="30"/>
      <c r="AC827" s="30"/>
      <c r="AD827" s="32"/>
      <c r="AE827" s="32"/>
      <c r="AF827" s="2"/>
      <c r="AG827" s="2"/>
      <c r="AH827" s="2"/>
      <c r="AI827" s="2"/>
      <c r="AK827" s="73" t="str">
        <f>IF(ISNA(MATCH($N827,[1]data!$A:$A,0)),"",INDEX([1]data!S:S,MATCH($N827,[1]data!$A:$A,0)))</f>
        <v/>
      </c>
      <c r="AL827" s="73" t="str">
        <f>IF(ISNA(MATCH($N827,[1]data!$A:$A,0)),"",INDEX([1]data!V:V,MATCH($N827,[1]data!$A:$A,0)))</f>
        <v/>
      </c>
      <c r="AM827" s="38" t="str">
        <f>IF(ISNA(MATCH($N827,data!$A:$A,0)),"",INDEX(data!B:B,MATCH($N827,data!$A:$A,0)))</f>
        <v/>
      </c>
      <c r="AN827" s="38" t="str">
        <f>IF(ISNA(MATCH($N827,data!$A:$A,0)),"",INDEX(data!C:C,MATCH($N827,data!$A:$A,0)))</f>
        <v/>
      </c>
      <c r="AO827" s="38" t="str">
        <f>IF(ISNA(MATCH($N827,data!$A:$A,0)),"",INDEX(data!D:D,MATCH($N827,data!$A:$A,0)))</f>
        <v/>
      </c>
      <c r="AP827" s="38" t="str">
        <f>IF(ISNA(MATCH($N827,data!$A:$A,0)),"",INDEX(data!E:E,MATCH($N827,data!$A:$A,0)))</f>
        <v/>
      </c>
      <c r="AQ827" s="38" t="str">
        <f>IF(ISNA(MATCH($N827,data!$A:$A,0)),"",INDEX(data!F:F,MATCH($N827,data!$A:$A,0)))</f>
        <v/>
      </c>
      <c r="AR827" s="38" t="str">
        <f>IF(ISNA(MATCH($N827,data!$A:$A,0)),"",INDEX(data!G:G,MATCH($N827,data!$A:$A,0)))</f>
        <v/>
      </c>
      <c r="AS827" s="38" t="str">
        <f>IF(ISNA(MATCH($N827,data!$A:$A,0)),"",INDEX(data!H:H,MATCH($N827,data!$A:$A,0)))</f>
        <v/>
      </c>
      <c r="AT827" s="38" t="str">
        <f>IF(ISNA(MATCH($N827,data!$A:$A,0)),"",INDEX(data!I:I,MATCH($N827,data!$A:$A,0)))</f>
        <v/>
      </c>
      <c r="AU827" s="38" t="str">
        <f>IF(ISNA(MATCH($N827,[1]data!$A:$A,0)),"",INDEX([1]data!L:L,MATCH($N827,[1]data!$A:$A,0)))</f>
        <v/>
      </c>
      <c r="AV827" s="38" t="str">
        <f>IF(ISNA(MATCH($N827,[1]data!$A:$A,0)),"",INDEX([1]data!M:M,MATCH($N827,[1]data!$A:$A,0)))</f>
        <v/>
      </c>
      <c r="AW827" s="38" t="str">
        <f>IF(ISNA(MATCH($N827,data!$A:$A,0)),"",INDEX(data!J:J,MATCH($N827,data!$A:$A,0)))</f>
        <v/>
      </c>
      <c r="AX827" s="38" t="str">
        <f>IF(ISNA(MATCH($N827,data!$A:$A,0)),"",INDEX(data!K:K,MATCH($N827,data!$A:$A,0)))</f>
        <v/>
      </c>
      <c r="AY827" s="38" t="str">
        <f>IF(ISNA(MATCH($N827,data!$A:$A,0)),"",INDEX(data!O:O,MATCH($N827,data!$A:$A,0)))</f>
        <v/>
      </c>
      <c r="AZ827" s="38" t="str">
        <f>IF(ISNA(MATCH($N827,data!$A:$A,0)),"",INDEX(data!N:N,MATCH($N827,data!$A:$A,0)))</f>
        <v/>
      </c>
      <c r="BA827" s="38" t="str">
        <f>IF(ISNA(MATCH($N827,data!$A:$A,0)),"",INDEX(data!P:P,MATCH($N827,data!$A:$A,0)))</f>
        <v/>
      </c>
      <c r="BB827" s="38" t="str">
        <f>IF(ISNA(MATCH($N827,data!$A:$A,0)),"",INDEX(data!Q:Q,MATCH($N827,data!$A:$A,0)))</f>
        <v/>
      </c>
      <c r="BC827" s="38" t="str">
        <f>IF(ISNA(MATCH($N827,data!$A:$A,0)),"",INDEX(data!R:R,MATCH($N827,data!$A:$A,0)))</f>
        <v/>
      </c>
      <c r="BD827" s="38" t="str">
        <f>IF(ISNA(MATCH($N827,[1]data!$A:$A,0)),"",INDEX([1]data!U:U,MATCH($N827,[1]data!$A:$A,0)))</f>
        <v/>
      </c>
      <c r="BE827" s="61" t="e">
        <f>IF(COUNTIF([1]data!A:A,[1]!Table1[[#This Row],[UPC]])&lt;2,"","DUP")</f>
        <v>#VALUE!</v>
      </c>
      <c r="BF827" s="38" t="str">
        <f>IF(ISNA(MATCH($N827,data!$A:$A,0)),"",INDEX(data!W:W,MATCH($N827,data!$A:$A,0)))</f>
        <v/>
      </c>
    </row>
    <row r="828" spans="1:58">
      <c r="A828" s="35"/>
      <c r="B828" s="35"/>
      <c r="C828" s="35"/>
      <c r="D828" s="35"/>
      <c r="E828" s="67"/>
      <c r="F828" s="67"/>
      <c r="G828" s="36"/>
      <c r="H828" s="29"/>
      <c r="I828" s="78" t="str">
        <f t="shared" si="20"/>
        <v/>
      </c>
      <c r="J828" s="29"/>
      <c r="K828" s="29"/>
      <c r="L828" s="33"/>
      <c r="M828" s="33"/>
      <c r="N828" s="60"/>
      <c r="O828" s="71"/>
      <c r="P828" s="71"/>
      <c r="Q828" s="33"/>
      <c r="R828" s="31"/>
      <c r="S828" s="31"/>
      <c r="T828" s="59"/>
      <c r="U828" s="59"/>
      <c r="V828" s="59"/>
      <c r="W828" s="57">
        <f t="shared" si="21"/>
        <v>0</v>
      </c>
      <c r="X828" s="126" t="str">
        <f>IF(Table1[[#This Row],[Shipping Weight Pounds]]&gt;150,"See LTL Form","No")</f>
        <v>No</v>
      </c>
      <c r="Y828" s="28"/>
      <c r="Z828" s="33"/>
      <c r="AA828" s="34"/>
      <c r="AB828" s="30"/>
      <c r="AC828" s="30"/>
      <c r="AD828" s="32"/>
      <c r="AE828" s="32"/>
      <c r="AF828" s="2"/>
      <c r="AG828" s="2"/>
      <c r="AH828" s="2"/>
      <c r="AI828" s="2"/>
      <c r="AK828" s="73" t="str">
        <f>IF(ISNA(MATCH($N828,[1]data!$A:$A,0)),"",INDEX([1]data!S:S,MATCH($N828,[1]data!$A:$A,0)))</f>
        <v/>
      </c>
      <c r="AL828" s="73" t="str">
        <f>IF(ISNA(MATCH($N828,[1]data!$A:$A,0)),"",INDEX([1]data!V:V,MATCH($N828,[1]data!$A:$A,0)))</f>
        <v/>
      </c>
      <c r="AM828" s="38" t="str">
        <f>IF(ISNA(MATCH($N828,data!$A:$A,0)),"",INDEX(data!B:B,MATCH($N828,data!$A:$A,0)))</f>
        <v/>
      </c>
      <c r="AN828" s="38" t="str">
        <f>IF(ISNA(MATCH($N828,data!$A:$A,0)),"",INDEX(data!C:C,MATCH($N828,data!$A:$A,0)))</f>
        <v/>
      </c>
      <c r="AO828" s="38" t="str">
        <f>IF(ISNA(MATCH($N828,data!$A:$A,0)),"",INDEX(data!D:D,MATCH($N828,data!$A:$A,0)))</f>
        <v/>
      </c>
      <c r="AP828" s="38" t="str">
        <f>IF(ISNA(MATCH($N828,data!$A:$A,0)),"",INDEX(data!E:E,MATCH($N828,data!$A:$A,0)))</f>
        <v/>
      </c>
      <c r="AQ828" s="38" t="str">
        <f>IF(ISNA(MATCH($N828,data!$A:$A,0)),"",INDEX(data!F:F,MATCH($N828,data!$A:$A,0)))</f>
        <v/>
      </c>
      <c r="AR828" s="38" t="str">
        <f>IF(ISNA(MATCH($N828,data!$A:$A,0)),"",INDEX(data!G:G,MATCH($N828,data!$A:$A,0)))</f>
        <v/>
      </c>
      <c r="AS828" s="38" t="str">
        <f>IF(ISNA(MATCH($N828,data!$A:$A,0)),"",INDEX(data!H:H,MATCH($N828,data!$A:$A,0)))</f>
        <v/>
      </c>
      <c r="AT828" s="38" t="str">
        <f>IF(ISNA(MATCH($N828,data!$A:$A,0)),"",INDEX(data!I:I,MATCH($N828,data!$A:$A,0)))</f>
        <v/>
      </c>
      <c r="AU828" s="38" t="str">
        <f>IF(ISNA(MATCH($N828,[1]data!$A:$A,0)),"",INDEX([1]data!L:L,MATCH($N828,[1]data!$A:$A,0)))</f>
        <v/>
      </c>
      <c r="AV828" s="38" t="str">
        <f>IF(ISNA(MATCH($N828,[1]data!$A:$A,0)),"",INDEX([1]data!M:M,MATCH($N828,[1]data!$A:$A,0)))</f>
        <v/>
      </c>
      <c r="AW828" s="38" t="str">
        <f>IF(ISNA(MATCH($N828,data!$A:$A,0)),"",INDEX(data!J:J,MATCH($N828,data!$A:$A,0)))</f>
        <v/>
      </c>
      <c r="AX828" s="38" t="str">
        <f>IF(ISNA(MATCH($N828,data!$A:$A,0)),"",INDEX(data!K:K,MATCH($N828,data!$A:$A,0)))</f>
        <v/>
      </c>
      <c r="AY828" s="38" t="str">
        <f>IF(ISNA(MATCH($N828,data!$A:$A,0)),"",INDEX(data!O:O,MATCH($N828,data!$A:$A,0)))</f>
        <v/>
      </c>
      <c r="AZ828" s="38" t="str">
        <f>IF(ISNA(MATCH($N828,data!$A:$A,0)),"",INDEX(data!N:N,MATCH($N828,data!$A:$A,0)))</f>
        <v/>
      </c>
      <c r="BA828" s="38" t="str">
        <f>IF(ISNA(MATCH($N828,data!$A:$A,0)),"",INDEX(data!P:P,MATCH($N828,data!$A:$A,0)))</f>
        <v/>
      </c>
      <c r="BB828" s="38" t="str">
        <f>IF(ISNA(MATCH($N828,data!$A:$A,0)),"",INDEX(data!Q:Q,MATCH($N828,data!$A:$A,0)))</f>
        <v/>
      </c>
      <c r="BC828" s="38" t="str">
        <f>IF(ISNA(MATCH($N828,data!$A:$A,0)),"",INDEX(data!R:R,MATCH($N828,data!$A:$A,0)))</f>
        <v/>
      </c>
      <c r="BD828" s="38" t="str">
        <f>IF(ISNA(MATCH($N828,[1]data!$A:$A,0)),"",INDEX([1]data!U:U,MATCH($N828,[1]data!$A:$A,0)))</f>
        <v/>
      </c>
      <c r="BE828" s="61" t="e">
        <f>IF(COUNTIF([1]data!A:A,[1]!Table1[[#This Row],[UPC]])&lt;2,"","DUP")</f>
        <v>#VALUE!</v>
      </c>
      <c r="BF828" s="38" t="str">
        <f>IF(ISNA(MATCH($N828,data!$A:$A,0)),"",INDEX(data!W:W,MATCH($N828,data!$A:$A,0)))</f>
        <v/>
      </c>
    </row>
    <row r="829" spans="1:58">
      <c r="A829" s="35"/>
      <c r="B829" s="35"/>
      <c r="C829" s="35"/>
      <c r="D829" s="35"/>
      <c r="E829" s="67"/>
      <c r="F829" s="67"/>
      <c r="G829" s="36"/>
      <c r="H829" s="29"/>
      <c r="I829" s="78" t="str">
        <f t="shared" si="20"/>
        <v/>
      </c>
      <c r="J829" s="29"/>
      <c r="K829" s="29"/>
      <c r="L829" s="33"/>
      <c r="M829" s="33"/>
      <c r="N829" s="60"/>
      <c r="O829" s="71"/>
      <c r="P829" s="71"/>
      <c r="Q829" s="33"/>
      <c r="R829" s="31"/>
      <c r="S829" s="31"/>
      <c r="T829" s="59"/>
      <c r="U829" s="59"/>
      <c r="V829" s="59"/>
      <c r="W829" s="57">
        <f t="shared" si="21"/>
        <v>0</v>
      </c>
      <c r="X829" s="126" t="str">
        <f>IF(Table1[[#This Row],[Shipping Weight Pounds]]&gt;150,"See LTL Form","No")</f>
        <v>No</v>
      </c>
      <c r="Y829" s="28"/>
      <c r="Z829" s="33"/>
      <c r="AA829" s="34"/>
      <c r="AB829" s="30"/>
      <c r="AC829" s="30"/>
      <c r="AD829" s="32"/>
      <c r="AE829" s="32"/>
      <c r="AF829" s="2"/>
      <c r="AG829" s="2"/>
      <c r="AH829" s="2"/>
      <c r="AI829" s="2"/>
      <c r="AK829" s="73" t="str">
        <f>IF(ISNA(MATCH($N829,[1]data!$A:$A,0)),"",INDEX([1]data!S:S,MATCH($N829,[1]data!$A:$A,0)))</f>
        <v/>
      </c>
      <c r="AL829" s="73" t="str">
        <f>IF(ISNA(MATCH($N829,[1]data!$A:$A,0)),"",INDEX([1]data!V:V,MATCH($N829,[1]data!$A:$A,0)))</f>
        <v/>
      </c>
      <c r="AM829" s="38" t="str">
        <f>IF(ISNA(MATCH($N829,data!$A:$A,0)),"",INDEX(data!B:B,MATCH($N829,data!$A:$A,0)))</f>
        <v/>
      </c>
      <c r="AN829" s="38" t="str">
        <f>IF(ISNA(MATCH($N829,data!$A:$A,0)),"",INDEX(data!C:C,MATCH($N829,data!$A:$A,0)))</f>
        <v/>
      </c>
      <c r="AO829" s="38" t="str">
        <f>IF(ISNA(MATCH($N829,data!$A:$A,0)),"",INDEX(data!D:D,MATCH($N829,data!$A:$A,0)))</f>
        <v/>
      </c>
      <c r="AP829" s="38" t="str">
        <f>IF(ISNA(MATCH($N829,data!$A:$A,0)),"",INDEX(data!E:E,MATCH($N829,data!$A:$A,0)))</f>
        <v/>
      </c>
      <c r="AQ829" s="38" t="str">
        <f>IF(ISNA(MATCH($N829,data!$A:$A,0)),"",INDEX(data!F:F,MATCH($N829,data!$A:$A,0)))</f>
        <v/>
      </c>
      <c r="AR829" s="38" t="str">
        <f>IF(ISNA(MATCH($N829,data!$A:$A,0)),"",INDEX(data!G:G,MATCH($N829,data!$A:$A,0)))</f>
        <v/>
      </c>
      <c r="AS829" s="38" t="str">
        <f>IF(ISNA(MATCH($N829,data!$A:$A,0)),"",INDEX(data!H:H,MATCH($N829,data!$A:$A,0)))</f>
        <v/>
      </c>
      <c r="AT829" s="38" t="str">
        <f>IF(ISNA(MATCH($N829,data!$A:$A,0)),"",INDEX(data!I:I,MATCH($N829,data!$A:$A,0)))</f>
        <v/>
      </c>
      <c r="AU829" s="38" t="str">
        <f>IF(ISNA(MATCH($N829,[1]data!$A:$A,0)),"",INDEX([1]data!L:L,MATCH($N829,[1]data!$A:$A,0)))</f>
        <v/>
      </c>
      <c r="AV829" s="38" t="str">
        <f>IF(ISNA(MATCH($N829,[1]data!$A:$A,0)),"",INDEX([1]data!M:M,MATCH($N829,[1]data!$A:$A,0)))</f>
        <v/>
      </c>
      <c r="AW829" s="38" t="str">
        <f>IF(ISNA(MATCH($N829,data!$A:$A,0)),"",INDEX(data!J:J,MATCH($N829,data!$A:$A,0)))</f>
        <v/>
      </c>
      <c r="AX829" s="38" t="str">
        <f>IF(ISNA(MATCH($N829,data!$A:$A,0)),"",INDEX(data!K:K,MATCH($N829,data!$A:$A,0)))</f>
        <v/>
      </c>
      <c r="AY829" s="38" t="str">
        <f>IF(ISNA(MATCH($N829,data!$A:$A,0)),"",INDEX(data!O:O,MATCH($N829,data!$A:$A,0)))</f>
        <v/>
      </c>
      <c r="AZ829" s="38" t="str">
        <f>IF(ISNA(MATCH($N829,data!$A:$A,0)),"",INDEX(data!N:N,MATCH($N829,data!$A:$A,0)))</f>
        <v/>
      </c>
      <c r="BA829" s="38" t="str">
        <f>IF(ISNA(MATCH($N829,data!$A:$A,0)),"",INDEX(data!P:P,MATCH($N829,data!$A:$A,0)))</f>
        <v/>
      </c>
      <c r="BB829" s="38" t="str">
        <f>IF(ISNA(MATCH($N829,data!$A:$A,0)),"",INDEX(data!Q:Q,MATCH($N829,data!$A:$A,0)))</f>
        <v/>
      </c>
      <c r="BC829" s="38" t="str">
        <f>IF(ISNA(MATCH($N829,data!$A:$A,0)),"",INDEX(data!R:R,MATCH($N829,data!$A:$A,0)))</f>
        <v/>
      </c>
      <c r="BD829" s="38" t="str">
        <f>IF(ISNA(MATCH($N829,[1]data!$A:$A,0)),"",INDEX([1]data!U:U,MATCH($N829,[1]data!$A:$A,0)))</f>
        <v/>
      </c>
      <c r="BE829" s="61" t="e">
        <f>IF(COUNTIF([1]data!A:A,[1]!Table1[[#This Row],[UPC]])&lt;2,"","DUP")</f>
        <v>#VALUE!</v>
      </c>
      <c r="BF829" s="38" t="str">
        <f>IF(ISNA(MATCH($N829,data!$A:$A,0)),"",INDEX(data!W:W,MATCH($N829,data!$A:$A,0)))</f>
        <v/>
      </c>
    </row>
    <row r="830" spans="1:58">
      <c r="A830" s="35"/>
      <c r="B830" s="35"/>
      <c r="C830" s="35"/>
      <c r="D830" s="35"/>
      <c r="E830" s="67"/>
      <c r="F830" s="67"/>
      <c r="G830" s="36"/>
      <c r="H830" s="29"/>
      <c r="I830" s="78" t="str">
        <f t="shared" si="20"/>
        <v/>
      </c>
      <c r="J830" s="29"/>
      <c r="K830" s="29"/>
      <c r="L830" s="33"/>
      <c r="M830" s="33"/>
      <c r="N830" s="60"/>
      <c r="O830" s="71"/>
      <c r="P830" s="71"/>
      <c r="Q830" s="33"/>
      <c r="R830" s="31"/>
      <c r="S830" s="31"/>
      <c r="T830" s="59"/>
      <c r="U830" s="59"/>
      <c r="V830" s="59"/>
      <c r="W830" s="57">
        <f t="shared" si="21"/>
        <v>0</v>
      </c>
      <c r="X830" s="126" t="str">
        <f>IF(Table1[[#This Row],[Shipping Weight Pounds]]&gt;150,"See LTL Form","No")</f>
        <v>No</v>
      </c>
      <c r="Y830" s="28"/>
      <c r="Z830" s="33"/>
      <c r="AA830" s="34"/>
      <c r="AB830" s="30"/>
      <c r="AC830" s="30"/>
      <c r="AD830" s="32"/>
      <c r="AE830" s="32"/>
      <c r="AF830" s="2"/>
      <c r="AG830" s="2"/>
      <c r="AH830" s="2"/>
      <c r="AI830" s="2"/>
      <c r="AK830" s="73" t="str">
        <f>IF(ISNA(MATCH($N830,[1]data!$A:$A,0)),"",INDEX([1]data!S:S,MATCH($N830,[1]data!$A:$A,0)))</f>
        <v/>
      </c>
      <c r="AL830" s="73" t="str">
        <f>IF(ISNA(MATCH($N830,[1]data!$A:$A,0)),"",INDEX([1]data!V:V,MATCH($N830,[1]data!$A:$A,0)))</f>
        <v/>
      </c>
      <c r="AM830" s="38" t="str">
        <f>IF(ISNA(MATCH($N830,data!$A:$A,0)),"",INDEX(data!B:B,MATCH($N830,data!$A:$A,0)))</f>
        <v/>
      </c>
      <c r="AN830" s="38" t="str">
        <f>IF(ISNA(MATCH($N830,data!$A:$A,0)),"",INDEX(data!C:C,MATCH($N830,data!$A:$A,0)))</f>
        <v/>
      </c>
      <c r="AO830" s="38" t="str">
        <f>IF(ISNA(MATCH($N830,data!$A:$A,0)),"",INDEX(data!D:D,MATCH($N830,data!$A:$A,0)))</f>
        <v/>
      </c>
      <c r="AP830" s="38" t="str">
        <f>IF(ISNA(MATCH($N830,data!$A:$A,0)),"",INDEX(data!E:E,MATCH($N830,data!$A:$A,0)))</f>
        <v/>
      </c>
      <c r="AQ830" s="38" t="str">
        <f>IF(ISNA(MATCH($N830,data!$A:$A,0)),"",INDEX(data!F:F,MATCH($N830,data!$A:$A,0)))</f>
        <v/>
      </c>
      <c r="AR830" s="38" t="str">
        <f>IF(ISNA(MATCH($N830,data!$A:$A,0)),"",INDEX(data!G:G,MATCH($N830,data!$A:$A,0)))</f>
        <v/>
      </c>
      <c r="AS830" s="38" t="str">
        <f>IF(ISNA(MATCH($N830,data!$A:$A,0)),"",INDEX(data!H:H,MATCH($N830,data!$A:$A,0)))</f>
        <v/>
      </c>
      <c r="AT830" s="38" t="str">
        <f>IF(ISNA(MATCH($N830,data!$A:$A,0)),"",INDEX(data!I:I,MATCH($N830,data!$A:$A,0)))</f>
        <v/>
      </c>
      <c r="AU830" s="38" t="str">
        <f>IF(ISNA(MATCH($N830,[1]data!$A:$A,0)),"",INDEX([1]data!L:L,MATCH($N830,[1]data!$A:$A,0)))</f>
        <v/>
      </c>
      <c r="AV830" s="38" t="str">
        <f>IF(ISNA(MATCH($N830,[1]data!$A:$A,0)),"",INDEX([1]data!M:M,MATCH($N830,[1]data!$A:$A,0)))</f>
        <v/>
      </c>
      <c r="AW830" s="38" t="str">
        <f>IF(ISNA(MATCH($N830,data!$A:$A,0)),"",INDEX(data!J:J,MATCH($N830,data!$A:$A,0)))</f>
        <v/>
      </c>
      <c r="AX830" s="38" t="str">
        <f>IF(ISNA(MATCH($N830,data!$A:$A,0)),"",INDEX(data!K:K,MATCH($N830,data!$A:$A,0)))</f>
        <v/>
      </c>
      <c r="AY830" s="38" t="str">
        <f>IF(ISNA(MATCH($N830,data!$A:$A,0)),"",INDEX(data!O:O,MATCH($N830,data!$A:$A,0)))</f>
        <v/>
      </c>
      <c r="AZ830" s="38" t="str">
        <f>IF(ISNA(MATCH($N830,data!$A:$A,0)),"",INDEX(data!N:N,MATCH($N830,data!$A:$A,0)))</f>
        <v/>
      </c>
      <c r="BA830" s="38" t="str">
        <f>IF(ISNA(MATCH($N830,data!$A:$A,0)),"",INDEX(data!P:P,MATCH($N830,data!$A:$A,0)))</f>
        <v/>
      </c>
      <c r="BB830" s="38" t="str">
        <f>IF(ISNA(MATCH($N830,data!$A:$A,0)),"",INDEX(data!Q:Q,MATCH($N830,data!$A:$A,0)))</f>
        <v/>
      </c>
      <c r="BC830" s="38" t="str">
        <f>IF(ISNA(MATCH($N830,data!$A:$A,0)),"",INDEX(data!R:R,MATCH($N830,data!$A:$A,0)))</f>
        <v/>
      </c>
      <c r="BD830" s="38" t="str">
        <f>IF(ISNA(MATCH($N830,[1]data!$A:$A,0)),"",INDEX([1]data!U:U,MATCH($N830,[1]data!$A:$A,0)))</f>
        <v/>
      </c>
      <c r="BE830" s="61" t="e">
        <f>IF(COUNTIF([1]data!A:A,[1]!Table1[[#This Row],[UPC]])&lt;2,"","DUP")</f>
        <v>#VALUE!</v>
      </c>
      <c r="BF830" s="38" t="str">
        <f>IF(ISNA(MATCH($N830,data!$A:$A,0)),"",INDEX(data!W:W,MATCH($N830,data!$A:$A,0)))</f>
        <v/>
      </c>
    </row>
    <row r="831" spans="1:58">
      <c r="A831" s="35"/>
      <c r="B831" s="35"/>
      <c r="C831" s="35"/>
      <c r="D831" s="35"/>
      <c r="E831" s="67"/>
      <c r="F831" s="67"/>
      <c r="G831" s="36"/>
      <c r="H831" s="29"/>
      <c r="I831" s="78" t="str">
        <f t="shared" si="20"/>
        <v/>
      </c>
      <c r="J831" s="29"/>
      <c r="K831" s="29"/>
      <c r="L831" s="33"/>
      <c r="M831" s="33"/>
      <c r="N831" s="60"/>
      <c r="O831" s="71"/>
      <c r="P831" s="71"/>
      <c r="Q831" s="33"/>
      <c r="R831" s="31"/>
      <c r="S831" s="31"/>
      <c r="T831" s="59"/>
      <c r="U831" s="59"/>
      <c r="V831" s="59"/>
      <c r="W831" s="57">
        <f t="shared" si="21"/>
        <v>0</v>
      </c>
      <c r="X831" s="126" t="str">
        <f>IF(Table1[[#This Row],[Shipping Weight Pounds]]&gt;150,"See LTL Form","No")</f>
        <v>No</v>
      </c>
      <c r="Y831" s="28"/>
      <c r="Z831" s="33"/>
      <c r="AA831" s="34"/>
      <c r="AB831" s="30"/>
      <c r="AC831" s="30"/>
      <c r="AD831" s="32"/>
      <c r="AE831" s="32"/>
      <c r="AF831" s="2"/>
      <c r="AG831" s="2"/>
      <c r="AH831" s="2"/>
      <c r="AI831" s="2"/>
      <c r="AK831" s="73" t="str">
        <f>IF(ISNA(MATCH($N831,[1]data!$A:$A,0)),"",INDEX([1]data!S:S,MATCH($N831,[1]data!$A:$A,0)))</f>
        <v/>
      </c>
      <c r="AL831" s="73" t="str">
        <f>IF(ISNA(MATCH($N831,[1]data!$A:$A,0)),"",INDEX([1]data!V:V,MATCH($N831,[1]data!$A:$A,0)))</f>
        <v/>
      </c>
      <c r="AM831" s="38" t="str">
        <f>IF(ISNA(MATCH($N831,data!$A:$A,0)),"",INDEX(data!B:B,MATCH($N831,data!$A:$A,0)))</f>
        <v/>
      </c>
      <c r="AN831" s="38" t="str">
        <f>IF(ISNA(MATCH($N831,data!$A:$A,0)),"",INDEX(data!C:C,MATCH($N831,data!$A:$A,0)))</f>
        <v/>
      </c>
      <c r="AO831" s="38" t="str">
        <f>IF(ISNA(MATCH($N831,data!$A:$A,0)),"",INDEX(data!D:D,MATCH($N831,data!$A:$A,0)))</f>
        <v/>
      </c>
      <c r="AP831" s="38" t="str">
        <f>IF(ISNA(MATCH($N831,data!$A:$A,0)),"",INDEX(data!E:E,MATCH($N831,data!$A:$A,0)))</f>
        <v/>
      </c>
      <c r="AQ831" s="38" t="str">
        <f>IF(ISNA(MATCH($N831,data!$A:$A,0)),"",INDEX(data!F:F,MATCH($N831,data!$A:$A,0)))</f>
        <v/>
      </c>
      <c r="AR831" s="38" t="str">
        <f>IF(ISNA(MATCH($N831,data!$A:$A,0)),"",INDEX(data!G:G,MATCH($N831,data!$A:$A,0)))</f>
        <v/>
      </c>
      <c r="AS831" s="38" t="str">
        <f>IF(ISNA(MATCH($N831,data!$A:$A,0)),"",INDEX(data!H:H,MATCH($N831,data!$A:$A,0)))</f>
        <v/>
      </c>
      <c r="AT831" s="38" t="str">
        <f>IF(ISNA(MATCH($N831,data!$A:$A,0)),"",INDEX(data!I:I,MATCH($N831,data!$A:$A,0)))</f>
        <v/>
      </c>
      <c r="AU831" s="38" t="str">
        <f>IF(ISNA(MATCH($N831,[1]data!$A:$A,0)),"",INDEX([1]data!L:L,MATCH($N831,[1]data!$A:$A,0)))</f>
        <v/>
      </c>
      <c r="AV831" s="38" t="str">
        <f>IF(ISNA(MATCH($N831,[1]data!$A:$A,0)),"",INDEX([1]data!M:M,MATCH($N831,[1]data!$A:$A,0)))</f>
        <v/>
      </c>
      <c r="AW831" s="38" t="str">
        <f>IF(ISNA(MATCH($N831,data!$A:$A,0)),"",INDEX(data!J:J,MATCH($N831,data!$A:$A,0)))</f>
        <v/>
      </c>
      <c r="AX831" s="38" t="str">
        <f>IF(ISNA(MATCH($N831,data!$A:$A,0)),"",INDEX(data!K:K,MATCH($N831,data!$A:$A,0)))</f>
        <v/>
      </c>
      <c r="AY831" s="38" t="str">
        <f>IF(ISNA(MATCH($N831,data!$A:$A,0)),"",INDEX(data!O:O,MATCH($N831,data!$A:$A,0)))</f>
        <v/>
      </c>
      <c r="AZ831" s="38" t="str">
        <f>IF(ISNA(MATCH($N831,data!$A:$A,0)),"",INDEX(data!N:N,MATCH($N831,data!$A:$A,0)))</f>
        <v/>
      </c>
      <c r="BA831" s="38" t="str">
        <f>IF(ISNA(MATCH($N831,data!$A:$A,0)),"",INDEX(data!P:P,MATCH($N831,data!$A:$A,0)))</f>
        <v/>
      </c>
      <c r="BB831" s="38" t="str">
        <f>IF(ISNA(MATCH($N831,data!$A:$A,0)),"",INDEX(data!Q:Q,MATCH($N831,data!$A:$A,0)))</f>
        <v/>
      </c>
      <c r="BC831" s="38" t="str">
        <f>IF(ISNA(MATCH($N831,data!$A:$A,0)),"",INDEX(data!R:R,MATCH($N831,data!$A:$A,0)))</f>
        <v/>
      </c>
      <c r="BD831" s="38" t="str">
        <f>IF(ISNA(MATCH($N831,[1]data!$A:$A,0)),"",INDEX([1]data!U:U,MATCH($N831,[1]data!$A:$A,0)))</f>
        <v/>
      </c>
      <c r="BE831" s="61" t="e">
        <f>IF(COUNTIF([1]data!A:A,[1]!Table1[[#This Row],[UPC]])&lt;2,"","DUP")</f>
        <v>#VALUE!</v>
      </c>
      <c r="BF831" s="38" t="str">
        <f>IF(ISNA(MATCH($N831,data!$A:$A,0)),"",INDEX(data!W:W,MATCH($N831,data!$A:$A,0)))</f>
        <v/>
      </c>
    </row>
    <row r="832" spans="1:58">
      <c r="A832" s="35"/>
      <c r="B832" s="35"/>
      <c r="C832" s="35"/>
      <c r="D832" s="35"/>
      <c r="E832" s="67"/>
      <c r="F832" s="67"/>
      <c r="G832" s="36"/>
      <c r="H832" s="29"/>
      <c r="I832" s="78" t="str">
        <f t="shared" si="20"/>
        <v/>
      </c>
      <c r="J832" s="29"/>
      <c r="K832" s="29"/>
      <c r="L832" s="33"/>
      <c r="M832" s="33"/>
      <c r="N832" s="60"/>
      <c r="O832" s="71"/>
      <c r="P832" s="71"/>
      <c r="Q832" s="33"/>
      <c r="R832" s="31"/>
      <c r="S832" s="31"/>
      <c r="T832" s="59"/>
      <c r="U832" s="59"/>
      <c r="V832" s="59"/>
      <c r="W832" s="57">
        <f t="shared" si="21"/>
        <v>0</v>
      </c>
      <c r="X832" s="126" t="str">
        <f>IF(Table1[[#This Row],[Shipping Weight Pounds]]&gt;150,"See LTL Form","No")</f>
        <v>No</v>
      </c>
      <c r="Y832" s="28"/>
      <c r="Z832" s="33"/>
      <c r="AA832" s="34"/>
      <c r="AB832" s="30"/>
      <c r="AC832" s="30"/>
      <c r="AD832" s="32"/>
      <c r="AE832" s="32"/>
      <c r="AF832" s="2"/>
      <c r="AG832" s="2"/>
      <c r="AH832" s="2"/>
      <c r="AI832" s="2"/>
      <c r="AK832" s="73" t="str">
        <f>IF(ISNA(MATCH($N832,[1]data!$A:$A,0)),"",INDEX([1]data!S:S,MATCH($N832,[1]data!$A:$A,0)))</f>
        <v/>
      </c>
      <c r="AL832" s="73" t="str">
        <f>IF(ISNA(MATCH($N832,[1]data!$A:$A,0)),"",INDEX([1]data!V:V,MATCH($N832,[1]data!$A:$A,0)))</f>
        <v/>
      </c>
      <c r="AM832" s="38" t="str">
        <f>IF(ISNA(MATCH($N832,data!$A:$A,0)),"",INDEX(data!B:B,MATCH($N832,data!$A:$A,0)))</f>
        <v/>
      </c>
      <c r="AN832" s="38" t="str">
        <f>IF(ISNA(MATCH($N832,data!$A:$A,0)),"",INDEX(data!C:C,MATCH($N832,data!$A:$A,0)))</f>
        <v/>
      </c>
      <c r="AO832" s="38" t="str">
        <f>IF(ISNA(MATCH($N832,data!$A:$A,0)),"",INDEX(data!D:D,MATCH($N832,data!$A:$A,0)))</f>
        <v/>
      </c>
      <c r="AP832" s="38" t="str">
        <f>IF(ISNA(MATCH($N832,data!$A:$A,0)),"",INDEX(data!E:E,MATCH($N832,data!$A:$A,0)))</f>
        <v/>
      </c>
      <c r="AQ832" s="38" t="str">
        <f>IF(ISNA(MATCH($N832,data!$A:$A,0)),"",INDEX(data!F:F,MATCH($N832,data!$A:$A,0)))</f>
        <v/>
      </c>
      <c r="AR832" s="38" t="str">
        <f>IF(ISNA(MATCH($N832,data!$A:$A,0)),"",INDEX(data!G:G,MATCH($N832,data!$A:$A,0)))</f>
        <v/>
      </c>
      <c r="AS832" s="38" t="str">
        <f>IF(ISNA(MATCH($N832,data!$A:$A,0)),"",INDEX(data!H:H,MATCH($N832,data!$A:$A,0)))</f>
        <v/>
      </c>
      <c r="AT832" s="38" t="str">
        <f>IF(ISNA(MATCH($N832,data!$A:$A,0)),"",INDEX(data!I:I,MATCH($N832,data!$A:$A,0)))</f>
        <v/>
      </c>
      <c r="AU832" s="38" t="str">
        <f>IF(ISNA(MATCH($N832,[1]data!$A:$A,0)),"",INDEX([1]data!L:L,MATCH($N832,[1]data!$A:$A,0)))</f>
        <v/>
      </c>
      <c r="AV832" s="38" t="str">
        <f>IF(ISNA(MATCH($N832,[1]data!$A:$A,0)),"",INDEX([1]data!M:M,MATCH($N832,[1]data!$A:$A,0)))</f>
        <v/>
      </c>
      <c r="AW832" s="38" t="str">
        <f>IF(ISNA(MATCH($N832,data!$A:$A,0)),"",INDEX(data!J:J,MATCH($N832,data!$A:$A,0)))</f>
        <v/>
      </c>
      <c r="AX832" s="38" t="str">
        <f>IF(ISNA(MATCH($N832,data!$A:$A,0)),"",INDEX(data!K:K,MATCH($N832,data!$A:$A,0)))</f>
        <v/>
      </c>
      <c r="AY832" s="38" t="str">
        <f>IF(ISNA(MATCH($N832,data!$A:$A,0)),"",INDEX(data!O:O,MATCH($N832,data!$A:$A,0)))</f>
        <v/>
      </c>
      <c r="AZ832" s="38" t="str">
        <f>IF(ISNA(MATCH($N832,data!$A:$A,0)),"",INDEX(data!N:N,MATCH($N832,data!$A:$A,0)))</f>
        <v/>
      </c>
      <c r="BA832" s="38" t="str">
        <f>IF(ISNA(MATCH($N832,data!$A:$A,0)),"",INDEX(data!P:P,MATCH($N832,data!$A:$A,0)))</f>
        <v/>
      </c>
      <c r="BB832" s="38" t="str">
        <f>IF(ISNA(MATCH($N832,data!$A:$A,0)),"",INDEX(data!Q:Q,MATCH($N832,data!$A:$A,0)))</f>
        <v/>
      </c>
      <c r="BC832" s="38" t="str">
        <f>IF(ISNA(MATCH($N832,data!$A:$A,0)),"",INDEX(data!R:R,MATCH($N832,data!$A:$A,0)))</f>
        <v/>
      </c>
      <c r="BD832" s="38" t="str">
        <f>IF(ISNA(MATCH($N832,[1]data!$A:$A,0)),"",INDEX([1]data!U:U,MATCH($N832,[1]data!$A:$A,0)))</f>
        <v/>
      </c>
      <c r="BE832" s="61" t="e">
        <f>IF(COUNTIF([1]data!A:A,[1]!Table1[[#This Row],[UPC]])&lt;2,"","DUP")</f>
        <v>#VALUE!</v>
      </c>
      <c r="BF832" s="38" t="str">
        <f>IF(ISNA(MATCH($N832,data!$A:$A,0)),"",INDEX(data!W:W,MATCH($N832,data!$A:$A,0)))</f>
        <v/>
      </c>
    </row>
    <row r="833" spans="1:58">
      <c r="A833" s="35"/>
      <c r="B833" s="35"/>
      <c r="C833" s="35"/>
      <c r="D833" s="35"/>
      <c r="E833" s="67"/>
      <c r="F833" s="67"/>
      <c r="G833" s="36"/>
      <c r="H833" s="29"/>
      <c r="I833" s="78" t="str">
        <f t="shared" si="20"/>
        <v/>
      </c>
      <c r="J833" s="29"/>
      <c r="K833" s="29"/>
      <c r="L833" s="33"/>
      <c r="M833" s="33"/>
      <c r="N833" s="60"/>
      <c r="O833" s="71"/>
      <c r="P833" s="71"/>
      <c r="Q833" s="33"/>
      <c r="R833" s="31"/>
      <c r="S833" s="31"/>
      <c r="T833" s="59"/>
      <c r="U833" s="59"/>
      <c r="V833" s="59"/>
      <c r="W833" s="57">
        <f t="shared" si="21"/>
        <v>0</v>
      </c>
      <c r="X833" s="126" t="str">
        <f>IF(Table1[[#This Row],[Shipping Weight Pounds]]&gt;150,"See LTL Form","No")</f>
        <v>No</v>
      </c>
      <c r="Y833" s="28"/>
      <c r="Z833" s="33"/>
      <c r="AA833" s="34"/>
      <c r="AB833" s="30"/>
      <c r="AC833" s="30"/>
      <c r="AD833" s="32"/>
      <c r="AE833" s="32"/>
      <c r="AF833" s="2"/>
      <c r="AG833" s="2"/>
      <c r="AH833" s="2"/>
      <c r="AI833" s="2"/>
      <c r="AK833" s="73" t="str">
        <f>IF(ISNA(MATCH($N833,[1]data!$A:$A,0)),"",INDEX([1]data!S:S,MATCH($N833,[1]data!$A:$A,0)))</f>
        <v/>
      </c>
      <c r="AL833" s="73" t="str">
        <f>IF(ISNA(MATCH($N833,[1]data!$A:$A,0)),"",INDEX([1]data!V:V,MATCH($N833,[1]data!$A:$A,0)))</f>
        <v/>
      </c>
      <c r="AM833" s="38" t="str">
        <f>IF(ISNA(MATCH($N833,data!$A:$A,0)),"",INDEX(data!B:B,MATCH($N833,data!$A:$A,0)))</f>
        <v/>
      </c>
      <c r="AN833" s="38" t="str">
        <f>IF(ISNA(MATCH($N833,data!$A:$A,0)),"",INDEX(data!C:C,MATCH($N833,data!$A:$A,0)))</f>
        <v/>
      </c>
      <c r="AO833" s="38" t="str">
        <f>IF(ISNA(MATCH($N833,data!$A:$A,0)),"",INDEX(data!D:D,MATCH($N833,data!$A:$A,0)))</f>
        <v/>
      </c>
      <c r="AP833" s="38" t="str">
        <f>IF(ISNA(MATCH($N833,data!$A:$A,0)),"",INDEX(data!E:E,MATCH($N833,data!$A:$A,0)))</f>
        <v/>
      </c>
      <c r="AQ833" s="38" t="str">
        <f>IF(ISNA(MATCH($N833,data!$A:$A,0)),"",INDEX(data!F:F,MATCH($N833,data!$A:$A,0)))</f>
        <v/>
      </c>
      <c r="AR833" s="38" t="str">
        <f>IF(ISNA(MATCH($N833,data!$A:$A,0)),"",INDEX(data!G:G,MATCH($N833,data!$A:$A,0)))</f>
        <v/>
      </c>
      <c r="AS833" s="38" t="str">
        <f>IF(ISNA(MATCH($N833,data!$A:$A,0)),"",INDEX(data!H:H,MATCH($N833,data!$A:$A,0)))</f>
        <v/>
      </c>
      <c r="AT833" s="38" t="str">
        <f>IF(ISNA(MATCH($N833,data!$A:$A,0)),"",INDEX(data!I:I,MATCH($N833,data!$A:$A,0)))</f>
        <v/>
      </c>
      <c r="AU833" s="38" t="str">
        <f>IF(ISNA(MATCH($N833,[1]data!$A:$A,0)),"",INDEX([1]data!L:L,MATCH($N833,[1]data!$A:$A,0)))</f>
        <v/>
      </c>
      <c r="AV833" s="38" t="str">
        <f>IF(ISNA(MATCH($N833,[1]data!$A:$A,0)),"",INDEX([1]data!M:M,MATCH($N833,[1]data!$A:$A,0)))</f>
        <v/>
      </c>
      <c r="AW833" s="38" t="str">
        <f>IF(ISNA(MATCH($N833,data!$A:$A,0)),"",INDEX(data!J:J,MATCH($N833,data!$A:$A,0)))</f>
        <v/>
      </c>
      <c r="AX833" s="38" t="str">
        <f>IF(ISNA(MATCH($N833,data!$A:$A,0)),"",INDEX(data!K:K,MATCH($N833,data!$A:$A,0)))</f>
        <v/>
      </c>
      <c r="AY833" s="38" t="str">
        <f>IF(ISNA(MATCH($N833,data!$A:$A,0)),"",INDEX(data!O:O,MATCH($N833,data!$A:$A,0)))</f>
        <v/>
      </c>
      <c r="AZ833" s="38" t="str">
        <f>IF(ISNA(MATCH($N833,data!$A:$A,0)),"",INDEX(data!N:N,MATCH($N833,data!$A:$A,0)))</f>
        <v/>
      </c>
      <c r="BA833" s="38" t="str">
        <f>IF(ISNA(MATCH($N833,data!$A:$A,0)),"",INDEX(data!P:P,MATCH($N833,data!$A:$A,0)))</f>
        <v/>
      </c>
      <c r="BB833" s="38" t="str">
        <f>IF(ISNA(MATCH($N833,data!$A:$A,0)),"",INDEX(data!Q:Q,MATCH($N833,data!$A:$A,0)))</f>
        <v/>
      </c>
      <c r="BC833" s="38" t="str">
        <f>IF(ISNA(MATCH($N833,data!$A:$A,0)),"",INDEX(data!R:R,MATCH($N833,data!$A:$A,0)))</f>
        <v/>
      </c>
      <c r="BD833" s="38" t="str">
        <f>IF(ISNA(MATCH($N833,[1]data!$A:$A,0)),"",INDEX([1]data!U:U,MATCH($N833,[1]data!$A:$A,0)))</f>
        <v/>
      </c>
      <c r="BE833" s="61" t="e">
        <f>IF(COUNTIF([1]data!A:A,[1]!Table1[[#This Row],[UPC]])&lt;2,"","DUP")</f>
        <v>#VALUE!</v>
      </c>
      <c r="BF833" s="38" t="str">
        <f>IF(ISNA(MATCH($N833,data!$A:$A,0)),"",INDEX(data!W:W,MATCH($N833,data!$A:$A,0)))</f>
        <v/>
      </c>
    </row>
    <row r="834" spans="1:58">
      <c r="A834" s="35"/>
      <c r="B834" s="35"/>
      <c r="C834" s="35"/>
      <c r="D834" s="35"/>
      <c r="E834" s="67"/>
      <c r="F834" s="67"/>
      <c r="G834" s="36"/>
      <c r="H834" s="29"/>
      <c r="I834" s="78" t="str">
        <f t="shared" si="20"/>
        <v/>
      </c>
      <c r="J834" s="29"/>
      <c r="K834" s="29"/>
      <c r="L834" s="33"/>
      <c r="M834" s="33"/>
      <c r="N834" s="60"/>
      <c r="O834" s="71"/>
      <c r="P834" s="71"/>
      <c r="Q834" s="33"/>
      <c r="R834" s="31"/>
      <c r="S834" s="31"/>
      <c r="T834" s="59"/>
      <c r="U834" s="59"/>
      <c r="V834" s="59"/>
      <c r="W834" s="57">
        <f t="shared" si="21"/>
        <v>0</v>
      </c>
      <c r="X834" s="126" t="str">
        <f>IF(Table1[[#This Row],[Shipping Weight Pounds]]&gt;150,"See LTL Form","No")</f>
        <v>No</v>
      </c>
      <c r="Y834" s="28"/>
      <c r="Z834" s="33"/>
      <c r="AA834" s="34"/>
      <c r="AB834" s="30"/>
      <c r="AC834" s="30"/>
      <c r="AD834" s="32"/>
      <c r="AE834" s="32"/>
      <c r="AF834" s="2"/>
      <c r="AG834" s="2"/>
      <c r="AH834" s="2"/>
      <c r="AI834" s="2"/>
      <c r="AK834" s="73" t="str">
        <f>IF(ISNA(MATCH($N834,[1]data!$A:$A,0)),"",INDEX([1]data!S:S,MATCH($N834,[1]data!$A:$A,0)))</f>
        <v/>
      </c>
      <c r="AL834" s="73" t="str">
        <f>IF(ISNA(MATCH($N834,[1]data!$A:$A,0)),"",INDEX([1]data!V:V,MATCH($N834,[1]data!$A:$A,0)))</f>
        <v/>
      </c>
      <c r="AM834" s="38" t="str">
        <f>IF(ISNA(MATCH($N834,data!$A:$A,0)),"",INDEX(data!B:B,MATCH($N834,data!$A:$A,0)))</f>
        <v/>
      </c>
      <c r="AN834" s="38" t="str">
        <f>IF(ISNA(MATCH($N834,data!$A:$A,0)),"",INDEX(data!C:C,MATCH($N834,data!$A:$A,0)))</f>
        <v/>
      </c>
      <c r="AO834" s="38" t="str">
        <f>IF(ISNA(MATCH($N834,data!$A:$A,0)),"",INDEX(data!D:D,MATCH($N834,data!$A:$A,0)))</f>
        <v/>
      </c>
      <c r="AP834" s="38" t="str">
        <f>IF(ISNA(MATCH($N834,data!$A:$A,0)),"",INDEX(data!E:E,MATCH($N834,data!$A:$A,0)))</f>
        <v/>
      </c>
      <c r="AQ834" s="38" t="str">
        <f>IF(ISNA(MATCH($N834,data!$A:$A,0)),"",INDEX(data!F:F,MATCH($N834,data!$A:$A,0)))</f>
        <v/>
      </c>
      <c r="AR834" s="38" t="str">
        <f>IF(ISNA(MATCH($N834,data!$A:$A,0)),"",INDEX(data!G:G,MATCH($N834,data!$A:$A,0)))</f>
        <v/>
      </c>
      <c r="AS834" s="38" t="str">
        <f>IF(ISNA(MATCH($N834,data!$A:$A,0)),"",INDEX(data!H:H,MATCH($N834,data!$A:$A,0)))</f>
        <v/>
      </c>
      <c r="AT834" s="38" t="str">
        <f>IF(ISNA(MATCH($N834,data!$A:$A,0)),"",INDEX(data!I:I,MATCH($N834,data!$A:$A,0)))</f>
        <v/>
      </c>
      <c r="AU834" s="38" t="str">
        <f>IF(ISNA(MATCH($N834,[1]data!$A:$A,0)),"",INDEX([1]data!L:L,MATCH($N834,[1]data!$A:$A,0)))</f>
        <v/>
      </c>
      <c r="AV834" s="38" t="str">
        <f>IF(ISNA(MATCH($N834,[1]data!$A:$A,0)),"",INDEX([1]data!M:M,MATCH($N834,[1]data!$A:$A,0)))</f>
        <v/>
      </c>
      <c r="AW834" s="38" t="str">
        <f>IF(ISNA(MATCH($N834,data!$A:$A,0)),"",INDEX(data!J:J,MATCH($N834,data!$A:$A,0)))</f>
        <v/>
      </c>
      <c r="AX834" s="38" t="str">
        <f>IF(ISNA(MATCH($N834,data!$A:$A,0)),"",INDEX(data!K:K,MATCH($N834,data!$A:$A,0)))</f>
        <v/>
      </c>
      <c r="AY834" s="38" t="str">
        <f>IF(ISNA(MATCH($N834,data!$A:$A,0)),"",INDEX(data!O:O,MATCH($N834,data!$A:$A,0)))</f>
        <v/>
      </c>
      <c r="AZ834" s="38" t="str">
        <f>IF(ISNA(MATCH($N834,data!$A:$A,0)),"",INDEX(data!N:N,MATCH($N834,data!$A:$A,0)))</f>
        <v/>
      </c>
      <c r="BA834" s="38" t="str">
        <f>IF(ISNA(MATCH($N834,data!$A:$A,0)),"",INDEX(data!P:P,MATCH($N834,data!$A:$A,0)))</f>
        <v/>
      </c>
      <c r="BB834" s="38" t="str">
        <f>IF(ISNA(MATCH($N834,data!$A:$A,0)),"",INDEX(data!Q:Q,MATCH($N834,data!$A:$A,0)))</f>
        <v/>
      </c>
      <c r="BC834" s="38" t="str">
        <f>IF(ISNA(MATCH($N834,data!$A:$A,0)),"",INDEX(data!R:R,MATCH($N834,data!$A:$A,0)))</f>
        <v/>
      </c>
      <c r="BD834" s="38" t="str">
        <f>IF(ISNA(MATCH($N834,[1]data!$A:$A,0)),"",INDEX([1]data!U:U,MATCH($N834,[1]data!$A:$A,0)))</f>
        <v/>
      </c>
      <c r="BE834" s="61" t="e">
        <f>IF(COUNTIF([1]data!A:A,[1]!Table1[[#This Row],[UPC]])&lt;2,"","DUP")</f>
        <v>#VALUE!</v>
      </c>
      <c r="BF834" s="38" t="str">
        <f>IF(ISNA(MATCH($N834,data!$A:$A,0)),"",INDEX(data!W:W,MATCH($N834,data!$A:$A,0)))</f>
        <v/>
      </c>
    </row>
    <row r="835" spans="1:58">
      <c r="A835" s="35"/>
      <c r="B835" s="35"/>
      <c r="C835" s="35"/>
      <c r="D835" s="35"/>
      <c r="E835" s="67"/>
      <c r="F835" s="67"/>
      <c r="G835" s="36"/>
      <c r="H835" s="29"/>
      <c r="I835" s="78" t="str">
        <f t="shared" si="20"/>
        <v/>
      </c>
      <c r="J835" s="29"/>
      <c r="K835" s="29"/>
      <c r="L835" s="33"/>
      <c r="M835" s="33"/>
      <c r="N835" s="60"/>
      <c r="O835" s="71"/>
      <c r="P835" s="71"/>
      <c r="Q835" s="33"/>
      <c r="R835" s="31"/>
      <c r="S835" s="31"/>
      <c r="T835" s="59"/>
      <c r="U835" s="59"/>
      <c r="V835" s="59"/>
      <c r="W835" s="57">
        <f t="shared" si="21"/>
        <v>0</v>
      </c>
      <c r="X835" s="126" t="str">
        <f>IF(Table1[[#This Row],[Shipping Weight Pounds]]&gt;150,"See LTL Form","No")</f>
        <v>No</v>
      </c>
      <c r="Y835" s="28"/>
      <c r="Z835" s="33"/>
      <c r="AA835" s="34"/>
      <c r="AB835" s="30"/>
      <c r="AC835" s="30"/>
      <c r="AD835" s="32"/>
      <c r="AE835" s="32"/>
      <c r="AF835" s="2"/>
      <c r="AG835" s="2"/>
      <c r="AH835" s="2"/>
      <c r="AI835" s="2"/>
      <c r="AK835" s="73" t="str">
        <f>IF(ISNA(MATCH($N835,[1]data!$A:$A,0)),"",INDEX([1]data!S:S,MATCH($N835,[1]data!$A:$A,0)))</f>
        <v/>
      </c>
      <c r="AL835" s="73" t="str">
        <f>IF(ISNA(MATCH($N835,[1]data!$A:$A,0)),"",INDEX([1]data!V:V,MATCH($N835,[1]data!$A:$A,0)))</f>
        <v/>
      </c>
      <c r="AM835" s="38" t="str">
        <f>IF(ISNA(MATCH($N835,data!$A:$A,0)),"",INDEX(data!B:B,MATCH($N835,data!$A:$A,0)))</f>
        <v/>
      </c>
      <c r="AN835" s="38" t="str">
        <f>IF(ISNA(MATCH($N835,data!$A:$A,0)),"",INDEX(data!C:C,MATCH($N835,data!$A:$A,0)))</f>
        <v/>
      </c>
      <c r="AO835" s="38" t="str">
        <f>IF(ISNA(MATCH($N835,data!$A:$A,0)),"",INDEX(data!D:D,MATCH($N835,data!$A:$A,0)))</f>
        <v/>
      </c>
      <c r="AP835" s="38" t="str">
        <f>IF(ISNA(MATCH($N835,data!$A:$A,0)),"",INDEX(data!E:E,MATCH($N835,data!$A:$A,0)))</f>
        <v/>
      </c>
      <c r="AQ835" s="38" t="str">
        <f>IF(ISNA(MATCH($N835,data!$A:$A,0)),"",INDEX(data!F:F,MATCH($N835,data!$A:$A,0)))</f>
        <v/>
      </c>
      <c r="AR835" s="38" t="str">
        <f>IF(ISNA(MATCH($N835,data!$A:$A,0)),"",INDEX(data!G:G,MATCH($N835,data!$A:$A,0)))</f>
        <v/>
      </c>
      <c r="AS835" s="38" t="str">
        <f>IF(ISNA(MATCH($N835,data!$A:$A,0)),"",INDEX(data!H:H,MATCH($N835,data!$A:$A,0)))</f>
        <v/>
      </c>
      <c r="AT835" s="38" t="str">
        <f>IF(ISNA(MATCH($N835,data!$A:$A,0)),"",INDEX(data!I:I,MATCH($N835,data!$A:$A,0)))</f>
        <v/>
      </c>
      <c r="AU835" s="38" t="str">
        <f>IF(ISNA(MATCH($N835,[1]data!$A:$A,0)),"",INDEX([1]data!L:L,MATCH($N835,[1]data!$A:$A,0)))</f>
        <v/>
      </c>
      <c r="AV835" s="38" t="str">
        <f>IF(ISNA(MATCH($N835,[1]data!$A:$A,0)),"",INDEX([1]data!M:M,MATCH($N835,[1]data!$A:$A,0)))</f>
        <v/>
      </c>
      <c r="AW835" s="38" t="str">
        <f>IF(ISNA(MATCH($N835,data!$A:$A,0)),"",INDEX(data!J:J,MATCH($N835,data!$A:$A,0)))</f>
        <v/>
      </c>
      <c r="AX835" s="38" t="str">
        <f>IF(ISNA(MATCH($N835,data!$A:$A,0)),"",INDEX(data!K:K,MATCH($N835,data!$A:$A,0)))</f>
        <v/>
      </c>
      <c r="AY835" s="38" t="str">
        <f>IF(ISNA(MATCH($N835,data!$A:$A,0)),"",INDEX(data!O:O,MATCH($N835,data!$A:$A,0)))</f>
        <v/>
      </c>
      <c r="AZ835" s="38" t="str">
        <f>IF(ISNA(MATCH($N835,data!$A:$A,0)),"",INDEX(data!N:N,MATCH($N835,data!$A:$A,0)))</f>
        <v/>
      </c>
      <c r="BA835" s="38" t="str">
        <f>IF(ISNA(MATCH($N835,data!$A:$A,0)),"",INDEX(data!P:P,MATCH($N835,data!$A:$A,0)))</f>
        <v/>
      </c>
      <c r="BB835" s="38" t="str">
        <f>IF(ISNA(MATCH($N835,data!$A:$A,0)),"",INDEX(data!Q:Q,MATCH($N835,data!$A:$A,0)))</f>
        <v/>
      </c>
      <c r="BC835" s="38" t="str">
        <f>IF(ISNA(MATCH($N835,data!$A:$A,0)),"",INDEX(data!R:R,MATCH($N835,data!$A:$A,0)))</f>
        <v/>
      </c>
      <c r="BD835" s="38" t="str">
        <f>IF(ISNA(MATCH($N835,[1]data!$A:$A,0)),"",INDEX([1]data!U:U,MATCH($N835,[1]data!$A:$A,0)))</f>
        <v/>
      </c>
      <c r="BE835" s="61" t="e">
        <f>IF(COUNTIF([1]data!A:A,[1]!Table1[[#This Row],[UPC]])&lt;2,"","DUP")</f>
        <v>#VALUE!</v>
      </c>
      <c r="BF835" s="38" t="str">
        <f>IF(ISNA(MATCH($N835,data!$A:$A,0)),"",INDEX(data!W:W,MATCH($N835,data!$A:$A,0)))</f>
        <v/>
      </c>
    </row>
    <row r="836" spans="1:58">
      <c r="A836" s="35"/>
      <c r="B836" s="35"/>
      <c r="C836" s="35"/>
      <c r="D836" s="35"/>
      <c r="E836" s="67"/>
      <c r="F836" s="67"/>
      <c r="G836" s="36"/>
      <c r="H836" s="29"/>
      <c r="I836" s="78" t="str">
        <f t="shared" si="20"/>
        <v/>
      </c>
      <c r="J836" s="29"/>
      <c r="K836" s="29"/>
      <c r="L836" s="33"/>
      <c r="M836" s="33"/>
      <c r="N836" s="60"/>
      <c r="O836" s="71"/>
      <c r="P836" s="71"/>
      <c r="Q836" s="33"/>
      <c r="R836" s="31"/>
      <c r="S836" s="31"/>
      <c r="T836" s="59"/>
      <c r="U836" s="59"/>
      <c r="V836" s="59"/>
      <c r="W836" s="57">
        <f t="shared" si="21"/>
        <v>0</v>
      </c>
      <c r="X836" s="126" t="str">
        <f>IF(Table1[[#This Row],[Shipping Weight Pounds]]&gt;150,"See LTL Form","No")</f>
        <v>No</v>
      </c>
      <c r="Y836" s="28"/>
      <c r="Z836" s="33"/>
      <c r="AA836" s="34"/>
      <c r="AB836" s="30"/>
      <c r="AC836" s="30"/>
      <c r="AD836" s="32"/>
      <c r="AE836" s="32"/>
      <c r="AF836" s="2"/>
      <c r="AG836" s="2"/>
      <c r="AH836" s="2"/>
      <c r="AI836" s="2"/>
      <c r="AK836" s="73" t="str">
        <f>IF(ISNA(MATCH($N836,[1]data!$A:$A,0)),"",INDEX([1]data!S:S,MATCH($N836,[1]data!$A:$A,0)))</f>
        <v/>
      </c>
      <c r="AL836" s="73" t="str">
        <f>IF(ISNA(MATCH($N836,[1]data!$A:$A,0)),"",INDEX([1]data!V:V,MATCH($N836,[1]data!$A:$A,0)))</f>
        <v/>
      </c>
      <c r="AM836" s="38" t="str">
        <f>IF(ISNA(MATCH($N836,data!$A:$A,0)),"",INDEX(data!B:B,MATCH($N836,data!$A:$A,0)))</f>
        <v/>
      </c>
      <c r="AN836" s="38" t="str">
        <f>IF(ISNA(MATCH($N836,data!$A:$A,0)),"",INDEX(data!C:C,MATCH($N836,data!$A:$A,0)))</f>
        <v/>
      </c>
      <c r="AO836" s="38" t="str">
        <f>IF(ISNA(MATCH($N836,data!$A:$A,0)),"",INDEX(data!D:D,MATCH($N836,data!$A:$A,0)))</f>
        <v/>
      </c>
      <c r="AP836" s="38" t="str">
        <f>IF(ISNA(MATCH($N836,data!$A:$A,0)),"",INDEX(data!E:E,MATCH($N836,data!$A:$A,0)))</f>
        <v/>
      </c>
      <c r="AQ836" s="38" t="str">
        <f>IF(ISNA(MATCH($N836,data!$A:$A,0)),"",INDEX(data!F:F,MATCH($N836,data!$A:$A,0)))</f>
        <v/>
      </c>
      <c r="AR836" s="38" t="str">
        <f>IF(ISNA(MATCH($N836,data!$A:$A,0)),"",INDEX(data!G:G,MATCH($N836,data!$A:$A,0)))</f>
        <v/>
      </c>
      <c r="AS836" s="38" t="str">
        <f>IF(ISNA(MATCH($N836,data!$A:$A,0)),"",INDEX(data!H:H,MATCH($N836,data!$A:$A,0)))</f>
        <v/>
      </c>
      <c r="AT836" s="38" t="str">
        <f>IF(ISNA(MATCH($N836,data!$A:$A,0)),"",INDEX(data!I:I,MATCH($N836,data!$A:$A,0)))</f>
        <v/>
      </c>
      <c r="AU836" s="38" t="str">
        <f>IF(ISNA(MATCH($N836,[1]data!$A:$A,0)),"",INDEX([1]data!L:L,MATCH($N836,[1]data!$A:$A,0)))</f>
        <v/>
      </c>
      <c r="AV836" s="38" t="str">
        <f>IF(ISNA(MATCH($N836,[1]data!$A:$A,0)),"",INDEX([1]data!M:M,MATCH($N836,[1]data!$A:$A,0)))</f>
        <v/>
      </c>
      <c r="AW836" s="38" t="str">
        <f>IF(ISNA(MATCH($N836,data!$A:$A,0)),"",INDEX(data!J:J,MATCH($N836,data!$A:$A,0)))</f>
        <v/>
      </c>
      <c r="AX836" s="38" t="str">
        <f>IF(ISNA(MATCH($N836,data!$A:$A,0)),"",INDEX(data!K:K,MATCH($N836,data!$A:$A,0)))</f>
        <v/>
      </c>
      <c r="AY836" s="38" t="str">
        <f>IF(ISNA(MATCH($N836,data!$A:$A,0)),"",INDEX(data!O:O,MATCH($N836,data!$A:$A,0)))</f>
        <v/>
      </c>
      <c r="AZ836" s="38" t="str">
        <f>IF(ISNA(MATCH($N836,data!$A:$A,0)),"",INDEX(data!N:N,MATCH($N836,data!$A:$A,0)))</f>
        <v/>
      </c>
      <c r="BA836" s="38" t="str">
        <f>IF(ISNA(MATCH($N836,data!$A:$A,0)),"",INDEX(data!P:P,MATCH($N836,data!$A:$A,0)))</f>
        <v/>
      </c>
      <c r="BB836" s="38" t="str">
        <f>IF(ISNA(MATCH($N836,data!$A:$A,0)),"",INDEX(data!Q:Q,MATCH($N836,data!$A:$A,0)))</f>
        <v/>
      </c>
      <c r="BC836" s="38" t="str">
        <f>IF(ISNA(MATCH($N836,data!$A:$A,0)),"",INDEX(data!R:R,MATCH($N836,data!$A:$A,0)))</f>
        <v/>
      </c>
      <c r="BD836" s="38" t="str">
        <f>IF(ISNA(MATCH($N836,[1]data!$A:$A,0)),"",INDEX([1]data!U:U,MATCH($N836,[1]data!$A:$A,0)))</f>
        <v/>
      </c>
      <c r="BE836" s="61" t="e">
        <f>IF(COUNTIF([1]data!A:A,[1]!Table1[[#This Row],[UPC]])&lt;2,"","DUP")</f>
        <v>#VALUE!</v>
      </c>
      <c r="BF836" s="38" t="str">
        <f>IF(ISNA(MATCH($N836,data!$A:$A,0)),"",INDEX(data!W:W,MATCH($N836,data!$A:$A,0)))</f>
        <v/>
      </c>
    </row>
    <row r="837" spans="1:58">
      <c r="A837" s="35"/>
      <c r="B837" s="35"/>
      <c r="C837" s="35"/>
      <c r="D837" s="35"/>
      <c r="E837" s="67"/>
      <c r="F837" s="67"/>
      <c r="G837" s="36"/>
      <c r="H837" s="29"/>
      <c r="I837" s="78" t="str">
        <f t="shared" si="20"/>
        <v/>
      </c>
      <c r="J837" s="29"/>
      <c r="K837" s="29"/>
      <c r="L837" s="33"/>
      <c r="M837" s="33"/>
      <c r="N837" s="60"/>
      <c r="O837" s="71"/>
      <c r="P837" s="71"/>
      <c r="Q837" s="33"/>
      <c r="R837" s="31"/>
      <c r="S837" s="31"/>
      <c r="T837" s="59"/>
      <c r="U837" s="59"/>
      <c r="V837" s="59"/>
      <c r="W837" s="57">
        <f t="shared" si="21"/>
        <v>0</v>
      </c>
      <c r="X837" s="126" t="str">
        <f>IF(Table1[[#This Row],[Shipping Weight Pounds]]&gt;150,"See LTL Form","No")</f>
        <v>No</v>
      </c>
      <c r="Y837" s="28"/>
      <c r="Z837" s="33"/>
      <c r="AA837" s="34"/>
      <c r="AB837" s="30"/>
      <c r="AC837" s="30"/>
      <c r="AD837" s="32"/>
      <c r="AE837" s="32"/>
      <c r="AF837" s="2"/>
      <c r="AG837" s="2"/>
      <c r="AH837" s="2"/>
      <c r="AI837" s="2"/>
      <c r="AK837" s="73" t="str">
        <f>IF(ISNA(MATCH($N837,[1]data!$A:$A,0)),"",INDEX([1]data!S:S,MATCH($N837,[1]data!$A:$A,0)))</f>
        <v/>
      </c>
      <c r="AL837" s="73" t="str">
        <f>IF(ISNA(MATCH($N837,[1]data!$A:$A,0)),"",INDEX([1]data!V:V,MATCH($N837,[1]data!$A:$A,0)))</f>
        <v/>
      </c>
      <c r="AM837" s="38" t="str">
        <f>IF(ISNA(MATCH($N837,data!$A:$A,0)),"",INDEX(data!B:B,MATCH($N837,data!$A:$A,0)))</f>
        <v/>
      </c>
      <c r="AN837" s="38" t="str">
        <f>IF(ISNA(MATCH($N837,data!$A:$A,0)),"",INDEX(data!C:C,MATCH($N837,data!$A:$A,0)))</f>
        <v/>
      </c>
      <c r="AO837" s="38" t="str">
        <f>IF(ISNA(MATCH($N837,data!$A:$A,0)),"",INDEX(data!D:D,MATCH($N837,data!$A:$A,0)))</f>
        <v/>
      </c>
      <c r="AP837" s="38" t="str">
        <f>IF(ISNA(MATCH($N837,data!$A:$A,0)),"",INDEX(data!E:E,MATCH($N837,data!$A:$A,0)))</f>
        <v/>
      </c>
      <c r="AQ837" s="38" t="str">
        <f>IF(ISNA(MATCH($N837,data!$A:$A,0)),"",INDEX(data!F:F,MATCH($N837,data!$A:$A,0)))</f>
        <v/>
      </c>
      <c r="AR837" s="38" t="str">
        <f>IF(ISNA(MATCH($N837,data!$A:$A,0)),"",INDEX(data!G:G,MATCH($N837,data!$A:$A,0)))</f>
        <v/>
      </c>
      <c r="AS837" s="38" t="str">
        <f>IF(ISNA(MATCH($N837,data!$A:$A,0)),"",INDEX(data!H:H,MATCH($N837,data!$A:$A,0)))</f>
        <v/>
      </c>
      <c r="AT837" s="38" t="str">
        <f>IF(ISNA(MATCH($N837,data!$A:$A,0)),"",INDEX(data!I:I,MATCH($N837,data!$A:$A,0)))</f>
        <v/>
      </c>
      <c r="AU837" s="38" t="str">
        <f>IF(ISNA(MATCH($N837,[1]data!$A:$A,0)),"",INDEX([1]data!L:L,MATCH($N837,[1]data!$A:$A,0)))</f>
        <v/>
      </c>
      <c r="AV837" s="38" t="str">
        <f>IF(ISNA(MATCH($N837,[1]data!$A:$A,0)),"",INDEX([1]data!M:M,MATCH($N837,[1]data!$A:$A,0)))</f>
        <v/>
      </c>
      <c r="AW837" s="38" t="str">
        <f>IF(ISNA(MATCH($N837,data!$A:$A,0)),"",INDEX(data!J:J,MATCH($N837,data!$A:$A,0)))</f>
        <v/>
      </c>
      <c r="AX837" s="38" t="str">
        <f>IF(ISNA(MATCH($N837,data!$A:$A,0)),"",INDEX(data!K:K,MATCH($N837,data!$A:$A,0)))</f>
        <v/>
      </c>
      <c r="AY837" s="38" t="str">
        <f>IF(ISNA(MATCH($N837,data!$A:$A,0)),"",INDEX(data!O:O,MATCH($N837,data!$A:$A,0)))</f>
        <v/>
      </c>
      <c r="AZ837" s="38" t="str">
        <f>IF(ISNA(MATCH($N837,data!$A:$A,0)),"",INDEX(data!N:N,MATCH($N837,data!$A:$A,0)))</f>
        <v/>
      </c>
      <c r="BA837" s="38" t="str">
        <f>IF(ISNA(MATCH($N837,data!$A:$A,0)),"",INDEX(data!P:P,MATCH($N837,data!$A:$A,0)))</f>
        <v/>
      </c>
      <c r="BB837" s="38" t="str">
        <f>IF(ISNA(MATCH($N837,data!$A:$A,0)),"",INDEX(data!Q:Q,MATCH($N837,data!$A:$A,0)))</f>
        <v/>
      </c>
      <c r="BC837" s="38" t="str">
        <f>IF(ISNA(MATCH($N837,data!$A:$A,0)),"",INDEX(data!R:R,MATCH($N837,data!$A:$A,0)))</f>
        <v/>
      </c>
      <c r="BD837" s="38" t="str">
        <f>IF(ISNA(MATCH($N837,[1]data!$A:$A,0)),"",INDEX([1]data!U:U,MATCH($N837,[1]data!$A:$A,0)))</f>
        <v/>
      </c>
      <c r="BE837" s="61" t="e">
        <f>IF(COUNTIF([1]data!A:A,[1]!Table1[[#This Row],[UPC]])&lt;2,"","DUP")</f>
        <v>#VALUE!</v>
      </c>
      <c r="BF837" s="38" t="str">
        <f>IF(ISNA(MATCH($N837,data!$A:$A,0)),"",INDEX(data!W:W,MATCH($N837,data!$A:$A,0)))</f>
        <v/>
      </c>
    </row>
    <row r="838" spans="1:58">
      <c r="A838" s="35"/>
      <c r="B838" s="35"/>
      <c r="C838" s="35"/>
      <c r="D838" s="35"/>
      <c r="E838" s="67"/>
      <c r="F838" s="67"/>
      <c r="G838" s="36"/>
      <c r="H838" s="29"/>
      <c r="I838" s="78" t="str">
        <f t="shared" si="20"/>
        <v/>
      </c>
      <c r="J838" s="29"/>
      <c r="K838" s="29"/>
      <c r="L838" s="33"/>
      <c r="M838" s="33"/>
      <c r="N838" s="60"/>
      <c r="O838" s="71"/>
      <c r="P838" s="71"/>
      <c r="Q838" s="33"/>
      <c r="R838" s="31"/>
      <c r="S838" s="31"/>
      <c r="T838" s="59"/>
      <c r="U838" s="59"/>
      <c r="V838" s="59"/>
      <c r="W838" s="57">
        <f t="shared" si="21"/>
        <v>0</v>
      </c>
      <c r="X838" s="126" t="str">
        <f>IF(Table1[[#This Row],[Shipping Weight Pounds]]&gt;150,"See LTL Form","No")</f>
        <v>No</v>
      </c>
      <c r="Y838" s="28"/>
      <c r="Z838" s="33"/>
      <c r="AA838" s="34"/>
      <c r="AB838" s="30"/>
      <c r="AC838" s="30"/>
      <c r="AD838" s="32"/>
      <c r="AE838" s="32"/>
      <c r="AF838" s="2"/>
      <c r="AG838" s="2"/>
      <c r="AH838" s="2"/>
      <c r="AI838" s="2"/>
      <c r="AK838" s="73" t="str">
        <f>IF(ISNA(MATCH($N838,[1]data!$A:$A,0)),"",INDEX([1]data!S:S,MATCH($N838,[1]data!$A:$A,0)))</f>
        <v/>
      </c>
      <c r="AL838" s="73" t="str">
        <f>IF(ISNA(MATCH($N838,[1]data!$A:$A,0)),"",INDEX([1]data!V:V,MATCH($N838,[1]data!$A:$A,0)))</f>
        <v/>
      </c>
      <c r="AM838" s="38" t="str">
        <f>IF(ISNA(MATCH($N838,data!$A:$A,0)),"",INDEX(data!B:B,MATCH($N838,data!$A:$A,0)))</f>
        <v/>
      </c>
      <c r="AN838" s="38" t="str">
        <f>IF(ISNA(MATCH($N838,data!$A:$A,0)),"",INDEX(data!C:C,MATCH($N838,data!$A:$A,0)))</f>
        <v/>
      </c>
      <c r="AO838" s="38" t="str">
        <f>IF(ISNA(MATCH($N838,data!$A:$A,0)),"",INDEX(data!D:D,MATCH($N838,data!$A:$A,0)))</f>
        <v/>
      </c>
      <c r="AP838" s="38" t="str">
        <f>IF(ISNA(MATCH($N838,data!$A:$A,0)),"",INDEX(data!E:E,MATCH($N838,data!$A:$A,0)))</f>
        <v/>
      </c>
      <c r="AQ838" s="38" t="str">
        <f>IF(ISNA(MATCH($N838,data!$A:$A,0)),"",INDEX(data!F:F,MATCH($N838,data!$A:$A,0)))</f>
        <v/>
      </c>
      <c r="AR838" s="38" t="str">
        <f>IF(ISNA(MATCH($N838,data!$A:$A,0)),"",INDEX(data!G:G,MATCH($N838,data!$A:$A,0)))</f>
        <v/>
      </c>
      <c r="AS838" s="38" t="str">
        <f>IF(ISNA(MATCH($N838,data!$A:$A,0)),"",INDEX(data!H:H,MATCH($N838,data!$A:$A,0)))</f>
        <v/>
      </c>
      <c r="AT838" s="38" t="str">
        <f>IF(ISNA(MATCH($N838,data!$A:$A,0)),"",INDEX(data!I:I,MATCH($N838,data!$A:$A,0)))</f>
        <v/>
      </c>
      <c r="AU838" s="38" t="str">
        <f>IF(ISNA(MATCH($N838,[1]data!$A:$A,0)),"",INDEX([1]data!L:L,MATCH($N838,[1]data!$A:$A,0)))</f>
        <v/>
      </c>
      <c r="AV838" s="38" t="str">
        <f>IF(ISNA(MATCH($N838,[1]data!$A:$A,0)),"",INDEX([1]data!M:M,MATCH($N838,[1]data!$A:$A,0)))</f>
        <v/>
      </c>
      <c r="AW838" s="38" t="str">
        <f>IF(ISNA(MATCH($N838,data!$A:$A,0)),"",INDEX(data!J:J,MATCH($N838,data!$A:$A,0)))</f>
        <v/>
      </c>
      <c r="AX838" s="38" t="str">
        <f>IF(ISNA(MATCH($N838,data!$A:$A,0)),"",INDEX(data!K:K,MATCH($N838,data!$A:$A,0)))</f>
        <v/>
      </c>
      <c r="AY838" s="38" t="str">
        <f>IF(ISNA(MATCH($N838,data!$A:$A,0)),"",INDEX(data!O:O,MATCH($N838,data!$A:$A,0)))</f>
        <v/>
      </c>
      <c r="AZ838" s="38" t="str">
        <f>IF(ISNA(MATCH($N838,data!$A:$A,0)),"",INDEX(data!N:N,MATCH($N838,data!$A:$A,0)))</f>
        <v/>
      </c>
      <c r="BA838" s="38" t="str">
        <f>IF(ISNA(MATCH($N838,data!$A:$A,0)),"",INDEX(data!P:P,MATCH($N838,data!$A:$A,0)))</f>
        <v/>
      </c>
      <c r="BB838" s="38" t="str">
        <f>IF(ISNA(MATCH($N838,data!$A:$A,0)),"",INDEX(data!Q:Q,MATCH($N838,data!$A:$A,0)))</f>
        <v/>
      </c>
      <c r="BC838" s="38" t="str">
        <f>IF(ISNA(MATCH($N838,data!$A:$A,0)),"",INDEX(data!R:R,MATCH($N838,data!$A:$A,0)))</f>
        <v/>
      </c>
      <c r="BD838" s="38" t="str">
        <f>IF(ISNA(MATCH($N838,[1]data!$A:$A,0)),"",INDEX([1]data!U:U,MATCH($N838,[1]data!$A:$A,0)))</f>
        <v/>
      </c>
      <c r="BE838" s="61" t="e">
        <f>IF(COUNTIF([1]data!A:A,[1]!Table1[[#This Row],[UPC]])&lt;2,"","DUP")</f>
        <v>#VALUE!</v>
      </c>
      <c r="BF838" s="38" t="str">
        <f>IF(ISNA(MATCH($N838,data!$A:$A,0)),"",INDEX(data!W:W,MATCH($N838,data!$A:$A,0)))</f>
        <v/>
      </c>
    </row>
    <row r="839" spans="1:58">
      <c r="A839" s="35"/>
      <c r="B839" s="35"/>
      <c r="C839" s="35"/>
      <c r="D839" s="35"/>
      <c r="E839" s="67"/>
      <c r="F839" s="67"/>
      <c r="G839" s="36"/>
      <c r="H839" s="29"/>
      <c r="I839" s="78" t="str">
        <f t="shared" si="20"/>
        <v/>
      </c>
      <c r="J839" s="29"/>
      <c r="K839" s="29"/>
      <c r="L839" s="33"/>
      <c r="M839" s="33"/>
      <c r="N839" s="60"/>
      <c r="O839" s="71"/>
      <c r="P839" s="71"/>
      <c r="Q839" s="33"/>
      <c r="R839" s="31"/>
      <c r="S839" s="31"/>
      <c r="T839" s="59"/>
      <c r="U839" s="59"/>
      <c r="V839" s="59"/>
      <c r="W839" s="57">
        <f t="shared" si="21"/>
        <v>0</v>
      </c>
      <c r="X839" s="126" t="str">
        <f>IF(Table1[[#This Row],[Shipping Weight Pounds]]&gt;150,"See LTL Form","No")</f>
        <v>No</v>
      </c>
      <c r="Y839" s="28"/>
      <c r="Z839" s="33"/>
      <c r="AA839" s="34"/>
      <c r="AB839" s="30"/>
      <c r="AC839" s="30"/>
      <c r="AD839" s="32"/>
      <c r="AE839" s="32"/>
      <c r="AF839" s="2"/>
      <c r="AG839" s="2"/>
      <c r="AH839" s="2"/>
      <c r="AI839" s="2"/>
      <c r="AK839" s="73" t="str">
        <f>IF(ISNA(MATCH($N839,[1]data!$A:$A,0)),"",INDEX([1]data!S:S,MATCH($N839,[1]data!$A:$A,0)))</f>
        <v/>
      </c>
      <c r="AL839" s="73" t="str">
        <f>IF(ISNA(MATCH($N839,[1]data!$A:$A,0)),"",INDEX([1]data!V:V,MATCH($N839,[1]data!$A:$A,0)))</f>
        <v/>
      </c>
      <c r="AM839" s="38" t="str">
        <f>IF(ISNA(MATCH($N839,data!$A:$A,0)),"",INDEX(data!B:B,MATCH($N839,data!$A:$A,0)))</f>
        <v/>
      </c>
      <c r="AN839" s="38" t="str">
        <f>IF(ISNA(MATCH($N839,data!$A:$A,0)),"",INDEX(data!C:C,MATCH($N839,data!$A:$A,0)))</f>
        <v/>
      </c>
      <c r="AO839" s="38" t="str">
        <f>IF(ISNA(MATCH($N839,data!$A:$A,0)),"",INDEX(data!D:D,MATCH($N839,data!$A:$A,0)))</f>
        <v/>
      </c>
      <c r="AP839" s="38" t="str">
        <f>IF(ISNA(MATCH($N839,data!$A:$A,0)),"",INDEX(data!E:E,MATCH($N839,data!$A:$A,0)))</f>
        <v/>
      </c>
      <c r="AQ839" s="38" t="str">
        <f>IF(ISNA(MATCH($N839,data!$A:$A,0)),"",INDEX(data!F:F,MATCH($N839,data!$A:$A,0)))</f>
        <v/>
      </c>
      <c r="AR839" s="38" t="str">
        <f>IF(ISNA(MATCH($N839,data!$A:$A,0)),"",INDEX(data!G:G,MATCH($N839,data!$A:$A,0)))</f>
        <v/>
      </c>
      <c r="AS839" s="38" t="str">
        <f>IF(ISNA(MATCH($N839,data!$A:$A,0)),"",INDEX(data!H:H,MATCH($N839,data!$A:$A,0)))</f>
        <v/>
      </c>
      <c r="AT839" s="38" t="str">
        <f>IF(ISNA(MATCH($N839,data!$A:$A,0)),"",INDEX(data!I:I,MATCH($N839,data!$A:$A,0)))</f>
        <v/>
      </c>
      <c r="AU839" s="38" t="str">
        <f>IF(ISNA(MATCH($N839,[1]data!$A:$A,0)),"",INDEX([1]data!L:L,MATCH($N839,[1]data!$A:$A,0)))</f>
        <v/>
      </c>
      <c r="AV839" s="38" t="str">
        <f>IF(ISNA(MATCH($N839,[1]data!$A:$A,0)),"",INDEX([1]data!M:M,MATCH($N839,[1]data!$A:$A,0)))</f>
        <v/>
      </c>
      <c r="AW839" s="38" t="str">
        <f>IF(ISNA(MATCH($N839,data!$A:$A,0)),"",INDEX(data!J:J,MATCH($N839,data!$A:$A,0)))</f>
        <v/>
      </c>
      <c r="AX839" s="38" t="str">
        <f>IF(ISNA(MATCH($N839,data!$A:$A,0)),"",INDEX(data!K:K,MATCH($N839,data!$A:$A,0)))</f>
        <v/>
      </c>
      <c r="AY839" s="38" t="str">
        <f>IF(ISNA(MATCH($N839,data!$A:$A,0)),"",INDEX(data!O:O,MATCH($N839,data!$A:$A,0)))</f>
        <v/>
      </c>
      <c r="AZ839" s="38" t="str">
        <f>IF(ISNA(MATCH($N839,data!$A:$A,0)),"",INDEX(data!N:N,MATCH($N839,data!$A:$A,0)))</f>
        <v/>
      </c>
      <c r="BA839" s="38" t="str">
        <f>IF(ISNA(MATCH($N839,data!$A:$A,0)),"",INDEX(data!P:P,MATCH($N839,data!$A:$A,0)))</f>
        <v/>
      </c>
      <c r="BB839" s="38" t="str">
        <f>IF(ISNA(MATCH($N839,data!$A:$A,0)),"",INDEX(data!Q:Q,MATCH($N839,data!$A:$A,0)))</f>
        <v/>
      </c>
      <c r="BC839" s="38" t="str">
        <f>IF(ISNA(MATCH($N839,data!$A:$A,0)),"",INDEX(data!R:R,MATCH($N839,data!$A:$A,0)))</f>
        <v/>
      </c>
      <c r="BD839" s="38" t="str">
        <f>IF(ISNA(MATCH($N839,[1]data!$A:$A,0)),"",INDEX([1]data!U:U,MATCH($N839,[1]data!$A:$A,0)))</f>
        <v/>
      </c>
      <c r="BE839" s="61" t="e">
        <f>IF(COUNTIF([1]data!A:A,[1]!Table1[[#This Row],[UPC]])&lt;2,"","DUP")</f>
        <v>#VALUE!</v>
      </c>
      <c r="BF839" s="38" t="str">
        <f>IF(ISNA(MATCH($N839,data!$A:$A,0)),"",INDEX(data!W:W,MATCH($N839,data!$A:$A,0)))</f>
        <v/>
      </c>
    </row>
    <row r="840" spans="1:58">
      <c r="A840" s="35"/>
      <c r="B840" s="35"/>
      <c r="C840" s="35"/>
      <c r="D840" s="35"/>
      <c r="E840" s="67"/>
      <c r="F840" s="67"/>
      <c r="G840" s="36"/>
      <c r="H840" s="29"/>
      <c r="I840" s="78" t="str">
        <f t="shared" ref="I840:I903" si="22">IF(H840&lt;&gt;0,(H840-G840)/H840,"")</f>
        <v/>
      </c>
      <c r="J840" s="29"/>
      <c r="K840" s="29"/>
      <c r="L840" s="33"/>
      <c r="M840" s="33"/>
      <c r="N840" s="60"/>
      <c r="O840" s="71"/>
      <c r="P840" s="71"/>
      <c r="Q840" s="33"/>
      <c r="R840" s="31"/>
      <c r="S840" s="31"/>
      <c r="T840" s="59"/>
      <c r="U840" s="59"/>
      <c r="V840" s="59"/>
      <c r="W840" s="57">
        <f t="shared" ref="W840:W903" si="23">IF(ISERR(Q840*R840*S840),"",(Q840*R840*S840))</f>
        <v>0</v>
      </c>
      <c r="X840" s="126" t="str">
        <f>IF(Table1[[#This Row],[Shipping Weight Pounds]]&gt;150,"See LTL Form","No")</f>
        <v>No</v>
      </c>
      <c r="Y840" s="28"/>
      <c r="Z840" s="33"/>
      <c r="AA840" s="34"/>
      <c r="AB840" s="30"/>
      <c r="AC840" s="30"/>
      <c r="AD840" s="32"/>
      <c r="AE840" s="32"/>
      <c r="AF840" s="2"/>
      <c r="AG840" s="2"/>
      <c r="AH840" s="2"/>
      <c r="AI840" s="2"/>
      <c r="AK840" s="73" t="str">
        <f>IF(ISNA(MATCH($N840,[1]data!$A:$A,0)),"",INDEX([1]data!S:S,MATCH($N840,[1]data!$A:$A,0)))</f>
        <v/>
      </c>
      <c r="AL840" s="73" t="str">
        <f>IF(ISNA(MATCH($N840,[1]data!$A:$A,0)),"",INDEX([1]data!V:V,MATCH($N840,[1]data!$A:$A,0)))</f>
        <v/>
      </c>
      <c r="AM840" s="38" t="str">
        <f>IF(ISNA(MATCH($N840,data!$A:$A,0)),"",INDEX(data!B:B,MATCH($N840,data!$A:$A,0)))</f>
        <v/>
      </c>
      <c r="AN840" s="38" t="str">
        <f>IF(ISNA(MATCH($N840,data!$A:$A,0)),"",INDEX(data!C:C,MATCH($N840,data!$A:$A,0)))</f>
        <v/>
      </c>
      <c r="AO840" s="38" t="str">
        <f>IF(ISNA(MATCH($N840,data!$A:$A,0)),"",INDEX(data!D:D,MATCH($N840,data!$A:$A,0)))</f>
        <v/>
      </c>
      <c r="AP840" s="38" t="str">
        <f>IF(ISNA(MATCH($N840,data!$A:$A,0)),"",INDEX(data!E:E,MATCH($N840,data!$A:$A,0)))</f>
        <v/>
      </c>
      <c r="AQ840" s="38" t="str">
        <f>IF(ISNA(MATCH($N840,data!$A:$A,0)),"",INDEX(data!F:F,MATCH($N840,data!$A:$A,0)))</f>
        <v/>
      </c>
      <c r="AR840" s="38" t="str">
        <f>IF(ISNA(MATCH($N840,data!$A:$A,0)),"",INDEX(data!G:G,MATCH($N840,data!$A:$A,0)))</f>
        <v/>
      </c>
      <c r="AS840" s="38" t="str">
        <f>IF(ISNA(MATCH($N840,data!$A:$A,0)),"",INDEX(data!H:H,MATCH($N840,data!$A:$A,0)))</f>
        <v/>
      </c>
      <c r="AT840" s="38" t="str">
        <f>IF(ISNA(MATCH($N840,data!$A:$A,0)),"",INDEX(data!I:I,MATCH($N840,data!$A:$A,0)))</f>
        <v/>
      </c>
      <c r="AU840" s="38" t="str">
        <f>IF(ISNA(MATCH($N840,[1]data!$A:$A,0)),"",INDEX([1]data!L:L,MATCH($N840,[1]data!$A:$A,0)))</f>
        <v/>
      </c>
      <c r="AV840" s="38" t="str">
        <f>IF(ISNA(MATCH($N840,[1]data!$A:$A,0)),"",INDEX([1]data!M:M,MATCH($N840,[1]data!$A:$A,0)))</f>
        <v/>
      </c>
      <c r="AW840" s="38" t="str">
        <f>IF(ISNA(MATCH($N840,data!$A:$A,0)),"",INDEX(data!J:J,MATCH($N840,data!$A:$A,0)))</f>
        <v/>
      </c>
      <c r="AX840" s="38" t="str">
        <f>IF(ISNA(MATCH($N840,data!$A:$A,0)),"",INDEX(data!K:K,MATCH($N840,data!$A:$A,0)))</f>
        <v/>
      </c>
      <c r="AY840" s="38" t="str">
        <f>IF(ISNA(MATCH($N840,data!$A:$A,0)),"",INDEX(data!O:O,MATCH($N840,data!$A:$A,0)))</f>
        <v/>
      </c>
      <c r="AZ840" s="38" t="str">
        <f>IF(ISNA(MATCH($N840,data!$A:$A,0)),"",INDEX(data!N:N,MATCH($N840,data!$A:$A,0)))</f>
        <v/>
      </c>
      <c r="BA840" s="38" t="str">
        <f>IF(ISNA(MATCH($N840,data!$A:$A,0)),"",INDEX(data!P:P,MATCH($N840,data!$A:$A,0)))</f>
        <v/>
      </c>
      <c r="BB840" s="38" t="str">
        <f>IF(ISNA(MATCH($N840,data!$A:$A,0)),"",INDEX(data!Q:Q,MATCH($N840,data!$A:$A,0)))</f>
        <v/>
      </c>
      <c r="BC840" s="38" t="str">
        <f>IF(ISNA(MATCH($N840,data!$A:$A,0)),"",INDEX(data!R:R,MATCH($N840,data!$A:$A,0)))</f>
        <v/>
      </c>
      <c r="BD840" s="38" t="str">
        <f>IF(ISNA(MATCH($N840,[1]data!$A:$A,0)),"",INDEX([1]data!U:U,MATCH($N840,[1]data!$A:$A,0)))</f>
        <v/>
      </c>
      <c r="BE840" s="61" t="e">
        <f>IF(COUNTIF([1]data!A:A,[1]!Table1[[#This Row],[UPC]])&lt;2,"","DUP")</f>
        <v>#VALUE!</v>
      </c>
      <c r="BF840" s="38" t="str">
        <f>IF(ISNA(MATCH($N840,data!$A:$A,0)),"",INDEX(data!W:W,MATCH($N840,data!$A:$A,0)))</f>
        <v/>
      </c>
    </row>
    <row r="841" spans="1:58">
      <c r="A841" s="35"/>
      <c r="B841" s="35"/>
      <c r="C841" s="35"/>
      <c r="D841" s="35"/>
      <c r="E841" s="67"/>
      <c r="F841" s="67"/>
      <c r="G841" s="36"/>
      <c r="H841" s="29"/>
      <c r="I841" s="78" t="str">
        <f t="shared" si="22"/>
        <v/>
      </c>
      <c r="J841" s="29"/>
      <c r="K841" s="29"/>
      <c r="L841" s="33"/>
      <c r="M841" s="33"/>
      <c r="N841" s="60"/>
      <c r="O841" s="71"/>
      <c r="P841" s="71"/>
      <c r="Q841" s="33"/>
      <c r="R841" s="31"/>
      <c r="S841" s="31"/>
      <c r="T841" s="59"/>
      <c r="U841" s="59"/>
      <c r="V841" s="59"/>
      <c r="W841" s="57">
        <f t="shared" si="23"/>
        <v>0</v>
      </c>
      <c r="X841" s="126" t="str">
        <f>IF(Table1[[#This Row],[Shipping Weight Pounds]]&gt;150,"See LTL Form","No")</f>
        <v>No</v>
      </c>
      <c r="Y841" s="28"/>
      <c r="Z841" s="33"/>
      <c r="AA841" s="34"/>
      <c r="AB841" s="30"/>
      <c r="AC841" s="30"/>
      <c r="AD841" s="32"/>
      <c r="AE841" s="32"/>
      <c r="AF841" s="2"/>
      <c r="AG841" s="2"/>
      <c r="AH841" s="2"/>
      <c r="AI841" s="2"/>
      <c r="AK841" s="73" t="str">
        <f>IF(ISNA(MATCH($N841,[1]data!$A:$A,0)),"",INDEX([1]data!S:S,MATCH($N841,[1]data!$A:$A,0)))</f>
        <v/>
      </c>
      <c r="AL841" s="73" t="str">
        <f>IF(ISNA(MATCH($N841,[1]data!$A:$A,0)),"",INDEX([1]data!V:V,MATCH($N841,[1]data!$A:$A,0)))</f>
        <v/>
      </c>
      <c r="AM841" s="38" t="str">
        <f>IF(ISNA(MATCH($N841,data!$A:$A,0)),"",INDEX(data!B:B,MATCH($N841,data!$A:$A,0)))</f>
        <v/>
      </c>
      <c r="AN841" s="38" t="str">
        <f>IF(ISNA(MATCH($N841,data!$A:$A,0)),"",INDEX(data!C:C,MATCH($N841,data!$A:$A,0)))</f>
        <v/>
      </c>
      <c r="AO841" s="38" t="str">
        <f>IF(ISNA(MATCH($N841,data!$A:$A,0)),"",INDEX(data!D:D,MATCH($N841,data!$A:$A,0)))</f>
        <v/>
      </c>
      <c r="AP841" s="38" t="str">
        <f>IF(ISNA(MATCH($N841,data!$A:$A,0)),"",INDEX(data!E:E,MATCH($N841,data!$A:$A,0)))</f>
        <v/>
      </c>
      <c r="AQ841" s="38" t="str">
        <f>IF(ISNA(MATCH($N841,data!$A:$A,0)),"",INDEX(data!F:F,MATCH($N841,data!$A:$A,0)))</f>
        <v/>
      </c>
      <c r="AR841" s="38" t="str">
        <f>IF(ISNA(MATCH($N841,data!$A:$A,0)),"",INDEX(data!G:G,MATCH($N841,data!$A:$A,0)))</f>
        <v/>
      </c>
      <c r="AS841" s="38" t="str">
        <f>IF(ISNA(MATCH($N841,data!$A:$A,0)),"",INDEX(data!H:H,MATCH($N841,data!$A:$A,0)))</f>
        <v/>
      </c>
      <c r="AT841" s="38" t="str">
        <f>IF(ISNA(MATCH($N841,data!$A:$A,0)),"",INDEX(data!I:I,MATCH($N841,data!$A:$A,0)))</f>
        <v/>
      </c>
      <c r="AU841" s="38" t="str">
        <f>IF(ISNA(MATCH($N841,[1]data!$A:$A,0)),"",INDEX([1]data!L:L,MATCH($N841,[1]data!$A:$A,0)))</f>
        <v/>
      </c>
      <c r="AV841" s="38" t="str">
        <f>IF(ISNA(MATCH($N841,[1]data!$A:$A,0)),"",INDEX([1]data!M:M,MATCH($N841,[1]data!$A:$A,0)))</f>
        <v/>
      </c>
      <c r="AW841" s="38" t="str">
        <f>IF(ISNA(MATCH($N841,data!$A:$A,0)),"",INDEX(data!J:J,MATCH($N841,data!$A:$A,0)))</f>
        <v/>
      </c>
      <c r="AX841" s="38" t="str">
        <f>IF(ISNA(MATCH($N841,data!$A:$A,0)),"",INDEX(data!K:K,MATCH($N841,data!$A:$A,0)))</f>
        <v/>
      </c>
      <c r="AY841" s="38" t="str">
        <f>IF(ISNA(MATCH($N841,data!$A:$A,0)),"",INDEX(data!O:O,MATCH($N841,data!$A:$A,0)))</f>
        <v/>
      </c>
      <c r="AZ841" s="38" t="str">
        <f>IF(ISNA(MATCH($N841,data!$A:$A,0)),"",INDEX(data!N:N,MATCH($N841,data!$A:$A,0)))</f>
        <v/>
      </c>
      <c r="BA841" s="38" t="str">
        <f>IF(ISNA(MATCH($N841,data!$A:$A,0)),"",INDEX(data!P:P,MATCH($N841,data!$A:$A,0)))</f>
        <v/>
      </c>
      <c r="BB841" s="38" t="str">
        <f>IF(ISNA(MATCH($N841,data!$A:$A,0)),"",INDEX(data!Q:Q,MATCH($N841,data!$A:$A,0)))</f>
        <v/>
      </c>
      <c r="BC841" s="38" t="str">
        <f>IF(ISNA(MATCH($N841,data!$A:$A,0)),"",INDEX(data!R:R,MATCH($N841,data!$A:$A,0)))</f>
        <v/>
      </c>
      <c r="BD841" s="38" t="str">
        <f>IF(ISNA(MATCH($N841,[1]data!$A:$A,0)),"",INDEX([1]data!U:U,MATCH($N841,[1]data!$A:$A,0)))</f>
        <v/>
      </c>
      <c r="BE841" s="61" t="e">
        <f>IF(COUNTIF([1]data!A:A,[1]!Table1[[#This Row],[UPC]])&lt;2,"","DUP")</f>
        <v>#VALUE!</v>
      </c>
      <c r="BF841" s="38" t="str">
        <f>IF(ISNA(MATCH($N841,data!$A:$A,0)),"",INDEX(data!W:W,MATCH($N841,data!$A:$A,0)))</f>
        <v/>
      </c>
    </row>
    <row r="842" spans="1:58">
      <c r="A842" s="35"/>
      <c r="B842" s="35"/>
      <c r="C842" s="35"/>
      <c r="D842" s="35"/>
      <c r="E842" s="67"/>
      <c r="F842" s="67"/>
      <c r="G842" s="36"/>
      <c r="H842" s="29"/>
      <c r="I842" s="78" t="str">
        <f t="shared" si="22"/>
        <v/>
      </c>
      <c r="J842" s="29"/>
      <c r="K842" s="29"/>
      <c r="L842" s="33"/>
      <c r="M842" s="33"/>
      <c r="N842" s="60"/>
      <c r="O842" s="71"/>
      <c r="P842" s="71"/>
      <c r="Q842" s="33"/>
      <c r="R842" s="31"/>
      <c r="S842" s="31"/>
      <c r="T842" s="59"/>
      <c r="U842" s="59"/>
      <c r="V842" s="59"/>
      <c r="W842" s="57">
        <f t="shared" si="23"/>
        <v>0</v>
      </c>
      <c r="X842" s="126" t="str">
        <f>IF(Table1[[#This Row],[Shipping Weight Pounds]]&gt;150,"See LTL Form","No")</f>
        <v>No</v>
      </c>
      <c r="Y842" s="28"/>
      <c r="Z842" s="33"/>
      <c r="AA842" s="34"/>
      <c r="AB842" s="30"/>
      <c r="AC842" s="30"/>
      <c r="AD842" s="32"/>
      <c r="AE842" s="32"/>
      <c r="AF842" s="2"/>
      <c r="AG842" s="2"/>
      <c r="AH842" s="2"/>
      <c r="AI842" s="2"/>
      <c r="AK842" s="73" t="str">
        <f>IF(ISNA(MATCH($N842,[1]data!$A:$A,0)),"",INDEX([1]data!S:S,MATCH($N842,[1]data!$A:$A,0)))</f>
        <v/>
      </c>
      <c r="AL842" s="73" t="str">
        <f>IF(ISNA(MATCH($N842,[1]data!$A:$A,0)),"",INDEX([1]data!V:V,MATCH($N842,[1]data!$A:$A,0)))</f>
        <v/>
      </c>
      <c r="AM842" s="38" t="str">
        <f>IF(ISNA(MATCH($N842,data!$A:$A,0)),"",INDEX(data!B:B,MATCH($N842,data!$A:$A,0)))</f>
        <v/>
      </c>
      <c r="AN842" s="38" t="str">
        <f>IF(ISNA(MATCH($N842,data!$A:$A,0)),"",INDEX(data!C:C,MATCH($N842,data!$A:$A,0)))</f>
        <v/>
      </c>
      <c r="AO842" s="38" t="str">
        <f>IF(ISNA(MATCH($N842,data!$A:$A,0)),"",INDEX(data!D:D,MATCH($N842,data!$A:$A,0)))</f>
        <v/>
      </c>
      <c r="AP842" s="38" t="str">
        <f>IF(ISNA(MATCH($N842,data!$A:$A,0)),"",INDEX(data!E:E,MATCH($N842,data!$A:$A,0)))</f>
        <v/>
      </c>
      <c r="AQ842" s="38" t="str">
        <f>IF(ISNA(MATCH($N842,data!$A:$A,0)),"",INDEX(data!F:F,MATCH($N842,data!$A:$A,0)))</f>
        <v/>
      </c>
      <c r="AR842" s="38" t="str">
        <f>IF(ISNA(MATCH($N842,data!$A:$A,0)),"",INDEX(data!G:G,MATCH($N842,data!$A:$A,0)))</f>
        <v/>
      </c>
      <c r="AS842" s="38" t="str">
        <f>IF(ISNA(MATCH($N842,data!$A:$A,0)),"",INDEX(data!H:H,MATCH($N842,data!$A:$A,0)))</f>
        <v/>
      </c>
      <c r="AT842" s="38" t="str">
        <f>IF(ISNA(MATCH($N842,data!$A:$A,0)),"",INDEX(data!I:I,MATCH($N842,data!$A:$A,0)))</f>
        <v/>
      </c>
      <c r="AU842" s="38" t="str">
        <f>IF(ISNA(MATCH($N842,[1]data!$A:$A,0)),"",INDEX([1]data!L:L,MATCH($N842,[1]data!$A:$A,0)))</f>
        <v/>
      </c>
      <c r="AV842" s="38" t="str">
        <f>IF(ISNA(MATCH($N842,[1]data!$A:$A,0)),"",INDEX([1]data!M:M,MATCH($N842,[1]data!$A:$A,0)))</f>
        <v/>
      </c>
      <c r="AW842" s="38" t="str">
        <f>IF(ISNA(MATCH($N842,data!$A:$A,0)),"",INDEX(data!J:J,MATCH($N842,data!$A:$A,0)))</f>
        <v/>
      </c>
      <c r="AX842" s="38" t="str">
        <f>IF(ISNA(MATCH($N842,data!$A:$A,0)),"",INDEX(data!K:K,MATCH($N842,data!$A:$A,0)))</f>
        <v/>
      </c>
      <c r="AY842" s="38" t="str">
        <f>IF(ISNA(MATCH($N842,data!$A:$A,0)),"",INDEX(data!O:O,MATCH($N842,data!$A:$A,0)))</f>
        <v/>
      </c>
      <c r="AZ842" s="38" t="str">
        <f>IF(ISNA(MATCH($N842,data!$A:$A,0)),"",INDEX(data!N:N,MATCH($N842,data!$A:$A,0)))</f>
        <v/>
      </c>
      <c r="BA842" s="38" t="str">
        <f>IF(ISNA(MATCH($N842,data!$A:$A,0)),"",INDEX(data!P:P,MATCH($N842,data!$A:$A,0)))</f>
        <v/>
      </c>
      <c r="BB842" s="38" t="str">
        <f>IF(ISNA(MATCH($N842,data!$A:$A,0)),"",INDEX(data!Q:Q,MATCH($N842,data!$A:$A,0)))</f>
        <v/>
      </c>
      <c r="BC842" s="38" t="str">
        <f>IF(ISNA(MATCH($N842,data!$A:$A,0)),"",INDEX(data!R:R,MATCH($N842,data!$A:$A,0)))</f>
        <v/>
      </c>
      <c r="BD842" s="38" t="str">
        <f>IF(ISNA(MATCH($N842,[1]data!$A:$A,0)),"",INDEX([1]data!U:U,MATCH($N842,[1]data!$A:$A,0)))</f>
        <v/>
      </c>
      <c r="BE842" s="61" t="e">
        <f>IF(COUNTIF([1]data!A:A,[1]!Table1[[#This Row],[UPC]])&lt;2,"","DUP")</f>
        <v>#VALUE!</v>
      </c>
      <c r="BF842" s="38" t="str">
        <f>IF(ISNA(MATCH($N842,data!$A:$A,0)),"",INDEX(data!W:W,MATCH($N842,data!$A:$A,0)))</f>
        <v/>
      </c>
    </row>
    <row r="843" spans="1:58">
      <c r="A843" s="35"/>
      <c r="B843" s="35"/>
      <c r="C843" s="35"/>
      <c r="D843" s="35"/>
      <c r="E843" s="67"/>
      <c r="F843" s="67"/>
      <c r="G843" s="36"/>
      <c r="H843" s="29"/>
      <c r="I843" s="78" t="str">
        <f t="shared" si="22"/>
        <v/>
      </c>
      <c r="J843" s="29"/>
      <c r="K843" s="29"/>
      <c r="L843" s="33"/>
      <c r="M843" s="33"/>
      <c r="N843" s="60"/>
      <c r="O843" s="71"/>
      <c r="P843" s="71"/>
      <c r="Q843" s="33"/>
      <c r="R843" s="31"/>
      <c r="S843" s="31"/>
      <c r="T843" s="59"/>
      <c r="U843" s="59"/>
      <c r="V843" s="59"/>
      <c r="W843" s="57">
        <f t="shared" si="23"/>
        <v>0</v>
      </c>
      <c r="X843" s="126" t="str">
        <f>IF(Table1[[#This Row],[Shipping Weight Pounds]]&gt;150,"See LTL Form","No")</f>
        <v>No</v>
      </c>
      <c r="Y843" s="28"/>
      <c r="Z843" s="33"/>
      <c r="AA843" s="34"/>
      <c r="AB843" s="30"/>
      <c r="AC843" s="30"/>
      <c r="AD843" s="32"/>
      <c r="AE843" s="32"/>
      <c r="AF843" s="2"/>
      <c r="AG843" s="2"/>
      <c r="AH843" s="2"/>
      <c r="AI843" s="2"/>
      <c r="AK843" s="73" t="str">
        <f>IF(ISNA(MATCH($N843,[1]data!$A:$A,0)),"",INDEX([1]data!S:S,MATCH($N843,[1]data!$A:$A,0)))</f>
        <v/>
      </c>
      <c r="AL843" s="73" t="str">
        <f>IF(ISNA(MATCH($N843,[1]data!$A:$A,0)),"",INDEX([1]data!V:V,MATCH($N843,[1]data!$A:$A,0)))</f>
        <v/>
      </c>
      <c r="AM843" s="38" t="str">
        <f>IF(ISNA(MATCH($N843,data!$A:$A,0)),"",INDEX(data!B:B,MATCH($N843,data!$A:$A,0)))</f>
        <v/>
      </c>
      <c r="AN843" s="38" t="str">
        <f>IF(ISNA(MATCH($N843,data!$A:$A,0)),"",INDEX(data!C:C,MATCH($N843,data!$A:$A,0)))</f>
        <v/>
      </c>
      <c r="AO843" s="38" t="str">
        <f>IF(ISNA(MATCH($N843,data!$A:$A,0)),"",INDEX(data!D:D,MATCH($N843,data!$A:$A,0)))</f>
        <v/>
      </c>
      <c r="AP843" s="38" t="str">
        <f>IF(ISNA(MATCH($N843,data!$A:$A,0)),"",INDEX(data!E:E,MATCH($N843,data!$A:$A,0)))</f>
        <v/>
      </c>
      <c r="AQ843" s="38" t="str">
        <f>IF(ISNA(MATCH($N843,data!$A:$A,0)),"",INDEX(data!F:F,MATCH($N843,data!$A:$A,0)))</f>
        <v/>
      </c>
      <c r="AR843" s="38" t="str">
        <f>IF(ISNA(MATCH($N843,data!$A:$A,0)),"",INDEX(data!G:G,MATCH($N843,data!$A:$A,0)))</f>
        <v/>
      </c>
      <c r="AS843" s="38" t="str">
        <f>IF(ISNA(MATCH($N843,data!$A:$A,0)),"",INDEX(data!H:H,MATCH($N843,data!$A:$A,0)))</f>
        <v/>
      </c>
      <c r="AT843" s="38" t="str">
        <f>IF(ISNA(MATCH($N843,data!$A:$A,0)),"",INDEX(data!I:I,MATCH($N843,data!$A:$A,0)))</f>
        <v/>
      </c>
      <c r="AU843" s="38" t="str">
        <f>IF(ISNA(MATCH($N843,[1]data!$A:$A,0)),"",INDEX([1]data!L:L,MATCH($N843,[1]data!$A:$A,0)))</f>
        <v/>
      </c>
      <c r="AV843" s="38" t="str">
        <f>IF(ISNA(MATCH($N843,[1]data!$A:$A,0)),"",INDEX([1]data!M:M,MATCH($N843,[1]data!$A:$A,0)))</f>
        <v/>
      </c>
      <c r="AW843" s="38" t="str">
        <f>IF(ISNA(MATCH($N843,data!$A:$A,0)),"",INDEX(data!J:J,MATCH($N843,data!$A:$A,0)))</f>
        <v/>
      </c>
      <c r="AX843" s="38" t="str">
        <f>IF(ISNA(MATCH($N843,data!$A:$A,0)),"",INDEX(data!K:K,MATCH($N843,data!$A:$A,0)))</f>
        <v/>
      </c>
      <c r="AY843" s="38" t="str">
        <f>IF(ISNA(MATCH($N843,data!$A:$A,0)),"",INDEX(data!O:O,MATCH($N843,data!$A:$A,0)))</f>
        <v/>
      </c>
      <c r="AZ843" s="38" t="str">
        <f>IF(ISNA(MATCH($N843,data!$A:$A,0)),"",INDEX(data!N:N,MATCH($N843,data!$A:$A,0)))</f>
        <v/>
      </c>
      <c r="BA843" s="38" t="str">
        <f>IF(ISNA(MATCH($N843,data!$A:$A,0)),"",INDEX(data!P:P,MATCH($N843,data!$A:$A,0)))</f>
        <v/>
      </c>
      <c r="BB843" s="38" t="str">
        <f>IF(ISNA(MATCH($N843,data!$A:$A,0)),"",INDEX(data!Q:Q,MATCH($N843,data!$A:$A,0)))</f>
        <v/>
      </c>
      <c r="BC843" s="38" t="str">
        <f>IF(ISNA(MATCH($N843,data!$A:$A,0)),"",INDEX(data!R:R,MATCH($N843,data!$A:$A,0)))</f>
        <v/>
      </c>
      <c r="BD843" s="38" t="str">
        <f>IF(ISNA(MATCH($N843,[1]data!$A:$A,0)),"",INDEX([1]data!U:U,MATCH($N843,[1]data!$A:$A,0)))</f>
        <v/>
      </c>
      <c r="BE843" s="61" t="e">
        <f>IF(COUNTIF([1]data!A:A,[1]!Table1[[#This Row],[UPC]])&lt;2,"","DUP")</f>
        <v>#VALUE!</v>
      </c>
      <c r="BF843" s="38" t="str">
        <f>IF(ISNA(MATCH($N843,data!$A:$A,0)),"",INDEX(data!W:W,MATCH($N843,data!$A:$A,0)))</f>
        <v/>
      </c>
    </row>
    <row r="844" spans="1:58">
      <c r="A844" s="35"/>
      <c r="B844" s="35"/>
      <c r="C844" s="35"/>
      <c r="D844" s="35"/>
      <c r="E844" s="67"/>
      <c r="F844" s="67"/>
      <c r="G844" s="36"/>
      <c r="H844" s="29"/>
      <c r="I844" s="78" t="str">
        <f t="shared" si="22"/>
        <v/>
      </c>
      <c r="J844" s="29"/>
      <c r="K844" s="29"/>
      <c r="L844" s="33"/>
      <c r="M844" s="33"/>
      <c r="N844" s="60"/>
      <c r="O844" s="71"/>
      <c r="P844" s="71"/>
      <c r="Q844" s="33"/>
      <c r="R844" s="31"/>
      <c r="S844" s="31"/>
      <c r="T844" s="59"/>
      <c r="U844" s="59"/>
      <c r="V844" s="59"/>
      <c r="W844" s="57">
        <f t="shared" si="23"/>
        <v>0</v>
      </c>
      <c r="X844" s="126" t="str">
        <f>IF(Table1[[#This Row],[Shipping Weight Pounds]]&gt;150,"See LTL Form","No")</f>
        <v>No</v>
      </c>
      <c r="Y844" s="28"/>
      <c r="Z844" s="33"/>
      <c r="AA844" s="34"/>
      <c r="AB844" s="30"/>
      <c r="AC844" s="30"/>
      <c r="AD844" s="32"/>
      <c r="AE844" s="32"/>
      <c r="AF844" s="2"/>
      <c r="AG844" s="2"/>
      <c r="AH844" s="2"/>
      <c r="AI844" s="2"/>
      <c r="AK844" s="73" t="str">
        <f>IF(ISNA(MATCH($N844,[1]data!$A:$A,0)),"",INDEX([1]data!S:S,MATCH($N844,[1]data!$A:$A,0)))</f>
        <v/>
      </c>
      <c r="AL844" s="73" t="str">
        <f>IF(ISNA(MATCH($N844,[1]data!$A:$A,0)),"",INDEX([1]data!V:V,MATCH($N844,[1]data!$A:$A,0)))</f>
        <v/>
      </c>
      <c r="AM844" s="38" t="str">
        <f>IF(ISNA(MATCH($N844,data!$A:$A,0)),"",INDEX(data!B:B,MATCH($N844,data!$A:$A,0)))</f>
        <v/>
      </c>
      <c r="AN844" s="38" t="str">
        <f>IF(ISNA(MATCH($N844,data!$A:$A,0)),"",INDEX(data!C:C,MATCH($N844,data!$A:$A,0)))</f>
        <v/>
      </c>
      <c r="AO844" s="38" t="str">
        <f>IF(ISNA(MATCH($N844,data!$A:$A,0)),"",INDEX(data!D:D,MATCH($N844,data!$A:$A,0)))</f>
        <v/>
      </c>
      <c r="AP844" s="38" t="str">
        <f>IF(ISNA(MATCH($N844,data!$A:$A,0)),"",INDEX(data!E:E,MATCH($N844,data!$A:$A,0)))</f>
        <v/>
      </c>
      <c r="AQ844" s="38" t="str">
        <f>IF(ISNA(MATCH($N844,data!$A:$A,0)),"",INDEX(data!F:F,MATCH($N844,data!$A:$A,0)))</f>
        <v/>
      </c>
      <c r="AR844" s="38" t="str">
        <f>IF(ISNA(MATCH($N844,data!$A:$A,0)),"",INDEX(data!G:G,MATCH($N844,data!$A:$A,0)))</f>
        <v/>
      </c>
      <c r="AS844" s="38" t="str">
        <f>IF(ISNA(MATCH($N844,data!$A:$A,0)),"",INDEX(data!H:H,MATCH($N844,data!$A:$A,0)))</f>
        <v/>
      </c>
      <c r="AT844" s="38" t="str">
        <f>IF(ISNA(MATCH($N844,data!$A:$A,0)),"",INDEX(data!I:I,MATCH($N844,data!$A:$A,0)))</f>
        <v/>
      </c>
      <c r="AU844" s="38" t="str">
        <f>IF(ISNA(MATCH($N844,[1]data!$A:$A,0)),"",INDEX([1]data!L:L,MATCH($N844,[1]data!$A:$A,0)))</f>
        <v/>
      </c>
      <c r="AV844" s="38" t="str">
        <f>IF(ISNA(MATCH($N844,[1]data!$A:$A,0)),"",INDEX([1]data!M:M,MATCH($N844,[1]data!$A:$A,0)))</f>
        <v/>
      </c>
      <c r="AW844" s="38" t="str">
        <f>IF(ISNA(MATCH($N844,data!$A:$A,0)),"",INDEX(data!J:J,MATCH($N844,data!$A:$A,0)))</f>
        <v/>
      </c>
      <c r="AX844" s="38" t="str">
        <f>IF(ISNA(MATCH($N844,data!$A:$A,0)),"",INDEX(data!K:K,MATCH($N844,data!$A:$A,0)))</f>
        <v/>
      </c>
      <c r="AY844" s="38" t="str">
        <f>IF(ISNA(MATCH($N844,data!$A:$A,0)),"",INDEX(data!O:O,MATCH($N844,data!$A:$A,0)))</f>
        <v/>
      </c>
      <c r="AZ844" s="38" t="str">
        <f>IF(ISNA(MATCH($N844,data!$A:$A,0)),"",INDEX(data!N:N,MATCH($N844,data!$A:$A,0)))</f>
        <v/>
      </c>
      <c r="BA844" s="38" t="str">
        <f>IF(ISNA(MATCH($N844,data!$A:$A,0)),"",INDEX(data!P:P,MATCH($N844,data!$A:$A,0)))</f>
        <v/>
      </c>
      <c r="BB844" s="38" t="str">
        <f>IF(ISNA(MATCH($N844,data!$A:$A,0)),"",INDEX(data!Q:Q,MATCH($N844,data!$A:$A,0)))</f>
        <v/>
      </c>
      <c r="BC844" s="38" t="str">
        <f>IF(ISNA(MATCH($N844,data!$A:$A,0)),"",INDEX(data!R:R,MATCH($N844,data!$A:$A,0)))</f>
        <v/>
      </c>
      <c r="BD844" s="38" t="str">
        <f>IF(ISNA(MATCH($N844,[1]data!$A:$A,0)),"",INDEX([1]data!U:U,MATCH($N844,[1]data!$A:$A,0)))</f>
        <v/>
      </c>
      <c r="BE844" s="61" t="e">
        <f>IF(COUNTIF([1]data!A:A,[1]!Table1[[#This Row],[UPC]])&lt;2,"","DUP")</f>
        <v>#VALUE!</v>
      </c>
      <c r="BF844" s="38" t="str">
        <f>IF(ISNA(MATCH($N844,data!$A:$A,0)),"",INDEX(data!W:W,MATCH($N844,data!$A:$A,0)))</f>
        <v/>
      </c>
    </row>
    <row r="845" spans="1:58">
      <c r="A845" s="35"/>
      <c r="B845" s="35"/>
      <c r="C845" s="35"/>
      <c r="D845" s="35"/>
      <c r="E845" s="67"/>
      <c r="F845" s="67"/>
      <c r="G845" s="36"/>
      <c r="H845" s="29"/>
      <c r="I845" s="78" t="str">
        <f t="shared" si="22"/>
        <v/>
      </c>
      <c r="J845" s="29"/>
      <c r="K845" s="29"/>
      <c r="L845" s="33"/>
      <c r="M845" s="33"/>
      <c r="N845" s="60"/>
      <c r="O845" s="71"/>
      <c r="P845" s="71"/>
      <c r="Q845" s="33"/>
      <c r="R845" s="31"/>
      <c r="S845" s="31"/>
      <c r="T845" s="59"/>
      <c r="U845" s="59"/>
      <c r="V845" s="59"/>
      <c r="W845" s="57">
        <f t="shared" si="23"/>
        <v>0</v>
      </c>
      <c r="X845" s="126" t="str">
        <f>IF(Table1[[#This Row],[Shipping Weight Pounds]]&gt;150,"See LTL Form","No")</f>
        <v>No</v>
      </c>
      <c r="Y845" s="28"/>
      <c r="Z845" s="33"/>
      <c r="AA845" s="34"/>
      <c r="AB845" s="30"/>
      <c r="AC845" s="30"/>
      <c r="AD845" s="32"/>
      <c r="AE845" s="32"/>
      <c r="AF845" s="2"/>
      <c r="AG845" s="2"/>
      <c r="AH845" s="2"/>
      <c r="AI845" s="2"/>
      <c r="AK845" s="73" t="str">
        <f>IF(ISNA(MATCH($N845,[1]data!$A:$A,0)),"",INDEX([1]data!S:S,MATCH($N845,[1]data!$A:$A,0)))</f>
        <v/>
      </c>
      <c r="AL845" s="73" t="str">
        <f>IF(ISNA(MATCH($N845,[1]data!$A:$A,0)),"",INDEX([1]data!V:V,MATCH($N845,[1]data!$A:$A,0)))</f>
        <v/>
      </c>
      <c r="AM845" s="38" t="str">
        <f>IF(ISNA(MATCH($N845,data!$A:$A,0)),"",INDEX(data!B:B,MATCH($N845,data!$A:$A,0)))</f>
        <v/>
      </c>
      <c r="AN845" s="38" t="str">
        <f>IF(ISNA(MATCH($N845,data!$A:$A,0)),"",INDEX(data!C:C,MATCH($N845,data!$A:$A,0)))</f>
        <v/>
      </c>
      <c r="AO845" s="38" t="str">
        <f>IF(ISNA(MATCH($N845,data!$A:$A,0)),"",INDEX(data!D:D,MATCH($N845,data!$A:$A,0)))</f>
        <v/>
      </c>
      <c r="AP845" s="38" t="str">
        <f>IF(ISNA(MATCH($N845,data!$A:$A,0)),"",INDEX(data!E:E,MATCH($N845,data!$A:$A,0)))</f>
        <v/>
      </c>
      <c r="AQ845" s="38" t="str">
        <f>IF(ISNA(MATCH($N845,data!$A:$A,0)),"",INDEX(data!F:F,MATCH($N845,data!$A:$A,0)))</f>
        <v/>
      </c>
      <c r="AR845" s="38" t="str">
        <f>IF(ISNA(MATCH($N845,data!$A:$A,0)),"",INDEX(data!G:G,MATCH($N845,data!$A:$A,0)))</f>
        <v/>
      </c>
      <c r="AS845" s="38" t="str">
        <f>IF(ISNA(MATCH($N845,data!$A:$A,0)),"",INDEX(data!H:H,MATCH($N845,data!$A:$A,0)))</f>
        <v/>
      </c>
      <c r="AT845" s="38" t="str">
        <f>IF(ISNA(MATCH($N845,data!$A:$A,0)),"",INDEX(data!I:I,MATCH($N845,data!$A:$A,0)))</f>
        <v/>
      </c>
      <c r="AU845" s="38" t="str">
        <f>IF(ISNA(MATCH($N845,[1]data!$A:$A,0)),"",INDEX([1]data!L:L,MATCH($N845,[1]data!$A:$A,0)))</f>
        <v/>
      </c>
      <c r="AV845" s="38" t="str">
        <f>IF(ISNA(MATCH($N845,[1]data!$A:$A,0)),"",INDEX([1]data!M:M,MATCH($N845,[1]data!$A:$A,0)))</f>
        <v/>
      </c>
      <c r="AW845" s="38" t="str">
        <f>IF(ISNA(MATCH($N845,data!$A:$A,0)),"",INDEX(data!J:J,MATCH($N845,data!$A:$A,0)))</f>
        <v/>
      </c>
      <c r="AX845" s="38" t="str">
        <f>IF(ISNA(MATCH($N845,data!$A:$A,0)),"",INDEX(data!K:K,MATCH($N845,data!$A:$A,0)))</f>
        <v/>
      </c>
      <c r="AY845" s="38" t="str">
        <f>IF(ISNA(MATCH($N845,data!$A:$A,0)),"",INDEX(data!O:O,MATCH($N845,data!$A:$A,0)))</f>
        <v/>
      </c>
      <c r="AZ845" s="38" t="str">
        <f>IF(ISNA(MATCH($N845,data!$A:$A,0)),"",INDEX(data!N:N,MATCH($N845,data!$A:$A,0)))</f>
        <v/>
      </c>
      <c r="BA845" s="38" t="str">
        <f>IF(ISNA(MATCH($N845,data!$A:$A,0)),"",INDEX(data!P:P,MATCH($N845,data!$A:$A,0)))</f>
        <v/>
      </c>
      <c r="BB845" s="38" t="str">
        <f>IF(ISNA(MATCH($N845,data!$A:$A,0)),"",INDEX(data!Q:Q,MATCH($N845,data!$A:$A,0)))</f>
        <v/>
      </c>
      <c r="BC845" s="38" t="str">
        <f>IF(ISNA(MATCH($N845,data!$A:$A,0)),"",INDEX(data!R:R,MATCH($N845,data!$A:$A,0)))</f>
        <v/>
      </c>
      <c r="BD845" s="38" t="str">
        <f>IF(ISNA(MATCH($N845,[1]data!$A:$A,0)),"",INDEX([1]data!U:U,MATCH($N845,[1]data!$A:$A,0)))</f>
        <v/>
      </c>
      <c r="BE845" s="61" t="e">
        <f>IF(COUNTIF([1]data!A:A,[1]!Table1[[#This Row],[UPC]])&lt;2,"","DUP")</f>
        <v>#VALUE!</v>
      </c>
      <c r="BF845" s="38" t="str">
        <f>IF(ISNA(MATCH($N845,data!$A:$A,0)),"",INDEX(data!W:W,MATCH($N845,data!$A:$A,0)))</f>
        <v/>
      </c>
    </row>
    <row r="846" spans="1:58">
      <c r="A846" s="35"/>
      <c r="B846" s="35"/>
      <c r="C846" s="35"/>
      <c r="D846" s="35"/>
      <c r="E846" s="67"/>
      <c r="F846" s="67"/>
      <c r="G846" s="36"/>
      <c r="H846" s="29"/>
      <c r="I846" s="78" t="str">
        <f t="shared" si="22"/>
        <v/>
      </c>
      <c r="J846" s="29"/>
      <c r="K846" s="29"/>
      <c r="L846" s="33"/>
      <c r="M846" s="33"/>
      <c r="N846" s="60"/>
      <c r="O846" s="71"/>
      <c r="P846" s="71"/>
      <c r="Q846" s="33"/>
      <c r="R846" s="31"/>
      <c r="S846" s="31"/>
      <c r="T846" s="59"/>
      <c r="U846" s="59"/>
      <c r="V846" s="59"/>
      <c r="W846" s="57">
        <f t="shared" si="23"/>
        <v>0</v>
      </c>
      <c r="X846" s="126" t="str">
        <f>IF(Table1[[#This Row],[Shipping Weight Pounds]]&gt;150,"See LTL Form","No")</f>
        <v>No</v>
      </c>
      <c r="Y846" s="28"/>
      <c r="Z846" s="33"/>
      <c r="AA846" s="34"/>
      <c r="AB846" s="30"/>
      <c r="AC846" s="30"/>
      <c r="AD846" s="32"/>
      <c r="AE846" s="32"/>
      <c r="AF846" s="2"/>
      <c r="AG846" s="2"/>
      <c r="AH846" s="2"/>
      <c r="AI846" s="2"/>
      <c r="AK846" s="73" t="str">
        <f>IF(ISNA(MATCH($N846,[1]data!$A:$A,0)),"",INDEX([1]data!S:S,MATCH($N846,[1]data!$A:$A,0)))</f>
        <v/>
      </c>
      <c r="AL846" s="73" t="str">
        <f>IF(ISNA(MATCH($N846,[1]data!$A:$A,0)),"",INDEX([1]data!V:V,MATCH($N846,[1]data!$A:$A,0)))</f>
        <v/>
      </c>
      <c r="AM846" s="38" t="str">
        <f>IF(ISNA(MATCH($N846,data!$A:$A,0)),"",INDEX(data!B:B,MATCH($N846,data!$A:$A,0)))</f>
        <v/>
      </c>
      <c r="AN846" s="38" t="str">
        <f>IF(ISNA(MATCH($N846,data!$A:$A,0)),"",INDEX(data!C:C,MATCH($N846,data!$A:$A,0)))</f>
        <v/>
      </c>
      <c r="AO846" s="38" t="str">
        <f>IF(ISNA(MATCH($N846,data!$A:$A,0)),"",INDEX(data!D:D,MATCH($N846,data!$A:$A,0)))</f>
        <v/>
      </c>
      <c r="AP846" s="38" t="str">
        <f>IF(ISNA(MATCH($N846,data!$A:$A,0)),"",INDEX(data!E:E,MATCH($N846,data!$A:$A,0)))</f>
        <v/>
      </c>
      <c r="AQ846" s="38" t="str">
        <f>IF(ISNA(MATCH($N846,data!$A:$A,0)),"",INDEX(data!F:F,MATCH($N846,data!$A:$A,0)))</f>
        <v/>
      </c>
      <c r="AR846" s="38" t="str">
        <f>IF(ISNA(MATCH($N846,data!$A:$A,0)),"",INDEX(data!G:G,MATCH($N846,data!$A:$A,0)))</f>
        <v/>
      </c>
      <c r="AS846" s="38" t="str">
        <f>IF(ISNA(MATCH($N846,data!$A:$A,0)),"",INDEX(data!H:H,MATCH($N846,data!$A:$A,0)))</f>
        <v/>
      </c>
      <c r="AT846" s="38" t="str">
        <f>IF(ISNA(MATCH($N846,data!$A:$A,0)),"",INDEX(data!I:I,MATCH($N846,data!$A:$A,0)))</f>
        <v/>
      </c>
      <c r="AU846" s="38" t="str">
        <f>IF(ISNA(MATCH($N846,[1]data!$A:$A,0)),"",INDEX([1]data!L:L,MATCH($N846,[1]data!$A:$A,0)))</f>
        <v/>
      </c>
      <c r="AV846" s="38" t="str">
        <f>IF(ISNA(MATCH($N846,[1]data!$A:$A,0)),"",INDEX([1]data!M:M,MATCH($N846,[1]data!$A:$A,0)))</f>
        <v/>
      </c>
      <c r="AW846" s="38" t="str">
        <f>IF(ISNA(MATCH($N846,data!$A:$A,0)),"",INDEX(data!J:J,MATCH($N846,data!$A:$A,0)))</f>
        <v/>
      </c>
      <c r="AX846" s="38" t="str">
        <f>IF(ISNA(MATCH($N846,data!$A:$A,0)),"",INDEX(data!K:K,MATCH($N846,data!$A:$A,0)))</f>
        <v/>
      </c>
      <c r="AY846" s="38" t="str">
        <f>IF(ISNA(MATCH($N846,data!$A:$A,0)),"",INDEX(data!O:O,MATCH($N846,data!$A:$A,0)))</f>
        <v/>
      </c>
      <c r="AZ846" s="38" t="str">
        <f>IF(ISNA(MATCH($N846,data!$A:$A,0)),"",INDEX(data!N:N,MATCH($N846,data!$A:$A,0)))</f>
        <v/>
      </c>
      <c r="BA846" s="38" t="str">
        <f>IF(ISNA(MATCH($N846,data!$A:$A,0)),"",INDEX(data!P:P,MATCH($N846,data!$A:$A,0)))</f>
        <v/>
      </c>
      <c r="BB846" s="38" t="str">
        <f>IF(ISNA(MATCH($N846,data!$A:$A,0)),"",INDEX(data!Q:Q,MATCH($N846,data!$A:$A,0)))</f>
        <v/>
      </c>
      <c r="BC846" s="38" t="str">
        <f>IF(ISNA(MATCH($N846,data!$A:$A,0)),"",INDEX(data!R:R,MATCH($N846,data!$A:$A,0)))</f>
        <v/>
      </c>
      <c r="BD846" s="38" t="str">
        <f>IF(ISNA(MATCH($N846,[1]data!$A:$A,0)),"",INDEX([1]data!U:U,MATCH($N846,[1]data!$A:$A,0)))</f>
        <v/>
      </c>
      <c r="BE846" s="61" t="e">
        <f>IF(COUNTIF([1]data!A:A,[1]!Table1[[#This Row],[UPC]])&lt;2,"","DUP")</f>
        <v>#VALUE!</v>
      </c>
      <c r="BF846" s="38" t="str">
        <f>IF(ISNA(MATCH($N846,data!$A:$A,0)),"",INDEX(data!W:W,MATCH($N846,data!$A:$A,0)))</f>
        <v/>
      </c>
    </row>
    <row r="847" spans="1:58">
      <c r="A847" s="35"/>
      <c r="B847" s="35"/>
      <c r="C847" s="35"/>
      <c r="D847" s="35"/>
      <c r="E847" s="67"/>
      <c r="F847" s="67"/>
      <c r="G847" s="36"/>
      <c r="H847" s="29"/>
      <c r="I847" s="78" t="str">
        <f t="shared" si="22"/>
        <v/>
      </c>
      <c r="J847" s="29"/>
      <c r="K847" s="29"/>
      <c r="L847" s="33"/>
      <c r="M847" s="33"/>
      <c r="N847" s="60"/>
      <c r="O847" s="71"/>
      <c r="P847" s="71"/>
      <c r="Q847" s="33"/>
      <c r="R847" s="31"/>
      <c r="S847" s="31"/>
      <c r="T847" s="59"/>
      <c r="U847" s="59"/>
      <c r="V847" s="59"/>
      <c r="W847" s="57">
        <f t="shared" si="23"/>
        <v>0</v>
      </c>
      <c r="X847" s="126" t="str">
        <f>IF(Table1[[#This Row],[Shipping Weight Pounds]]&gt;150,"See LTL Form","No")</f>
        <v>No</v>
      </c>
      <c r="Y847" s="28"/>
      <c r="Z847" s="33"/>
      <c r="AA847" s="34"/>
      <c r="AB847" s="30"/>
      <c r="AC847" s="30"/>
      <c r="AD847" s="32"/>
      <c r="AE847" s="32"/>
      <c r="AF847" s="2"/>
      <c r="AG847" s="2"/>
      <c r="AH847" s="2"/>
      <c r="AI847" s="2"/>
      <c r="AK847" s="73" t="str">
        <f>IF(ISNA(MATCH($N847,[1]data!$A:$A,0)),"",INDEX([1]data!S:S,MATCH($N847,[1]data!$A:$A,0)))</f>
        <v/>
      </c>
      <c r="AL847" s="73" t="str">
        <f>IF(ISNA(MATCH($N847,[1]data!$A:$A,0)),"",INDEX([1]data!V:V,MATCH($N847,[1]data!$A:$A,0)))</f>
        <v/>
      </c>
      <c r="AM847" s="38" t="str">
        <f>IF(ISNA(MATCH($N847,data!$A:$A,0)),"",INDEX(data!B:B,MATCH($N847,data!$A:$A,0)))</f>
        <v/>
      </c>
      <c r="AN847" s="38" t="str">
        <f>IF(ISNA(MATCH($N847,data!$A:$A,0)),"",INDEX(data!C:C,MATCH($N847,data!$A:$A,0)))</f>
        <v/>
      </c>
      <c r="AO847" s="38" t="str">
        <f>IF(ISNA(MATCH($N847,data!$A:$A,0)),"",INDEX(data!D:D,MATCH($N847,data!$A:$A,0)))</f>
        <v/>
      </c>
      <c r="AP847" s="38" t="str">
        <f>IF(ISNA(MATCH($N847,data!$A:$A,0)),"",INDEX(data!E:E,MATCH($N847,data!$A:$A,0)))</f>
        <v/>
      </c>
      <c r="AQ847" s="38" t="str">
        <f>IF(ISNA(MATCH($N847,data!$A:$A,0)),"",INDEX(data!F:F,MATCH($N847,data!$A:$A,0)))</f>
        <v/>
      </c>
      <c r="AR847" s="38" t="str">
        <f>IF(ISNA(MATCH($N847,data!$A:$A,0)),"",INDEX(data!G:G,MATCH($N847,data!$A:$A,0)))</f>
        <v/>
      </c>
      <c r="AS847" s="38" t="str">
        <f>IF(ISNA(MATCH($N847,data!$A:$A,0)),"",INDEX(data!H:H,MATCH($N847,data!$A:$A,0)))</f>
        <v/>
      </c>
      <c r="AT847" s="38" t="str">
        <f>IF(ISNA(MATCH($N847,data!$A:$A,0)),"",INDEX(data!I:I,MATCH($N847,data!$A:$A,0)))</f>
        <v/>
      </c>
      <c r="AU847" s="38" t="str">
        <f>IF(ISNA(MATCH($N847,[1]data!$A:$A,0)),"",INDEX([1]data!L:L,MATCH($N847,[1]data!$A:$A,0)))</f>
        <v/>
      </c>
      <c r="AV847" s="38" t="str">
        <f>IF(ISNA(MATCH($N847,[1]data!$A:$A,0)),"",INDEX([1]data!M:M,MATCH($N847,[1]data!$A:$A,0)))</f>
        <v/>
      </c>
      <c r="AW847" s="38" t="str">
        <f>IF(ISNA(MATCH($N847,data!$A:$A,0)),"",INDEX(data!J:J,MATCH($N847,data!$A:$A,0)))</f>
        <v/>
      </c>
      <c r="AX847" s="38" t="str">
        <f>IF(ISNA(MATCH($N847,data!$A:$A,0)),"",INDEX(data!K:K,MATCH($N847,data!$A:$A,0)))</f>
        <v/>
      </c>
      <c r="AY847" s="38" t="str">
        <f>IF(ISNA(MATCH($N847,data!$A:$A,0)),"",INDEX(data!O:O,MATCH($N847,data!$A:$A,0)))</f>
        <v/>
      </c>
      <c r="AZ847" s="38" t="str">
        <f>IF(ISNA(MATCH($N847,data!$A:$A,0)),"",INDEX(data!N:N,MATCH($N847,data!$A:$A,0)))</f>
        <v/>
      </c>
      <c r="BA847" s="38" t="str">
        <f>IF(ISNA(MATCH($N847,data!$A:$A,0)),"",INDEX(data!P:P,MATCH($N847,data!$A:$A,0)))</f>
        <v/>
      </c>
      <c r="BB847" s="38" t="str">
        <f>IF(ISNA(MATCH($N847,data!$A:$A,0)),"",INDEX(data!Q:Q,MATCH($N847,data!$A:$A,0)))</f>
        <v/>
      </c>
      <c r="BC847" s="38" t="str">
        <f>IF(ISNA(MATCH($N847,data!$A:$A,0)),"",INDEX(data!R:R,MATCH($N847,data!$A:$A,0)))</f>
        <v/>
      </c>
      <c r="BD847" s="38" t="str">
        <f>IF(ISNA(MATCH($N847,[1]data!$A:$A,0)),"",INDEX([1]data!U:U,MATCH($N847,[1]data!$A:$A,0)))</f>
        <v/>
      </c>
      <c r="BE847" s="61" t="e">
        <f>IF(COUNTIF([1]data!A:A,[1]!Table1[[#This Row],[UPC]])&lt;2,"","DUP")</f>
        <v>#VALUE!</v>
      </c>
      <c r="BF847" s="38" t="str">
        <f>IF(ISNA(MATCH($N847,data!$A:$A,0)),"",INDEX(data!W:W,MATCH($N847,data!$A:$A,0)))</f>
        <v/>
      </c>
    </row>
    <row r="848" spans="1:58">
      <c r="A848" s="35"/>
      <c r="B848" s="35"/>
      <c r="C848" s="35"/>
      <c r="D848" s="35"/>
      <c r="E848" s="67"/>
      <c r="F848" s="67"/>
      <c r="G848" s="36"/>
      <c r="H848" s="29"/>
      <c r="I848" s="78" t="str">
        <f t="shared" si="22"/>
        <v/>
      </c>
      <c r="J848" s="29"/>
      <c r="K848" s="29"/>
      <c r="L848" s="33"/>
      <c r="M848" s="33"/>
      <c r="N848" s="60"/>
      <c r="O848" s="71"/>
      <c r="P848" s="71"/>
      <c r="Q848" s="33"/>
      <c r="R848" s="31"/>
      <c r="S848" s="31"/>
      <c r="T848" s="59"/>
      <c r="U848" s="59"/>
      <c r="V848" s="59"/>
      <c r="W848" s="57">
        <f t="shared" si="23"/>
        <v>0</v>
      </c>
      <c r="X848" s="126" t="str">
        <f>IF(Table1[[#This Row],[Shipping Weight Pounds]]&gt;150,"See LTL Form","No")</f>
        <v>No</v>
      </c>
      <c r="Y848" s="28"/>
      <c r="Z848" s="33"/>
      <c r="AA848" s="34"/>
      <c r="AB848" s="30"/>
      <c r="AC848" s="30"/>
      <c r="AD848" s="32"/>
      <c r="AE848" s="32"/>
      <c r="AF848" s="2"/>
      <c r="AG848" s="2"/>
      <c r="AH848" s="2"/>
      <c r="AI848" s="2"/>
      <c r="AK848" s="73" t="str">
        <f>IF(ISNA(MATCH($N848,[1]data!$A:$A,0)),"",INDEX([1]data!S:S,MATCH($N848,[1]data!$A:$A,0)))</f>
        <v/>
      </c>
      <c r="AL848" s="73" t="str">
        <f>IF(ISNA(MATCH($N848,[1]data!$A:$A,0)),"",INDEX([1]data!V:V,MATCH($N848,[1]data!$A:$A,0)))</f>
        <v/>
      </c>
      <c r="AM848" s="38" t="str">
        <f>IF(ISNA(MATCH($N848,data!$A:$A,0)),"",INDEX(data!B:B,MATCH($N848,data!$A:$A,0)))</f>
        <v/>
      </c>
      <c r="AN848" s="38" t="str">
        <f>IF(ISNA(MATCH($N848,data!$A:$A,0)),"",INDEX(data!C:C,MATCH($N848,data!$A:$A,0)))</f>
        <v/>
      </c>
      <c r="AO848" s="38" t="str">
        <f>IF(ISNA(MATCH($N848,data!$A:$A,0)),"",INDEX(data!D:D,MATCH($N848,data!$A:$A,0)))</f>
        <v/>
      </c>
      <c r="AP848" s="38" t="str">
        <f>IF(ISNA(MATCH($N848,data!$A:$A,0)),"",INDEX(data!E:E,MATCH($N848,data!$A:$A,0)))</f>
        <v/>
      </c>
      <c r="AQ848" s="38" t="str">
        <f>IF(ISNA(MATCH($N848,data!$A:$A,0)),"",INDEX(data!F:F,MATCH($N848,data!$A:$A,0)))</f>
        <v/>
      </c>
      <c r="AR848" s="38" t="str">
        <f>IF(ISNA(MATCH($N848,data!$A:$A,0)),"",INDEX(data!G:G,MATCH($N848,data!$A:$A,0)))</f>
        <v/>
      </c>
      <c r="AS848" s="38" t="str">
        <f>IF(ISNA(MATCH($N848,data!$A:$A,0)),"",INDEX(data!H:H,MATCH($N848,data!$A:$A,0)))</f>
        <v/>
      </c>
      <c r="AT848" s="38" t="str">
        <f>IF(ISNA(MATCH($N848,data!$A:$A,0)),"",INDEX(data!I:I,MATCH($N848,data!$A:$A,0)))</f>
        <v/>
      </c>
      <c r="AU848" s="38" t="str">
        <f>IF(ISNA(MATCH($N848,[1]data!$A:$A,0)),"",INDEX([1]data!L:L,MATCH($N848,[1]data!$A:$A,0)))</f>
        <v/>
      </c>
      <c r="AV848" s="38" t="str">
        <f>IF(ISNA(MATCH($N848,[1]data!$A:$A,0)),"",INDEX([1]data!M:M,MATCH($N848,[1]data!$A:$A,0)))</f>
        <v/>
      </c>
      <c r="AW848" s="38" t="str">
        <f>IF(ISNA(MATCH($N848,data!$A:$A,0)),"",INDEX(data!J:J,MATCH($N848,data!$A:$A,0)))</f>
        <v/>
      </c>
      <c r="AX848" s="38" t="str">
        <f>IF(ISNA(MATCH($N848,data!$A:$A,0)),"",INDEX(data!K:K,MATCH($N848,data!$A:$A,0)))</f>
        <v/>
      </c>
      <c r="AY848" s="38" t="str">
        <f>IF(ISNA(MATCH($N848,data!$A:$A,0)),"",INDEX(data!O:O,MATCH($N848,data!$A:$A,0)))</f>
        <v/>
      </c>
      <c r="AZ848" s="38" t="str">
        <f>IF(ISNA(MATCH($N848,data!$A:$A,0)),"",INDEX(data!N:N,MATCH($N848,data!$A:$A,0)))</f>
        <v/>
      </c>
      <c r="BA848" s="38" t="str">
        <f>IF(ISNA(MATCH($N848,data!$A:$A,0)),"",INDEX(data!P:P,MATCH($N848,data!$A:$A,0)))</f>
        <v/>
      </c>
      <c r="BB848" s="38" t="str">
        <f>IF(ISNA(MATCH($N848,data!$A:$A,0)),"",INDEX(data!Q:Q,MATCH($N848,data!$A:$A,0)))</f>
        <v/>
      </c>
      <c r="BC848" s="38" t="str">
        <f>IF(ISNA(MATCH($N848,data!$A:$A,0)),"",INDEX(data!R:R,MATCH($N848,data!$A:$A,0)))</f>
        <v/>
      </c>
      <c r="BD848" s="38" t="str">
        <f>IF(ISNA(MATCH($N848,[1]data!$A:$A,0)),"",INDEX([1]data!U:U,MATCH($N848,[1]data!$A:$A,0)))</f>
        <v/>
      </c>
      <c r="BE848" s="61" t="e">
        <f>IF(COUNTIF([1]data!A:A,[1]!Table1[[#This Row],[UPC]])&lt;2,"","DUP")</f>
        <v>#VALUE!</v>
      </c>
      <c r="BF848" s="38" t="str">
        <f>IF(ISNA(MATCH($N848,data!$A:$A,0)),"",INDEX(data!W:W,MATCH($N848,data!$A:$A,0)))</f>
        <v/>
      </c>
    </row>
    <row r="849" spans="1:58">
      <c r="A849" s="35"/>
      <c r="B849" s="35"/>
      <c r="C849" s="35"/>
      <c r="D849" s="35"/>
      <c r="E849" s="67"/>
      <c r="F849" s="67"/>
      <c r="G849" s="36"/>
      <c r="H849" s="29"/>
      <c r="I849" s="78" t="str">
        <f t="shared" si="22"/>
        <v/>
      </c>
      <c r="J849" s="29"/>
      <c r="K849" s="29"/>
      <c r="L849" s="33"/>
      <c r="M849" s="33"/>
      <c r="N849" s="60"/>
      <c r="O849" s="71"/>
      <c r="P849" s="71"/>
      <c r="Q849" s="33"/>
      <c r="R849" s="31"/>
      <c r="S849" s="31"/>
      <c r="T849" s="59"/>
      <c r="U849" s="59"/>
      <c r="V849" s="59"/>
      <c r="W849" s="57">
        <f t="shared" si="23"/>
        <v>0</v>
      </c>
      <c r="X849" s="126" t="str">
        <f>IF(Table1[[#This Row],[Shipping Weight Pounds]]&gt;150,"See LTL Form","No")</f>
        <v>No</v>
      </c>
      <c r="Y849" s="28"/>
      <c r="Z849" s="33"/>
      <c r="AA849" s="34"/>
      <c r="AB849" s="30"/>
      <c r="AC849" s="30"/>
      <c r="AD849" s="32"/>
      <c r="AE849" s="32"/>
      <c r="AF849" s="2"/>
      <c r="AG849" s="2"/>
      <c r="AH849" s="2"/>
      <c r="AI849" s="2"/>
      <c r="AK849" s="73" t="str">
        <f>IF(ISNA(MATCH($N849,[1]data!$A:$A,0)),"",INDEX([1]data!S:S,MATCH($N849,[1]data!$A:$A,0)))</f>
        <v/>
      </c>
      <c r="AL849" s="73" t="str">
        <f>IF(ISNA(MATCH($N849,[1]data!$A:$A,0)),"",INDEX([1]data!V:V,MATCH($N849,[1]data!$A:$A,0)))</f>
        <v/>
      </c>
      <c r="AM849" s="38" t="str">
        <f>IF(ISNA(MATCH($N849,data!$A:$A,0)),"",INDEX(data!B:B,MATCH($N849,data!$A:$A,0)))</f>
        <v/>
      </c>
      <c r="AN849" s="38" t="str">
        <f>IF(ISNA(MATCH($N849,data!$A:$A,0)),"",INDEX(data!C:C,MATCH($N849,data!$A:$A,0)))</f>
        <v/>
      </c>
      <c r="AO849" s="38" t="str">
        <f>IF(ISNA(MATCH($N849,data!$A:$A,0)),"",INDEX(data!D:D,MATCH($N849,data!$A:$A,0)))</f>
        <v/>
      </c>
      <c r="AP849" s="38" t="str">
        <f>IF(ISNA(MATCH($N849,data!$A:$A,0)),"",INDEX(data!E:E,MATCH($N849,data!$A:$A,0)))</f>
        <v/>
      </c>
      <c r="AQ849" s="38" t="str">
        <f>IF(ISNA(MATCH($N849,data!$A:$A,0)),"",INDEX(data!F:F,MATCH($N849,data!$A:$A,0)))</f>
        <v/>
      </c>
      <c r="AR849" s="38" t="str">
        <f>IF(ISNA(MATCH($N849,data!$A:$A,0)),"",INDEX(data!G:G,MATCH($N849,data!$A:$A,0)))</f>
        <v/>
      </c>
      <c r="AS849" s="38" t="str">
        <f>IF(ISNA(MATCH($N849,data!$A:$A,0)),"",INDEX(data!H:H,MATCH($N849,data!$A:$A,0)))</f>
        <v/>
      </c>
      <c r="AT849" s="38" t="str">
        <f>IF(ISNA(MATCH($N849,data!$A:$A,0)),"",INDEX(data!I:I,MATCH($N849,data!$A:$A,0)))</f>
        <v/>
      </c>
      <c r="AU849" s="38" t="str">
        <f>IF(ISNA(MATCH($N849,[1]data!$A:$A,0)),"",INDEX([1]data!L:L,MATCH($N849,[1]data!$A:$A,0)))</f>
        <v/>
      </c>
      <c r="AV849" s="38" t="str">
        <f>IF(ISNA(MATCH($N849,[1]data!$A:$A,0)),"",INDEX([1]data!M:M,MATCH($N849,[1]data!$A:$A,0)))</f>
        <v/>
      </c>
      <c r="AW849" s="38" t="str">
        <f>IF(ISNA(MATCH($N849,data!$A:$A,0)),"",INDEX(data!J:J,MATCH($N849,data!$A:$A,0)))</f>
        <v/>
      </c>
      <c r="AX849" s="38" t="str">
        <f>IF(ISNA(MATCH($N849,data!$A:$A,0)),"",INDEX(data!K:K,MATCH($N849,data!$A:$A,0)))</f>
        <v/>
      </c>
      <c r="AY849" s="38" t="str">
        <f>IF(ISNA(MATCH($N849,data!$A:$A,0)),"",INDEX(data!O:O,MATCH($N849,data!$A:$A,0)))</f>
        <v/>
      </c>
      <c r="AZ849" s="38" t="str">
        <f>IF(ISNA(MATCH($N849,data!$A:$A,0)),"",INDEX(data!N:N,MATCH($N849,data!$A:$A,0)))</f>
        <v/>
      </c>
      <c r="BA849" s="38" t="str">
        <f>IF(ISNA(MATCH($N849,data!$A:$A,0)),"",INDEX(data!P:P,MATCH($N849,data!$A:$A,0)))</f>
        <v/>
      </c>
      <c r="BB849" s="38" t="str">
        <f>IF(ISNA(MATCH($N849,data!$A:$A,0)),"",INDEX(data!Q:Q,MATCH($N849,data!$A:$A,0)))</f>
        <v/>
      </c>
      <c r="BC849" s="38" t="str">
        <f>IF(ISNA(MATCH($N849,data!$A:$A,0)),"",INDEX(data!R:R,MATCH($N849,data!$A:$A,0)))</f>
        <v/>
      </c>
      <c r="BD849" s="38" t="str">
        <f>IF(ISNA(MATCH($N849,[1]data!$A:$A,0)),"",INDEX([1]data!U:U,MATCH($N849,[1]data!$A:$A,0)))</f>
        <v/>
      </c>
      <c r="BE849" s="61" t="e">
        <f>IF(COUNTIF([1]data!A:A,[1]!Table1[[#This Row],[UPC]])&lt;2,"","DUP")</f>
        <v>#VALUE!</v>
      </c>
      <c r="BF849" s="38" t="str">
        <f>IF(ISNA(MATCH($N849,data!$A:$A,0)),"",INDEX(data!W:W,MATCH($N849,data!$A:$A,0)))</f>
        <v/>
      </c>
    </row>
    <row r="850" spans="1:58">
      <c r="A850" s="35"/>
      <c r="B850" s="35"/>
      <c r="C850" s="35"/>
      <c r="D850" s="35"/>
      <c r="E850" s="67"/>
      <c r="F850" s="67"/>
      <c r="G850" s="36"/>
      <c r="H850" s="29"/>
      <c r="I850" s="78" t="str">
        <f t="shared" si="22"/>
        <v/>
      </c>
      <c r="J850" s="29"/>
      <c r="K850" s="29"/>
      <c r="L850" s="33"/>
      <c r="M850" s="33"/>
      <c r="N850" s="60"/>
      <c r="O850" s="71"/>
      <c r="P850" s="71"/>
      <c r="Q850" s="33"/>
      <c r="R850" s="31"/>
      <c r="S850" s="31"/>
      <c r="T850" s="59"/>
      <c r="U850" s="59"/>
      <c r="V850" s="59"/>
      <c r="W850" s="57">
        <f t="shared" si="23"/>
        <v>0</v>
      </c>
      <c r="X850" s="126" t="str">
        <f>IF(Table1[[#This Row],[Shipping Weight Pounds]]&gt;150,"See LTL Form","No")</f>
        <v>No</v>
      </c>
      <c r="Y850" s="28"/>
      <c r="Z850" s="33"/>
      <c r="AA850" s="34"/>
      <c r="AB850" s="30"/>
      <c r="AC850" s="30"/>
      <c r="AD850" s="32"/>
      <c r="AE850" s="32"/>
      <c r="AF850" s="2"/>
      <c r="AG850" s="2"/>
      <c r="AH850" s="2"/>
      <c r="AI850" s="2"/>
      <c r="AK850" s="73" t="str">
        <f>IF(ISNA(MATCH($N850,[1]data!$A:$A,0)),"",INDEX([1]data!S:S,MATCH($N850,[1]data!$A:$A,0)))</f>
        <v/>
      </c>
      <c r="AL850" s="73" t="str">
        <f>IF(ISNA(MATCH($N850,[1]data!$A:$A,0)),"",INDEX([1]data!V:V,MATCH($N850,[1]data!$A:$A,0)))</f>
        <v/>
      </c>
      <c r="AM850" s="38" t="str">
        <f>IF(ISNA(MATCH($N850,data!$A:$A,0)),"",INDEX(data!B:B,MATCH($N850,data!$A:$A,0)))</f>
        <v/>
      </c>
      <c r="AN850" s="38" t="str">
        <f>IF(ISNA(MATCH($N850,data!$A:$A,0)),"",INDEX(data!C:C,MATCH($N850,data!$A:$A,0)))</f>
        <v/>
      </c>
      <c r="AO850" s="38" t="str">
        <f>IF(ISNA(MATCH($N850,data!$A:$A,0)),"",INDEX(data!D:D,MATCH($N850,data!$A:$A,0)))</f>
        <v/>
      </c>
      <c r="AP850" s="38" t="str">
        <f>IF(ISNA(MATCH($N850,data!$A:$A,0)),"",INDEX(data!E:E,MATCH($N850,data!$A:$A,0)))</f>
        <v/>
      </c>
      <c r="AQ850" s="38" t="str">
        <f>IF(ISNA(MATCH($N850,data!$A:$A,0)),"",INDEX(data!F:F,MATCH($N850,data!$A:$A,0)))</f>
        <v/>
      </c>
      <c r="AR850" s="38" t="str">
        <f>IF(ISNA(MATCH($N850,data!$A:$A,0)),"",INDEX(data!G:G,MATCH($N850,data!$A:$A,0)))</f>
        <v/>
      </c>
      <c r="AS850" s="38" t="str">
        <f>IF(ISNA(MATCH($N850,data!$A:$A,0)),"",INDEX(data!H:H,MATCH($N850,data!$A:$A,0)))</f>
        <v/>
      </c>
      <c r="AT850" s="38" t="str">
        <f>IF(ISNA(MATCH($N850,data!$A:$A,0)),"",INDEX(data!I:I,MATCH($N850,data!$A:$A,0)))</f>
        <v/>
      </c>
      <c r="AU850" s="38" t="str">
        <f>IF(ISNA(MATCH($N850,[1]data!$A:$A,0)),"",INDEX([1]data!L:L,MATCH($N850,[1]data!$A:$A,0)))</f>
        <v/>
      </c>
      <c r="AV850" s="38" t="str">
        <f>IF(ISNA(MATCH($N850,[1]data!$A:$A,0)),"",INDEX([1]data!M:M,MATCH($N850,[1]data!$A:$A,0)))</f>
        <v/>
      </c>
      <c r="AW850" s="38" t="str">
        <f>IF(ISNA(MATCH($N850,data!$A:$A,0)),"",INDEX(data!J:J,MATCH($N850,data!$A:$A,0)))</f>
        <v/>
      </c>
      <c r="AX850" s="38" t="str">
        <f>IF(ISNA(MATCH($N850,data!$A:$A,0)),"",INDEX(data!K:K,MATCH($N850,data!$A:$A,0)))</f>
        <v/>
      </c>
      <c r="AY850" s="38" t="str">
        <f>IF(ISNA(MATCH($N850,data!$A:$A,0)),"",INDEX(data!O:O,MATCH($N850,data!$A:$A,0)))</f>
        <v/>
      </c>
      <c r="AZ850" s="38" t="str">
        <f>IF(ISNA(MATCH($N850,data!$A:$A,0)),"",INDEX(data!N:N,MATCH($N850,data!$A:$A,0)))</f>
        <v/>
      </c>
      <c r="BA850" s="38" t="str">
        <f>IF(ISNA(MATCH($N850,data!$A:$A,0)),"",INDEX(data!P:P,MATCH($N850,data!$A:$A,0)))</f>
        <v/>
      </c>
      <c r="BB850" s="38" t="str">
        <f>IF(ISNA(MATCH($N850,data!$A:$A,0)),"",INDEX(data!Q:Q,MATCH($N850,data!$A:$A,0)))</f>
        <v/>
      </c>
      <c r="BC850" s="38" t="str">
        <f>IF(ISNA(MATCH($N850,data!$A:$A,0)),"",INDEX(data!R:R,MATCH($N850,data!$A:$A,0)))</f>
        <v/>
      </c>
      <c r="BD850" s="38" t="str">
        <f>IF(ISNA(MATCH($N850,[1]data!$A:$A,0)),"",INDEX([1]data!U:U,MATCH($N850,[1]data!$A:$A,0)))</f>
        <v/>
      </c>
      <c r="BE850" s="61" t="e">
        <f>IF(COUNTIF([1]data!A:A,[1]!Table1[[#This Row],[UPC]])&lt;2,"","DUP")</f>
        <v>#VALUE!</v>
      </c>
      <c r="BF850" s="38" t="str">
        <f>IF(ISNA(MATCH($N850,data!$A:$A,0)),"",INDEX(data!W:W,MATCH($N850,data!$A:$A,0)))</f>
        <v/>
      </c>
    </row>
    <row r="851" spans="1:58">
      <c r="A851" s="35"/>
      <c r="B851" s="35"/>
      <c r="C851" s="35"/>
      <c r="D851" s="35"/>
      <c r="E851" s="67"/>
      <c r="F851" s="67"/>
      <c r="G851" s="36"/>
      <c r="H851" s="29"/>
      <c r="I851" s="78" t="str">
        <f t="shared" si="22"/>
        <v/>
      </c>
      <c r="J851" s="29"/>
      <c r="K851" s="29"/>
      <c r="L851" s="33"/>
      <c r="M851" s="33"/>
      <c r="N851" s="60"/>
      <c r="O851" s="71"/>
      <c r="P851" s="71"/>
      <c r="Q851" s="33"/>
      <c r="R851" s="31"/>
      <c r="S851" s="31"/>
      <c r="T851" s="59"/>
      <c r="U851" s="59"/>
      <c r="V851" s="59"/>
      <c r="W851" s="57">
        <f t="shared" si="23"/>
        <v>0</v>
      </c>
      <c r="X851" s="126" t="str">
        <f>IF(Table1[[#This Row],[Shipping Weight Pounds]]&gt;150,"See LTL Form","No")</f>
        <v>No</v>
      </c>
      <c r="Y851" s="28"/>
      <c r="Z851" s="33"/>
      <c r="AA851" s="34"/>
      <c r="AB851" s="30"/>
      <c r="AC851" s="30"/>
      <c r="AD851" s="32"/>
      <c r="AE851" s="32"/>
      <c r="AF851" s="2"/>
      <c r="AG851" s="2"/>
      <c r="AH851" s="2"/>
      <c r="AI851" s="2"/>
      <c r="AK851" s="73" t="str">
        <f>IF(ISNA(MATCH($N851,[1]data!$A:$A,0)),"",INDEX([1]data!S:S,MATCH($N851,[1]data!$A:$A,0)))</f>
        <v/>
      </c>
      <c r="AL851" s="73" t="str">
        <f>IF(ISNA(MATCH($N851,[1]data!$A:$A,0)),"",INDEX([1]data!V:V,MATCH($N851,[1]data!$A:$A,0)))</f>
        <v/>
      </c>
      <c r="AM851" s="38" t="str">
        <f>IF(ISNA(MATCH($N851,data!$A:$A,0)),"",INDEX(data!B:B,MATCH($N851,data!$A:$A,0)))</f>
        <v/>
      </c>
      <c r="AN851" s="38" t="str">
        <f>IF(ISNA(MATCH($N851,data!$A:$A,0)),"",INDEX(data!C:C,MATCH($N851,data!$A:$A,0)))</f>
        <v/>
      </c>
      <c r="AO851" s="38" t="str">
        <f>IF(ISNA(MATCH($N851,data!$A:$A,0)),"",INDEX(data!D:D,MATCH($N851,data!$A:$A,0)))</f>
        <v/>
      </c>
      <c r="AP851" s="38" t="str">
        <f>IF(ISNA(MATCH($N851,data!$A:$A,0)),"",INDEX(data!E:E,MATCH($N851,data!$A:$A,0)))</f>
        <v/>
      </c>
      <c r="AQ851" s="38" t="str">
        <f>IF(ISNA(MATCH($N851,data!$A:$A,0)),"",INDEX(data!F:F,MATCH($N851,data!$A:$A,0)))</f>
        <v/>
      </c>
      <c r="AR851" s="38" t="str">
        <f>IF(ISNA(MATCH($N851,data!$A:$A,0)),"",INDEX(data!G:G,MATCH($N851,data!$A:$A,0)))</f>
        <v/>
      </c>
      <c r="AS851" s="38" t="str">
        <f>IF(ISNA(MATCH($N851,data!$A:$A,0)),"",INDEX(data!H:H,MATCH($N851,data!$A:$A,0)))</f>
        <v/>
      </c>
      <c r="AT851" s="38" t="str">
        <f>IF(ISNA(MATCH($N851,data!$A:$A,0)),"",INDEX(data!I:I,MATCH($N851,data!$A:$A,0)))</f>
        <v/>
      </c>
      <c r="AU851" s="38" t="str">
        <f>IF(ISNA(MATCH($N851,[1]data!$A:$A,0)),"",INDEX([1]data!L:L,MATCH($N851,[1]data!$A:$A,0)))</f>
        <v/>
      </c>
      <c r="AV851" s="38" t="str">
        <f>IF(ISNA(MATCH($N851,[1]data!$A:$A,0)),"",INDEX([1]data!M:M,MATCH($N851,[1]data!$A:$A,0)))</f>
        <v/>
      </c>
      <c r="AW851" s="38" t="str">
        <f>IF(ISNA(MATCH($N851,data!$A:$A,0)),"",INDEX(data!J:J,MATCH($N851,data!$A:$A,0)))</f>
        <v/>
      </c>
      <c r="AX851" s="38" t="str">
        <f>IF(ISNA(MATCH($N851,data!$A:$A,0)),"",INDEX(data!K:K,MATCH($N851,data!$A:$A,0)))</f>
        <v/>
      </c>
      <c r="AY851" s="38" t="str">
        <f>IF(ISNA(MATCH($N851,data!$A:$A,0)),"",INDEX(data!O:O,MATCH($N851,data!$A:$A,0)))</f>
        <v/>
      </c>
      <c r="AZ851" s="38" t="str">
        <f>IF(ISNA(MATCH($N851,data!$A:$A,0)),"",INDEX(data!N:N,MATCH($N851,data!$A:$A,0)))</f>
        <v/>
      </c>
      <c r="BA851" s="38" t="str">
        <f>IF(ISNA(MATCH($N851,data!$A:$A,0)),"",INDEX(data!P:P,MATCH($N851,data!$A:$A,0)))</f>
        <v/>
      </c>
      <c r="BB851" s="38" t="str">
        <f>IF(ISNA(MATCH($N851,data!$A:$A,0)),"",INDEX(data!Q:Q,MATCH($N851,data!$A:$A,0)))</f>
        <v/>
      </c>
      <c r="BC851" s="38" t="str">
        <f>IF(ISNA(MATCH($N851,data!$A:$A,0)),"",INDEX(data!R:R,MATCH($N851,data!$A:$A,0)))</f>
        <v/>
      </c>
      <c r="BD851" s="38" t="str">
        <f>IF(ISNA(MATCH($N851,[1]data!$A:$A,0)),"",INDEX([1]data!U:U,MATCH($N851,[1]data!$A:$A,0)))</f>
        <v/>
      </c>
      <c r="BE851" s="61" t="e">
        <f>IF(COUNTIF([1]data!A:A,[1]!Table1[[#This Row],[UPC]])&lt;2,"","DUP")</f>
        <v>#VALUE!</v>
      </c>
      <c r="BF851" s="38" t="str">
        <f>IF(ISNA(MATCH($N851,data!$A:$A,0)),"",INDEX(data!W:W,MATCH($N851,data!$A:$A,0)))</f>
        <v/>
      </c>
    </row>
    <row r="852" spans="1:58">
      <c r="A852" s="35"/>
      <c r="B852" s="35"/>
      <c r="C852" s="35"/>
      <c r="D852" s="35"/>
      <c r="E852" s="67"/>
      <c r="F852" s="67"/>
      <c r="G852" s="36"/>
      <c r="H852" s="29"/>
      <c r="I852" s="78" t="str">
        <f t="shared" si="22"/>
        <v/>
      </c>
      <c r="J852" s="29"/>
      <c r="K852" s="29"/>
      <c r="L852" s="33"/>
      <c r="M852" s="33"/>
      <c r="N852" s="60"/>
      <c r="O852" s="71"/>
      <c r="P852" s="71"/>
      <c r="Q852" s="33"/>
      <c r="R852" s="31"/>
      <c r="S852" s="31"/>
      <c r="T852" s="59"/>
      <c r="U852" s="59"/>
      <c r="V852" s="59"/>
      <c r="W852" s="57">
        <f t="shared" si="23"/>
        <v>0</v>
      </c>
      <c r="X852" s="126" t="str">
        <f>IF(Table1[[#This Row],[Shipping Weight Pounds]]&gt;150,"See LTL Form","No")</f>
        <v>No</v>
      </c>
      <c r="Y852" s="28"/>
      <c r="Z852" s="33"/>
      <c r="AA852" s="34"/>
      <c r="AB852" s="30"/>
      <c r="AC852" s="30"/>
      <c r="AD852" s="32"/>
      <c r="AE852" s="32"/>
      <c r="AF852" s="2"/>
      <c r="AG852" s="2"/>
      <c r="AH852" s="2"/>
      <c r="AI852" s="2"/>
      <c r="AK852" s="73" t="str">
        <f>IF(ISNA(MATCH($N852,[1]data!$A:$A,0)),"",INDEX([1]data!S:S,MATCH($N852,[1]data!$A:$A,0)))</f>
        <v/>
      </c>
      <c r="AL852" s="73" t="str">
        <f>IF(ISNA(MATCH($N852,[1]data!$A:$A,0)),"",INDEX([1]data!V:V,MATCH($N852,[1]data!$A:$A,0)))</f>
        <v/>
      </c>
      <c r="AM852" s="38" t="str">
        <f>IF(ISNA(MATCH($N852,data!$A:$A,0)),"",INDEX(data!B:B,MATCH($N852,data!$A:$A,0)))</f>
        <v/>
      </c>
      <c r="AN852" s="38" t="str">
        <f>IF(ISNA(MATCH($N852,data!$A:$A,0)),"",INDEX(data!C:C,MATCH($N852,data!$A:$A,0)))</f>
        <v/>
      </c>
      <c r="AO852" s="38" t="str">
        <f>IF(ISNA(MATCH($N852,data!$A:$A,0)),"",INDEX(data!D:D,MATCH($N852,data!$A:$A,0)))</f>
        <v/>
      </c>
      <c r="AP852" s="38" t="str">
        <f>IF(ISNA(MATCH($N852,data!$A:$A,0)),"",INDEX(data!E:E,MATCH($N852,data!$A:$A,0)))</f>
        <v/>
      </c>
      <c r="AQ852" s="38" t="str">
        <f>IF(ISNA(MATCH($N852,data!$A:$A,0)),"",INDEX(data!F:F,MATCH($N852,data!$A:$A,0)))</f>
        <v/>
      </c>
      <c r="AR852" s="38" t="str">
        <f>IF(ISNA(MATCH($N852,data!$A:$A,0)),"",INDEX(data!G:G,MATCH($N852,data!$A:$A,0)))</f>
        <v/>
      </c>
      <c r="AS852" s="38" t="str">
        <f>IF(ISNA(MATCH($N852,data!$A:$A,0)),"",INDEX(data!H:H,MATCH($N852,data!$A:$A,0)))</f>
        <v/>
      </c>
      <c r="AT852" s="38" t="str">
        <f>IF(ISNA(MATCH($N852,data!$A:$A,0)),"",INDEX(data!I:I,MATCH($N852,data!$A:$A,0)))</f>
        <v/>
      </c>
      <c r="AU852" s="38" t="str">
        <f>IF(ISNA(MATCH($N852,[1]data!$A:$A,0)),"",INDEX([1]data!L:L,MATCH($N852,[1]data!$A:$A,0)))</f>
        <v/>
      </c>
      <c r="AV852" s="38" t="str">
        <f>IF(ISNA(MATCH($N852,[1]data!$A:$A,0)),"",INDEX([1]data!M:M,MATCH($N852,[1]data!$A:$A,0)))</f>
        <v/>
      </c>
      <c r="AW852" s="38" t="str">
        <f>IF(ISNA(MATCH($N852,data!$A:$A,0)),"",INDEX(data!J:J,MATCH($N852,data!$A:$A,0)))</f>
        <v/>
      </c>
      <c r="AX852" s="38" t="str">
        <f>IF(ISNA(MATCH($N852,data!$A:$A,0)),"",INDEX(data!K:K,MATCH($N852,data!$A:$A,0)))</f>
        <v/>
      </c>
      <c r="AY852" s="38" t="str">
        <f>IF(ISNA(MATCH($N852,data!$A:$A,0)),"",INDEX(data!O:O,MATCH($N852,data!$A:$A,0)))</f>
        <v/>
      </c>
      <c r="AZ852" s="38" t="str">
        <f>IF(ISNA(MATCH($N852,data!$A:$A,0)),"",INDEX(data!N:N,MATCH($N852,data!$A:$A,0)))</f>
        <v/>
      </c>
      <c r="BA852" s="38" t="str">
        <f>IF(ISNA(MATCH($N852,data!$A:$A,0)),"",INDEX(data!P:P,MATCH($N852,data!$A:$A,0)))</f>
        <v/>
      </c>
      <c r="BB852" s="38" t="str">
        <f>IF(ISNA(MATCH($N852,data!$A:$A,0)),"",INDEX(data!Q:Q,MATCH($N852,data!$A:$A,0)))</f>
        <v/>
      </c>
      <c r="BC852" s="38" t="str">
        <f>IF(ISNA(MATCH($N852,data!$A:$A,0)),"",INDEX(data!R:R,MATCH($N852,data!$A:$A,0)))</f>
        <v/>
      </c>
      <c r="BD852" s="38" t="str">
        <f>IF(ISNA(MATCH($N852,[1]data!$A:$A,0)),"",INDEX([1]data!U:U,MATCH($N852,[1]data!$A:$A,0)))</f>
        <v/>
      </c>
      <c r="BE852" s="61" t="e">
        <f>IF(COUNTIF([1]data!A:A,[1]!Table1[[#This Row],[UPC]])&lt;2,"","DUP")</f>
        <v>#VALUE!</v>
      </c>
      <c r="BF852" s="38" t="str">
        <f>IF(ISNA(MATCH($N852,data!$A:$A,0)),"",INDEX(data!W:W,MATCH($N852,data!$A:$A,0)))</f>
        <v/>
      </c>
    </row>
    <row r="853" spans="1:58">
      <c r="A853" s="35"/>
      <c r="B853" s="35"/>
      <c r="C853" s="35"/>
      <c r="D853" s="35"/>
      <c r="E853" s="67"/>
      <c r="F853" s="67"/>
      <c r="G853" s="36"/>
      <c r="H853" s="29"/>
      <c r="I853" s="78" t="str">
        <f t="shared" si="22"/>
        <v/>
      </c>
      <c r="J853" s="29"/>
      <c r="K853" s="29"/>
      <c r="L853" s="33"/>
      <c r="M853" s="33"/>
      <c r="N853" s="60"/>
      <c r="O853" s="71"/>
      <c r="P853" s="71"/>
      <c r="Q853" s="33"/>
      <c r="R853" s="31"/>
      <c r="S853" s="31"/>
      <c r="T853" s="59"/>
      <c r="U853" s="59"/>
      <c r="V853" s="59"/>
      <c r="W853" s="57">
        <f t="shared" si="23"/>
        <v>0</v>
      </c>
      <c r="X853" s="126" t="str">
        <f>IF(Table1[[#This Row],[Shipping Weight Pounds]]&gt;150,"See LTL Form","No")</f>
        <v>No</v>
      </c>
      <c r="Y853" s="28"/>
      <c r="Z853" s="33"/>
      <c r="AA853" s="34"/>
      <c r="AB853" s="30"/>
      <c r="AC853" s="30"/>
      <c r="AD853" s="32"/>
      <c r="AE853" s="32"/>
      <c r="AF853" s="2"/>
      <c r="AG853" s="2"/>
      <c r="AH853" s="2"/>
      <c r="AI853" s="2"/>
      <c r="AK853" s="73" t="str">
        <f>IF(ISNA(MATCH($N853,[1]data!$A:$A,0)),"",INDEX([1]data!S:S,MATCH($N853,[1]data!$A:$A,0)))</f>
        <v/>
      </c>
      <c r="AL853" s="73" t="str">
        <f>IF(ISNA(MATCH($N853,[1]data!$A:$A,0)),"",INDEX([1]data!V:V,MATCH($N853,[1]data!$A:$A,0)))</f>
        <v/>
      </c>
      <c r="AM853" s="38" t="str">
        <f>IF(ISNA(MATCH($N853,data!$A:$A,0)),"",INDEX(data!B:B,MATCH($N853,data!$A:$A,0)))</f>
        <v/>
      </c>
      <c r="AN853" s="38" t="str">
        <f>IF(ISNA(MATCH($N853,data!$A:$A,0)),"",INDEX(data!C:C,MATCH($N853,data!$A:$A,0)))</f>
        <v/>
      </c>
      <c r="AO853" s="38" t="str">
        <f>IF(ISNA(MATCH($N853,data!$A:$A,0)),"",INDEX(data!D:D,MATCH($N853,data!$A:$A,0)))</f>
        <v/>
      </c>
      <c r="AP853" s="38" t="str">
        <f>IF(ISNA(MATCH($N853,data!$A:$A,0)),"",INDEX(data!E:E,MATCH($N853,data!$A:$A,0)))</f>
        <v/>
      </c>
      <c r="AQ853" s="38" t="str">
        <f>IF(ISNA(MATCH($N853,data!$A:$A,0)),"",INDEX(data!F:F,MATCH($N853,data!$A:$A,0)))</f>
        <v/>
      </c>
      <c r="AR853" s="38" t="str">
        <f>IF(ISNA(MATCH($N853,data!$A:$A,0)),"",INDEX(data!G:G,MATCH($N853,data!$A:$A,0)))</f>
        <v/>
      </c>
      <c r="AS853" s="38" t="str">
        <f>IF(ISNA(MATCH($N853,data!$A:$A,0)),"",INDEX(data!H:H,MATCH($N853,data!$A:$A,0)))</f>
        <v/>
      </c>
      <c r="AT853" s="38" t="str">
        <f>IF(ISNA(MATCH($N853,data!$A:$A,0)),"",INDEX(data!I:I,MATCH($N853,data!$A:$A,0)))</f>
        <v/>
      </c>
      <c r="AU853" s="38" t="str">
        <f>IF(ISNA(MATCH($N853,[1]data!$A:$A,0)),"",INDEX([1]data!L:L,MATCH($N853,[1]data!$A:$A,0)))</f>
        <v/>
      </c>
      <c r="AV853" s="38" t="str">
        <f>IF(ISNA(MATCH($N853,[1]data!$A:$A,0)),"",INDEX([1]data!M:M,MATCH($N853,[1]data!$A:$A,0)))</f>
        <v/>
      </c>
      <c r="AW853" s="38" t="str">
        <f>IF(ISNA(MATCH($N853,data!$A:$A,0)),"",INDEX(data!J:J,MATCH($N853,data!$A:$A,0)))</f>
        <v/>
      </c>
      <c r="AX853" s="38" t="str">
        <f>IF(ISNA(MATCH($N853,data!$A:$A,0)),"",INDEX(data!K:K,MATCH($N853,data!$A:$A,0)))</f>
        <v/>
      </c>
      <c r="AY853" s="38" t="str">
        <f>IF(ISNA(MATCH($N853,data!$A:$A,0)),"",INDEX(data!O:O,MATCH($N853,data!$A:$A,0)))</f>
        <v/>
      </c>
      <c r="AZ853" s="38" t="str">
        <f>IF(ISNA(MATCH($N853,data!$A:$A,0)),"",INDEX(data!N:N,MATCH($N853,data!$A:$A,0)))</f>
        <v/>
      </c>
      <c r="BA853" s="38" t="str">
        <f>IF(ISNA(MATCH($N853,data!$A:$A,0)),"",INDEX(data!P:P,MATCH($N853,data!$A:$A,0)))</f>
        <v/>
      </c>
      <c r="BB853" s="38" t="str">
        <f>IF(ISNA(MATCH($N853,data!$A:$A,0)),"",INDEX(data!Q:Q,MATCH($N853,data!$A:$A,0)))</f>
        <v/>
      </c>
      <c r="BC853" s="38" t="str">
        <f>IF(ISNA(MATCH($N853,data!$A:$A,0)),"",INDEX(data!R:R,MATCH($N853,data!$A:$A,0)))</f>
        <v/>
      </c>
      <c r="BD853" s="38" t="str">
        <f>IF(ISNA(MATCH($N853,[1]data!$A:$A,0)),"",INDEX([1]data!U:U,MATCH($N853,[1]data!$A:$A,0)))</f>
        <v/>
      </c>
      <c r="BE853" s="61" t="e">
        <f>IF(COUNTIF([1]data!A:A,[1]!Table1[[#This Row],[UPC]])&lt;2,"","DUP")</f>
        <v>#VALUE!</v>
      </c>
      <c r="BF853" s="38" t="str">
        <f>IF(ISNA(MATCH($N853,data!$A:$A,0)),"",INDEX(data!W:W,MATCH($N853,data!$A:$A,0)))</f>
        <v/>
      </c>
    </row>
    <row r="854" spans="1:58">
      <c r="A854" s="35"/>
      <c r="B854" s="35"/>
      <c r="C854" s="35"/>
      <c r="D854" s="35"/>
      <c r="E854" s="67"/>
      <c r="F854" s="67"/>
      <c r="G854" s="36"/>
      <c r="H854" s="29"/>
      <c r="I854" s="78" t="str">
        <f t="shared" si="22"/>
        <v/>
      </c>
      <c r="J854" s="29"/>
      <c r="K854" s="29"/>
      <c r="L854" s="33"/>
      <c r="M854" s="33"/>
      <c r="N854" s="60"/>
      <c r="O854" s="71"/>
      <c r="P854" s="71"/>
      <c r="Q854" s="33"/>
      <c r="R854" s="31"/>
      <c r="S854" s="31"/>
      <c r="T854" s="59"/>
      <c r="U854" s="59"/>
      <c r="V854" s="59"/>
      <c r="W854" s="57">
        <f t="shared" si="23"/>
        <v>0</v>
      </c>
      <c r="X854" s="126" t="str">
        <f>IF(Table1[[#This Row],[Shipping Weight Pounds]]&gt;150,"See LTL Form","No")</f>
        <v>No</v>
      </c>
      <c r="Y854" s="28"/>
      <c r="Z854" s="33"/>
      <c r="AA854" s="34"/>
      <c r="AB854" s="30"/>
      <c r="AC854" s="30"/>
      <c r="AD854" s="32"/>
      <c r="AE854" s="32"/>
      <c r="AF854" s="2"/>
      <c r="AG854" s="2"/>
      <c r="AH854" s="2"/>
      <c r="AI854" s="2"/>
      <c r="AK854" s="73" t="str">
        <f>IF(ISNA(MATCH($N854,[1]data!$A:$A,0)),"",INDEX([1]data!S:S,MATCH($N854,[1]data!$A:$A,0)))</f>
        <v/>
      </c>
      <c r="AL854" s="73" t="str">
        <f>IF(ISNA(MATCH($N854,[1]data!$A:$A,0)),"",INDEX([1]data!V:V,MATCH($N854,[1]data!$A:$A,0)))</f>
        <v/>
      </c>
      <c r="AM854" s="38" t="str">
        <f>IF(ISNA(MATCH($N854,data!$A:$A,0)),"",INDEX(data!B:B,MATCH($N854,data!$A:$A,0)))</f>
        <v/>
      </c>
      <c r="AN854" s="38" t="str">
        <f>IF(ISNA(MATCH($N854,data!$A:$A,0)),"",INDEX(data!C:C,MATCH($N854,data!$A:$A,0)))</f>
        <v/>
      </c>
      <c r="AO854" s="38" t="str">
        <f>IF(ISNA(MATCH($N854,data!$A:$A,0)),"",INDEX(data!D:D,MATCH($N854,data!$A:$A,0)))</f>
        <v/>
      </c>
      <c r="AP854" s="38" t="str">
        <f>IF(ISNA(MATCH($N854,data!$A:$A,0)),"",INDEX(data!E:E,MATCH($N854,data!$A:$A,0)))</f>
        <v/>
      </c>
      <c r="AQ854" s="38" t="str">
        <f>IF(ISNA(MATCH($N854,data!$A:$A,0)),"",INDEX(data!F:F,MATCH($N854,data!$A:$A,0)))</f>
        <v/>
      </c>
      <c r="AR854" s="38" t="str">
        <f>IF(ISNA(MATCH($N854,data!$A:$A,0)),"",INDEX(data!G:G,MATCH($N854,data!$A:$A,0)))</f>
        <v/>
      </c>
      <c r="AS854" s="38" t="str">
        <f>IF(ISNA(MATCH($N854,data!$A:$A,0)),"",INDEX(data!H:H,MATCH($N854,data!$A:$A,0)))</f>
        <v/>
      </c>
      <c r="AT854" s="38" t="str">
        <f>IF(ISNA(MATCH($N854,data!$A:$A,0)),"",INDEX(data!I:I,MATCH($N854,data!$A:$A,0)))</f>
        <v/>
      </c>
      <c r="AU854" s="38" t="str">
        <f>IF(ISNA(MATCH($N854,[1]data!$A:$A,0)),"",INDEX([1]data!L:L,MATCH($N854,[1]data!$A:$A,0)))</f>
        <v/>
      </c>
      <c r="AV854" s="38" t="str">
        <f>IF(ISNA(MATCH($N854,[1]data!$A:$A,0)),"",INDEX([1]data!M:M,MATCH($N854,[1]data!$A:$A,0)))</f>
        <v/>
      </c>
      <c r="AW854" s="38" t="str">
        <f>IF(ISNA(MATCH($N854,data!$A:$A,0)),"",INDEX(data!J:J,MATCH($N854,data!$A:$A,0)))</f>
        <v/>
      </c>
      <c r="AX854" s="38" t="str">
        <f>IF(ISNA(MATCH($N854,data!$A:$A,0)),"",INDEX(data!K:K,MATCH($N854,data!$A:$A,0)))</f>
        <v/>
      </c>
      <c r="AY854" s="38" t="str">
        <f>IF(ISNA(MATCH($N854,data!$A:$A,0)),"",INDEX(data!O:O,MATCH($N854,data!$A:$A,0)))</f>
        <v/>
      </c>
      <c r="AZ854" s="38" t="str">
        <f>IF(ISNA(MATCH($N854,data!$A:$A,0)),"",INDEX(data!N:N,MATCH($N854,data!$A:$A,0)))</f>
        <v/>
      </c>
      <c r="BA854" s="38" t="str">
        <f>IF(ISNA(MATCH($N854,data!$A:$A,0)),"",INDEX(data!P:P,MATCH($N854,data!$A:$A,0)))</f>
        <v/>
      </c>
      <c r="BB854" s="38" t="str">
        <f>IF(ISNA(MATCH($N854,data!$A:$A,0)),"",INDEX(data!Q:Q,MATCH($N854,data!$A:$A,0)))</f>
        <v/>
      </c>
      <c r="BC854" s="38" t="str">
        <f>IF(ISNA(MATCH($N854,data!$A:$A,0)),"",INDEX(data!R:R,MATCH($N854,data!$A:$A,0)))</f>
        <v/>
      </c>
      <c r="BD854" s="38" t="str">
        <f>IF(ISNA(MATCH($N854,[1]data!$A:$A,0)),"",INDEX([1]data!U:U,MATCH($N854,[1]data!$A:$A,0)))</f>
        <v/>
      </c>
      <c r="BE854" s="61" t="e">
        <f>IF(COUNTIF([1]data!A:A,[1]!Table1[[#This Row],[UPC]])&lt;2,"","DUP")</f>
        <v>#VALUE!</v>
      </c>
      <c r="BF854" s="38" t="str">
        <f>IF(ISNA(MATCH($N854,data!$A:$A,0)),"",INDEX(data!W:W,MATCH($N854,data!$A:$A,0)))</f>
        <v/>
      </c>
    </row>
    <row r="855" spans="1:58">
      <c r="A855" s="35"/>
      <c r="B855" s="35"/>
      <c r="C855" s="35"/>
      <c r="D855" s="35"/>
      <c r="E855" s="67"/>
      <c r="F855" s="67"/>
      <c r="G855" s="36"/>
      <c r="H855" s="29"/>
      <c r="I855" s="78" t="str">
        <f t="shared" si="22"/>
        <v/>
      </c>
      <c r="J855" s="29"/>
      <c r="K855" s="29"/>
      <c r="L855" s="33"/>
      <c r="M855" s="33"/>
      <c r="N855" s="60"/>
      <c r="O855" s="71"/>
      <c r="P855" s="71"/>
      <c r="Q855" s="33"/>
      <c r="R855" s="31"/>
      <c r="S855" s="31"/>
      <c r="T855" s="59"/>
      <c r="U855" s="59"/>
      <c r="V855" s="59"/>
      <c r="W855" s="57">
        <f t="shared" si="23"/>
        <v>0</v>
      </c>
      <c r="X855" s="126" t="str">
        <f>IF(Table1[[#This Row],[Shipping Weight Pounds]]&gt;150,"See LTL Form","No")</f>
        <v>No</v>
      </c>
      <c r="Y855" s="28"/>
      <c r="Z855" s="33"/>
      <c r="AA855" s="34"/>
      <c r="AB855" s="30"/>
      <c r="AC855" s="30"/>
      <c r="AD855" s="32"/>
      <c r="AE855" s="32"/>
      <c r="AF855" s="2"/>
      <c r="AG855" s="2"/>
      <c r="AH855" s="2"/>
      <c r="AI855" s="2"/>
      <c r="AK855" s="73" t="str">
        <f>IF(ISNA(MATCH($N855,[1]data!$A:$A,0)),"",INDEX([1]data!S:S,MATCH($N855,[1]data!$A:$A,0)))</f>
        <v/>
      </c>
      <c r="AL855" s="73" t="str">
        <f>IF(ISNA(MATCH($N855,[1]data!$A:$A,0)),"",INDEX([1]data!V:V,MATCH($N855,[1]data!$A:$A,0)))</f>
        <v/>
      </c>
      <c r="AM855" s="38" t="str">
        <f>IF(ISNA(MATCH($N855,data!$A:$A,0)),"",INDEX(data!B:B,MATCH($N855,data!$A:$A,0)))</f>
        <v/>
      </c>
      <c r="AN855" s="38" t="str">
        <f>IF(ISNA(MATCH($N855,data!$A:$A,0)),"",INDEX(data!C:C,MATCH($N855,data!$A:$A,0)))</f>
        <v/>
      </c>
      <c r="AO855" s="38" t="str">
        <f>IF(ISNA(MATCH($N855,data!$A:$A,0)),"",INDEX(data!D:D,MATCH($N855,data!$A:$A,0)))</f>
        <v/>
      </c>
      <c r="AP855" s="38" t="str">
        <f>IF(ISNA(MATCH($N855,data!$A:$A,0)),"",INDEX(data!E:E,MATCH($N855,data!$A:$A,0)))</f>
        <v/>
      </c>
      <c r="AQ855" s="38" t="str">
        <f>IF(ISNA(MATCH($N855,data!$A:$A,0)),"",INDEX(data!F:F,MATCH($N855,data!$A:$A,0)))</f>
        <v/>
      </c>
      <c r="AR855" s="38" t="str">
        <f>IF(ISNA(MATCH($N855,data!$A:$A,0)),"",INDEX(data!G:G,MATCH($N855,data!$A:$A,0)))</f>
        <v/>
      </c>
      <c r="AS855" s="38" t="str">
        <f>IF(ISNA(MATCH($N855,data!$A:$A,0)),"",INDEX(data!H:H,MATCH($N855,data!$A:$A,0)))</f>
        <v/>
      </c>
      <c r="AT855" s="38" t="str">
        <f>IF(ISNA(MATCH($N855,data!$A:$A,0)),"",INDEX(data!I:I,MATCH($N855,data!$A:$A,0)))</f>
        <v/>
      </c>
      <c r="AU855" s="38" t="str">
        <f>IF(ISNA(MATCH($N855,[1]data!$A:$A,0)),"",INDEX([1]data!L:L,MATCH($N855,[1]data!$A:$A,0)))</f>
        <v/>
      </c>
      <c r="AV855" s="38" t="str">
        <f>IF(ISNA(MATCH($N855,[1]data!$A:$A,0)),"",INDEX([1]data!M:M,MATCH($N855,[1]data!$A:$A,0)))</f>
        <v/>
      </c>
      <c r="AW855" s="38" t="str">
        <f>IF(ISNA(MATCH($N855,data!$A:$A,0)),"",INDEX(data!J:J,MATCH($N855,data!$A:$A,0)))</f>
        <v/>
      </c>
      <c r="AX855" s="38" t="str">
        <f>IF(ISNA(MATCH($N855,data!$A:$A,0)),"",INDEX(data!K:K,MATCH($N855,data!$A:$A,0)))</f>
        <v/>
      </c>
      <c r="AY855" s="38" t="str">
        <f>IF(ISNA(MATCH($N855,data!$A:$A,0)),"",INDEX(data!O:O,MATCH($N855,data!$A:$A,0)))</f>
        <v/>
      </c>
      <c r="AZ855" s="38" t="str">
        <f>IF(ISNA(MATCH($N855,data!$A:$A,0)),"",INDEX(data!N:N,MATCH($N855,data!$A:$A,0)))</f>
        <v/>
      </c>
      <c r="BA855" s="38" t="str">
        <f>IF(ISNA(MATCH($N855,data!$A:$A,0)),"",INDEX(data!P:P,MATCH($N855,data!$A:$A,0)))</f>
        <v/>
      </c>
      <c r="BB855" s="38" t="str">
        <f>IF(ISNA(MATCH($N855,data!$A:$A,0)),"",INDEX(data!Q:Q,MATCH($N855,data!$A:$A,0)))</f>
        <v/>
      </c>
      <c r="BC855" s="38" t="str">
        <f>IF(ISNA(MATCH($N855,data!$A:$A,0)),"",INDEX(data!R:R,MATCH($N855,data!$A:$A,0)))</f>
        <v/>
      </c>
      <c r="BD855" s="38" t="str">
        <f>IF(ISNA(MATCH($N855,[1]data!$A:$A,0)),"",INDEX([1]data!U:U,MATCH($N855,[1]data!$A:$A,0)))</f>
        <v/>
      </c>
      <c r="BE855" s="61" t="e">
        <f>IF(COUNTIF([1]data!A:A,[1]!Table1[[#This Row],[UPC]])&lt;2,"","DUP")</f>
        <v>#VALUE!</v>
      </c>
      <c r="BF855" s="38" t="str">
        <f>IF(ISNA(MATCH($N855,data!$A:$A,0)),"",INDEX(data!W:W,MATCH($N855,data!$A:$A,0)))</f>
        <v/>
      </c>
    </row>
    <row r="856" spans="1:58">
      <c r="A856" s="35"/>
      <c r="B856" s="35"/>
      <c r="C856" s="35"/>
      <c r="D856" s="35"/>
      <c r="E856" s="67"/>
      <c r="F856" s="67"/>
      <c r="G856" s="36"/>
      <c r="H856" s="29"/>
      <c r="I856" s="78" t="str">
        <f t="shared" si="22"/>
        <v/>
      </c>
      <c r="J856" s="29"/>
      <c r="K856" s="29"/>
      <c r="L856" s="33"/>
      <c r="M856" s="33"/>
      <c r="N856" s="60"/>
      <c r="O856" s="71"/>
      <c r="P856" s="71"/>
      <c r="Q856" s="33"/>
      <c r="R856" s="31"/>
      <c r="S856" s="31"/>
      <c r="T856" s="59"/>
      <c r="U856" s="59"/>
      <c r="V856" s="59"/>
      <c r="W856" s="57">
        <f t="shared" si="23"/>
        <v>0</v>
      </c>
      <c r="X856" s="126" t="str">
        <f>IF(Table1[[#This Row],[Shipping Weight Pounds]]&gt;150,"See LTL Form","No")</f>
        <v>No</v>
      </c>
      <c r="Y856" s="28"/>
      <c r="Z856" s="33"/>
      <c r="AA856" s="34"/>
      <c r="AB856" s="30"/>
      <c r="AC856" s="30"/>
      <c r="AD856" s="32"/>
      <c r="AE856" s="32"/>
      <c r="AF856" s="2"/>
      <c r="AG856" s="2"/>
      <c r="AH856" s="2"/>
      <c r="AI856" s="2"/>
      <c r="AK856" s="73" t="str">
        <f>IF(ISNA(MATCH($N856,[1]data!$A:$A,0)),"",INDEX([1]data!S:S,MATCH($N856,[1]data!$A:$A,0)))</f>
        <v/>
      </c>
      <c r="AL856" s="73" t="str">
        <f>IF(ISNA(MATCH($N856,[1]data!$A:$A,0)),"",INDEX([1]data!V:V,MATCH($N856,[1]data!$A:$A,0)))</f>
        <v/>
      </c>
      <c r="AM856" s="38" t="str">
        <f>IF(ISNA(MATCH($N856,data!$A:$A,0)),"",INDEX(data!B:B,MATCH($N856,data!$A:$A,0)))</f>
        <v/>
      </c>
      <c r="AN856" s="38" t="str">
        <f>IF(ISNA(MATCH($N856,data!$A:$A,0)),"",INDEX(data!C:C,MATCH($N856,data!$A:$A,0)))</f>
        <v/>
      </c>
      <c r="AO856" s="38" t="str">
        <f>IF(ISNA(MATCH($N856,data!$A:$A,0)),"",INDEX(data!D:D,MATCH($N856,data!$A:$A,0)))</f>
        <v/>
      </c>
      <c r="AP856" s="38" t="str">
        <f>IF(ISNA(MATCH($N856,data!$A:$A,0)),"",INDEX(data!E:E,MATCH($N856,data!$A:$A,0)))</f>
        <v/>
      </c>
      <c r="AQ856" s="38" t="str">
        <f>IF(ISNA(MATCH($N856,data!$A:$A,0)),"",INDEX(data!F:F,MATCH($N856,data!$A:$A,0)))</f>
        <v/>
      </c>
      <c r="AR856" s="38" t="str">
        <f>IF(ISNA(MATCH($N856,data!$A:$A,0)),"",INDEX(data!G:G,MATCH($N856,data!$A:$A,0)))</f>
        <v/>
      </c>
      <c r="AS856" s="38" t="str">
        <f>IF(ISNA(MATCH($N856,data!$A:$A,0)),"",INDEX(data!H:H,MATCH($N856,data!$A:$A,0)))</f>
        <v/>
      </c>
      <c r="AT856" s="38" t="str">
        <f>IF(ISNA(MATCH($N856,data!$A:$A,0)),"",INDEX(data!I:I,MATCH($N856,data!$A:$A,0)))</f>
        <v/>
      </c>
      <c r="AU856" s="38" t="str">
        <f>IF(ISNA(MATCH($N856,[1]data!$A:$A,0)),"",INDEX([1]data!L:L,MATCH($N856,[1]data!$A:$A,0)))</f>
        <v/>
      </c>
      <c r="AV856" s="38" t="str">
        <f>IF(ISNA(MATCH($N856,[1]data!$A:$A,0)),"",INDEX([1]data!M:M,MATCH($N856,[1]data!$A:$A,0)))</f>
        <v/>
      </c>
      <c r="AW856" s="38" t="str">
        <f>IF(ISNA(MATCH($N856,data!$A:$A,0)),"",INDEX(data!J:J,MATCH($N856,data!$A:$A,0)))</f>
        <v/>
      </c>
      <c r="AX856" s="38" t="str">
        <f>IF(ISNA(MATCH($N856,data!$A:$A,0)),"",INDEX(data!K:K,MATCH($N856,data!$A:$A,0)))</f>
        <v/>
      </c>
      <c r="AY856" s="38" t="str">
        <f>IF(ISNA(MATCH($N856,data!$A:$A,0)),"",INDEX(data!O:O,MATCH($N856,data!$A:$A,0)))</f>
        <v/>
      </c>
      <c r="AZ856" s="38" t="str">
        <f>IF(ISNA(MATCH($N856,data!$A:$A,0)),"",INDEX(data!N:N,MATCH($N856,data!$A:$A,0)))</f>
        <v/>
      </c>
      <c r="BA856" s="38" t="str">
        <f>IF(ISNA(MATCH($N856,data!$A:$A,0)),"",INDEX(data!P:P,MATCH($N856,data!$A:$A,0)))</f>
        <v/>
      </c>
      <c r="BB856" s="38" t="str">
        <f>IF(ISNA(MATCH($N856,data!$A:$A,0)),"",INDEX(data!Q:Q,MATCH($N856,data!$A:$A,0)))</f>
        <v/>
      </c>
      <c r="BC856" s="38" t="str">
        <f>IF(ISNA(MATCH($N856,data!$A:$A,0)),"",INDEX(data!R:R,MATCH($N856,data!$A:$A,0)))</f>
        <v/>
      </c>
      <c r="BD856" s="38" t="str">
        <f>IF(ISNA(MATCH($N856,[1]data!$A:$A,0)),"",INDEX([1]data!U:U,MATCH($N856,[1]data!$A:$A,0)))</f>
        <v/>
      </c>
      <c r="BE856" s="61" t="e">
        <f>IF(COUNTIF([1]data!A:A,[1]!Table1[[#This Row],[UPC]])&lt;2,"","DUP")</f>
        <v>#VALUE!</v>
      </c>
      <c r="BF856" s="38" t="str">
        <f>IF(ISNA(MATCH($N856,data!$A:$A,0)),"",INDEX(data!W:W,MATCH($N856,data!$A:$A,0)))</f>
        <v/>
      </c>
    </row>
    <row r="857" spans="1:58">
      <c r="A857" s="35"/>
      <c r="B857" s="35"/>
      <c r="C857" s="35"/>
      <c r="D857" s="35"/>
      <c r="E857" s="67"/>
      <c r="F857" s="67"/>
      <c r="G857" s="36"/>
      <c r="H857" s="29"/>
      <c r="I857" s="78" t="str">
        <f t="shared" si="22"/>
        <v/>
      </c>
      <c r="J857" s="29"/>
      <c r="K857" s="29"/>
      <c r="L857" s="33"/>
      <c r="M857" s="33"/>
      <c r="N857" s="60"/>
      <c r="O857" s="71"/>
      <c r="P857" s="71"/>
      <c r="Q857" s="33"/>
      <c r="R857" s="31"/>
      <c r="S857" s="31"/>
      <c r="T857" s="59"/>
      <c r="U857" s="59"/>
      <c r="V857" s="59"/>
      <c r="W857" s="57">
        <f t="shared" si="23"/>
        <v>0</v>
      </c>
      <c r="X857" s="126" t="str">
        <f>IF(Table1[[#This Row],[Shipping Weight Pounds]]&gt;150,"See LTL Form","No")</f>
        <v>No</v>
      </c>
      <c r="Y857" s="28"/>
      <c r="Z857" s="33"/>
      <c r="AA857" s="34"/>
      <c r="AB857" s="30"/>
      <c r="AC857" s="30"/>
      <c r="AD857" s="32"/>
      <c r="AE857" s="32"/>
      <c r="AF857" s="2"/>
      <c r="AG857" s="2"/>
      <c r="AH857" s="2"/>
      <c r="AI857" s="2"/>
      <c r="AK857" s="73" t="str">
        <f>IF(ISNA(MATCH($N857,[1]data!$A:$A,0)),"",INDEX([1]data!S:S,MATCH($N857,[1]data!$A:$A,0)))</f>
        <v/>
      </c>
      <c r="AL857" s="73" t="str">
        <f>IF(ISNA(MATCH($N857,[1]data!$A:$A,0)),"",INDEX([1]data!V:V,MATCH($N857,[1]data!$A:$A,0)))</f>
        <v/>
      </c>
      <c r="AM857" s="38" t="str">
        <f>IF(ISNA(MATCH($N857,data!$A:$A,0)),"",INDEX(data!B:B,MATCH($N857,data!$A:$A,0)))</f>
        <v/>
      </c>
      <c r="AN857" s="38" t="str">
        <f>IF(ISNA(MATCH($N857,data!$A:$A,0)),"",INDEX(data!C:C,MATCH($N857,data!$A:$A,0)))</f>
        <v/>
      </c>
      <c r="AO857" s="38" t="str">
        <f>IF(ISNA(MATCH($N857,data!$A:$A,0)),"",INDEX(data!D:D,MATCH($N857,data!$A:$A,0)))</f>
        <v/>
      </c>
      <c r="AP857" s="38" t="str">
        <f>IF(ISNA(MATCH($N857,data!$A:$A,0)),"",INDEX(data!E:E,MATCH($N857,data!$A:$A,0)))</f>
        <v/>
      </c>
      <c r="AQ857" s="38" t="str">
        <f>IF(ISNA(MATCH($N857,data!$A:$A,0)),"",INDEX(data!F:F,MATCH($N857,data!$A:$A,0)))</f>
        <v/>
      </c>
      <c r="AR857" s="38" t="str">
        <f>IF(ISNA(MATCH($N857,data!$A:$A,0)),"",INDEX(data!G:G,MATCH($N857,data!$A:$A,0)))</f>
        <v/>
      </c>
      <c r="AS857" s="38" t="str">
        <f>IF(ISNA(MATCH($N857,data!$A:$A,0)),"",INDEX(data!H:H,MATCH($N857,data!$A:$A,0)))</f>
        <v/>
      </c>
      <c r="AT857" s="38" t="str">
        <f>IF(ISNA(MATCH($N857,data!$A:$A,0)),"",INDEX(data!I:I,MATCH($N857,data!$A:$A,0)))</f>
        <v/>
      </c>
      <c r="AU857" s="38" t="str">
        <f>IF(ISNA(MATCH($N857,[1]data!$A:$A,0)),"",INDEX([1]data!L:L,MATCH($N857,[1]data!$A:$A,0)))</f>
        <v/>
      </c>
      <c r="AV857" s="38" t="str">
        <f>IF(ISNA(MATCH($N857,[1]data!$A:$A,0)),"",INDEX([1]data!M:M,MATCH($N857,[1]data!$A:$A,0)))</f>
        <v/>
      </c>
      <c r="AW857" s="38" t="str">
        <f>IF(ISNA(MATCH($N857,data!$A:$A,0)),"",INDEX(data!J:J,MATCH($N857,data!$A:$A,0)))</f>
        <v/>
      </c>
      <c r="AX857" s="38" t="str">
        <f>IF(ISNA(MATCH($N857,data!$A:$A,0)),"",INDEX(data!K:K,MATCH($N857,data!$A:$A,0)))</f>
        <v/>
      </c>
      <c r="AY857" s="38" t="str">
        <f>IF(ISNA(MATCH($N857,data!$A:$A,0)),"",INDEX(data!O:O,MATCH($N857,data!$A:$A,0)))</f>
        <v/>
      </c>
      <c r="AZ857" s="38" t="str">
        <f>IF(ISNA(MATCH($N857,data!$A:$A,0)),"",INDEX(data!N:N,MATCH($N857,data!$A:$A,0)))</f>
        <v/>
      </c>
      <c r="BA857" s="38" t="str">
        <f>IF(ISNA(MATCH($N857,data!$A:$A,0)),"",INDEX(data!P:P,MATCH($N857,data!$A:$A,0)))</f>
        <v/>
      </c>
      <c r="BB857" s="38" t="str">
        <f>IF(ISNA(MATCH($N857,data!$A:$A,0)),"",INDEX(data!Q:Q,MATCH($N857,data!$A:$A,0)))</f>
        <v/>
      </c>
      <c r="BC857" s="38" t="str">
        <f>IF(ISNA(MATCH($N857,data!$A:$A,0)),"",INDEX(data!R:R,MATCH($N857,data!$A:$A,0)))</f>
        <v/>
      </c>
      <c r="BD857" s="38" t="str">
        <f>IF(ISNA(MATCH($N857,[1]data!$A:$A,0)),"",INDEX([1]data!U:U,MATCH($N857,[1]data!$A:$A,0)))</f>
        <v/>
      </c>
      <c r="BE857" s="61" t="e">
        <f>IF(COUNTIF([1]data!A:A,[1]!Table1[[#This Row],[UPC]])&lt;2,"","DUP")</f>
        <v>#VALUE!</v>
      </c>
      <c r="BF857" s="38" t="str">
        <f>IF(ISNA(MATCH($N857,data!$A:$A,0)),"",INDEX(data!W:W,MATCH($N857,data!$A:$A,0)))</f>
        <v/>
      </c>
    </row>
    <row r="858" spans="1:58">
      <c r="A858" s="35"/>
      <c r="B858" s="35"/>
      <c r="C858" s="35"/>
      <c r="D858" s="35"/>
      <c r="E858" s="67"/>
      <c r="F858" s="67"/>
      <c r="G858" s="36"/>
      <c r="H858" s="29"/>
      <c r="I858" s="78" t="str">
        <f t="shared" si="22"/>
        <v/>
      </c>
      <c r="J858" s="29"/>
      <c r="K858" s="29"/>
      <c r="L858" s="33"/>
      <c r="M858" s="33"/>
      <c r="N858" s="60"/>
      <c r="O858" s="71"/>
      <c r="P858" s="71"/>
      <c r="Q858" s="33"/>
      <c r="R858" s="31"/>
      <c r="S858" s="31"/>
      <c r="T858" s="59"/>
      <c r="U858" s="59"/>
      <c r="V858" s="59"/>
      <c r="W858" s="57">
        <f t="shared" si="23"/>
        <v>0</v>
      </c>
      <c r="X858" s="126" t="str">
        <f>IF(Table1[[#This Row],[Shipping Weight Pounds]]&gt;150,"See LTL Form","No")</f>
        <v>No</v>
      </c>
      <c r="Y858" s="28"/>
      <c r="Z858" s="33"/>
      <c r="AA858" s="34"/>
      <c r="AB858" s="30"/>
      <c r="AC858" s="30"/>
      <c r="AD858" s="32"/>
      <c r="AE858" s="32"/>
      <c r="AF858" s="2"/>
      <c r="AG858" s="2"/>
      <c r="AH858" s="2"/>
      <c r="AI858" s="2"/>
      <c r="AK858" s="73" t="str">
        <f>IF(ISNA(MATCH($N858,[1]data!$A:$A,0)),"",INDEX([1]data!S:S,MATCH($N858,[1]data!$A:$A,0)))</f>
        <v/>
      </c>
      <c r="AL858" s="73" t="str">
        <f>IF(ISNA(MATCH($N858,[1]data!$A:$A,0)),"",INDEX([1]data!V:V,MATCH($N858,[1]data!$A:$A,0)))</f>
        <v/>
      </c>
      <c r="AM858" s="38" t="str">
        <f>IF(ISNA(MATCH($N858,data!$A:$A,0)),"",INDEX(data!B:B,MATCH($N858,data!$A:$A,0)))</f>
        <v/>
      </c>
      <c r="AN858" s="38" t="str">
        <f>IF(ISNA(MATCH($N858,data!$A:$A,0)),"",INDEX(data!C:C,MATCH($N858,data!$A:$A,0)))</f>
        <v/>
      </c>
      <c r="AO858" s="38" t="str">
        <f>IF(ISNA(MATCH($N858,data!$A:$A,0)),"",INDEX(data!D:D,MATCH($N858,data!$A:$A,0)))</f>
        <v/>
      </c>
      <c r="AP858" s="38" t="str">
        <f>IF(ISNA(MATCH($N858,data!$A:$A,0)),"",INDEX(data!E:E,MATCH($N858,data!$A:$A,0)))</f>
        <v/>
      </c>
      <c r="AQ858" s="38" t="str">
        <f>IF(ISNA(MATCH($N858,data!$A:$A,0)),"",INDEX(data!F:F,MATCH($N858,data!$A:$A,0)))</f>
        <v/>
      </c>
      <c r="AR858" s="38" t="str">
        <f>IF(ISNA(MATCH($N858,data!$A:$A,0)),"",INDEX(data!G:G,MATCH($N858,data!$A:$A,0)))</f>
        <v/>
      </c>
      <c r="AS858" s="38" t="str">
        <f>IF(ISNA(MATCH($N858,data!$A:$A,0)),"",INDEX(data!H:H,MATCH($N858,data!$A:$A,0)))</f>
        <v/>
      </c>
      <c r="AT858" s="38" t="str">
        <f>IF(ISNA(MATCH($N858,data!$A:$A,0)),"",INDEX(data!I:I,MATCH($N858,data!$A:$A,0)))</f>
        <v/>
      </c>
      <c r="AU858" s="38" t="str">
        <f>IF(ISNA(MATCH($N858,[1]data!$A:$A,0)),"",INDEX([1]data!L:L,MATCH($N858,[1]data!$A:$A,0)))</f>
        <v/>
      </c>
      <c r="AV858" s="38" t="str">
        <f>IF(ISNA(MATCH($N858,[1]data!$A:$A,0)),"",INDEX([1]data!M:M,MATCH($N858,[1]data!$A:$A,0)))</f>
        <v/>
      </c>
      <c r="AW858" s="38" t="str">
        <f>IF(ISNA(MATCH($N858,data!$A:$A,0)),"",INDEX(data!J:J,MATCH($N858,data!$A:$A,0)))</f>
        <v/>
      </c>
      <c r="AX858" s="38" t="str">
        <f>IF(ISNA(MATCH($N858,data!$A:$A,0)),"",INDEX(data!K:K,MATCH($N858,data!$A:$A,0)))</f>
        <v/>
      </c>
      <c r="AY858" s="38" t="str">
        <f>IF(ISNA(MATCH($N858,data!$A:$A,0)),"",INDEX(data!O:O,MATCH($N858,data!$A:$A,0)))</f>
        <v/>
      </c>
      <c r="AZ858" s="38" t="str">
        <f>IF(ISNA(MATCH($N858,data!$A:$A,0)),"",INDEX(data!N:N,MATCH($N858,data!$A:$A,0)))</f>
        <v/>
      </c>
      <c r="BA858" s="38" t="str">
        <f>IF(ISNA(MATCH($N858,data!$A:$A,0)),"",INDEX(data!P:P,MATCH($N858,data!$A:$A,0)))</f>
        <v/>
      </c>
      <c r="BB858" s="38" t="str">
        <f>IF(ISNA(MATCH($N858,data!$A:$A,0)),"",INDEX(data!Q:Q,MATCH($N858,data!$A:$A,0)))</f>
        <v/>
      </c>
      <c r="BC858" s="38" t="str">
        <f>IF(ISNA(MATCH($N858,data!$A:$A,0)),"",INDEX(data!R:R,MATCH($N858,data!$A:$A,0)))</f>
        <v/>
      </c>
      <c r="BD858" s="38" t="str">
        <f>IF(ISNA(MATCH($N858,[1]data!$A:$A,0)),"",INDEX([1]data!U:U,MATCH($N858,[1]data!$A:$A,0)))</f>
        <v/>
      </c>
      <c r="BE858" s="61" t="e">
        <f>IF(COUNTIF([1]data!A:A,[1]!Table1[[#This Row],[UPC]])&lt;2,"","DUP")</f>
        <v>#VALUE!</v>
      </c>
      <c r="BF858" s="38" t="str">
        <f>IF(ISNA(MATCH($N858,data!$A:$A,0)),"",INDEX(data!W:W,MATCH($N858,data!$A:$A,0)))</f>
        <v/>
      </c>
    </row>
    <row r="859" spans="1:58">
      <c r="A859" s="35"/>
      <c r="B859" s="35"/>
      <c r="C859" s="35"/>
      <c r="D859" s="35"/>
      <c r="E859" s="67"/>
      <c r="F859" s="67"/>
      <c r="G859" s="36"/>
      <c r="H859" s="29"/>
      <c r="I859" s="78" t="str">
        <f t="shared" si="22"/>
        <v/>
      </c>
      <c r="J859" s="29"/>
      <c r="K859" s="29"/>
      <c r="L859" s="33"/>
      <c r="M859" s="33"/>
      <c r="N859" s="60"/>
      <c r="O859" s="71"/>
      <c r="P859" s="71"/>
      <c r="Q859" s="33"/>
      <c r="R859" s="31"/>
      <c r="S859" s="31"/>
      <c r="T859" s="59"/>
      <c r="U859" s="59"/>
      <c r="V859" s="59"/>
      <c r="W859" s="57">
        <f t="shared" si="23"/>
        <v>0</v>
      </c>
      <c r="X859" s="126" t="str">
        <f>IF(Table1[[#This Row],[Shipping Weight Pounds]]&gt;150,"See LTL Form","No")</f>
        <v>No</v>
      </c>
      <c r="Y859" s="28"/>
      <c r="Z859" s="33"/>
      <c r="AA859" s="34"/>
      <c r="AB859" s="30"/>
      <c r="AC859" s="30"/>
      <c r="AD859" s="32"/>
      <c r="AE859" s="32"/>
      <c r="AF859" s="2"/>
      <c r="AG859" s="2"/>
      <c r="AH859" s="2"/>
      <c r="AI859" s="2"/>
      <c r="AK859" s="73" t="str">
        <f>IF(ISNA(MATCH($N859,[1]data!$A:$A,0)),"",INDEX([1]data!S:S,MATCH($N859,[1]data!$A:$A,0)))</f>
        <v/>
      </c>
      <c r="AL859" s="73" t="str">
        <f>IF(ISNA(MATCH($N859,[1]data!$A:$A,0)),"",INDEX([1]data!V:V,MATCH($N859,[1]data!$A:$A,0)))</f>
        <v/>
      </c>
      <c r="AM859" s="38" t="str">
        <f>IF(ISNA(MATCH($N859,data!$A:$A,0)),"",INDEX(data!B:B,MATCH($N859,data!$A:$A,0)))</f>
        <v/>
      </c>
      <c r="AN859" s="38" t="str">
        <f>IF(ISNA(MATCH($N859,data!$A:$A,0)),"",INDEX(data!C:C,MATCH($N859,data!$A:$A,0)))</f>
        <v/>
      </c>
      <c r="AO859" s="38" t="str">
        <f>IF(ISNA(MATCH($N859,data!$A:$A,0)),"",INDEX(data!D:D,MATCH($N859,data!$A:$A,0)))</f>
        <v/>
      </c>
      <c r="AP859" s="38" t="str">
        <f>IF(ISNA(MATCH($N859,data!$A:$A,0)),"",INDEX(data!E:E,MATCH($N859,data!$A:$A,0)))</f>
        <v/>
      </c>
      <c r="AQ859" s="38" t="str">
        <f>IF(ISNA(MATCH($N859,data!$A:$A,0)),"",INDEX(data!F:F,MATCH($N859,data!$A:$A,0)))</f>
        <v/>
      </c>
      <c r="AR859" s="38" t="str">
        <f>IF(ISNA(MATCH($N859,data!$A:$A,0)),"",INDEX(data!G:G,MATCH($N859,data!$A:$A,0)))</f>
        <v/>
      </c>
      <c r="AS859" s="38" t="str">
        <f>IF(ISNA(MATCH($N859,data!$A:$A,0)),"",INDEX(data!H:H,MATCH($N859,data!$A:$A,0)))</f>
        <v/>
      </c>
      <c r="AT859" s="38" t="str">
        <f>IF(ISNA(MATCH($N859,data!$A:$A,0)),"",INDEX(data!I:I,MATCH($N859,data!$A:$A,0)))</f>
        <v/>
      </c>
      <c r="AU859" s="38" t="str">
        <f>IF(ISNA(MATCH($N859,[1]data!$A:$A,0)),"",INDEX([1]data!L:L,MATCH($N859,[1]data!$A:$A,0)))</f>
        <v/>
      </c>
      <c r="AV859" s="38" t="str">
        <f>IF(ISNA(MATCH($N859,[1]data!$A:$A,0)),"",INDEX([1]data!M:M,MATCH($N859,[1]data!$A:$A,0)))</f>
        <v/>
      </c>
      <c r="AW859" s="38" t="str">
        <f>IF(ISNA(MATCH($N859,data!$A:$A,0)),"",INDEX(data!J:J,MATCH($N859,data!$A:$A,0)))</f>
        <v/>
      </c>
      <c r="AX859" s="38" t="str">
        <f>IF(ISNA(MATCH($N859,data!$A:$A,0)),"",INDEX(data!K:K,MATCH($N859,data!$A:$A,0)))</f>
        <v/>
      </c>
      <c r="AY859" s="38" t="str">
        <f>IF(ISNA(MATCH($N859,data!$A:$A,0)),"",INDEX(data!O:O,MATCH($N859,data!$A:$A,0)))</f>
        <v/>
      </c>
      <c r="AZ859" s="38" t="str">
        <f>IF(ISNA(MATCH($N859,data!$A:$A,0)),"",INDEX(data!N:N,MATCH($N859,data!$A:$A,0)))</f>
        <v/>
      </c>
      <c r="BA859" s="38" t="str">
        <f>IF(ISNA(MATCH($N859,data!$A:$A,0)),"",INDEX(data!P:P,MATCH($N859,data!$A:$A,0)))</f>
        <v/>
      </c>
      <c r="BB859" s="38" t="str">
        <f>IF(ISNA(MATCH($N859,data!$A:$A,0)),"",INDEX(data!Q:Q,MATCH($N859,data!$A:$A,0)))</f>
        <v/>
      </c>
      <c r="BC859" s="38" t="str">
        <f>IF(ISNA(MATCH($N859,data!$A:$A,0)),"",INDEX(data!R:R,MATCH($N859,data!$A:$A,0)))</f>
        <v/>
      </c>
      <c r="BD859" s="38" t="str">
        <f>IF(ISNA(MATCH($N859,[1]data!$A:$A,0)),"",INDEX([1]data!U:U,MATCH($N859,[1]data!$A:$A,0)))</f>
        <v/>
      </c>
      <c r="BE859" s="61" t="e">
        <f>IF(COUNTIF([1]data!A:A,[1]!Table1[[#This Row],[UPC]])&lt;2,"","DUP")</f>
        <v>#VALUE!</v>
      </c>
      <c r="BF859" s="38" t="str">
        <f>IF(ISNA(MATCH($N859,data!$A:$A,0)),"",INDEX(data!W:W,MATCH($N859,data!$A:$A,0)))</f>
        <v/>
      </c>
    </row>
    <row r="860" spans="1:58">
      <c r="A860" s="35"/>
      <c r="B860" s="35"/>
      <c r="C860" s="35"/>
      <c r="D860" s="35"/>
      <c r="E860" s="67"/>
      <c r="F860" s="67"/>
      <c r="G860" s="36"/>
      <c r="H860" s="29"/>
      <c r="I860" s="78" t="str">
        <f t="shared" si="22"/>
        <v/>
      </c>
      <c r="J860" s="29"/>
      <c r="K860" s="29"/>
      <c r="L860" s="33"/>
      <c r="M860" s="33"/>
      <c r="N860" s="60"/>
      <c r="O860" s="71"/>
      <c r="P860" s="71"/>
      <c r="Q860" s="33"/>
      <c r="R860" s="31"/>
      <c r="S860" s="31"/>
      <c r="T860" s="59"/>
      <c r="U860" s="59"/>
      <c r="V860" s="59"/>
      <c r="W860" s="57">
        <f t="shared" si="23"/>
        <v>0</v>
      </c>
      <c r="X860" s="126" t="str">
        <f>IF(Table1[[#This Row],[Shipping Weight Pounds]]&gt;150,"See LTL Form","No")</f>
        <v>No</v>
      </c>
      <c r="Y860" s="28"/>
      <c r="Z860" s="33"/>
      <c r="AA860" s="34"/>
      <c r="AB860" s="30"/>
      <c r="AC860" s="30"/>
      <c r="AD860" s="32"/>
      <c r="AE860" s="32"/>
      <c r="AF860" s="2"/>
      <c r="AG860" s="2"/>
      <c r="AH860" s="2"/>
      <c r="AI860" s="2"/>
      <c r="AK860" s="73" t="str">
        <f>IF(ISNA(MATCH($N860,[1]data!$A:$A,0)),"",INDEX([1]data!S:S,MATCH($N860,[1]data!$A:$A,0)))</f>
        <v/>
      </c>
      <c r="AL860" s="73" t="str">
        <f>IF(ISNA(MATCH($N860,[1]data!$A:$A,0)),"",INDEX([1]data!V:V,MATCH($N860,[1]data!$A:$A,0)))</f>
        <v/>
      </c>
      <c r="AM860" s="38" t="str">
        <f>IF(ISNA(MATCH($N860,data!$A:$A,0)),"",INDEX(data!B:B,MATCH($N860,data!$A:$A,0)))</f>
        <v/>
      </c>
      <c r="AN860" s="38" t="str">
        <f>IF(ISNA(MATCH($N860,data!$A:$A,0)),"",INDEX(data!C:C,MATCH($N860,data!$A:$A,0)))</f>
        <v/>
      </c>
      <c r="AO860" s="38" t="str">
        <f>IF(ISNA(MATCH($N860,data!$A:$A,0)),"",INDEX(data!D:D,MATCH($N860,data!$A:$A,0)))</f>
        <v/>
      </c>
      <c r="AP860" s="38" t="str">
        <f>IF(ISNA(MATCH($N860,data!$A:$A,0)),"",INDEX(data!E:E,MATCH($N860,data!$A:$A,0)))</f>
        <v/>
      </c>
      <c r="AQ860" s="38" t="str">
        <f>IF(ISNA(MATCH($N860,data!$A:$A,0)),"",INDEX(data!F:F,MATCH($N860,data!$A:$A,0)))</f>
        <v/>
      </c>
      <c r="AR860" s="38" t="str">
        <f>IF(ISNA(MATCH($N860,data!$A:$A,0)),"",INDEX(data!G:G,MATCH($N860,data!$A:$A,0)))</f>
        <v/>
      </c>
      <c r="AS860" s="38" t="str">
        <f>IF(ISNA(MATCH($N860,data!$A:$A,0)),"",INDEX(data!H:H,MATCH($N860,data!$A:$A,0)))</f>
        <v/>
      </c>
      <c r="AT860" s="38" t="str">
        <f>IF(ISNA(MATCH($N860,data!$A:$A,0)),"",INDEX(data!I:I,MATCH($N860,data!$A:$A,0)))</f>
        <v/>
      </c>
      <c r="AU860" s="38" t="str">
        <f>IF(ISNA(MATCH($N860,[1]data!$A:$A,0)),"",INDEX([1]data!L:L,MATCH($N860,[1]data!$A:$A,0)))</f>
        <v/>
      </c>
      <c r="AV860" s="38" t="str">
        <f>IF(ISNA(MATCH($N860,[1]data!$A:$A,0)),"",INDEX([1]data!M:M,MATCH($N860,[1]data!$A:$A,0)))</f>
        <v/>
      </c>
      <c r="AW860" s="38" t="str">
        <f>IF(ISNA(MATCH($N860,data!$A:$A,0)),"",INDEX(data!J:J,MATCH($N860,data!$A:$A,0)))</f>
        <v/>
      </c>
      <c r="AX860" s="38" t="str">
        <f>IF(ISNA(MATCH($N860,data!$A:$A,0)),"",INDEX(data!K:K,MATCH($N860,data!$A:$A,0)))</f>
        <v/>
      </c>
      <c r="AY860" s="38" t="str">
        <f>IF(ISNA(MATCH($N860,data!$A:$A,0)),"",INDEX(data!O:O,MATCH($N860,data!$A:$A,0)))</f>
        <v/>
      </c>
      <c r="AZ860" s="38" t="str">
        <f>IF(ISNA(MATCH($N860,data!$A:$A,0)),"",INDEX(data!N:N,MATCH($N860,data!$A:$A,0)))</f>
        <v/>
      </c>
      <c r="BA860" s="38" t="str">
        <f>IF(ISNA(MATCH($N860,data!$A:$A,0)),"",INDEX(data!P:P,MATCH($N860,data!$A:$A,0)))</f>
        <v/>
      </c>
      <c r="BB860" s="38" t="str">
        <f>IF(ISNA(MATCH($N860,data!$A:$A,0)),"",INDEX(data!Q:Q,MATCH($N860,data!$A:$A,0)))</f>
        <v/>
      </c>
      <c r="BC860" s="38" t="str">
        <f>IF(ISNA(MATCH($N860,data!$A:$A,0)),"",INDEX(data!R:R,MATCH($N860,data!$A:$A,0)))</f>
        <v/>
      </c>
      <c r="BD860" s="38" t="str">
        <f>IF(ISNA(MATCH($N860,[1]data!$A:$A,0)),"",INDEX([1]data!U:U,MATCH($N860,[1]data!$A:$A,0)))</f>
        <v/>
      </c>
      <c r="BE860" s="61" t="e">
        <f>IF(COUNTIF([1]data!A:A,[1]!Table1[[#This Row],[UPC]])&lt;2,"","DUP")</f>
        <v>#VALUE!</v>
      </c>
      <c r="BF860" s="38" t="str">
        <f>IF(ISNA(MATCH($N860,data!$A:$A,0)),"",INDEX(data!W:W,MATCH($N860,data!$A:$A,0)))</f>
        <v/>
      </c>
    </row>
    <row r="861" spans="1:58">
      <c r="A861" s="35"/>
      <c r="B861" s="35"/>
      <c r="C861" s="35"/>
      <c r="D861" s="35"/>
      <c r="E861" s="67"/>
      <c r="F861" s="67"/>
      <c r="G861" s="36"/>
      <c r="H861" s="29"/>
      <c r="I861" s="78" t="str">
        <f t="shared" si="22"/>
        <v/>
      </c>
      <c r="J861" s="29"/>
      <c r="K861" s="29"/>
      <c r="L861" s="33"/>
      <c r="M861" s="33"/>
      <c r="N861" s="60"/>
      <c r="O861" s="71"/>
      <c r="P861" s="71"/>
      <c r="Q861" s="33"/>
      <c r="R861" s="31"/>
      <c r="S861" s="31"/>
      <c r="T861" s="59"/>
      <c r="U861" s="59"/>
      <c r="V861" s="59"/>
      <c r="W861" s="57">
        <f t="shared" si="23"/>
        <v>0</v>
      </c>
      <c r="X861" s="126" t="str">
        <f>IF(Table1[[#This Row],[Shipping Weight Pounds]]&gt;150,"See LTL Form","No")</f>
        <v>No</v>
      </c>
      <c r="Y861" s="28"/>
      <c r="Z861" s="33"/>
      <c r="AA861" s="34"/>
      <c r="AB861" s="30"/>
      <c r="AC861" s="30"/>
      <c r="AD861" s="32"/>
      <c r="AE861" s="32"/>
      <c r="AF861" s="2"/>
      <c r="AG861" s="2"/>
      <c r="AH861" s="2"/>
      <c r="AI861" s="2"/>
      <c r="AK861" s="73" t="str">
        <f>IF(ISNA(MATCH($N861,[1]data!$A:$A,0)),"",INDEX([1]data!S:S,MATCH($N861,[1]data!$A:$A,0)))</f>
        <v/>
      </c>
      <c r="AL861" s="73" t="str">
        <f>IF(ISNA(MATCH($N861,[1]data!$A:$A,0)),"",INDEX([1]data!V:V,MATCH($N861,[1]data!$A:$A,0)))</f>
        <v/>
      </c>
      <c r="AM861" s="38" t="str">
        <f>IF(ISNA(MATCH($N861,data!$A:$A,0)),"",INDEX(data!B:B,MATCH($N861,data!$A:$A,0)))</f>
        <v/>
      </c>
      <c r="AN861" s="38" t="str">
        <f>IF(ISNA(MATCH($N861,data!$A:$A,0)),"",INDEX(data!C:C,MATCH($N861,data!$A:$A,0)))</f>
        <v/>
      </c>
      <c r="AO861" s="38" t="str">
        <f>IF(ISNA(MATCH($N861,data!$A:$A,0)),"",INDEX(data!D:D,MATCH($N861,data!$A:$A,0)))</f>
        <v/>
      </c>
      <c r="AP861" s="38" t="str">
        <f>IF(ISNA(MATCH($N861,data!$A:$A,0)),"",INDEX(data!E:E,MATCH($N861,data!$A:$A,0)))</f>
        <v/>
      </c>
      <c r="AQ861" s="38" t="str">
        <f>IF(ISNA(MATCH($N861,data!$A:$A,0)),"",INDEX(data!F:F,MATCH($N861,data!$A:$A,0)))</f>
        <v/>
      </c>
      <c r="AR861" s="38" t="str">
        <f>IF(ISNA(MATCH($N861,data!$A:$A,0)),"",INDEX(data!G:G,MATCH($N861,data!$A:$A,0)))</f>
        <v/>
      </c>
      <c r="AS861" s="38" t="str">
        <f>IF(ISNA(MATCH($N861,data!$A:$A,0)),"",INDEX(data!H:H,MATCH($N861,data!$A:$A,0)))</f>
        <v/>
      </c>
      <c r="AT861" s="38" t="str">
        <f>IF(ISNA(MATCH($N861,data!$A:$A,0)),"",INDEX(data!I:I,MATCH($N861,data!$A:$A,0)))</f>
        <v/>
      </c>
      <c r="AU861" s="38" t="str">
        <f>IF(ISNA(MATCH($N861,[1]data!$A:$A,0)),"",INDEX([1]data!L:L,MATCH($N861,[1]data!$A:$A,0)))</f>
        <v/>
      </c>
      <c r="AV861" s="38" t="str">
        <f>IF(ISNA(MATCH($N861,[1]data!$A:$A,0)),"",INDEX([1]data!M:M,MATCH($N861,[1]data!$A:$A,0)))</f>
        <v/>
      </c>
      <c r="AW861" s="38" t="str">
        <f>IF(ISNA(MATCH($N861,data!$A:$A,0)),"",INDEX(data!J:J,MATCH($N861,data!$A:$A,0)))</f>
        <v/>
      </c>
      <c r="AX861" s="38" t="str">
        <f>IF(ISNA(MATCH($N861,data!$A:$A,0)),"",INDEX(data!K:K,MATCH($N861,data!$A:$A,0)))</f>
        <v/>
      </c>
      <c r="AY861" s="38" t="str">
        <f>IF(ISNA(MATCH($N861,data!$A:$A,0)),"",INDEX(data!O:O,MATCH($N861,data!$A:$A,0)))</f>
        <v/>
      </c>
      <c r="AZ861" s="38" t="str">
        <f>IF(ISNA(MATCH($N861,data!$A:$A,0)),"",INDEX(data!N:N,MATCH($N861,data!$A:$A,0)))</f>
        <v/>
      </c>
      <c r="BA861" s="38" t="str">
        <f>IF(ISNA(MATCH($N861,data!$A:$A,0)),"",INDEX(data!P:P,MATCH($N861,data!$A:$A,0)))</f>
        <v/>
      </c>
      <c r="BB861" s="38" t="str">
        <f>IF(ISNA(MATCH($N861,data!$A:$A,0)),"",INDEX(data!Q:Q,MATCH($N861,data!$A:$A,0)))</f>
        <v/>
      </c>
      <c r="BC861" s="38" t="str">
        <f>IF(ISNA(MATCH($N861,data!$A:$A,0)),"",INDEX(data!R:R,MATCH($N861,data!$A:$A,0)))</f>
        <v/>
      </c>
      <c r="BD861" s="38" t="str">
        <f>IF(ISNA(MATCH($N861,[1]data!$A:$A,0)),"",INDEX([1]data!U:U,MATCH($N861,[1]data!$A:$A,0)))</f>
        <v/>
      </c>
      <c r="BE861" s="61" t="e">
        <f>IF(COUNTIF([1]data!A:A,[1]!Table1[[#This Row],[UPC]])&lt;2,"","DUP")</f>
        <v>#VALUE!</v>
      </c>
      <c r="BF861" s="38" t="str">
        <f>IF(ISNA(MATCH($N861,data!$A:$A,0)),"",INDEX(data!W:W,MATCH($N861,data!$A:$A,0)))</f>
        <v/>
      </c>
    </row>
    <row r="862" spans="1:58">
      <c r="A862" s="35"/>
      <c r="B862" s="35"/>
      <c r="C862" s="35"/>
      <c r="D862" s="35"/>
      <c r="E862" s="67"/>
      <c r="F862" s="67"/>
      <c r="G862" s="36"/>
      <c r="H862" s="29"/>
      <c r="I862" s="78" t="str">
        <f t="shared" si="22"/>
        <v/>
      </c>
      <c r="J862" s="29"/>
      <c r="K862" s="29"/>
      <c r="L862" s="33"/>
      <c r="M862" s="33"/>
      <c r="N862" s="60"/>
      <c r="O862" s="71"/>
      <c r="P862" s="71"/>
      <c r="Q862" s="33"/>
      <c r="R862" s="31"/>
      <c r="S862" s="31"/>
      <c r="T862" s="59"/>
      <c r="U862" s="59"/>
      <c r="V862" s="59"/>
      <c r="W862" s="57">
        <f t="shared" si="23"/>
        <v>0</v>
      </c>
      <c r="X862" s="126" t="str">
        <f>IF(Table1[[#This Row],[Shipping Weight Pounds]]&gt;150,"See LTL Form","No")</f>
        <v>No</v>
      </c>
      <c r="Y862" s="28"/>
      <c r="Z862" s="33"/>
      <c r="AA862" s="34"/>
      <c r="AB862" s="30"/>
      <c r="AC862" s="30"/>
      <c r="AD862" s="32"/>
      <c r="AE862" s="32"/>
      <c r="AF862" s="2"/>
      <c r="AG862" s="2"/>
      <c r="AH862" s="2"/>
      <c r="AI862" s="2"/>
      <c r="AK862" s="73" t="str">
        <f>IF(ISNA(MATCH($N862,[1]data!$A:$A,0)),"",INDEX([1]data!S:S,MATCH($N862,[1]data!$A:$A,0)))</f>
        <v/>
      </c>
      <c r="AL862" s="73" t="str">
        <f>IF(ISNA(MATCH($N862,[1]data!$A:$A,0)),"",INDEX([1]data!V:V,MATCH($N862,[1]data!$A:$A,0)))</f>
        <v/>
      </c>
      <c r="AM862" s="38" t="str">
        <f>IF(ISNA(MATCH($N862,data!$A:$A,0)),"",INDEX(data!B:B,MATCH($N862,data!$A:$A,0)))</f>
        <v/>
      </c>
      <c r="AN862" s="38" t="str">
        <f>IF(ISNA(MATCH($N862,data!$A:$A,0)),"",INDEX(data!C:C,MATCH($N862,data!$A:$A,0)))</f>
        <v/>
      </c>
      <c r="AO862" s="38" t="str">
        <f>IF(ISNA(MATCH($N862,data!$A:$A,0)),"",INDEX(data!D:D,MATCH($N862,data!$A:$A,0)))</f>
        <v/>
      </c>
      <c r="AP862" s="38" t="str">
        <f>IF(ISNA(MATCH($N862,data!$A:$A,0)),"",INDEX(data!E:E,MATCH($N862,data!$A:$A,0)))</f>
        <v/>
      </c>
      <c r="AQ862" s="38" t="str">
        <f>IF(ISNA(MATCH($N862,data!$A:$A,0)),"",INDEX(data!F:F,MATCH($N862,data!$A:$A,0)))</f>
        <v/>
      </c>
      <c r="AR862" s="38" t="str">
        <f>IF(ISNA(MATCH($N862,data!$A:$A,0)),"",INDEX(data!G:G,MATCH($N862,data!$A:$A,0)))</f>
        <v/>
      </c>
      <c r="AS862" s="38" t="str">
        <f>IF(ISNA(MATCH($N862,data!$A:$A,0)),"",INDEX(data!H:H,MATCH($N862,data!$A:$A,0)))</f>
        <v/>
      </c>
      <c r="AT862" s="38" t="str">
        <f>IF(ISNA(MATCH($N862,data!$A:$A,0)),"",INDEX(data!I:I,MATCH($N862,data!$A:$A,0)))</f>
        <v/>
      </c>
      <c r="AU862" s="38" t="str">
        <f>IF(ISNA(MATCH($N862,[1]data!$A:$A,0)),"",INDEX([1]data!L:L,MATCH($N862,[1]data!$A:$A,0)))</f>
        <v/>
      </c>
      <c r="AV862" s="38" t="str">
        <f>IF(ISNA(MATCH($N862,[1]data!$A:$A,0)),"",INDEX([1]data!M:M,MATCH($N862,[1]data!$A:$A,0)))</f>
        <v/>
      </c>
      <c r="AW862" s="38" t="str">
        <f>IF(ISNA(MATCH($N862,data!$A:$A,0)),"",INDEX(data!J:J,MATCH($N862,data!$A:$A,0)))</f>
        <v/>
      </c>
      <c r="AX862" s="38" t="str">
        <f>IF(ISNA(MATCH($N862,data!$A:$A,0)),"",INDEX(data!K:K,MATCH($N862,data!$A:$A,0)))</f>
        <v/>
      </c>
      <c r="AY862" s="38" t="str">
        <f>IF(ISNA(MATCH($N862,data!$A:$A,0)),"",INDEX(data!O:O,MATCH($N862,data!$A:$A,0)))</f>
        <v/>
      </c>
      <c r="AZ862" s="38" t="str">
        <f>IF(ISNA(MATCH($N862,data!$A:$A,0)),"",INDEX(data!N:N,MATCH($N862,data!$A:$A,0)))</f>
        <v/>
      </c>
      <c r="BA862" s="38" t="str">
        <f>IF(ISNA(MATCH($N862,data!$A:$A,0)),"",INDEX(data!P:P,MATCH($N862,data!$A:$A,0)))</f>
        <v/>
      </c>
      <c r="BB862" s="38" t="str">
        <f>IF(ISNA(MATCH($N862,data!$A:$A,0)),"",INDEX(data!Q:Q,MATCH($N862,data!$A:$A,0)))</f>
        <v/>
      </c>
      <c r="BC862" s="38" t="str">
        <f>IF(ISNA(MATCH($N862,data!$A:$A,0)),"",INDEX(data!R:R,MATCH($N862,data!$A:$A,0)))</f>
        <v/>
      </c>
      <c r="BD862" s="38" t="str">
        <f>IF(ISNA(MATCH($N862,[1]data!$A:$A,0)),"",INDEX([1]data!U:U,MATCH($N862,[1]data!$A:$A,0)))</f>
        <v/>
      </c>
      <c r="BE862" s="61" t="e">
        <f>IF(COUNTIF([1]data!A:A,[1]!Table1[[#This Row],[UPC]])&lt;2,"","DUP")</f>
        <v>#VALUE!</v>
      </c>
      <c r="BF862" s="38" t="str">
        <f>IF(ISNA(MATCH($N862,data!$A:$A,0)),"",INDEX(data!W:W,MATCH($N862,data!$A:$A,0)))</f>
        <v/>
      </c>
    </row>
    <row r="863" spans="1:58">
      <c r="A863" s="35"/>
      <c r="B863" s="35"/>
      <c r="C863" s="35"/>
      <c r="D863" s="35"/>
      <c r="E863" s="67"/>
      <c r="F863" s="67"/>
      <c r="G863" s="36"/>
      <c r="H863" s="29"/>
      <c r="I863" s="78" t="str">
        <f t="shared" si="22"/>
        <v/>
      </c>
      <c r="J863" s="29"/>
      <c r="K863" s="29"/>
      <c r="L863" s="33"/>
      <c r="M863" s="33"/>
      <c r="N863" s="60"/>
      <c r="O863" s="71"/>
      <c r="P863" s="71"/>
      <c r="Q863" s="33"/>
      <c r="R863" s="31"/>
      <c r="S863" s="31"/>
      <c r="T863" s="59"/>
      <c r="U863" s="59"/>
      <c r="V863" s="59"/>
      <c r="W863" s="57">
        <f t="shared" si="23"/>
        <v>0</v>
      </c>
      <c r="X863" s="126" t="str">
        <f>IF(Table1[[#This Row],[Shipping Weight Pounds]]&gt;150,"See LTL Form","No")</f>
        <v>No</v>
      </c>
      <c r="Y863" s="28"/>
      <c r="Z863" s="33"/>
      <c r="AA863" s="34"/>
      <c r="AB863" s="30"/>
      <c r="AC863" s="30"/>
      <c r="AD863" s="32"/>
      <c r="AE863" s="32"/>
      <c r="AF863" s="2"/>
      <c r="AG863" s="2"/>
      <c r="AH863" s="2"/>
      <c r="AI863" s="2"/>
      <c r="AK863" s="73" t="str">
        <f>IF(ISNA(MATCH($N863,[1]data!$A:$A,0)),"",INDEX([1]data!S:S,MATCH($N863,[1]data!$A:$A,0)))</f>
        <v/>
      </c>
      <c r="AL863" s="73" t="str">
        <f>IF(ISNA(MATCH($N863,[1]data!$A:$A,0)),"",INDEX([1]data!V:V,MATCH($N863,[1]data!$A:$A,0)))</f>
        <v/>
      </c>
      <c r="AM863" s="38" t="str">
        <f>IF(ISNA(MATCH($N863,data!$A:$A,0)),"",INDEX(data!B:B,MATCH($N863,data!$A:$A,0)))</f>
        <v/>
      </c>
      <c r="AN863" s="38" t="str">
        <f>IF(ISNA(MATCH($N863,data!$A:$A,0)),"",INDEX(data!C:C,MATCH($N863,data!$A:$A,0)))</f>
        <v/>
      </c>
      <c r="AO863" s="38" t="str">
        <f>IF(ISNA(MATCH($N863,data!$A:$A,0)),"",INDEX(data!D:D,MATCH($N863,data!$A:$A,0)))</f>
        <v/>
      </c>
      <c r="AP863" s="38" t="str">
        <f>IF(ISNA(MATCH($N863,data!$A:$A,0)),"",INDEX(data!E:E,MATCH($N863,data!$A:$A,0)))</f>
        <v/>
      </c>
      <c r="AQ863" s="38" t="str">
        <f>IF(ISNA(MATCH($N863,data!$A:$A,0)),"",INDEX(data!F:F,MATCH($N863,data!$A:$A,0)))</f>
        <v/>
      </c>
      <c r="AR863" s="38" t="str">
        <f>IF(ISNA(MATCH($N863,data!$A:$A,0)),"",INDEX(data!G:G,MATCH($N863,data!$A:$A,0)))</f>
        <v/>
      </c>
      <c r="AS863" s="38" t="str">
        <f>IF(ISNA(MATCH($N863,data!$A:$A,0)),"",INDEX(data!H:H,MATCH($N863,data!$A:$A,0)))</f>
        <v/>
      </c>
      <c r="AT863" s="38" t="str">
        <f>IF(ISNA(MATCH($N863,data!$A:$A,0)),"",INDEX(data!I:I,MATCH($N863,data!$A:$A,0)))</f>
        <v/>
      </c>
      <c r="AU863" s="38" t="str">
        <f>IF(ISNA(MATCH($N863,[1]data!$A:$A,0)),"",INDEX([1]data!L:L,MATCH($N863,[1]data!$A:$A,0)))</f>
        <v/>
      </c>
      <c r="AV863" s="38" t="str">
        <f>IF(ISNA(MATCH($N863,[1]data!$A:$A,0)),"",INDEX([1]data!M:M,MATCH($N863,[1]data!$A:$A,0)))</f>
        <v/>
      </c>
      <c r="AW863" s="38" t="str">
        <f>IF(ISNA(MATCH($N863,data!$A:$A,0)),"",INDEX(data!J:J,MATCH($N863,data!$A:$A,0)))</f>
        <v/>
      </c>
      <c r="AX863" s="38" t="str">
        <f>IF(ISNA(MATCH($N863,data!$A:$A,0)),"",INDEX(data!K:K,MATCH($N863,data!$A:$A,0)))</f>
        <v/>
      </c>
      <c r="AY863" s="38" t="str">
        <f>IF(ISNA(MATCH($N863,data!$A:$A,0)),"",INDEX(data!O:O,MATCH($N863,data!$A:$A,0)))</f>
        <v/>
      </c>
      <c r="AZ863" s="38" t="str">
        <f>IF(ISNA(MATCH($N863,data!$A:$A,0)),"",INDEX(data!N:N,MATCH($N863,data!$A:$A,0)))</f>
        <v/>
      </c>
      <c r="BA863" s="38" t="str">
        <f>IF(ISNA(MATCH($N863,data!$A:$A,0)),"",INDEX(data!P:P,MATCH($N863,data!$A:$A,0)))</f>
        <v/>
      </c>
      <c r="BB863" s="38" t="str">
        <f>IF(ISNA(MATCH($N863,data!$A:$A,0)),"",INDEX(data!Q:Q,MATCH($N863,data!$A:$A,0)))</f>
        <v/>
      </c>
      <c r="BC863" s="38" t="str">
        <f>IF(ISNA(MATCH($N863,data!$A:$A,0)),"",INDEX(data!R:R,MATCH($N863,data!$A:$A,0)))</f>
        <v/>
      </c>
      <c r="BD863" s="38" t="str">
        <f>IF(ISNA(MATCH($N863,[1]data!$A:$A,0)),"",INDEX([1]data!U:U,MATCH($N863,[1]data!$A:$A,0)))</f>
        <v/>
      </c>
      <c r="BE863" s="61" t="e">
        <f>IF(COUNTIF([1]data!A:A,[1]!Table1[[#This Row],[UPC]])&lt;2,"","DUP")</f>
        <v>#VALUE!</v>
      </c>
      <c r="BF863" s="38" t="str">
        <f>IF(ISNA(MATCH($N863,data!$A:$A,0)),"",INDEX(data!W:W,MATCH($N863,data!$A:$A,0)))</f>
        <v/>
      </c>
    </row>
    <row r="864" spans="1:58">
      <c r="A864" s="35"/>
      <c r="B864" s="35"/>
      <c r="C864" s="35"/>
      <c r="D864" s="35"/>
      <c r="E864" s="67"/>
      <c r="F864" s="67"/>
      <c r="G864" s="36"/>
      <c r="H864" s="29"/>
      <c r="I864" s="78" t="str">
        <f t="shared" si="22"/>
        <v/>
      </c>
      <c r="J864" s="29"/>
      <c r="K864" s="29"/>
      <c r="L864" s="33"/>
      <c r="M864" s="33"/>
      <c r="N864" s="60"/>
      <c r="O864" s="71"/>
      <c r="P864" s="71"/>
      <c r="Q864" s="33"/>
      <c r="R864" s="31"/>
      <c r="S864" s="31"/>
      <c r="T864" s="59"/>
      <c r="U864" s="59"/>
      <c r="V864" s="59"/>
      <c r="W864" s="57">
        <f t="shared" si="23"/>
        <v>0</v>
      </c>
      <c r="X864" s="126" t="str">
        <f>IF(Table1[[#This Row],[Shipping Weight Pounds]]&gt;150,"See LTL Form","No")</f>
        <v>No</v>
      </c>
      <c r="Y864" s="28"/>
      <c r="Z864" s="33"/>
      <c r="AA864" s="34"/>
      <c r="AB864" s="30"/>
      <c r="AC864" s="30"/>
      <c r="AD864" s="32"/>
      <c r="AE864" s="32"/>
      <c r="AF864" s="2"/>
      <c r="AG864" s="2"/>
      <c r="AH864" s="2"/>
      <c r="AI864" s="2"/>
      <c r="AK864" s="73" t="str">
        <f>IF(ISNA(MATCH($N864,[1]data!$A:$A,0)),"",INDEX([1]data!S:S,MATCH($N864,[1]data!$A:$A,0)))</f>
        <v/>
      </c>
      <c r="AL864" s="73" t="str">
        <f>IF(ISNA(MATCH($N864,[1]data!$A:$A,0)),"",INDEX([1]data!V:V,MATCH($N864,[1]data!$A:$A,0)))</f>
        <v/>
      </c>
      <c r="AM864" s="38" t="str">
        <f>IF(ISNA(MATCH($N864,data!$A:$A,0)),"",INDEX(data!B:B,MATCH($N864,data!$A:$A,0)))</f>
        <v/>
      </c>
      <c r="AN864" s="38" t="str">
        <f>IF(ISNA(MATCH($N864,data!$A:$A,0)),"",INDEX(data!C:C,MATCH($N864,data!$A:$A,0)))</f>
        <v/>
      </c>
      <c r="AO864" s="38" t="str">
        <f>IF(ISNA(MATCH($N864,data!$A:$A,0)),"",INDEX(data!D:D,MATCH($N864,data!$A:$A,0)))</f>
        <v/>
      </c>
      <c r="AP864" s="38" t="str">
        <f>IF(ISNA(MATCH($N864,data!$A:$A,0)),"",INDEX(data!E:E,MATCH($N864,data!$A:$A,0)))</f>
        <v/>
      </c>
      <c r="AQ864" s="38" t="str">
        <f>IF(ISNA(MATCH($N864,data!$A:$A,0)),"",INDEX(data!F:F,MATCH($N864,data!$A:$A,0)))</f>
        <v/>
      </c>
      <c r="AR864" s="38" t="str">
        <f>IF(ISNA(MATCH($N864,data!$A:$A,0)),"",INDEX(data!G:G,MATCH($N864,data!$A:$A,0)))</f>
        <v/>
      </c>
      <c r="AS864" s="38" t="str">
        <f>IF(ISNA(MATCH($N864,data!$A:$A,0)),"",INDEX(data!H:H,MATCH($N864,data!$A:$A,0)))</f>
        <v/>
      </c>
      <c r="AT864" s="38" t="str">
        <f>IF(ISNA(MATCH($N864,data!$A:$A,0)),"",INDEX(data!I:I,MATCH($N864,data!$A:$A,0)))</f>
        <v/>
      </c>
      <c r="AU864" s="38" t="str">
        <f>IF(ISNA(MATCH($N864,[1]data!$A:$A,0)),"",INDEX([1]data!L:L,MATCH($N864,[1]data!$A:$A,0)))</f>
        <v/>
      </c>
      <c r="AV864" s="38" t="str">
        <f>IF(ISNA(MATCH($N864,[1]data!$A:$A,0)),"",INDEX([1]data!M:M,MATCH($N864,[1]data!$A:$A,0)))</f>
        <v/>
      </c>
      <c r="AW864" s="38" t="str">
        <f>IF(ISNA(MATCH($N864,data!$A:$A,0)),"",INDEX(data!J:J,MATCH($N864,data!$A:$A,0)))</f>
        <v/>
      </c>
      <c r="AX864" s="38" t="str">
        <f>IF(ISNA(MATCH($N864,data!$A:$A,0)),"",INDEX(data!K:K,MATCH($N864,data!$A:$A,0)))</f>
        <v/>
      </c>
      <c r="AY864" s="38" t="str">
        <f>IF(ISNA(MATCH($N864,data!$A:$A,0)),"",INDEX(data!O:O,MATCH($N864,data!$A:$A,0)))</f>
        <v/>
      </c>
      <c r="AZ864" s="38" t="str">
        <f>IF(ISNA(MATCH($N864,data!$A:$A,0)),"",INDEX(data!N:N,MATCH($N864,data!$A:$A,0)))</f>
        <v/>
      </c>
      <c r="BA864" s="38" t="str">
        <f>IF(ISNA(MATCH($N864,data!$A:$A,0)),"",INDEX(data!P:P,MATCH($N864,data!$A:$A,0)))</f>
        <v/>
      </c>
      <c r="BB864" s="38" t="str">
        <f>IF(ISNA(MATCH($N864,data!$A:$A,0)),"",INDEX(data!Q:Q,MATCH($N864,data!$A:$A,0)))</f>
        <v/>
      </c>
      <c r="BC864" s="38" t="str">
        <f>IF(ISNA(MATCH($N864,data!$A:$A,0)),"",INDEX(data!R:R,MATCH($N864,data!$A:$A,0)))</f>
        <v/>
      </c>
      <c r="BD864" s="38" t="str">
        <f>IF(ISNA(MATCH($N864,[1]data!$A:$A,0)),"",INDEX([1]data!U:U,MATCH($N864,[1]data!$A:$A,0)))</f>
        <v/>
      </c>
      <c r="BE864" s="61" t="e">
        <f>IF(COUNTIF([1]data!A:A,[1]!Table1[[#This Row],[UPC]])&lt;2,"","DUP")</f>
        <v>#VALUE!</v>
      </c>
      <c r="BF864" s="38" t="str">
        <f>IF(ISNA(MATCH($N864,data!$A:$A,0)),"",INDEX(data!W:W,MATCH($N864,data!$A:$A,0)))</f>
        <v/>
      </c>
    </row>
    <row r="865" spans="1:58">
      <c r="A865" s="35"/>
      <c r="B865" s="35"/>
      <c r="C865" s="35"/>
      <c r="D865" s="35"/>
      <c r="E865" s="67"/>
      <c r="F865" s="67"/>
      <c r="G865" s="36"/>
      <c r="H865" s="29"/>
      <c r="I865" s="78" t="str">
        <f t="shared" si="22"/>
        <v/>
      </c>
      <c r="J865" s="29"/>
      <c r="K865" s="29"/>
      <c r="L865" s="33"/>
      <c r="M865" s="33"/>
      <c r="N865" s="60"/>
      <c r="O865" s="71"/>
      <c r="P865" s="71"/>
      <c r="Q865" s="33"/>
      <c r="R865" s="31"/>
      <c r="S865" s="31"/>
      <c r="T865" s="59"/>
      <c r="U865" s="59"/>
      <c r="V865" s="59"/>
      <c r="W865" s="57">
        <f t="shared" si="23"/>
        <v>0</v>
      </c>
      <c r="X865" s="126" t="str">
        <f>IF(Table1[[#This Row],[Shipping Weight Pounds]]&gt;150,"See LTL Form","No")</f>
        <v>No</v>
      </c>
      <c r="Y865" s="28"/>
      <c r="Z865" s="33"/>
      <c r="AA865" s="34"/>
      <c r="AB865" s="30"/>
      <c r="AC865" s="30"/>
      <c r="AD865" s="32"/>
      <c r="AE865" s="32"/>
      <c r="AF865" s="2"/>
      <c r="AG865" s="2"/>
      <c r="AH865" s="2"/>
      <c r="AI865" s="2"/>
      <c r="AK865" s="73" t="str">
        <f>IF(ISNA(MATCH($N865,[1]data!$A:$A,0)),"",INDEX([1]data!S:S,MATCH($N865,[1]data!$A:$A,0)))</f>
        <v/>
      </c>
      <c r="AL865" s="73" t="str">
        <f>IF(ISNA(MATCH($N865,[1]data!$A:$A,0)),"",INDEX([1]data!V:V,MATCH($N865,[1]data!$A:$A,0)))</f>
        <v/>
      </c>
      <c r="AM865" s="38" t="str">
        <f>IF(ISNA(MATCH($N865,data!$A:$A,0)),"",INDEX(data!B:B,MATCH($N865,data!$A:$A,0)))</f>
        <v/>
      </c>
      <c r="AN865" s="38" t="str">
        <f>IF(ISNA(MATCH($N865,data!$A:$A,0)),"",INDEX(data!C:C,MATCH($N865,data!$A:$A,0)))</f>
        <v/>
      </c>
      <c r="AO865" s="38" t="str">
        <f>IF(ISNA(MATCH($N865,data!$A:$A,0)),"",INDEX(data!D:D,MATCH($N865,data!$A:$A,0)))</f>
        <v/>
      </c>
      <c r="AP865" s="38" t="str">
        <f>IF(ISNA(MATCH($N865,data!$A:$A,0)),"",INDEX(data!E:E,MATCH($N865,data!$A:$A,0)))</f>
        <v/>
      </c>
      <c r="AQ865" s="38" t="str">
        <f>IF(ISNA(MATCH($N865,data!$A:$A,0)),"",INDEX(data!F:F,MATCH($N865,data!$A:$A,0)))</f>
        <v/>
      </c>
      <c r="AR865" s="38" t="str">
        <f>IF(ISNA(MATCH($N865,data!$A:$A,0)),"",INDEX(data!G:G,MATCH($N865,data!$A:$A,0)))</f>
        <v/>
      </c>
      <c r="AS865" s="38" t="str">
        <f>IF(ISNA(MATCH($N865,data!$A:$A,0)),"",INDEX(data!H:H,MATCH($N865,data!$A:$A,0)))</f>
        <v/>
      </c>
      <c r="AT865" s="38" t="str">
        <f>IF(ISNA(MATCH($N865,data!$A:$A,0)),"",INDEX(data!I:I,MATCH($N865,data!$A:$A,0)))</f>
        <v/>
      </c>
      <c r="AU865" s="38" t="str">
        <f>IF(ISNA(MATCH($N865,[1]data!$A:$A,0)),"",INDEX([1]data!L:L,MATCH($N865,[1]data!$A:$A,0)))</f>
        <v/>
      </c>
      <c r="AV865" s="38" t="str">
        <f>IF(ISNA(MATCH($N865,[1]data!$A:$A,0)),"",INDEX([1]data!M:M,MATCH($N865,[1]data!$A:$A,0)))</f>
        <v/>
      </c>
      <c r="AW865" s="38" t="str">
        <f>IF(ISNA(MATCH($N865,data!$A:$A,0)),"",INDEX(data!J:J,MATCH($N865,data!$A:$A,0)))</f>
        <v/>
      </c>
      <c r="AX865" s="38" t="str">
        <f>IF(ISNA(MATCH($N865,data!$A:$A,0)),"",INDEX(data!K:K,MATCH($N865,data!$A:$A,0)))</f>
        <v/>
      </c>
      <c r="AY865" s="38" t="str">
        <f>IF(ISNA(MATCH($N865,data!$A:$A,0)),"",INDEX(data!O:O,MATCH($N865,data!$A:$A,0)))</f>
        <v/>
      </c>
      <c r="AZ865" s="38" t="str">
        <f>IF(ISNA(MATCH($N865,data!$A:$A,0)),"",INDEX(data!N:N,MATCH($N865,data!$A:$A,0)))</f>
        <v/>
      </c>
      <c r="BA865" s="38" t="str">
        <f>IF(ISNA(MATCH($N865,data!$A:$A,0)),"",INDEX(data!P:P,MATCH($N865,data!$A:$A,0)))</f>
        <v/>
      </c>
      <c r="BB865" s="38" t="str">
        <f>IF(ISNA(MATCH($N865,data!$A:$A,0)),"",INDEX(data!Q:Q,MATCH($N865,data!$A:$A,0)))</f>
        <v/>
      </c>
      <c r="BC865" s="38" t="str">
        <f>IF(ISNA(MATCH($N865,data!$A:$A,0)),"",INDEX(data!R:R,MATCH($N865,data!$A:$A,0)))</f>
        <v/>
      </c>
      <c r="BD865" s="38" t="str">
        <f>IF(ISNA(MATCH($N865,[1]data!$A:$A,0)),"",INDEX([1]data!U:U,MATCH($N865,[1]data!$A:$A,0)))</f>
        <v/>
      </c>
      <c r="BE865" s="61" t="e">
        <f>IF(COUNTIF([1]data!A:A,[1]!Table1[[#This Row],[UPC]])&lt;2,"","DUP")</f>
        <v>#VALUE!</v>
      </c>
      <c r="BF865" s="38" t="str">
        <f>IF(ISNA(MATCH($N865,data!$A:$A,0)),"",INDEX(data!W:W,MATCH($N865,data!$A:$A,0)))</f>
        <v/>
      </c>
    </row>
    <row r="866" spans="1:58">
      <c r="A866" s="35"/>
      <c r="B866" s="35"/>
      <c r="C866" s="35"/>
      <c r="D866" s="35"/>
      <c r="E866" s="67"/>
      <c r="F866" s="67"/>
      <c r="G866" s="36"/>
      <c r="H866" s="29"/>
      <c r="I866" s="78" t="str">
        <f t="shared" si="22"/>
        <v/>
      </c>
      <c r="J866" s="29"/>
      <c r="K866" s="29"/>
      <c r="L866" s="33"/>
      <c r="M866" s="33"/>
      <c r="N866" s="60"/>
      <c r="O866" s="71"/>
      <c r="P866" s="71"/>
      <c r="Q866" s="33"/>
      <c r="R866" s="31"/>
      <c r="S866" s="31"/>
      <c r="T866" s="59"/>
      <c r="U866" s="59"/>
      <c r="V866" s="59"/>
      <c r="W866" s="57">
        <f t="shared" si="23"/>
        <v>0</v>
      </c>
      <c r="X866" s="126" t="str">
        <f>IF(Table1[[#This Row],[Shipping Weight Pounds]]&gt;150,"See LTL Form","No")</f>
        <v>No</v>
      </c>
      <c r="Y866" s="28"/>
      <c r="Z866" s="33"/>
      <c r="AA866" s="34"/>
      <c r="AB866" s="30"/>
      <c r="AC866" s="30"/>
      <c r="AD866" s="32"/>
      <c r="AE866" s="32"/>
      <c r="AF866" s="2"/>
      <c r="AG866" s="2"/>
      <c r="AH866" s="2"/>
      <c r="AI866" s="2"/>
      <c r="AK866" s="73" t="str">
        <f>IF(ISNA(MATCH($N866,[1]data!$A:$A,0)),"",INDEX([1]data!S:S,MATCH($N866,[1]data!$A:$A,0)))</f>
        <v/>
      </c>
      <c r="AL866" s="73" t="str">
        <f>IF(ISNA(MATCH($N866,[1]data!$A:$A,0)),"",INDEX([1]data!V:V,MATCH($N866,[1]data!$A:$A,0)))</f>
        <v/>
      </c>
      <c r="AM866" s="38" t="str">
        <f>IF(ISNA(MATCH($N866,data!$A:$A,0)),"",INDEX(data!B:B,MATCH($N866,data!$A:$A,0)))</f>
        <v/>
      </c>
      <c r="AN866" s="38" t="str">
        <f>IF(ISNA(MATCH($N866,data!$A:$A,0)),"",INDEX(data!C:C,MATCH($N866,data!$A:$A,0)))</f>
        <v/>
      </c>
      <c r="AO866" s="38" t="str">
        <f>IF(ISNA(MATCH($N866,data!$A:$A,0)),"",INDEX(data!D:D,MATCH($N866,data!$A:$A,0)))</f>
        <v/>
      </c>
      <c r="AP866" s="38" t="str">
        <f>IF(ISNA(MATCH($N866,data!$A:$A,0)),"",INDEX(data!E:E,MATCH($N866,data!$A:$A,0)))</f>
        <v/>
      </c>
      <c r="AQ866" s="38" t="str">
        <f>IF(ISNA(MATCH($N866,data!$A:$A,0)),"",INDEX(data!F:F,MATCH($N866,data!$A:$A,0)))</f>
        <v/>
      </c>
      <c r="AR866" s="38" t="str">
        <f>IF(ISNA(MATCH($N866,data!$A:$A,0)),"",INDEX(data!G:G,MATCH($N866,data!$A:$A,0)))</f>
        <v/>
      </c>
      <c r="AS866" s="38" t="str">
        <f>IF(ISNA(MATCH($N866,data!$A:$A,0)),"",INDEX(data!H:H,MATCH($N866,data!$A:$A,0)))</f>
        <v/>
      </c>
      <c r="AT866" s="38" t="str">
        <f>IF(ISNA(MATCH($N866,data!$A:$A,0)),"",INDEX(data!I:I,MATCH($N866,data!$A:$A,0)))</f>
        <v/>
      </c>
      <c r="AU866" s="38" t="str">
        <f>IF(ISNA(MATCH($N866,[1]data!$A:$A,0)),"",INDEX([1]data!L:L,MATCH($N866,[1]data!$A:$A,0)))</f>
        <v/>
      </c>
      <c r="AV866" s="38" t="str">
        <f>IF(ISNA(MATCH($N866,[1]data!$A:$A,0)),"",INDEX([1]data!M:M,MATCH($N866,[1]data!$A:$A,0)))</f>
        <v/>
      </c>
      <c r="AW866" s="38" t="str">
        <f>IF(ISNA(MATCH($N866,data!$A:$A,0)),"",INDEX(data!J:J,MATCH($N866,data!$A:$A,0)))</f>
        <v/>
      </c>
      <c r="AX866" s="38" t="str">
        <f>IF(ISNA(MATCH($N866,data!$A:$A,0)),"",INDEX(data!K:K,MATCH($N866,data!$A:$A,0)))</f>
        <v/>
      </c>
      <c r="AY866" s="38" t="str">
        <f>IF(ISNA(MATCH($N866,data!$A:$A,0)),"",INDEX(data!O:O,MATCH($N866,data!$A:$A,0)))</f>
        <v/>
      </c>
      <c r="AZ866" s="38" t="str">
        <f>IF(ISNA(MATCH($N866,data!$A:$A,0)),"",INDEX(data!N:N,MATCH($N866,data!$A:$A,0)))</f>
        <v/>
      </c>
      <c r="BA866" s="38" t="str">
        <f>IF(ISNA(MATCH($N866,data!$A:$A,0)),"",INDEX(data!P:P,MATCH($N866,data!$A:$A,0)))</f>
        <v/>
      </c>
      <c r="BB866" s="38" t="str">
        <f>IF(ISNA(MATCH($N866,data!$A:$A,0)),"",INDEX(data!Q:Q,MATCH($N866,data!$A:$A,0)))</f>
        <v/>
      </c>
      <c r="BC866" s="38" t="str">
        <f>IF(ISNA(MATCH($N866,data!$A:$A,0)),"",INDEX(data!R:R,MATCH($N866,data!$A:$A,0)))</f>
        <v/>
      </c>
      <c r="BD866" s="38" t="str">
        <f>IF(ISNA(MATCH($N866,[1]data!$A:$A,0)),"",INDEX([1]data!U:U,MATCH($N866,[1]data!$A:$A,0)))</f>
        <v/>
      </c>
      <c r="BE866" s="61" t="e">
        <f>IF(COUNTIF([1]data!A:A,[1]!Table1[[#This Row],[UPC]])&lt;2,"","DUP")</f>
        <v>#VALUE!</v>
      </c>
      <c r="BF866" s="38" t="str">
        <f>IF(ISNA(MATCH($N866,data!$A:$A,0)),"",INDEX(data!W:W,MATCH($N866,data!$A:$A,0)))</f>
        <v/>
      </c>
    </row>
    <row r="867" spans="1:58">
      <c r="A867" s="35"/>
      <c r="B867" s="35"/>
      <c r="C867" s="35"/>
      <c r="D867" s="35"/>
      <c r="E867" s="67"/>
      <c r="F867" s="67"/>
      <c r="G867" s="36"/>
      <c r="H867" s="29"/>
      <c r="I867" s="78" t="str">
        <f t="shared" si="22"/>
        <v/>
      </c>
      <c r="J867" s="29"/>
      <c r="K867" s="29"/>
      <c r="L867" s="33"/>
      <c r="M867" s="33"/>
      <c r="N867" s="60"/>
      <c r="O867" s="71"/>
      <c r="P867" s="71"/>
      <c r="Q867" s="33"/>
      <c r="R867" s="31"/>
      <c r="S867" s="31"/>
      <c r="T867" s="59"/>
      <c r="U867" s="59"/>
      <c r="V867" s="59"/>
      <c r="W867" s="57">
        <f t="shared" si="23"/>
        <v>0</v>
      </c>
      <c r="X867" s="126" t="str">
        <f>IF(Table1[[#This Row],[Shipping Weight Pounds]]&gt;150,"See LTL Form","No")</f>
        <v>No</v>
      </c>
      <c r="Y867" s="28"/>
      <c r="Z867" s="33"/>
      <c r="AA867" s="34"/>
      <c r="AB867" s="30"/>
      <c r="AC867" s="30"/>
      <c r="AD867" s="32"/>
      <c r="AE867" s="32"/>
      <c r="AF867" s="2"/>
      <c r="AG867" s="2"/>
      <c r="AH867" s="2"/>
      <c r="AI867" s="2"/>
      <c r="AK867" s="73" t="str">
        <f>IF(ISNA(MATCH($N867,[1]data!$A:$A,0)),"",INDEX([1]data!S:S,MATCH($N867,[1]data!$A:$A,0)))</f>
        <v/>
      </c>
      <c r="AL867" s="73" t="str">
        <f>IF(ISNA(MATCH($N867,[1]data!$A:$A,0)),"",INDEX([1]data!V:V,MATCH($N867,[1]data!$A:$A,0)))</f>
        <v/>
      </c>
      <c r="AM867" s="38" t="str">
        <f>IF(ISNA(MATCH($N867,data!$A:$A,0)),"",INDEX(data!B:B,MATCH($N867,data!$A:$A,0)))</f>
        <v/>
      </c>
      <c r="AN867" s="38" t="str">
        <f>IF(ISNA(MATCH($N867,data!$A:$A,0)),"",INDEX(data!C:C,MATCH($N867,data!$A:$A,0)))</f>
        <v/>
      </c>
      <c r="AO867" s="38" t="str">
        <f>IF(ISNA(MATCH($N867,data!$A:$A,0)),"",INDEX(data!D:D,MATCH($N867,data!$A:$A,0)))</f>
        <v/>
      </c>
      <c r="AP867" s="38" t="str">
        <f>IF(ISNA(MATCH($N867,data!$A:$A,0)),"",INDEX(data!E:E,MATCH($N867,data!$A:$A,0)))</f>
        <v/>
      </c>
      <c r="AQ867" s="38" t="str">
        <f>IF(ISNA(MATCH($N867,data!$A:$A,0)),"",INDEX(data!F:F,MATCH($N867,data!$A:$A,0)))</f>
        <v/>
      </c>
      <c r="AR867" s="38" t="str">
        <f>IF(ISNA(MATCH($N867,data!$A:$A,0)),"",INDEX(data!G:G,MATCH($N867,data!$A:$A,0)))</f>
        <v/>
      </c>
      <c r="AS867" s="38" t="str">
        <f>IF(ISNA(MATCH($N867,data!$A:$A,0)),"",INDEX(data!H:H,MATCH($N867,data!$A:$A,0)))</f>
        <v/>
      </c>
      <c r="AT867" s="38" t="str">
        <f>IF(ISNA(MATCH($N867,data!$A:$A,0)),"",INDEX(data!I:I,MATCH($N867,data!$A:$A,0)))</f>
        <v/>
      </c>
      <c r="AU867" s="38" t="str">
        <f>IF(ISNA(MATCH($N867,[1]data!$A:$A,0)),"",INDEX([1]data!L:L,MATCH($N867,[1]data!$A:$A,0)))</f>
        <v/>
      </c>
      <c r="AV867" s="38" t="str">
        <f>IF(ISNA(MATCH($N867,[1]data!$A:$A,0)),"",INDEX([1]data!M:M,MATCH($N867,[1]data!$A:$A,0)))</f>
        <v/>
      </c>
      <c r="AW867" s="38" t="str">
        <f>IF(ISNA(MATCH($N867,data!$A:$A,0)),"",INDEX(data!J:J,MATCH($N867,data!$A:$A,0)))</f>
        <v/>
      </c>
      <c r="AX867" s="38" t="str">
        <f>IF(ISNA(MATCH($N867,data!$A:$A,0)),"",INDEX(data!K:K,MATCH($N867,data!$A:$A,0)))</f>
        <v/>
      </c>
      <c r="AY867" s="38" t="str">
        <f>IF(ISNA(MATCH($N867,data!$A:$A,0)),"",INDEX(data!O:O,MATCH($N867,data!$A:$A,0)))</f>
        <v/>
      </c>
      <c r="AZ867" s="38" t="str">
        <f>IF(ISNA(MATCH($N867,data!$A:$A,0)),"",INDEX(data!N:N,MATCH($N867,data!$A:$A,0)))</f>
        <v/>
      </c>
      <c r="BA867" s="38" t="str">
        <f>IF(ISNA(MATCH($N867,data!$A:$A,0)),"",INDEX(data!P:P,MATCH($N867,data!$A:$A,0)))</f>
        <v/>
      </c>
      <c r="BB867" s="38" t="str">
        <f>IF(ISNA(MATCH($N867,data!$A:$A,0)),"",INDEX(data!Q:Q,MATCH($N867,data!$A:$A,0)))</f>
        <v/>
      </c>
      <c r="BC867" s="38" t="str">
        <f>IF(ISNA(MATCH($N867,data!$A:$A,0)),"",INDEX(data!R:R,MATCH($N867,data!$A:$A,0)))</f>
        <v/>
      </c>
      <c r="BD867" s="38" t="str">
        <f>IF(ISNA(MATCH($N867,[1]data!$A:$A,0)),"",INDEX([1]data!U:U,MATCH($N867,[1]data!$A:$A,0)))</f>
        <v/>
      </c>
      <c r="BE867" s="61" t="e">
        <f>IF(COUNTIF([1]data!A:A,[1]!Table1[[#This Row],[UPC]])&lt;2,"","DUP")</f>
        <v>#VALUE!</v>
      </c>
      <c r="BF867" s="38" t="str">
        <f>IF(ISNA(MATCH($N867,data!$A:$A,0)),"",INDEX(data!W:W,MATCH($N867,data!$A:$A,0)))</f>
        <v/>
      </c>
    </row>
    <row r="868" spans="1:58">
      <c r="A868" s="35"/>
      <c r="B868" s="35"/>
      <c r="C868" s="35"/>
      <c r="D868" s="35"/>
      <c r="E868" s="67"/>
      <c r="F868" s="67"/>
      <c r="G868" s="36"/>
      <c r="H868" s="29"/>
      <c r="I868" s="78" t="str">
        <f t="shared" si="22"/>
        <v/>
      </c>
      <c r="J868" s="29"/>
      <c r="K868" s="29"/>
      <c r="L868" s="33"/>
      <c r="M868" s="33"/>
      <c r="N868" s="60"/>
      <c r="O868" s="71"/>
      <c r="P868" s="71"/>
      <c r="Q868" s="33"/>
      <c r="R868" s="31"/>
      <c r="S868" s="31"/>
      <c r="T868" s="59"/>
      <c r="U868" s="59"/>
      <c r="V868" s="59"/>
      <c r="W868" s="57">
        <f t="shared" si="23"/>
        <v>0</v>
      </c>
      <c r="X868" s="126" t="str">
        <f>IF(Table1[[#This Row],[Shipping Weight Pounds]]&gt;150,"See LTL Form","No")</f>
        <v>No</v>
      </c>
      <c r="Y868" s="28"/>
      <c r="Z868" s="33"/>
      <c r="AA868" s="34"/>
      <c r="AB868" s="30"/>
      <c r="AC868" s="30"/>
      <c r="AD868" s="32"/>
      <c r="AE868" s="32"/>
      <c r="AF868" s="2"/>
      <c r="AG868" s="2"/>
      <c r="AH868" s="2"/>
      <c r="AI868" s="2"/>
      <c r="AK868" s="73" t="str">
        <f>IF(ISNA(MATCH($N868,[1]data!$A:$A,0)),"",INDEX([1]data!S:S,MATCH($N868,[1]data!$A:$A,0)))</f>
        <v/>
      </c>
      <c r="AL868" s="73" t="str">
        <f>IF(ISNA(MATCH($N868,[1]data!$A:$A,0)),"",INDEX([1]data!V:V,MATCH($N868,[1]data!$A:$A,0)))</f>
        <v/>
      </c>
      <c r="AM868" s="38" t="str">
        <f>IF(ISNA(MATCH($N868,data!$A:$A,0)),"",INDEX(data!B:B,MATCH($N868,data!$A:$A,0)))</f>
        <v/>
      </c>
      <c r="AN868" s="38" t="str">
        <f>IF(ISNA(MATCH($N868,data!$A:$A,0)),"",INDEX(data!C:C,MATCH($N868,data!$A:$A,0)))</f>
        <v/>
      </c>
      <c r="AO868" s="38" t="str">
        <f>IF(ISNA(MATCH($N868,data!$A:$A,0)),"",INDEX(data!D:D,MATCH($N868,data!$A:$A,0)))</f>
        <v/>
      </c>
      <c r="AP868" s="38" t="str">
        <f>IF(ISNA(MATCH($N868,data!$A:$A,0)),"",INDEX(data!E:E,MATCH($N868,data!$A:$A,0)))</f>
        <v/>
      </c>
      <c r="AQ868" s="38" t="str">
        <f>IF(ISNA(MATCH($N868,data!$A:$A,0)),"",INDEX(data!F:F,MATCH($N868,data!$A:$A,0)))</f>
        <v/>
      </c>
      <c r="AR868" s="38" t="str">
        <f>IF(ISNA(MATCH($N868,data!$A:$A,0)),"",INDEX(data!G:G,MATCH($N868,data!$A:$A,0)))</f>
        <v/>
      </c>
      <c r="AS868" s="38" t="str">
        <f>IF(ISNA(MATCH($N868,data!$A:$A,0)),"",INDEX(data!H:H,MATCH($N868,data!$A:$A,0)))</f>
        <v/>
      </c>
      <c r="AT868" s="38" t="str">
        <f>IF(ISNA(MATCH($N868,data!$A:$A,0)),"",INDEX(data!I:I,MATCH($N868,data!$A:$A,0)))</f>
        <v/>
      </c>
      <c r="AU868" s="38" t="str">
        <f>IF(ISNA(MATCH($N868,[1]data!$A:$A,0)),"",INDEX([1]data!L:L,MATCH($N868,[1]data!$A:$A,0)))</f>
        <v/>
      </c>
      <c r="AV868" s="38" t="str">
        <f>IF(ISNA(MATCH($N868,[1]data!$A:$A,0)),"",INDEX([1]data!M:M,MATCH($N868,[1]data!$A:$A,0)))</f>
        <v/>
      </c>
      <c r="AW868" s="38" t="str">
        <f>IF(ISNA(MATCH($N868,data!$A:$A,0)),"",INDEX(data!J:J,MATCH($N868,data!$A:$A,0)))</f>
        <v/>
      </c>
      <c r="AX868" s="38" t="str">
        <f>IF(ISNA(MATCH($N868,data!$A:$A,0)),"",INDEX(data!K:K,MATCH($N868,data!$A:$A,0)))</f>
        <v/>
      </c>
      <c r="AY868" s="38" t="str">
        <f>IF(ISNA(MATCH($N868,data!$A:$A,0)),"",INDEX(data!O:O,MATCH($N868,data!$A:$A,0)))</f>
        <v/>
      </c>
      <c r="AZ868" s="38" t="str">
        <f>IF(ISNA(MATCH($N868,data!$A:$A,0)),"",INDEX(data!N:N,MATCH($N868,data!$A:$A,0)))</f>
        <v/>
      </c>
      <c r="BA868" s="38" t="str">
        <f>IF(ISNA(MATCH($N868,data!$A:$A,0)),"",INDEX(data!P:P,MATCH($N868,data!$A:$A,0)))</f>
        <v/>
      </c>
      <c r="BB868" s="38" t="str">
        <f>IF(ISNA(MATCH($N868,data!$A:$A,0)),"",INDEX(data!Q:Q,MATCH($N868,data!$A:$A,0)))</f>
        <v/>
      </c>
      <c r="BC868" s="38" t="str">
        <f>IF(ISNA(MATCH($N868,data!$A:$A,0)),"",INDEX(data!R:R,MATCH($N868,data!$A:$A,0)))</f>
        <v/>
      </c>
      <c r="BD868" s="38" t="str">
        <f>IF(ISNA(MATCH($N868,[1]data!$A:$A,0)),"",INDEX([1]data!U:U,MATCH($N868,[1]data!$A:$A,0)))</f>
        <v/>
      </c>
      <c r="BE868" s="61" t="e">
        <f>IF(COUNTIF([1]data!A:A,[1]!Table1[[#This Row],[UPC]])&lt;2,"","DUP")</f>
        <v>#VALUE!</v>
      </c>
      <c r="BF868" s="38" t="str">
        <f>IF(ISNA(MATCH($N868,data!$A:$A,0)),"",INDEX(data!W:W,MATCH($N868,data!$A:$A,0)))</f>
        <v/>
      </c>
    </row>
    <row r="869" spans="1:58">
      <c r="A869" s="35"/>
      <c r="B869" s="35"/>
      <c r="C869" s="35"/>
      <c r="D869" s="35"/>
      <c r="E869" s="67"/>
      <c r="F869" s="67"/>
      <c r="G869" s="36"/>
      <c r="H869" s="29"/>
      <c r="I869" s="78" t="str">
        <f t="shared" si="22"/>
        <v/>
      </c>
      <c r="J869" s="29"/>
      <c r="K869" s="29"/>
      <c r="L869" s="33"/>
      <c r="M869" s="33"/>
      <c r="N869" s="60"/>
      <c r="O869" s="71"/>
      <c r="P869" s="71"/>
      <c r="Q869" s="33"/>
      <c r="R869" s="31"/>
      <c r="S869" s="31"/>
      <c r="T869" s="59"/>
      <c r="U869" s="59"/>
      <c r="V869" s="59"/>
      <c r="W869" s="57">
        <f t="shared" si="23"/>
        <v>0</v>
      </c>
      <c r="X869" s="126" t="str">
        <f>IF(Table1[[#This Row],[Shipping Weight Pounds]]&gt;150,"See LTL Form","No")</f>
        <v>No</v>
      </c>
      <c r="Y869" s="28"/>
      <c r="Z869" s="33"/>
      <c r="AA869" s="34"/>
      <c r="AB869" s="30"/>
      <c r="AC869" s="30"/>
      <c r="AD869" s="32"/>
      <c r="AE869" s="32"/>
      <c r="AF869" s="2"/>
      <c r="AG869" s="2"/>
      <c r="AH869" s="2"/>
      <c r="AI869" s="2"/>
      <c r="AK869" s="73" t="str">
        <f>IF(ISNA(MATCH($N869,[1]data!$A:$A,0)),"",INDEX([1]data!S:S,MATCH($N869,[1]data!$A:$A,0)))</f>
        <v/>
      </c>
      <c r="AL869" s="73" t="str">
        <f>IF(ISNA(MATCH($N869,[1]data!$A:$A,0)),"",INDEX([1]data!V:V,MATCH($N869,[1]data!$A:$A,0)))</f>
        <v/>
      </c>
      <c r="AM869" s="38" t="str">
        <f>IF(ISNA(MATCH($N869,data!$A:$A,0)),"",INDEX(data!B:B,MATCH($N869,data!$A:$A,0)))</f>
        <v/>
      </c>
      <c r="AN869" s="38" t="str">
        <f>IF(ISNA(MATCH($N869,data!$A:$A,0)),"",INDEX(data!C:C,MATCH($N869,data!$A:$A,0)))</f>
        <v/>
      </c>
      <c r="AO869" s="38" t="str">
        <f>IF(ISNA(MATCH($N869,data!$A:$A,0)),"",INDEX(data!D:D,MATCH($N869,data!$A:$A,0)))</f>
        <v/>
      </c>
      <c r="AP869" s="38" t="str">
        <f>IF(ISNA(MATCH($N869,data!$A:$A,0)),"",INDEX(data!E:E,MATCH($N869,data!$A:$A,0)))</f>
        <v/>
      </c>
      <c r="AQ869" s="38" t="str">
        <f>IF(ISNA(MATCH($N869,data!$A:$A,0)),"",INDEX(data!F:F,MATCH($N869,data!$A:$A,0)))</f>
        <v/>
      </c>
      <c r="AR869" s="38" t="str">
        <f>IF(ISNA(MATCH($N869,data!$A:$A,0)),"",INDEX(data!G:G,MATCH($N869,data!$A:$A,0)))</f>
        <v/>
      </c>
      <c r="AS869" s="38" t="str">
        <f>IF(ISNA(MATCH($N869,data!$A:$A,0)),"",INDEX(data!H:H,MATCH($N869,data!$A:$A,0)))</f>
        <v/>
      </c>
      <c r="AT869" s="38" t="str">
        <f>IF(ISNA(MATCH($N869,data!$A:$A,0)),"",INDEX(data!I:I,MATCH($N869,data!$A:$A,0)))</f>
        <v/>
      </c>
      <c r="AU869" s="38" t="str">
        <f>IF(ISNA(MATCH($N869,[1]data!$A:$A,0)),"",INDEX([1]data!L:L,MATCH($N869,[1]data!$A:$A,0)))</f>
        <v/>
      </c>
      <c r="AV869" s="38" t="str">
        <f>IF(ISNA(MATCH($N869,[1]data!$A:$A,0)),"",INDEX([1]data!M:M,MATCH($N869,[1]data!$A:$A,0)))</f>
        <v/>
      </c>
      <c r="AW869" s="38" t="str">
        <f>IF(ISNA(MATCH($N869,data!$A:$A,0)),"",INDEX(data!J:J,MATCH($N869,data!$A:$A,0)))</f>
        <v/>
      </c>
      <c r="AX869" s="38" t="str">
        <f>IF(ISNA(MATCH($N869,data!$A:$A,0)),"",INDEX(data!K:K,MATCH($N869,data!$A:$A,0)))</f>
        <v/>
      </c>
      <c r="AY869" s="38" t="str">
        <f>IF(ISNA(MATCH($N869,data!$A:$A,0)),"",INDEX(data!O:O,MATCH($N869,data!$A:$A,0)))</f>
        <v/>
      </c>
      <c r="AZ869" s="38" t="str">
        <f>IF(ISNA(MATCH($N869,data!$A:$A,0)),"",INDEX(data!N:N,MATCH($N869,data!$A:$A,0)))</f>
        <v/>
      </c>
      <c r="BA869" s="38" t="str">
        <f>IF(ISNA(MATCH($N869,data!$A:$A,0)),"",INDEX(data!P:P,MATCH($N869,data!$A:$A,0)))</f>
        <v/>
      </c>
      <c r="BB869" s="38" t="str">
        <f>IF(ISNA(MATCH($N869,data!$A:$A,0)),"",INDEX(data!Q:Q,MATCH($N869,data!$A:$A,0)))</f>
        <v/>
      </c>
      <c r="BC869" s="38" t="str">
        <f>IF(ISNA(MATCH($N869,data!$A:$A,0)),"",INDEX(data!R:R,MATCH($N869,data!$A:$A,0)))</f>
        <v/>
      </c>
      <c r="BD869" s="38" t="str">
        <f>IF(ISNA(MATCH($N869,[1]data!$A:$A,0)),"",INDEX([1]data!U:U,MATCH($N869,[1]data!$A:$A,0)))</f>
        <v/>
      </c>
      <c r="BE869" s="61" t="e">
        <f>IF(COUNTIF([1]data!A:A,[1]!Table1[[#This Row],[UPC]])&lt;2,"","DUP")</f>
        <v>#VALUE!</v>
      </c>
      <c r="BF869" s="38" t="str">
        <f>IF(ISNA(MATCH($N869,data!$A:$A,0)),"",INDEX(data!W:W,MATCH($N869,data!$A:$A,0)))</f>
        <v/>
      </c>
    </row>
    <row r="870" spans="1:58">
      <c r="A870" s="35"/>
      <c r="B870" s="35"/>
      <c r="C870" s="35"/>
      <c r="D870" s="35"/>
      <c r="E870" s="67"/>
      <c r="F870" s="67"/>
      <c r="G870" s="36"/>
      <c r="H870" s="29"/>
      <c r="I870" s="78" t="str">
        <f t="shared" si="22"/>
        <v/>
      </c>
      <c r="J870" s="29"/>
      <c r="K870" s="29"/>
      <c r="L870" s="33"/>
      <c r="M870" s="33"/>
      <c r="N870" s="60"/>
      <c r="O870" s="71"/>
      <c r="P870" s="71"/>
      <c r="Q870" s="33"/>
      <c r="R870" s="31"/>
      <c r="S870" s="31"/>
      <c r="T870" s="59"/>
      <c r="U870" s="59"/>
      <c r="V870" s="59"/>
      <c r="W870" s="57">
        <f t="shared" si="23"/>
        <v>0</v>
      </c>
      <c r="X870" s="126" t="str">
        <f>IF(Table1[[#This Row],[Shipping Weight Pounds]]&gt;150,"See LTL Form","No")</f>
        <v>No</v>
      </c>
      <c r="Y870" s="28"/>
      <c r="Z870" s="33"/>
      <c r="AA870" s="34"/>
      <c r="AB870" s="30"/>
      <c r="AC870" s="30"/>
      <c r="AD870" s="32"/>
      <c r="AE870" s="32"/>
      <c r="AF870" s="2"/>
      <c r="AG870" s="2"/>
      <c r="AH870" s="2"/>
      <c r="AI870" s="2"/>
      <c r="AK870" s="73" t="str">
        <f>IF(ISNA(MATCH($N870,[1]data!$A:$A,0)),"",INDEX([1]data!S:S,MATCH($N870,[1]data!$A:$A,0)))</f>
        <v/>
      </c>
      <c r="AL870" s="73" t="str">
        <f>IF(ISNA(MATCH($N870,[1]data!$A:$A,0)),"",INDEX([1]data!V:V,MATCH($N870,[1]data!$A:$A,0)))</f>
        <v/>
      </c>
      <c r="AM870" s="38" t="str">
        <f>IF(ISNA(MATCH($N870,data!$A:$A,0)),"",INDEX(data!B:B,MATCH($N870,data!$A:$A,0)))</f>
        <v/>
      </c>
      <c r="AN870" s="38" t="str">
        <f>IF(ISNA(MATCH($N870,data!$A:$A,0)),"",INDEX(data!C:C,MATCH($N870,data!$A:$A,0)))</f>
        <v/>
      </c>
      <c r="AO870" s="38" t="str">
        <f>IF(ISNA(MATCH($N870,data!$A:$A,0)),"",INDEX(data!D:D,MATCH($N870,data!$A:$A,0)))</f>
        <v/>
      </c>
      <c r="AP870" s="38" t="str">
        <f>IF(ISNA(MATCH($N870,data!$A:$A,0)),"",INDEX(data!E:E,MATCH($N870,data!$A:$A,0)))</f>
        <v/>
      </c>
      <c r="AQ870" s="38" t="str">
        <f>IF(ISNA(MATCH($N870,data!$A:$A,0)),"",INDEX(data!F:F,MATCH($N870,data!$A:$A,0)))</f>
        <v/>
      </c>
      <c r="AR870" s="38" t="str">
        <f>IF(ISNA(MATCH($N870,data!$A:$A,0)),"",INDEX(data!G:G,MATCH($N870,data!$A:$A,0)))</f>
        <v/>
      </c>
      <c r="AS870" s="38" t="str">
        <f>IF(ISNA(MATCH($N870,data!$A:$A,0)),"",INDEX(data!H:H,MATCH($N870,data!$A:$A,0)))</f>
        <v/>
      </c>
      <c r="AT870" s="38" t="str">
        <f>IF(ISNA(MATCH($N870,data!$A:$A,0)),"",INDEX(data!I:I,MATCH($N870,data!$A:$A,0)))</f>
        <v/>
      </c>
      <c r="AU870" s="38" t="str">
        <f>IF(ISNA(MATCH($N870,[1]data!$A:$A,0)),"",INDEX([1]data!L:L,MATCH($N870,[1]data!$A:$A,0)))</f>
        <v/>
      </c>
      <c r="AV870" s="38" t="str">
        <f>IF(ISNA(MATCH($N870,[1]data!$A:$A,0)),"",INDEX([1]data!M:M,MATCH($N870,[1]data!$A:$A,0)))</f>
        <v/>
      </c>
      <c r="AW870" s="38" t="str">
        <f>IF(ISNA(MATCH($N870,data!$A:$A,0)),"",INDEX(data!J:J,MATCH($N870,data!$A:$A,0)))</f>
        <v/>
      </c>
      <c r="AX870" s="38" t="str">
        <f>IF(ISNA(MATCH($N870,data!$A:$A,0)),"",INDEX(data!K:K,MATCH($N870,data!$A:$A,0)))</f>
        <v/>
      </c>
      <c r="AY870" s="38" t="str">
        <f>IF(ISNA(MATCH($N870,data!$A:$A,0)),"",INDEX(data!O:O,MATCH($N870,data!$A:$A,0)))</f>
        <v/>
      </c>
      <c r="AZ870" s="38" t="str">
        <f>IF(ISNA(MATCH($N870,data!$A:$A,0)),"",INDEX(data!N:N,MATCH($N870,data!$A:$A,0)))</f>
        <v/>
      </c>
      <c r="BA870" s="38" t="str">
        <f>IF(ISNA(MATCH($N870,data!$A:$A,0)),"",INDEX(data!P:P,MATCH($N870,data!$A:$A,0)))</f>
        <v/>
      </c>
      <c r="BB870" s="38" t="str">
        <f>IF(ISNA(MATCH($N870,data!$A:$A,0)),"",INDEX(data!Q:Q,MATCH($N870,data!$A:$A,0)))</f>
        <v/>
      </c>
      <c r="BC870" s="38" t="str">
        <f>IF(ISNA(MATCH($N870,data!$A:$A,0)),"",INDEX(data!R:R,MATCH($N870,data!$A:$A,0)))</f>
        <v/>
      </c>
      <c r="BD870" s="38" t="str">
        <f>IF(ISNA(MATCH($N870,[1]data!$A:$A,0)),"",INDEX([1]data!U:U,MATCH($N870,[1]data!$A:$A,0)))</f>
        <v/>
      </c>
      <c r="BE870" s="61" t="e">
        <f>IF(COUNTIF([1]data!A:A,[1]!Table1[[#This Row],[UPC]])&lt;2,"","DUP")</f>
        <v>#VALUE!</v>
      </c>
      <c r="BF870" s="38" t="str">
        <f>IF(ISNA(MATCH($N870,data!$A:$A,0)),"",INDEX(data!W:W,MATCH($N870,data!$A:$A,0)))</f>
        <v/>
      </c>
    </row>
    <row r="871" spans="1:58">
      <c r="A871" s="35"/>
      <c r="B871" s="35"/>
      <c r="C871" s="35"/>
      <c r="D871" s="35"/>
      <c r="E871" s="67"/>
      <c r="F871" s="67"/>
      <c r="G871" s="36"/>
      <c r="H871" s="29"/>
      <c r="I871" s="78" t="str">
        <f t="shared" si="22"/>
        <v/>
      </c>
      <c r="J871" s="29"/>
      <c r="K871" s="29"/>
      <c r="L871" s="33"/>
      <c r="M871" s="33"/>
      <c r="N871" s="60"/>
      <c r="O871" s="71"/>
      <c r="P871" s="71"/>
      <c r="Q871" s="33"/>
      <c r="R871" s="31"/>
      <c r="S871" s="31"/>
      <c r="T871" s="59"/>
      <c r="U871" s="59"/>
      <c r="V871" s="59"/>
      <c r="W871" s="57">
        <f t="shared" si="23"/>
        <v>0</v>
      </c>
      <c r="X871" s="126" t="str">
        <f>IF(Table1[[#This Row],[Shipping Weight Pounds]]&gt;150,"See LTL Form","No")</f>
        <v>No</v>
      </c>
      <c r="Y871" s="28"/>
      <c r="Z871" s="33"/>
      <c r="AA871" s="34"/>
      <c r="AB871" s="30"/>
      <c r="AC871" s="30"/>
      <c r="AD871" s="32"/>
      <c r="AE871" s="32"/>
      <c r="AF871" s="2"/>
      <c r="AG871" s="2"/>
      <c r="AH871" s="2"/>
      <c r="AI871" s="2"/>
      <c r="AK871" s="73" t="str">
        <f>IF(ISNA(MATCH($N871,[1]data!$A:$A,0)),"",INDEX([1]data!S:S,MATCH($N871,[1]data!$A:$A,0)))</f>
        <v/>
      </c>
      <c r="AL871" s="73" t="str">
        <f>IF(ISNA(MATCH($N871,[1]data!$A:$A,0)),"",INDEX([1]data!V:V,MATCH($N871,[1]data!$A:$A,0)))</f>
        <v/>
      </c>
      <c r="AM871" s="38" t="str">
        <f>IF(ISNA(MATCH($N871,data!$A:$A,0)),"",INDEX(data!B:B,MATCH($N871,data!$A:$A,0)))</f>
        <v/>
      </c>
      <c r="AN871" s="38" t="str">
        <f>IF(ISNA(MATCH($N871,data!$A:$A,0)),"",INDEX(data!C:C,MATCH($N871,data!$A:$A,0)))</f>
        <v/>
      </c>
      <c r="AO871" s="38" t="str">
        <f>IF(ISNA(MATCH($N871,data!$A:$A,0)),"",INDEX(data!D:D,MATCH($N871,data!$A:$A,0)))</f>
        <v/>
      </c>
      <c r="AP871" s="38" t="str">
        <f>IF(ISNA(MATCH($N871,data!$A:$A,0)),"",INDEX(data!E:E,MATCH($N871,data!$A:$A,0)))</f>
        <v/>
      </c>
      <c r="AQ871" s="38" t="str">
        <f>IF(ISNA(MATCH($N871,data!$A:$A,0)),"",INDEX(data!F:F,MATCH($N871,data!$A:$A,0)))</f>
        <v/>
      </c>
      <c r="AR871" s="38" t="str">
        <f>IF(ISNA(MATCH($N871,data!$A:$A,0)),"",INDEX(data!G:G,MATCH($N871,data!$A:$A,0)))</f>
        <v/>
      </c>
      <c r="AS871" s="38" t="str">
        <f>IF(ISNA(MATCH($N871,data!$A:$A,0)),"",INDEX(data!H:H,MATCH($N871,data!$A:$A,0)))</f>
        <v/>
      </c>
      <c r="AT871" s="38" t="str">
        <f>IF(ISNA(MATCH($N871,data!$A:$A,0)),"",INDEX(data!I:I,MATCH($N871,data!$A:$A,0)))</f>
        <v/>
      </c>
      <c r="AU871" s="38" t="str">
        <f>IF(ISNA(MATCH($N871,[1]data!$A:$A,0)),"",INDEX([1]data!L:L,MATCH($N871,[1]data!$A:$A,0)))</f>
        <v/>
      </c>
      <c r="AV871" s="38" t="str">
        <f>IF(ISNA(MATCH($N871,[1]data!$A:$A,0)),"",INDEX([1]data!M:M,MATCH($N871,[1]data!$A:$A,0)))</f>
        <v/>
      </c>
      <c r="AW871" s="38" t="str">
        <f>IF(ISNA(MATCH($N871,data!$A:$A,0)),"",INDEX(data!J:J,MATCH($N871,data!$A:$A,0)))</f>
        <v/>
      </c>
      <c r="AX871" s="38" t="str">
        <f>IF(ISNA(MATCH($N871,data!$A:$A,0)),"",INDEX(data!K:K,MATCH($N871,data!$A:$A,0)))</f>
        <v/>
      </c>
      <c r="AY871" s="38" t="str">
        <f>IF(ISNA(MATCH($N871,data!$A:$A,0)),"",INDEX(data!O:O,MATCH($N871,data!$A:$A,0)))</f>
        <v/>
      </c>
      <c r="AZ871" s="38" t="str">
        <f>IF(ISNA(MATCH($N871,data!$A:$A,0)),"",INDEX(data!N:N,MATCH($N871,data!$A:$A,0)))</f>
        <v/>
      </c>
      <c r="BA871" s="38" t="str">
        <f>IF(ISNA(MATCH($N871,data!$A:$A,0)),"",INDEX(data!P:P,MATCH($N871,data!$A:$A,0)))</f>
        <v/>
      </c>
      <c r="BB871" s="38" t="str">
        <f>IF(ISNA(MATCH($N871,data!$A:$A,0)),"",INDEX(data!Q:Q,MATCH($N871,data!$A:$A,0)))</f>
        <v/>
      </c>
      <c r="BC871" s="38" t="str">
        <f>IF(ISNA(MATCH($N871,data!$A:$A,0)),"",INDEX(data!R:R,MATCH($N871,data!$A:$A,0)))</f>
        <v/>
      </c>
      <c r="BD871" s="38" t="str">
        <f>IF(ISNA(MATCH($N871,[1]data!$A:$A,0)),"",INDEX([1]data!U:U,MATCH($N871,[1]data!$A:$A,0)))</f>
        <v/>
      </c>
      <c r="BE871" s="61" t="e">
        <f>IF(COUNTIF([1]data!A:A,[1]!Table1[[#This Row],[UPC]])&lt;2,"","DUP")</f>
        <v>#VALUE!</v>
      </c>
      <c r="BF871" s="38" t="str">
        <f>IF(ISNA(MATCH($N871,data!$A:$A,0)),"",INDEX(data!W:W,MATCH($N871,data!$A:$A,0)))</f>
        <v/>
      </c>
    </row>
    <row r="872" spans="1:58">
      <c r="A872" s="35"/>
      <c r="B872" s="35"/>
      <c r="C872" s="35"/>
      <c r="D872" s="35"/>
      <c r="E872" s="67"/>
      <c r="F872" s="67"/>
      <c r="G872" s="36"/>
      <c r="H872" s="29"/>
      <c r="I872" s="78" t="str">
        <f t="shared" si="22"/>
        <v/>
      </c>
      <c r="J872" s="29"/>
      <c r="K872" s="29"/>
      <c r="L872" s="33"/>
      <c r="M872" s="33"/>
      <c r="N872" s="60"/>
      <c r="O872" s="71"/>
      <c r="P872" s="71"/>
      <c r="Q872" s="33"/>
      <c r="R872" s="31"/>
      <c r="S872" s="31"/>
      <c r="T872" s="59"/>
      <c r="U872" s="59"/>
      <c r="V872" s="59"/>
      <c r="W872" s="57">
        <f t="shared" si="23"/>
        <v>0</v>
      </c>
      <c r="X872" s="126" t="str">
        <f>IF(Table1[[#This Row],[Shipping Weight Pounds]]&gt;150,"See LTL Form","No")</f>
        <v>No</v>
      </c>
      <c r="Y872" s="28"/>
      <c r="Z872" s="33"/>
      <c r="AA872" s="34"/>
      <c r="AB872" s="30"/>
      <c r="AC872" s="30"/>
      <c r="AD872" s="32"/>
      <c r="AE872" s="32"/>
      <c r="AF872" s="2"/>
      <c r="AG872" s="2"/>
      <c r="AH872" s="2"/>
      <c r="AI872" s="2"/>
      <c r="AK872" s="73" t="str">
        <f>IF(ISNA(MATCH($N872,[1]data!$A:$A,0)),"",INDEX([1]data!S:S,MATCH($N872,[1]data!$A:$A,0)))</f>
        <v/>
      </c>
      <c r="AL872" s="73" t="str">
        <f>IF(ISNA(MATCH($N872,[1]data!$A:$A,0)),"",INDEX([1]data!V:V,MATCH($N872,[1]data!$A:$A,0)))</f>
        <v/>
      </c>
      <c r="AM872" s="38" t="str">
        <f>IF(ISNA(MATCH($N872,data!$A:$A,0)),"",INDEX(data!B:B,MATCH($N872,data!$A:$A,0)))</f>
        <v/>
      </c>
      <c r="AN872" s="38" t="str">
        <f>IF(ISNA(MATCH($N872,data!$A:$A,0)),"",INDEX(data!C:C,MATCH($N872,data!$A:$A,0)))</f>
        <v/>
      </c>
      <c r="AO872" s="38" t="str">
        <f>IF(ISNA(MATCH($N872,data!$A:$A,0)),"",INDEX(data!D:D,MATCH($N872,data!$A:$A,0)))</f>
        <v/>
      </c>
      <c r="AP872" s="38" t="str">
        <f>IF(ISNA(MATCH($N872,data!$A:$A,0)),"",INDEX(data!E:E,MATCH($N872,data!$A:$A,0)))</f>
        <v/>
      </c>
      <c r="AQ872" s="38" t="str">
        <f>IF(ISNA(MATCH($N872,data!$A:$A,0)),"",INDEX(data!F:F,MATCH($N872,data!$A:$A,0)))</f>
        <v/>
      </c>
      <c r="AR872" s="38" t="str">
        <f>IF(ISNA(MATCH($N872,data!$A:$A,0)),"",INDEX(data!G:G,MATCH($N872,data!$A:$A,0)))</f>
        <v/>
      </c>
      <c r="AS872" s="38" t="str">
        <f>IF(ISNA(MATCH($N872,data!$A:$A,0)),"",INDEX(data!H:H,MATCH($N872,data!$A:$A,0)))</f>
        <v/>
      </c>
      <c r="AT872" s="38" t="str">
        <f>IF(ISNA(MATCH($N872,data!$A:$A,0)),"",INDEX(data!I:I,MATCH($N872,data!$A:$A,0)))</f>
        <v/>
      </c>
      <c r="AU872" s="38" t="str">
        <f>IF(ISNA(MATCH($N872,[1]data!$A:$A,0)),"",INDEX([1]data!L:L,MATCH($N872,[1]data!$A:$A,0)))</f>
        <v/>
      </c>
      <c r="AV872" s="38" t="str">
        <f>IF(ISNA(MATCH($N872,[1]data!$A:$A,0)),"",INDEX([1]data!M:M,MATCH($N872,[1]data!$A:$A,0)))</f>
        <v/>
      </c>
      <c r="AW872" s="38" t="str">
        <f>IF(ISNA(MATCH($N872,data!$A:$A,0)),"",INDEX(data!J:J,MATCH($N872,data!$A:$A,0)))</f>
        <v/>
      </c>
      <c r="AX872" s="38" t="str">
        <f>IF(ISNA(MATCH($N872,data!$A:$A,0)),"",INDEX(data!K:K,MATCH($N872,data!$A:$A,0)))</f>
        <v/>
      </c>
      <c r="AY872" s="38" t="str">
        <f>IF(ISNA(MATCH($N872,data!$A:$A,0)),"",INDEX(data!O:O,MATCH($N872,data!$A:$A,0)))</f>
        <v/>
      </c>
      <c r="AZ872" s="38" t="str">
        <f>IF(ISNA(MATCH($N872,data!$A:$A,0)),"",INDEX(data!N:N,MATCH($N872,data!$A:$A,0)))</f>
        <v/>
      </c>
      <c r="BA872" s="38" t="str">
        <f>IF(ISNA(MATCH($N872,data!$A:$A,0)),"",INDEX(data!P:P,MATCH($N872,data!$A:$A,0)))</f>
        <v/>
      </c>
      <c r="BB872" s="38" t="str">
        <f>IF(ISNA(MATCH($N872,data!$A:$A,0)),"",INDEX(data!Q:Q,MATCH($N872,data!$A:$A,0)))</f>
        <v/>
      </c>
      <c r="BC872" s="38" t="str">
        <f>IF(ISNA(MATCH($N872,data!$A:$A,0)),"",INDEX(data!R:R,MATCH($N872,data!$A:$A,0)))</f>
        <v/>
      </c>
      <c r="BD872" s="38" t="str">
        <f>IF(ISNA(MATCH($N872,[1]data!$A:$A,0)),"",INDEX([1]data!U:U,MATCH($N872,[1]data!$A:$A,0)))</f>
        <v/>
      </c>
      <c r="BE872" s="61" t="e">
        <f>IF(COUNTIF([1]data!A:A,[1]!Table1[[#This Row],[UPC]])&lt;2,"","DUP")</f>
        <v>#VALUE!</v>
      </c>
      <c r="BF872" s="38" t="str">
        <f>IF(ISNA(MATCH($N872,data!$A:$A,0)),"",INDEX(data!W:W,MATCH($N872,data!$A:$A,0)))</f>
        <v/>
      </c>
    </row>
    <row r="873" spans="1:58">
      <c r="A873" s="35"/>
      <c r="B873" s="35"/>
      <c r="C873" s="35"/>
      <c r="D873" s="35"/>
      <c r="E873" s="67"/>
      <c r="F873" s="67"/>
      <c r="G873" s="36"/>
      <c r="H873" s="29"/>
      <c r="I873" s="78" t="str">
        <f t="shared" si="22"/>
        <v/>
      </c>
      <c r="J873" s="29"/>
      <c r="K873" s="29"/>
      <c r="L873" s="33"/>
      <c r="M873" s="33"/>
      <c r="N873" s="60"/>
      <c r="O873" s="71"/>
      <c r="P873" s="71"/>
      <c r="Q873" s="33"/>
      <c r="R873" s="31"/>
      <c r="S873" s="31"/>
      <c r="T873" s="59"/>
      <c r="U873" s="59"/>
      <c r="V873" s="59"/>
      <c r="W873" s="57">
        <f t="shared" si="23"/>
        <v>0</v>
      </c>
      <c r="X873" s="126" t="str">
        <f>IF(Table1[[#This Row],[Shipping Weight Pounds]]&gt;150,"See LTL Form","No")</f>
        <v>No</v>
      </c>
      <c r="Y873" s="28"/>
      <c r="Z873" s="33"/>
      <c r="AA873" s="34"/>
      <c r="AB873" s="30"/>
      <c r="AC873" s="30"/>
      <c r="AD873" s="32"/>
      <c r="AE873" s="32"/>
      <c r="AF873" s="2"/>
      <c r="AG873" s="2"/>
      <c r="AH873" s="2"/>
      <c r="AI873" s="2"/>
      <c r="AK873" s="73" t="str">
        <f>IF(ISNA(MATCH($N873,[1]data!$A:$A,0)),"",INDEX([1]data!S:S,MATCH($N873,[1]data!$A:$A,0)))</f>
        <v/>
      </c>
      <c r="AL873" s="73" t="str">
        <f>IF(ISNA(MATCH($N873,[1]data!$A:$A,0)),"",INDEX([1]data!V:V,MATCH($N873,[1]data!$A:$A,0)))</f>
        <v/>
      </c>
      <c r="AM873" s="38" t="str">
        <f>IF(ISNA(MATCH($N873,data!$A:$A,0)),"",INDEX(data!B:B,MATCH($N873,data!$A:$A,0)))</f>
        <v/>
      </c>
      <c r="AN873" s="38" t="str">
        <f>IF(ISNA(MATCH($N873,data!$A:$A,0)),"",INDEX(data!C:C,MATCH($N873,data!$A:$A,0)))</f>
        <v/>
      </c>
      <c r="AO873" s="38" t="str">
        <f>IF(ISNA(MATCH($N873,data!$A:$A,0)),"",INDEX(data!D:D,MATCH($N873,data!$A:$A,0)))</f>
        <v/>
      </c>
      <c r="AP873" s="38" t="str">
        <f>IF(ISNA(MATCH($N873,data!$A:$A,0)),"",INDEX(data!E:E,MATCH($N873,data!$A:$A,0)))</f>
        <v/>
      </c>
      <c r="AQ873" s="38" t="str">
        <f>IF(ISNA(MATCH($N873,data!$A:$A,0)),"",INDEX(data!F:F,MATCH($N873,data!$A:$A,0)))</f>
        <v/>
      </c>
      <c r="AR873" s="38" t="str">
        <f>IF(ISNA(MATCH($N873,data!$A:$A,0)),"",INDEX(data!G:G,MATCH($N873,data!$A:$A,0)))</f>
        <v/>
      </c>
      <c r="AS873" s="38" t="str">
        <f>IF(ISNA(MATCH($N873,data!$A:$A,0)),"",INDEX(data!H:H,MATCH($N873,data!$A:$A,0)))</f>
        <v/>
      </c>
      <c r="AT873" s="38" t="str">
        <f>IF(ISNA(MATCH($N873,data!$A:$A,0)),"",INDEX(data!I:I,MATCH($N873,data!$A:$A,0)))</f>
        <v/>
      </c>
      <c r="AU873" s="38" t="str">
        <f>IF(ISNA(MATCH($N873,[1]data!$A:$A,0)),"",INDEX([1]data!L:L,MATCH($N873,[1]data!$A:$A,0)))</f>
        <v/>
      </c>
      <c r="AV873" s="38" t="str">
        <f>IF(ISNA(MATCH($N873,[1]data!$A:$A,0)),"",INDEX([1]data!M:M,MATCH($N873,[1]data!$A:$A,0)))</f>
        <v/>
      </c>
      <c r="AW873" s="38" t="str">
        <f>IF(ISNA(MATCH($N873,data!$A:$A,0)),"",INDEX(data!J:J,MATCH($N873,data!$A:$A,0)))</f>
        <v/>
      </c>
      <c r="AX873" s="38" t="str">
        <f>IF(ISNA(MATCH($N873,data!$A:$A,0)),"",INDEX(data!K:K,MATCH($N873,data!$A:$A,0)))</f>
        <v/>
      </c>
      <c r="AY873" s="38" t="str">
        <f>IF(ISNA(MATCH($N873,data!$A:$A,0)),"",INDEX(data!O:O,MATCH($N873,data!$A:$A,0)))</f>
        <v/>
      </c>
      <c r="AZ873" s="38" t="str">
        <f>IF(ISNA(MATCH($N873,data!$A:$A,0)),"",INDEX(data!N:N,MATCH($N873,data!$A:$A,0)))</f>
        <v/>
      </c>
      <c r="BA873" s="38" t="str">
        <f>IF(ISNA(MATCH($N873,data!$A:$A,0)),"",INDEX(data!P:P,MATCH($N873,data!$A:$A,0)))</f>
        <v/>
      </c>
      <c r="BB873" s="38" t="str">
        <f>IF(ISNA(MATCH($N873,data!$A:$A,0)),"",INDEX(data!Q:Q,MATCH($N873,data!$A:$A,0)))</f>
        <v/>
      </c>
      <c r="BC873" s="38" t="str">
        <f>IF(ISNA(MATCH($N873,data!$A:$A,0)),"",INDEX(data!R:R,MATCH($N873,data!$A:$A,0)))</f>
        <v/>
      </c>
      <c r="BD873" s="38" t="str">
        <f>IF(ISNA(MATCH($N873,[1]data!$A:$A,0)),"",INDEX([1]data!U:U,MATCH($N873,[1]data!$A:$A,0)))</f>
        <v/>
      </c>
      <c r="BE873" s="61" t="e">
        <f>IF(COUNTIF([1]data!A:A,[1]!Table1[[#This Row],[UPC]])&lt;2,"","DUP")</f>
        <v>#VALUE!</v>
      </c>
      <c r="BF873" s="38" t="str">
        <f>IF(ISNA(MATCH($N873,data!$A:$A,0)),"",INDEX(data!W:W,MATCH($N873,data!$A:$A,0)))</f>
        <v/>
      </c>
    </row>
    <row r="874" spans="1:58">
      <c r="A874" s="35"/>
      <c r="B874" s="35"/>
      <c r="C874" s="35"/>
      <c r="D874" s="35"/>
      <c r="E874" s="67"/>
      <c r="F874" s="67"/>
      <c r="G874" s="36"/>
      <c r="H874" s="29"/>
      <c r="I874" s="78" t="str">
        <f t="shared" si="22"/>
        <v/>
      </c>
      <c r="J874" s="29"/>
      <c r="K874" s="29"/>
      <c r="L874" s="33"/>
      <c r="M874" s="33"/>
      <c r="N874" s="60"/>
      <c r="O874" s="71"/>
      <c r="P874" s="71"/>
      <c r="Q874" s="33"/>
      <c r="R874" s="31"/>
      <c r="S874" s="31"/>
      <c r="T874" s="59"/>
      <c r="U874" s="59"/>
      <c r="V874" s="59"/>
      <c r="W874" s="57">
        <f t="shared" si="23"/>
        <v>0</v>
      </c>
      <c r="X874" s="126" t="str">
        <f>IF(Table1[[#This Row],[Shipping Weight Pounds]]&gt;150,"See LTL Form","No")</f>
        <v>No</v>
      </c>
      <c r="Y874" s="28"/>
      <c r="Z874" s="33"/>
      <c r="AA874" s="34"/>
      <c r="AB874" s="30"/>
      <c r="AC874" s="30"/>
      <c r="AD874" s="32"/>
      <c r="AE874" s="32"/>
      <c r="AF874" s="2"/>
      <c r="AG874" s="2"/>
      <c r="AH874" s="2"/>
      <c r="AI874" s="2"/>
      <c r="AK874" s="73" t="str">
        <f>IF(ISNA(MATCH($N874,[1]data!$A:$A,0)),"",INDEX([1]data!S:S,MATCH($N874,[1]data!$A:$A,0)))</f>
        <v/>
      </c>
      <c r="AL874" s="73" t="str">
        <f>IF(ISNA(MATCH($N874,[1]data!$A:$A,0)),"",INDEX([1]data!V:V,MATCH($N874,[1]data!$A:$A,0)))</f>
        <v/>
      </c>
      <c r="AM874" s="38" t="str">
        <f>IF(ISNA(MATCH($N874,data!$A:$A,0)),"",INDEX(data!B:B,MATCH($N874,data!$A:$A,0)))</f>
        <v/>
      </c>
      <c r="AN874" s="38" t="str">
        <f>IF(ISNA(MATCH($N874,data!$A:$A,0)),"",INDEX(data!C:C,MATCH($N874,data!$A:$A,0)))</f>
        <v/>
      </c>
      <c r="AO874" s="38" t="str">
        <f>IF(ISNA(MATCH($N874,data!$A:$A,0)),"",INDEX(data!D:D,MATCH($N874,data!$A:$A,0)))</f>
        <v/>
      </c>
      <c r="AP874" s="38" t="str">
        <f>IF(ISNA(MATCH($N874,data!$A:$A,0)),"",INDEX(data!E:E,MATCH($N874,data!$A:$A,0)))</f>
        <v/>
      </c>
      <c r="AQ874" s="38" t="str">
        <f>IF(ISNA(MATCH($N874,data!$A:$A,0)),"",INDEX(data!F:F,MATCH($N874,data!$A:$A,0)))</f>
        <v/>
      </c>
      <c r="AR874" s="38" t="str">
        <f>IF(ISNA(MATCH($N874,data!$A:$A,0)),"",INDEX(data!G:G,MATCH($N874,data!$A:$A,0)))</f>
        <v/>
      </c>
      <c r="AS874" s="38" t="str">
        <f>IF(ISNA(MATCH($N874,data!$A:$A,0)),"",INDEX(data!H:H,MATCH($N874,data!$A:$A,0)))</f>
        <v/>
      </c>
      <c r="AT874" s="38" t="str">
        <f>IF(ISNA(MATCH($N874,data!$A:$A,0)),"",INDEX(data!I:I,MATCH($N874,data!$A:$A,0)))</f>
        <v/>
      </c>
      <c r="AU874" s="38" t="str">
        <f>IF(ISNA(MATCH($N874,[1]data!$A:$A,0)),"",INDEX([1]data!L:L,MATCH($N874,[1]data!$A:$A,0)))</f>
        <v/>
      </c>
      <c r="AV874" s="38" t="str">
        <f>IF(ISNA(MATCH($N874,[1]data!$A:$A,0)),"",INDEX([1]data!M:M,MATCH($N874,[1]data!$A:$A,0)))</f>
        <v/>
      </c>
      <c r="AW874" s="38" t="str">
        <f>IF(ISNA(MATCH($N874,data!$A:$A,0)),"",INDEX(data!J:J,MATCH($N874,data!$A:$A,0)))</f>
        <v/>
      </c>
      <c r="AX874" s="38" t="str">
        <f>IF(ISNA(MATCH($N874,data!$A:$A,0)),"",INDEX(data!K:K,MATCH($N874,data!$A:$A,0)))</f>
        <v/>
      </c>
      <c r="AY874" s="38" t="str">
        <f>IF(ISNA(MATCH($N874,data!$A:$A,0)),"",INDEX(data!O:O,MATCH($N874,data!$A:$A,0)))</f>
        <v/>
      </c>
      <c r="AZ874" s="38" t="str">
        <f>IF(ISNA(MATCH($N874,data!$A:$A,0)),"",INDEX(data!N:N,MATCH($N874,data!$A:$A,0)))</f>
        <v/>
      </c>
      <c r="BA874" s="38" t="str">
        <f>IF(ISNA(MATCH($N874,data!$A:$A,0)),"",INDEX(data!P:P,MATCH($N874,data!$A:$A,0)))</f>
        <v/>
      </c>
      <c r="BB874" s="38" t="str">
        <f>IF(ISNA(MATCH($N874,data!$A:$A,0)),"",INDEX(data!Q:Q,MATCH($N874,data!$A:$A,0)))</f>
        <v/>
      </c>
      <c r="BC874" s="38" t="str">
        <f>IF(ISNA(MATCH($N874,data!$A:$A,0)),"",INDEX(data!R:R,MATCH($N874,data!$A:$A,0)))</f>
        <v/>
      </c>
      <c r="BD874" s="38" t="str">
        <f>IF(ISNA(MATCH($N874,[1]data!$A:$A,0)),"",INDEX([1]data!U:U,MATCH($N874,[1]data!$A:$A,0)))</f>
        <v/>
      </c>
      <c r="BE874" s="61" t="e">
        <f>IF(COUNTIF([1]data!A:A,[1]!Table1[[#This Row],[UPC]])&lt;2,"","DUP")</f>
        <v>#VALUE!</v>
      </c>
      <c r="BF874" s="38" t="str">
        <f>IF(ISNA(MATCH($N874,data!$A:$A,0)),"",INDEX(data!W:W,MATCH($N874,data!$A:$A,0)))</f>
        <v/>
      </c>
    </row>
    <row r="875" spans="1:58">
      <c r="A875" s="35"/>
      <c r="B875" s="35"/>
      <c r="C875" s="35"/>
      <c r="D875" s="35"/>
      <c r="E875" s="67"/>
      <c r="F875" s="67"/>
      <c r="G875" s="36"/>
      <c r="H875" s="29"/>
      <c r="I875" s="78" t="str">
        <f t="shared" si="22"/>
        <v/>
      </c>
      <c r="J875" s="29"/>
      <c r="K875" s="29"/>
      <c r="L875" s="33"/>
      <c r="M875" s="33"/>
      <c r="N875" s="60"/>
      <c r="O875" s="71"/>
      <c r="P875" s="71"/>
      <c r="Q875" s="33"/>
      <c r="R875" s="31"/>
      <c r="S875" s="31"/>
      <c r="T875" s="59"/>
      <c r="U875" s="59"/>
      <c r="V875" s="59"/>
      <c r="W875" s="57">
        <f t="shared" si="23"/>
        <v>0</v>
      </c>
      <c r="X875" s="126" t="str">
        <f>IF(Table1[[#This Row],[Shipping Weight Pounds]]&gt;150,"See LTL Form","No")</f>
        <v>No</v>
      </c>
      <c r="Y875" s="28"/>
      <c r="Z875" s="33"/>
      <c r="AA875" s="34"/>
      <c r="AB875" s="30"/>
      <c r="AC875" s="30"/>
      <c r="AD875" s="32"/>
      <c r="AE875" s="32"/>
      <c r="AF875" s="2"/>
      <c r="AG875" s="2"/>
      <c r="AH875" s="2"/>
      <c r="AI875" s="2"/>
      <c r="AK875" s="73" t="str">
        <f>IF(ISNA(MATCH($N875,[1]data!$A:$A,0)),"",INDEX([1]data!S:S,MATCH($N875,[1]data!$A:$A,0)))</f>
        <v/>
      </c>
      <c r="AL875" s="73" t="str">
        <f>IF(ISNA(MATCH($N875,[1]data!$A:$A,0)),"",INDEX([1]data!V:V,MATCH($N875,[1]data!$A:$A,0)))</f>
        <v/>
      </c>
      <c r="AM875" s="38" t="str">
        <f>IF(ISNA(MATCH($N875,data!$A:$A,0)),"",INDEX(data!B:B,MATCH($N875,data!$A:$A,0)))</f>
        <v/>
      </c>
      <c r="AN875" s="38" t="str">
        <f>IF(ISNA(MATCH($N875,data!$A:$A,0)),"",INDEX(data!C:C,MATCH($N875,data!$A:$A,0)))</f>
        <v/>
      </c>
      <c r="AO875" s="38" t="str">
        <f>IF(ISNA(MATCH($N875,data!$A:$A,0)),"",INDEX(data!D:D,MATCH($N875,data!$A:$A,0)))</f>
        <v/>
      </c>
      <c r="AP875" s="38" t="str">
        <f>IF(ISNA(MATCH($N875,data!$A:$A,0)),"",INDEX(data!E:E,MATCH($N875,data!$A:$A,0)))</f>
        <v/>
      </c>
      <c r="AQ875" s="38" t="str">
        <f>IF(ISNA(MATCH($N875,data!$A:$A,0)),"",INDEX(data!F:F,MATCH($N875,data!$A:$A,0)))</f>
        <v/>
      </c>
      <c r="AR875" s="38" t="str">
        <f>IF(ISNA(MATCH($N875,data!$A:$A,0)),"",INDEX(data!G:G,MATCH($N875,data!$A:$A,0)))</f>
        <v/>
      </c>
      <c r="AS875" s="38" t="str">
        <f>IF(ISNA(MATCH($N875,data!$A:$A,0)),"",INDEX(data!H:H,MATCH($N875,data!$A:$A,0)))</f>
        <v/>
      </c>
      <c r="AT875" s="38" t="str">
        <f>IF(ISNA(MATCH($N875,data!$A:$A,0)),"",INDEX(data!I:I,MATCH($N875,data!$A:$A,0)))</f>
        <v/>
      </c>
      <c r="AU875" s="38" t="str">
        <f>IF(ISNA(MATCH($N875,[1]data!$A:$A,0)),"",INDEX([1]data!L:L,MATCH($N875,[1]data!$A:$A,0)))</f>
        <v/>
      </c>
      <c r="AV875" s="38" t="str">
        <f>IF(ISNA(MATCH($N875,[1]data!$A:$A,0)),"",INDEX([1]data!M:M,MATCH($N875,[1]data!$A:$A,0)))</f>
        <v/>
      </c>
      <c r="AW875" s="38" t="str">
        <f>IF(ISNA(MATCH($N875,data!$A:$A,0)),"",INDEX(data!J:J,MATCH($N875,data!$A:$A,0)))</f>
        <v/>
      </c>
      <c r="AX875" s="38" t="str">
        <f>IF(ISNA(MATCH($N875,data!$A:$A,0)),"",INDEX(data!K:K,MATCH($N875,data!$A:$A,0)))</f>
        <v/>
      </c>
      <c r="AY875" s="38" t="str">
        <f>IF(ISNA(MATCH($N875,data!$A:$A,0)),"",INDEX(data!O:O,MATCH($N875,data!$A:$A,0)))</f>
        <v/>
      </c>
      <c r="AZ875" s="38" t="str">
        <f>IF(ISNA(MATCH($N875,data!$A:$A,0)),"",INDEX(data!N:N,MATCH($N875,data!$A:$A,0)))</f>
        <v/>
      </c>
      <c r="BA875" s="38" t="str">
        <f>IF(ISNA(MATCH($N875,data!$A:$A,0)),"",INDEX(data!P:P,MATCH($N875,data!$A:$A,0)))</f>
        <v/>
      </c>
      <c r="BB875" s="38" t="str">
        <f>IF(ISNA(MATCH($N875,data!$A:$A,0)),"",INDEX(data!Q:Q,MATCH($N875,data!$A:$A,0)))</f>
        <v/>
      </c>
      <c r="BC875" s="38" t="str">
        <f>IF(ISNA(MATCH($N875,data!$A:$A,0)),"",INDEX(data!R:R,MATCH($N875,data!$A:$A,0)))</f>
        <v/>
      </c>
      <c r="BD875" s="38" t="str">
        <f>IF(ISNA(MATCH($N875,[1]data!$A:$A,0)),"",INDEX([1]data!U:U,MATCH($N875,[1]data!$A:$A,0)))</f>
        <v/>
      </c>
      <c r="BE875" s="61" t="e">
        <f>IF(COUNTIF([1]data!A:A,[1]!Table1[[#This Row],[UPC]])&lt;2,"","DUP")</f>
        <v>#VALUE!</v>
      </c>
      <c r="BF875" s="38" t="str">
        <f>IF(ISNA(MATCH($N875,data!$A:$A,0)),"",INDEX(data!W:W,MATCH($N875,data!$A:$A,0)))</f>
        <v/>
      </c>
    </row>
    <row r="876" spans="1:58">
      <c r="A876" s="35"/>
      <c r="B876" s="35"/>
      <c r="C876" s="35"/>
      <c r="D876" s="35"/>
      <c r="E876" s="67"/>
      <c r="F876" s="67"/>
      <c r="G876" s="36"/>
      <c r="H876" s="29"/>
      <c r="I876" s="78" t="str">
        <f t="shared" si="22"/>
        <v/>
      </c>
      <c r="J876" s="29"/>
      <c r="K876" s="29"/>
      <c r="L876" s="33"/>
      <c r="M876" s="33"/>
      <c r="N876" s="60"/>
      <c r="O876" s="71"/>
      <c r="P876" s="71"/>
      <c r="Q876" s="33"/>
      <c r="R876" s="31"/>
      <c r="S876" s="31"/>
      <c r="T876" s="59"/>
      <c r="U876" s="59"/>
      <c r="V876" s="59"/>
      <c r="W876" s="57">
        <f t="shared" si="23"/>
        <v>0</v>
      </c>
      <c r="X876" s="126" t="str">
        <f>IF(Table1[[#This Row],[Shipping Weight Pounds]]&gt;150,"See LTL Form","No")</f>
        <v>No</v>
      </c>
      <c r="Y876" s="28"/>
      <c r="Z876" s="33"/>
      <c r="AA876" s="34"/>
      <c r="AB876" s="30"/>
      <c r="AC876" s="30"/>
      <c r="AD876" s="32"/>
      <c r="AE876" s="32"/>
      <c r="AF876" s="2"/>
      <c r="AG876" s="2"/>
      <c r="AH876" s="2"/>
      <c r="AI876" s="2"/>
      <c r="AK876" s="73" t="str">
        <f>IF(ISNA(MATCH($N876,[1]data!$A:$A,0)),"",INDEX([1]data!S:S,MATCH($N876,[1]data!$A:$A,0)))</f>
        <v/>
      </c>
      <c r="AL876" s="73" t="str">
        <f>IF(ISNA(MATCH($N876,[1]data!$A:$A,0)),"",INDEX([1]data!V:V,MATCH($N876,[1]data!$A:$A,0)))</f>
        <v/>
      </c>
      <c r="AM876" s="38" t="str">
        <f>IF(ISNA(MATCH($N876,data!$A:$A,0)),"",INDEX(data!B:B,MATCH($N876,data!$A:$A,0)))</f>
        <v/>
      </c>
      <c r="AN876" s="38" t="str">
        <f>IF(ISNA(MATCH($N876,data!$A:$A,0)),"",INDEX(data!C:C,MATCH($N876,data!$A:$A,0)))</f>
        <v/>
      </c>
      <c r="AO876" s="38" t="str">
        <f>IF(ISNA(MATCH($N876,data!$A:$A,0)),"",INDEX(data!D:D,MATCH($N876,data!$A:$A,0)))</f>
        <v/>
      </c>
      <c r="AP876" s="38" t="str">
        <f>IF(ISNA(MATCH($N876,data!$A:$A,0)),"",INDEX(data!E:E,MATCH($N876,data!$A:$A,0)))</f>
        <v/>
      </c>
      <c r="AQ876" s="38" t="str">
        <f>IF(ISNA(MATCH($N876,data!$A:$A,0)),"",INDEX(data!F:F,MATCH($N876,data!$A:$A,0)))</f>
        <v/>
      </c>
      <c r="AR876" s="38" t="str">
        <f>IF(ISNA(MATCH($N876,data!$A:$A,0)),"",INDEX(data!G:G,MATCH($N876,data!$A:$A,0)))</f>
        <v/>
      </c>
      <c r="AS876" s="38" t="str">
        <f>IF(ISNA(MATCH($N876,data!$A:$A,0)),"",INDEX(data!H:H,MATCH($N876,data!$A:$A,0)))</f>
        <v/>
      </c>
      <c r="AT876" s="38" t="str">
        <f>IF(ISNA(MATCH($N876,data!$A:$A,0)),"",INDEX(data!I:I,MATCH($N876,data!$A:$A,0)))</f>
        <v/>
      </c>
      <c r="AU876" s="38" t="str">
        <f>IF(ISNA(MATCH($N876,[1]data!$A:$A,0)),"",INDEX([1]data!L:L,MATCH($N876,[1]data!$A:$A,0)))</f>
        <v/>
      </c>
      <c r="AV876" s="38" t="str">
        <f>IF(ISNA(MATCH($N876,[1]data!$A:$A,0)),"",INDEX([1]data!M:M,MATCH($N876,[1]data!$A:$A,0)))</f>
        <v/>
      </c>
      <c r="AW876" s="38" t="str">
        <f>IF(ISNA(MATCH($N876,data!$A:$A,0)),"",INDEX(data!J:J,MATCH($N876,data!$A:$A,0)))</f>
        <v/>
      </c>
      <c r="AX876" s="38" t="str">
        <f>IF(ISNA(MATCH($N876,data!$A:$A,0)),"",INDEX(data!K:K,MATCH($N876,data!$A:$A,0)))</f>
        <v/>
      </c>
      <c r="AY876" s="38" t="str">
        <f>IF(ISNA(MATCH($N876,data!$A:$A,0)),"",INDEX(data!O:O,MATCH($N876,data!$A:$A,0)))</f>
        <v/>
      </c>
      <c r="AZ876" s="38" t="str">
        <f>IF(ISNA(MATCH($N876,data!$A:$A,0)),"",INDEX(data!N:N,MATCH($N876,data!$A:$A,0)))</f>
        <v/>
      </c>
      <c r="BA876" s="38" t="str">
        <f>IF(ISNA(MATCH($N876,data!$A:$A,0)),"",INDEX(data!P:P,MATCH($N876,data!$A:$A,0)))</f>
        <v/>
      </c>
      <c r="BB876" s="38" t="str">
        <f>IF(ISNA(MATCH($N876,data!$A:$A,0)),"",INDEX(data!Q:Q,MATCH($N876,data!$A:$A,0)))</f>
        <v/>
      </c>
      <c r="BC876" s="38" t="str">
        <f>IF(ISNA(MATCH($N876,data!$A:$A,0)),"",INDEX(data!R:R,MATCH($N876,data!$A:$A,0)))</f>
        <v/>
      </c>
      <c r="BD876" s="38" t="str">
        <f>IF(ISNA(MATCH($N876,[1]data!$A:$A,0)),"",INDEX([1]data!U:U,MATCH($N876,[1]data!$A:$A,0)))</f>
        <v/>
      </c>
      <c r="BE876" s="61" t="e">
        <f>IF(COUNTIF([1]data!A:A,[1]!Table1[[#This Row],[UPC]])&lt;2,"","DUP")</f>
        <v>#VALUE!</v>
      </c>
      <c r="BF876" s="38" t="str">
        <f>IF(ISNA(MATCH($N876,data!$A:$A,0)),"",INDEX(data!W:W,MATCH($N876,data!$A:$A,0)))</f>
        <v/>
      </c>
    </row>
    <row r="877" spans="1:58">
      <c r="A877" s="35"/>
      <c r="B877" s="35"/>
      <c r="C877" s="35"/>
      <c r="D877" s="35"/>
      <c r="E877" s="67"/>
      <c r="F877" s="67"/>
      <c r="G877" s="36"/>
      <c r="H877" s="29"/>
      <c r="I877" s="78" t="str">
        <f t="shared" si="22"/>
        <v/>
      </c>
      <c r="J877" s="29"/>
      <c r="K877" s="29"/>
      <c r="L877" s="33"/>
      <c r="M877" s="33"/>
      <c r="N877" s="60"/>
      <c r="O877" s="71"/>
      <c r="P877" s="71"/>
      <c r="Q877" s="33"/>
      <c r="R877" s="31"/>
      <c r="S877" s="31"/>
      <c r="T877" s="59"/>
      <c r="U877" s="59"/>
      <c r="V877" s="59"/>
      <c r="W877" s="57">
        <f t="shared" si="23"/>
        <v>0</v>
      </c>
      <c r="X877" s="126" t="str">
        <f>IF(Table1[[#This Row],[Shipping Weight Pounds]]&gt;150,"See LTL Form","No")</f>
        <v>No</v>
      </c>
      <c r="Y877" s="28"/>
      <c r="Z877" s="33"/>
      <c r="AA877" s="34"/>
      <c r="AB877" s="30"/>
      <c r="AC877" s="30"/>
      <c r="AD877" s="32"/>
      <c r="AE877" s="32"/>
      <c r="AF877" s="2"/>
      <c r="AG877" s="2"/>
      <c r="AH877" s="2"/>
      <c r="AI877" s="2"/>
      <c r="AK877" s="73" t="str">
        <f>IF(ISNA(MATCH($N877,[1]data!$A:$A,0)),"",INDEX([1]data!S:S,MATCH($N877,[1]data!$A:$A,0)))</f>
        <v/>
      </c>
      <c r="AL877" s="73" t="str">
        <f>IF(ISNA(MATCH($N877,[1]data!$A:$A,0)),"",INDEX([1]data!V:V,MATCH($N877,[1]data!$A:$A,0)))</f>
        <v/>
      </c>
      <c r="AM877" s="38" t="str">
        <f>IF(ISNA(MATCH($N877,data!$A:$A,0)),"",INDEX(data!B:B,MATCH($N877,data!$A:$A,0)))</f>
        <v/>
      </c>
      <c r="AN877" s="38" t="str">
        <f>IF(ISNA(MATCH($N877,data!$A:$A,0)),"",INDEX(data!C:C,MATCH($N877,data!$A:$A,0)))</f>
        <v/>
      </c>
      <c r="AO877" s="38" t="str">
        <f>IF(ISNA(MATCH($N877,data!$A:$A,0)),"",INDEX(data!D:D,MATCH($N877,data!$A:$A,0)))</f>
        <v/>
      </c>
      <c r="AP877" s="38" t="str">
        <f>IF(ISNA(MATCH($N877,data!$A:$A,0)),"",INDEX(data!E:E,MATCH($N877,data!$A:$A,0)))</f>
        <v/>
      </c>
      <c r="AQ877" s="38" t="str">
        <f>IF(ISNA(MATCH($N877,data!$A:$A,0)),"",INDEX(data!F:F,MATCH($N877,data!$A:$A,0)))</f>
        <v/>
      </c>
      <c r="AR877" s="38" t="str">
        <f>IF(ISNA(MATCH($N877,data!$A:$A,0)),"",INDEX(data!G:G,MATCH($N877,data!$A:$A,0)))</f>
        <v/>
      </c>
      <c r="AS877" s="38" t="str">
        <f>IF(ISNA(MATCH($N877,data!$A:$A,0)),"",INDEX(data!H:H,MATCH($N877,data!$A:$A,0)))</f>
        <v/>
      </c>
      <c r="AT877" s="38" t="str">
        <f>IF(ISNA(MATCH($N877,data!$A:$A,0)),"",INDEX(data!I:I,MATCH($N877,data!$A:$A,0)))</f>
        <v/>
      </c>
      <c r="AU877" s="38" t="str">
        <f>IF(ISNA(MATCH($N877,[1]data!$A:$A,0)),"",INDEX([1]data!L:L,MATCH($N877,[1]data!$A:$A,0)))</f>
        <v/>
      </c>
      <c r="AV877" s="38" t="str">
        <f>IF(ISNA(MATCH($N877,[1]data!$A:$A,0)),"",INDEX([1]data!M:M,MATCH($N877,[1]data!$A:$A,0)))</f>
        <v/>
      </c>
      <c r="AW877" s="38" t="str">
        <f>IF(ISNA(MATCH($N877,data!$A:$A,0)),"",INDEX(data!J:J,MATCH($N877,data!$A:$A,0)))</f>
        <v/>
      </c>
      <c r="AX877" s="38" t="str">
        <f>IF(ISNA(MATCH($N877,data!$A:$A,0)),"",INDEX(data!K:K,MATCH($N877,data!$A:$A,0)))</f>
        <v/>
      </c>
      <c r="AY877" s="38" t="str">
        <f>IF(ISNA(MATCH($N877,data!$A:$A,0)),"",INDEX(data!O:O,MATCH($N877,data!$A:$A,0)))</f>
        <v/>
      </c>
      <c r="AZ877" s="38" t="str">
        <f>IF(ISNA(MATCH($N877,data!$A:$A,0)),"",INDEX(data!N:N,MATCH($N877,data!$A:$A,0)))</f>
        <v/>
      </c>
      <c r="BA877" s="38" t="str">
        <f>IF(ISNA(MATCH($N877,data!$A:$A,0)),"",INDEX(data!P:P,MATCH($N877,data!$A:$A,0)))</f>
        <v/>
      </c>
      <c r="BB877" s="38" t="str">
        <f>IF(ISNA(MATCH($N877,data!$A:$A,0)),"",INDEX(data!Q:Q,MATCH($N877,data!$A:$A,0)))</f>
        <v/>
      </c>
      <c r="BC877" s="38" t="str">
        <f>IF(ISNA(MATCH($N877,data!$A:$A,0)),"",INDEX(data!R:R,MATCH($N877,data!$A:$A,0)))</f>
        <v/>
      </c>
      <c r="BD877" s="38" t="str">
        <f>IF(ISNA(MATCH($N877,[1]data!$A:$A,0)),"",INDEX([1]data!U:U,MATCH($N877,[1]data!$A:$A,0)))</f>
        <v/>
      </c>
      <c r="BE877" s="61" t="e">
        <f>IF(COUNTIF([1]data!A:A,[1]!Table1[[#This Row],[UPC]])&lt;2,"","DUP")</f>
        <v>#VALUE!</v>
      </c>
      <c r="BF877" s="38" t="str">
        <f>IF(ISNA(MATCH($N877,data!$A:$A,0)),"",INDEX(data!W:W,MATCH($N877,data!$A:$A,0)))</f>
        <v/>
      </c>
    </row>
    <row r="878" spans="1:58">
      <c r="A878" s="35"/>
      <c r="B878" s="35"/>
      <c r="C878" s="35"/>
      <c r="D878" s="35"/>
      <c r="E878" s="67"/>
      <c r="F878" s="67"/>
      <c r="G878" s="36"/>
      <c r="H878" s="29"/>
      <c r="I878" s="78" t="str">
        <f t="shared" si="22"/>
        <v/>
      </c>
      <c r="J878" s="29"/>
      <c r="K878" s="29"/>
      <c r="L878" s="33"/>
      <c r="M878" s="33"/>
      <c r="N878" s="60"/>
      <c r="O878" s="71"/>
      <c r="P878" s="71"/>
      <c r="Q878" s="33"/>
      <c r="R878" s="31"/>
      <c r="S878" s="31"/>
      <c r="T878" s="59"/>
      <c r="U878" s="59"/>
      <c r="V878" s="59"/>
      <c r="W878" s="57">
        <f t="shared" si="23"/>
        <v>0</v>
      </c>
      <c r="X878" s="126" t="str">
        <f>IF(Table1[[#This Row],[Shipping Weight Pounds]]&gt;150,"See LTL Form","No")</f>
        <v>No</v>
      </c>
      <c r="Y878" s="28"/>
      <c r="Z878" s="33"/>
      <c r="AA878" s="34"/>
      <c r="AB878" s="30"/>
      <c r="AC878" s="30"/>
      <c r="AD878" s="32"/>
      <c r="AE878" s="32"/>
      <c r="AF878" s="2"/>
      <c r="AG878" s="2"/>
      <c r="AH878" s="2"/>
      <c r="AI878" s="2"/>
      <c r="AK878" s="73" t="str">
        <f>IF(ISNA(MATCH($N878,[1]data!$A:$A,0)),"",INDEX([1]data!S:S,MATCH($N878,[1]data!$A:$A,0)))</f>
        <v/>
      </c>
      <c r="AL878" s="73" t="str">
        <f>IF(ISNA(MATCH($N878,[1]data!$A:$A,0)),"",INDEX([1]data!V:V,MATCH($N878,[1]data!$A:$A,0)))</f>
        <v/>
      </c>
      <c r="AM878" s="38" t="str">
        <f>IF(ISNA(MATCH($N878,data!$A:$A,0)),"",INDEX(data!B:B,MATCH($N878,data!$A:$A,0)))</f>
        <v/>
      </c>
      <c r="AN878" s="38" t="str">
        <f>IF(ISNA(MATCH($N878,data!$A:$A,0)),"",INDEX(data!C:C,MATCH($N878,data!$A:$A,0)))</f>
        <v/>
      </c>
      <c r="AO878" s="38" t="str">
        <f>IF(ISNA(MATCH($N878,data!$A:$A,0)),"",INDEX(data!D:D,MATCH($N878,data!$A:$A,0)))</f>
        <v/>
      </c>
      <c r="AP878" s="38" t="str">
        <f>IF(ISNA(MATCH($N878,data!$A:$A,0)),"",INDEX(data!E:E,MATCH($N878,data!$A:$A,0)))</f>
        <v/>
      </c>
      <c r="AQ878" s="38" t="str">
        <f>IF(ISNA(MATCH($N878,data!$A:$A,0)),"",INDEX(data!F:F,MATCH($N878,data!$A:$A,0)))</f>
        <v/>
      </c>
      <c r="AR878" s="38" t="str">
        <f>IF(ISNA(MATCH($N878,data!$A:$A,0)),"",INDEX(data!G:G,MATCH($N878,data!$A:$A,0)))</f>
        <v/>
      </c>
      <c r="AS878" s="38" t="str">
        <f>IF(ISNA(MATCH($N878,data!$A:$A,0)),"",INDEX(data!H:H,MATCH($N878,data!$A:$A,0)))</f>
        <v/>
      </c>
      <c r="AT878" s="38" t="str">
        <f>IF(ISNA(MATCH($N878,data!$A:$A,0)),"",INDEX(data!I:I,MATCH($N878,data!$A:$A,0)))</f>
        <v/>
      </c>
      <c r="AU878" s="38" t="str">
        <f>IF(ISNA(MATCH($N878,[1]data!$A:$A,0)),"",INDEX([1]data!L:L,MATCH($N878,[1]data!$A:$A,0)))</f>
        <v/>
      </c>
      <c r="AV878" s="38" t="str">
        <f>IF(ISNA(MATCH($N878,[1]data!$A:$A,0)),"",INDEX([1]data!M:M,MATCH($N878,[1]data!$A:$A,0)))</f>
        <v/>
      </c>
      <c r="AW878" s="38" t="str">
        <f>IF(ISNA(MATCH($N878,data!$A:$A,0)),"",INDEX(data!J:J,MATCH($N878,data!$A:$A,0)))</f>
        <v/>
      </c>
      <c r="AX878" s="38" t="str">
        <f>IF(ISNA(MATCH($N878,data!$A:$A,0)),"",INDEX(data!K:K,MATCH($N878,data!$A:$A,0)))</f>
        <v/>
      </c>
      <c r="AY878" s="38" t="str">
        <f>IF(ISNA(MATCH($N878,data!$A:$A,0)),"",INDEX(data!O:O,MATCH($N878,data!$A:$A,0)))</f>
        <v/>
      </c>
      <c r="AZ878" s="38" t="str">
        <f>IF(ISNA(MATCH($N878,data!$A:$A,0)),"",INDEX(data!N:N,MATCH($N878,data!$A:$A,0)))</f>
        <v/>
      </c>
      <c r="BA878" s="38" t="str">
        <f>IF(ISNA(MATCH($N878,data!$A:$A,0)),"",INDEX(data!P:P,MATCH($N878,data!$A:$A,0)))</f>
        <v/>
      </c>
      <c r="BB878" s="38" t="str">
        <f>IF(ISNA(MATCH($N878,data!$A:$A,0)),"",INDEX(data!Q:Q,MATCH($N878,data!$A:$A,0)))</f>
        <v/>
      </c>
      <c r="BC878" s="38" t="str">
        <f>IF(ISNA(MATCH($N878,data!$A:$A,0)),"",INDEX(data!R:R,MATCH($N878,data!$A:$A,0)))</f>
        <v/>
      </c>
      <c r="BD878" s="38" t="str">
        <f>IF(ISNA(MATCH($N878,[1]data!$A:$A,0)),"",INDEX([1]data!U:U,MATCH($N878,[1]data!$A:$A,0)))</f>
        <v/>
      </c>
      <c r="BE878" s="61" t="e">
        <f>IF(COUNTIF([1]data!A:A,[1]!Table1[[#This Row],[UPC]])&lt;2,"","DUP")</f>
        <v>#VALUE!</v>
      </c>
      <c r="BF878" s="38" t="str">
        <f>IF(ISNA(MATCH($N878,data!$A:$A,0)),"",INDEX(data!W:W,MATCH($N878,data!$A:$A,0)))</f>
        <v/>
      </c>
    </row>
    <row r="879" spans="1:58">
      <c r="A879" s="35"/>
      <c r="B879" s="35"/>
      <c r="C879" s="35"/>
      <c r="D879" s="35"/>
      <c r="E879" s="67"/>
      <c r="F879" s="67"/>
      <c r="G879" s="36"/>
      <c r="H879" s="29"/>
      <c r="I879" s="78" t="str">
        <f t="shared" si="22"/>
        <v/>
      </c>
      <c r="J879" s="29"/>
      <c r="K879" s="29"/>
      <c r="L879" s="33"/>
      <c r="M879" s="33"/>
      <c r="N879" s="60"/>
      <c r="O879" s="71"/>
      <c r="P879" s="71"/>
      <c r="Q879" s="33"/>
      <c r="R879" s="31"/>
      <c r="S879" s="31"/>
      <c r="T879" s="59"/>
      <c r="U879" s="59"/>
      <c r="V879" s="59"/>
      <c r="W879" s="57">
        <f t="shared" si="23"/>
        <v>0</v>
      </c>
      <c r="X879" s="126" t="str">
        <f>IF(Table1[[#This Row],[Shipping Weight Pounds]]&gt;150,"See LTL Form","No")</f>
        <v>No</v>
      </c>
      <c r="Y879" s="28"/>
      <c r="Z879" s="33"/>
      <c r="AA879" s="34"/>
      <c r="AB879" s="30"/>
      <c r="AC879" s="30"/>
      <c r="AD879" s="32"/>
      <c r="AE879" s="32"/>
      <c r="AF879" s="2"/>
      <c r="AG879" s="2"/>
      <c r="AH879" s="2"/>
      <c r="AI879" s="2"/>
      <c r="AK879" s="73" t="str">
        <f>IF(ISNA(MATCH($N879,[1]data!$A:$A,0)),"",INDEX([1]data!S:S,MATCH($N879,[1]data!$A:$A,0)))</f>
        <v/>
      </c>
      <c r="AL879" s="73" t="str">
        <f>IF(ISNA(MATCH($N879,[1]data!$A:$A,0)),"",INDEX([1]data!V:V,MATCH($N879,[1]data!$A:$A,0)))</f>
        <v/>
      </c>
      <c r="AM879" s="38" t="str">
        <f>IF(ISNA(MATCH($N879,data!$A:$A,0)),"",INDEX(data!B:B,MATCH($N879,data!$A:$A,0)))</f>
        <v/>
      </c>
      <c r="AN879" s="38" t="str">
        <f>IF(ISNA(MATCH($N879,data!$A:$A,0)),"",INDEX(data!C:C,MATCH($N879,data!$A:$A,0)))</f>
        <v/>
      </c>
      <c r="AO879" s="38" t="str">
        <f>IF(ISNA(MATCH($N879,data!$A:$A,0)),"",INDEX(data!D:D,MATCH($N879,data!$A:$A,0)))</f>
        <v/>
      </c>
      <c r="AP879" s="38" t="str">
        <f>IF(ISNA(MATCH($N879,data!$A:$A,0)),"",INDEX(data!E:E,MATCH($N879,data!$A:$A,0)))</f>
        <v/>
      </c>
      <c r="AQ879" s="38" t="str">
        <f>IF(ISNA(MATCH($N879,data!$A:$A,0)),"",INDEX(data!F:F,MATCH($N879,data!$A:$A,0)))</f>
        <v/>
      </c>
      <c r="AR879" s="38" t="str">
        <f>IF(ISNA(MATCH($N879,data!$A:$A,0)),"",INDEX(data!G:G,MATCH($N879,data!$A:$A,0)))</f>
        <v/>
      </c>
      <c r="AS879" s="38" t="str">
        <f>IF(ISNA(MATCH($N879,data!$A:$A,0)),"",INDEX(data!H:H,MATCH($N879,data!$A:$A,0)))</f>
        <v/>
      </c>
      <c r="AT879" s="38" t="str">
        <f>IF(ISNA(MATCH($N879,data!$A:$A,0)),"",INDEX(data!I:I,MATCH($N879,data!$A:$A,0)))</f>
        <v/>
      </c>
      <c r="AU879" s="38" t="str">
        <f>IF(ISNA(MATCH($N879,[1]data!$A:$A,0)),"",INDEX([1]data!L:L,MATCH($N879,[1]data!$A:$A,0)))</f>
        <v/>
      </c>
      <c r="AV879" s="38" t="str">
        <f>IF(ISNA(MATCH($N879,[1]data!$A:$A,0)),"",INDEX([1]data!M:M,MATCH($N879,[1]data!$A:$A,0)))</f>
        <v/>
      </c>
      <c r="AW879" s="38" t="str">
        <f>IF(ISNA(MATCH($N879,data!$A:$A,0)),"",INDEX(data!J:J,MATCH($N879,data!$A:$A,0)))</f>
        <v/>
      </c>
      <c r="AX879" s="38" t="str">
        <f>IF(ISNA(MATCH($N879,data!$A:$A,0)),"",INDEX(data!K:K,MATCH($N879,data!$A:$A,0)))</f>
        <v/>
      </c>
      <c r="AY879" s="38" t="str">
        <f>IF(ISNA(MATCH($N879,data!$A:$A,0)),"",INDEX(data!O:O,MATCH($N879,data!$A:$A,0)))</f>
        <v/>
      </c>
      <c r="AZ879" s="38" t="str">
        <f>IF(ISNA(MATCH($N879,data!$A:$A,0)),"",INDEX(data!N:N,MATCH($N879,data!$A:$A,0)))</f>
        <v/>
      </c>
      <c r="BA879" s="38" t="str">
        <f>IF(ISNA(MATCH($N879,data!$A:$A,0)),"",INDEX(data!P:P,MATCH($N879,data!$A:$A,0)))</f>
        <v/>
      </c>
      <c r="BB879" s="38" t="str">
        <f>IF(ISNA(MATCH($N879,data!$A:$A,0)),"",INDEX(data!Q:Q,MATCH($N879,data!$A:$A,0)))</f>
        <v/>
      </c>
      <c r="BC879" s="38" t="str">
        <f>IF(ISNA(MATCH($N879,data!$A:$A,0)),"",INDEX(data!R:R,MATCH($N879,data!$A:$A,0)))</f>
        <v/>
      </c>
      <c r="BD879" s="38" t="str">
        <f>IF(ISNA(MATCH($N879,[1]data!$A:$A,0)),"",INDEX([1]data!U:U,MATCH($N879,[1]data!$A:$A,0)))</f>
        <v/>
      </c>
      <c r="BE879" s="61" t="e">
        <f>IF(COUNTIF([1]data!A:A,[1]!Table1[[#This Row],[UPC]])&lt;2,"","DUP")</f>
        <v>#VALUE!</v>
      </c>
      <c r="BF879" s="38" t="str">
        <f>IF(ISNA(MATCH($N879,data!$A:$A,0)),"",INDEX(data!W:W,MATCH($N879,data!$A:$A,0)))</f>
        <v/>
      </c>
    </row>
    <row r="880" spans="1:58">
      <c r="A880" s="35"/>
      <c r="B880" s="35"/>
      <c r="C880" s="35"/>
      <c r="D880" s="35"/>
      <c r="E880" s="67"/>
      <c r="F880" s="67"/>
      <c r="G880" s="36"/>
      <c r="H880" s="29"/>
      <c r="I880" s="78" t="str">
        <f t="shared" si="22"/>
        <v/>
      </c>
      <c r="J880" s="29"/>
      <c r="K880" s="29"/>
      <c r="L880" s="33"/>
      <c r="M880" s="33"/>
      <c r="N880" s="60"/>
      <c r="O880" s="71"/>
      <c r="P880" s="71"/>
      <c r="Q880" s="33"/>
      <c r="R880" s="31"/>
      <c r="S880" s="31"/>
      <c r="T880" s="59"/>
      <c r="U880" s="59"/>
      <c r="V880" s="59"/>
      <c r="W880" s="57">
        <f t="shared" si="23"/>
        <v>0</v>
      </c>
      <c r="X880" s="126" t="str">
        <f>IF(Table1[[#This Row],[Shipping Weight Pounds]]&gt;150,"See LTL Form","No")</f>
        <v>No</v>
      </c>
      <c r="Y880" s="28"/>
      <c r="Z880" s="33"/>
      <c r="AA880" s="34"/>
      <c r="AB880" s="30"/>
      <c r="AC880" s="30"/>
      <c r="AD880" s="32"/>
      <c r="AE880" s="32"/>
      <c r="AF880" s="2"/>
      <c r="AG880" s="2"/>
      <c r="AH880" s="2"/>
      <c r="AI880" s="2"/>
      <c r="AK880" s="73" t="str">
        <f>IF(ISNA(MATCH($N880,[1]data!$A:$A,0)),"",INDEX([1]data!S:S,MATCH($N880,[1]data!$A:$A,0)))</f>
        <v/>
      </c>
      <c r="AL880" s="73" t="str">
        <f>IF(ISNA(MATCH($N880,[1]data!$A:$A,0)),"",INDEX([1]data!V:V,MATCH($N880,[1]data!$A:$A,0)))</f>
        <v/>
      </c>
      <c r="AM880" s="38" t="str">
        <f>IF(ISNA(MATCH($N880,data!$A:$A,0)),"",INDEX(data!B:B,MATCH($N880,data!$A:$A,0)))</f>
        <v/>
      </c>
      <c r="AN880" s="38" t="str">
        <f>IF(ISNA(MATCH($N880,data!$A:$A,0)),"",INDEX(data!C:C,MATCH($N880,data!$A:$A,0)))</f>
        <v/>
      </c>
      <c r="AO880" s="38" t="str">
        <f>IF(ISNA(MATCH($N880,data!$A:$A,0)),"",INDEX(data!D:D,MATCH($N880,data!$A:$A,0)))</f>
        <v/>
      </c>
      <c r="AP880" s="38" t="str">
        <f>IF(ISNA(MATCH($N880,data!$A:$A,0)),"",INDEX(data!E:E,MATCH($N880,data!$A:$A,0)))</f>
        <v/>
      </c>
      <c r="AQ880" s="38" t="str">
        <f>IF(ISNA(MATCH($N880,data!$A:$A,0)),"",INDEX(data!F:F,MATCH($N880,data!$A:$A,0)))</f>
        <v/>
      </c>
      <c r="AR880" s="38" t="str">
        <f>IF(ISNA(MATCH($N880,data!$A:$A,0)),"",INDEX(data!G:G,MATCH($N880,data!$A:$A,0)))</f>
        <v/>
      </c>
      <c r="AS880" s="38" t="str">
        <f>IF(ISNA(MATCH($N880,data!$A:$A,0)),"",INDEX(data!H:H,MATCH($N880,data!$A:$A,0)))</f>
        <v/>
      </c>
      <c r="AT880" s="38" t="str">
        <f>IF(ISNA(MATCH($N880,data!$A:$A,0)),"",INDEX(data!I:I,MATCH($N880,data!$A:$A,0)))</f>
        <v/>
      </c>
      <c r="AU880" s="38" t="str">
        <f>IF(ISNA(MATCH($N880,[1]data!$A:$A,0)),"",INDEX([1]data!L:L,MATCH($N880,[1]data!$A:$A,0)))</f>
        <v/>
      </c>
      <c r="AV880" s="38" t="str">
        <f>IF(ISNA(MATCH($N880,[1]data!$A:$A,0)),"",INDEX([1]data!M:M,MATCH($N880,[1]data!$A:$A,0)))</f>
        <v/>
      </c>
      <c r="AW880" s="38" t="str">
        <f>IF(ISNA(MATCH($N880,data!$A:$A,0)),"",INDEX(data!J:J,MATCH($N880,data!$A:$A,0)))</f>
        <v/>
      </c>
      <c r="AX880" s="38" t="str">
        <f>IF(ISNA(MATCH($N880,data!$A:$A,0)),"",INDEX(data!K:K,MATCH($N880,data!$A:$A,0)))</f>
        <v/>
      </c>
      <c r="AY880" s="38" t="str">
        <f>IF(ISNA(MATCH($N880,data!$A:$A,0)),"",INDEX(data!O:O,MATCH($N880,data!$A:$A,0)))</f>
        <v/>
      </c>
      <c r="AZ880" s="38" t="str">
        <f>IF(ISNA(MATCH($N880,data!$A:$A,0)),"",INDEX(data!N:N,MATCH($N880,data!$A:$A,0)))</f>
        <v/>
      </c>
      <c r="BA880" s="38" t="str">
        <f>IF(ISNA(MATCH($N880,data!$A:$A,0)),"",INDEX(data!P:P,MATCH($N880,data!$A:$A,0)))</f>
        <v/>
      </c>
      <c r="BB880" s="38" t="str">
        <f>IF(ISNA(MATCH($N880,data!$A:$A,0)),"",INDEX(data!Q:Q,MATCH($N880,data!$A:$A,0)))</f>
        <v/>
      </c>
      <c r="BC880" s="38" t="str">
        <f>IF(ISNA(MATCH($N880,data!$A:$A,0)),"",INDEX(data!R:R,MATCH($N880,data!$A:$A,0)))</f>
        <v/>
      </c>
      <c r="BD880" s="38" t="str">
        <f>IF(ISNA(MATCH($N880,[1]data!$A:$A,0)),"",INDEX([1]data!U:U,MATCH($N880,[1]data!$A:$A,0)))</f>
        <v/>
      </c>
      <c r="BE880" s="61" t="e">
        <f>IF(COUNTIF([1]data!A:A,[1]!Table1[[#This Row],[UPC]])&lt;2,"","DUP")</f>
        <v>#VALUE!</v>
      </c>
      <c r="BF880" s="38" t="str">
        <f>IF(ISNA(MATCH($N880,data!$A:$A,0)),"",INDEX(data!W:W,MATCH($N880,data!$A:$A,0)))</f>
        <v/>
      </c>
    </row>
    <row r="881" spans="1:58">
      <c r="A881" s="35"/>
      <c r="B881" s="35"/>
      <c r="C881" s="35"/>
      <c r="D881" s="35"/>
      <c r="E881" s="67"/>
      <c r="F881" s="67"/>
      <c r="G881" s="36"/>
      <c r="H881" s="29"/>
      <c r="I881" s="78" t="str">
        <f t="shared" si="22"/>
        <v/>
      </c>
      <c r="J881" s="29"/>
      <c r="K881" s="29"/>
      <c r="L881" s="33"/>
      <c r="M881" s="33"/>
      <c r="N881" s="60"/>
      <c r="O881" s="71"/>
      <c r="P881" s="71"/>
      <c r="Q881" s="33"/>
      <c r="R881" s="31"/>
      <c r="S881" s="31"/>
      <c r="T881" s="59"/>
      <c r="U881" s="59"/>
      <c r="V881" s="59"/>
      <c r="W881" s="57">
        <f t="shared" si="23"/>
        <v>0</v>
      </c>
      <c r="X881" s="126" t="str">
        <f>IF(Table1[[#This Row],[Shipping Weight Pounds]]&gt;150,"See LTL Form","No")</f>
        <v>No</v>
      </c>
      <c r="Y881" s="28"/>
      <c r="Z881" s="33"/>
      <c r="AA881" s="34"/>
      <c r="AB881" s="30"/>
      <c r="AC881" s="30"/>
      <c r="AD881" s="32"/>
      <c r="AE881" s="32"/>
      <c r="AF881" s="2"/>
      <c r="AG881" s="2"/>
      <c r="AH881" s="2"/>
      <c r="AI881" s="2"/>
      <c r="AK881" s="73" t="str">
        <f>IF(ISNA(MATCH($N881,[1]data!$A:$A,0)),"",INDEX([1]data!S:S,MATCH($N881,[1]data!$A:$A,0)))</f>
        <v/>
      </c>
      <c r="AL881" s="73" t="str">
        <f>IF(ISNA(MATCH($N881,[1]data!$A:$A,0)),"",INDEX([1]data!V:V,MATCH($N881,[1]data!$A:$A,0)))</f>
        <v/>
      </c>
      <c r="AM881" s="38" t="str">
        <f>IF(ISNA(MATCH($N881,data!$A:$A,0)),"",INDEX(data!B:B,MATCH($N881,data!$A:$A,0)))</f>
        <v/>
      </c>
      <c r="AN881" s="38" t="str">
        <f>IF(ISNA(MATCH($N881,data!$A:$A,0)),"",INDEX(data!C:C,MATCH($N881,data!$A:$A,0)))</f>
        <v/>
      </c>
      <c r="AO881" s="38" t="str">
        <f>IF(ISNA(MATCH($N881,data!$A:$A,0)),"",INDEX(data!D:D,MATCH($N881,data!$A:$A,0)))</f>
        <v/>
      </c>
      <c r="AP881" s="38" t="str">
        <f>IF(ISNA(MATCH($N881,data!$A:$A,0)),"",INDEX(data!E:E,MATCH($N881,data!$A:$A,0)))</f>
        <v/>
      </c>
      <c r="AQ881" s="38" t="str">
        <f>IF(ISNA(MATCH($N881,data!$A:$A,0)),"",INDEX(data!F:F,MATCH($N881,data!$A:$A,0)))</f>
        <v/>
      </c>
      <c r="AR881" s="38" t="str">
        <f>IF(ISNA(MATCH($N881,data!$A:$A,0)),"",INDEX(data!G:G,MATCH($N881,data!$A:$A,0)))</f>
        <v/>
      </c>
      <c r="AS881" s="38" t="str">
        <f>IF(ISNA(MATCH($N881,data!$A:$A,0)),"",INDEX(data!H:H,MATCH($N881,data!$A:$A,0)))</f>
        <v/>
      </c>
      <c r="AT881" s="38" t="str">
        <f>IF(ISNA(MATCH($N881,data!$A:$A,0)),"",INDEX(data!I:I,MATCH($N881,data!$A:$A,0)))</f>
        <v/>
      </c>
      <c r="AU881" s="38" t="str">
        <f>IF(ISNA(MATCH($N881,[1]data!$A:$A,0)),"",INDEX([1]data!L:L,MATCH($N881,[1]data!$A:$A,0)))</f>
        <v/>
      </c>
      <c r="AV881" s="38" t="str">
        <f>IF(ISNA(MATCH($N881,[1]data!$A:$A,0)),"",INDEX([1]data!M:M,MATCH($N881,[1]data!$A:$A,0)))</f>
        <v/>
      </c>
      <c r="AW881" s="38" t="str">
        <f>IF(ISNA(MATCH($N881,data!$A:$A,0)),"",INDEX(data!J:J,MATCH($N881,data!$A:$A,0)))</f>
        <v/>
      </c>
      <c r="AX881" s="38" t="str">
        <f>IF(ISNA(MATCH($N881,data!$A:$A,0)),"",INDEX(data!K:K,MATCH($N881,data!$A:$A,0)))</f>
        <v/>
      </c>
      <c r="AY881" s="38" t="str">
        <f>IF(ISNA(MATCH($N881,data!$A:$A,0)),"",INDEX(data!O:O,MATCH($N881,data!$A:$A,0)))</f>
        <v/>
      </c>
      <c r="AZ881" s="38" t="str">
        <f>IF(ISNA(MATCH($N881,data!$A:$A,0)),"",INDEX(data!N:N,MATCH($N881,data!$A:$A,0)))</f>
        <v/>
      </c>
      <c r="BA881" s="38" t="str">
        <f>IF(ISNA(MATCH($N881,data!$A:$A,0)),"",INDEX(data!P:P,MATCH($N881,data!$A:$A,0)))</f>
        <v/>
      </c>
      <c r="BB881" s="38" t="str">
        <f>IF(ISNA(MATCH($N881,data!$A:$A,0)),"",INDEX(data!Q:Q,MATCH($N881,data!$A:$A,0)))</f>
        <v/>
      </c>
      <c r="BC881" s="38" t="str">
        <f>IF(ISNA(MATCH($N881,data!$A:$A,0)),"",INDEX(data!R:R,MATCH($N881,data!$A:$A,0)))</f>
        <v/>
      </c>
      <c r="BD881" s="38" t="str">
        <f>IF(ISNA(MATCH($N881,[1]data!$A:$A,0)),"",INDEX([1]data!U:U,MATCH($N881,[1]data!$A:$A,0)))</f>
        <v/>
      </c>
      <c r="BE881" s="61" t="e">
        <f>IF(COUNTIF([1]data!A:A,[1]!Table1[[#This Row],[UPC]])&lt;2,"","DUP")</f>
        <v>#VALUE!</v>
      </c>
      <c r="BF881" s="38" t="str">
        <f>IF(ISNA(MATCH($N881,data!$A:$A,0)),"",INDEX(data!W:W,MATCH($N881,data!$A:$A,0)))</f>
        <v/>
      </c>
    </row>
    <row r="882" spans="1:58">
      <c r="A882" s="35"/>
      <c r="B882" s="35"/>
      <c r="C882" s="35"/>
      <c r="D882" s="35"/>
      <c r="E882" s="67"/>
      <c r="F882" s="67"/>
      <c r="G882" s="36"/>
      <c r="H882" s="29"/>
      <c r="I882" s="78" t="str">
        <f t="shared" si="22"/>
        <v/>
      </c>
      <c r="J882" s="29"/>
      <c r="K882" s="29"/>
      <c r="L882" s="33"/>
      <c r="M882" s="33"/>
      <c r="N882" s="60"/>
      <c r="O882" s="71"/>
      <c r="P882" s="71"/>
      <c r="Q882" s="33"/>
      <c r="R882" s="31"/>
      <c r="S882" s="31"/>
      <c r="T882" s="59"/>
      <c r="U882" s="59"/>
      <c r="V882" s="59"/>
      <c r="W882" s="57">
        <f t="shared" si="23"/>
        <v>0</v>
      </c>
      <c r="X882" s="126" t="str">
        <f>IF(Table1[[#This Row],[Shipping Weight Pounds]]&gt;150,"See LTL Form","No")</f>
        <v>No</v>
      </c>
      <c r="Y882" s="28"/>
      <c r="Z882" s="33"/>
      <c r="AA882" s="34"/>
      <c r="AB882" s="30"/>
      <c r="AC882" s="30"/>
      <c r="AD882" s="32"/>
      <c r="AE882" s="32"/>
      <c r="AF882" s="2"/>
      <c r="AG882" s="2"/>
      <c r="AH882" s="2"/>
      <c r="AI882" s="2"/>
      <c r="AK882" s="73" t="str">
        <f>IF(ISNA(MATCH($N882,[1]data!$A:$A,0)),"",INDEX([1]data!S:S,MATCH($N882,[1]data!$A:$A,0)))</f>
        <v/>
      </c>
      <c r="AL882" s="73" t="str">
        <f>IF(ISNA(MATCH($N882,[1]data!$A:$A,0)),"",INDEX([1]data!V:V,MATCH($N882,[1]data!$A:$A,0)))</f>
        <v/>
      </c>
      <c r="AM882" s="38" t="str">
        <f>IF(ISNA(MATCH($N882,data!$A:$A,0)),"",INDEX(data!B:B,MATCH($N882,data!$A:$A,0)))</f>
        <v/>
      </c>
      <c r="AN882" s="38" t="str">
        <f>IF(ISNA(MATCH($N882,data!$A:$A,0)),"",INDEX(data!C:C,MATCH($N882,data!$A:$A,0)))</f>
        <v/>
      </c>
      <c r="AO882" s="38" t="str">
        <f>IF(ISNA(MATCH($N882,data!$A:$A,0)),"",INDEX(data!D:D,MATCH($N882,data!$A:$A,0)))</f>
        <v/>
      </c>
      <c r="AP882" s="38" t="str">
        <f>IF(ISNA(MATCH($N882,data!$A:$A,0)),"",INDEX(data!E:E,MATCH($N882,data!$A:$A,0)))</f>
        <v/>
      </c>
      <c r="AQ882" s="38" t="str">
        <f>IF(ISNA(MATCH($N882,data!$A:$A,0)),"",INDEX(data!F:F,MATCH($N882,data!$A:$A,0)))</f>
        <v/>
      </c>
      <c r="AR882" s="38" t="str">
        <f>IF(ISNA(MATCH($N882,data!$A:$A,0)),"",INDEX(data!G:G,MATCH($N882,data!$A:$A,0)))</f>
        <v/>
      </c>
      <c r="AS882" s="38" t="str">
        <f>IF(ISNA(MATCH($N882,data!$A:$A,0)),"",INDEX(data!H:H,MATCH($N882,data!$A:$A,0)))</f>
        <v/>
      </c>
      <c r="AT882" s="38" t="str">
        <f>IF(ISNA(MATCH($N882,data!$A:$A,0)),"",INDEX(data!I:I,MATCH($N882,data!$A:$A,0)))</f>
        <v/>
      </c>
      <c r="AU882" s="38" t="str">
        <f>IF(ISNA(MATCH($N882,[1]data!$A:$A,0)),"",INDEX([1]data!L:L,MATCH($N882,[1]data!$A:$A,0)))</f>
        <v/>
      </c>
      <c r="AV882" s="38" t="str">
        <f>IF(ISNA(MATCH($N882,[1]data!$A:$A,0)),"",INDEX([1]data!M:M,MATCH($N882,[1]data!$A:$A,0)))</f>
        <v/>
      </c>
      <c r="AW882" s="38" t="str">
        <f>IF(ISNA(MATCH($N882,data!$A:$A,0)),"",INDEX(data!J:J,MATCH($N882,data!$A:$A,0)))</f>
        <v/>
      </c>
      <c r="AX882" s="38" t="str">
        <f>IF(ISNA(MATCH($N882,data!$A:$A,0)),"",INDEX(data!K:K,MATCH($N882,data!$A:$A,0)))</f>
        <v/>
      </c>
      <c r="AY882" s="38" t="str">
        <f>IF(ISNA(MATCH($N882,data!$A:$A,0)),"",INDEX(data!O:O,MATCH($N882,data!$A:$A,0)))</f>
        <v/>
      </c>
      <c r="AZ882" s="38" t="str">
        <f>IF(ISNA(MATCH($N882,data!$A:$A,0)),"",INDEX(data!N:N,MATCH($N882,data!$A:$A,0)))</f>
        <v/>
      </c>
      <c r="BA882" s="38" t="str">
        <f>IF(ISNA(MATCH($N882,data!$A:$A,0)),"",INDEX(data!P:P,MATCH($N882,data!$A:$A,0)))</f>
        <v/>
      </c>
      <c r="BB882" s="38" t="str">
        <f>IF(ISNA(MATCH($N882,data!$A:$A,0)),"",INDEX(data!Q:Q,MATCH($N882,data!$A:$A,0)))</f>
        <v/>
      </c>
      <c r="BC882" s="38" t="str">
        <f>IF(ISNA(MATCH($N882,data!$A:$A,0)),"",INDEX(data!R:R,MATCH($N882,data!$A:$A,0)))</f>
        <v/>
      </c>
      <c r="BD882" s="38" t="str">
        <f>IF(ISNA(MATCH($N882,[1]data!$A:$A,0)),"",INDEX([1]data!U:U,MATCH($N882,[1]data!$A:$A,0)))</f>
        <v/>
      </c>
      <c r="BE882" s="61" t="e">
        <f>IF(COUNTIF([1]data!A:A,[1]!Table1[[#This Row],[UPC]])&lt;2,"","DUP")</f>
        <v>#VALUE!</v>
      </c>
      <c r="BF882" s="38" t="str">
        <f>IF(ISNA(MATCH($N882,data!$A:$A,0)),"",INDEX(data!W:W,MATCH($N882,data!$A:$A,0)))</f>
        <v/>
      </c>
    </row>
    <row r="883" spans="1:58">
      <c r="A883" s="35"/>
      <c r="B883" s="35"/>
      <c r="C883" s="35"/>
      <c r="D883" s="35"/>
      <c r="E883" s="67"/>
      <c r="F883" s="67"/>
      <c r="G883" s="36"/>
      <c r="H883" s="29"/>
      <c r="I883" s="78" t="str">
        <f t="shared" si="22"/>
        <v/>
      </c>
      <c r="J883" s="29"/>
      <c r="K883" s="29"/>
      <c r="L883" s="33"/>
      <c r="M883" s="33"/>
      <c r="N883" s="60"/>
      <c r="O883" s="71"/>
      <c r="P883" s="71"/>
      <c r="Q883" s="33"/>
      <c r="R883" s="31"/>
      <c r="S883" s="31"/>
      <c r="T883" s="59"/>
      <c r="U883" s="59"/>
      <c r="V883" s="59"/>
      <c r="W883" s="57">
        <f t="shared" si="23"/>
        <v>0</v>
      </c>
      <c r="X883" s="126" t="str">
        <f>IF(Table1[[#This Row],[Shipping Weight Pounds]]&gt;150,"See LTL Form","No")</f>
        <v>No</v>
      </c>
      <c r="Y883" s="28"/>
      <c r="Z883" s="33"/>
      <c r="AA883" s="34"/>
      <c r="AB883" s="30"/>
      <c r="AC883" s="30"/>
      <c r="AD883" s="32"/>
      <c r="AE883" s="32"/>
      <c r="AF883" s="2"/>
      <c r="AG883" s="2"/>
      <c r="AH883" s="2"/>
      <c r="AI883" s="2"/>
      <c r="AK883" s="73" t="str">
        <f>IF(ISNA(MATCH($N883,[1]data!$A:$A,0)),"",INDEX([1]data!S:S,MATCH($N883,[1]data!$A:$A,0)))</f>
        <v/>
      </c>
      <c r="AL883" s="73" t="str">
        <f>IF(ISNA(MATCH($N883,[1]data!$A:$A,0)),"",INDEX([1]data!V:V,MATCH($N883,[1]data!$A:$A,0)))</f>
        <v/>
      </c>
      <c r="AM883" s="38" t="str">
        <f>IF(ISNA(MATCH($N883,data!$A:$A,0)),"",INDEX(data!B:B,MATCH($N883,data!$A:$A,0)))</f>
        <v/>
      </c>
      <c r="AN883" s="38" t="str">
        <f>IF(ISNA(MATCH($N883,data!$A:$A,0)),"",INDEX(data!C:C,MATCH($N883,data!$A:$A,0)))</f>
        <v/>
      </c>
      <c r="AO883" s="38" t="str">
        <f>IF(ISNA(MATCH($N883,data!$A:$A,0)),"",INDEX(data!D:D,MATCH($N883,data!$A:$A,0)))</f>
        <v/>
      </c>
      <c r="AP883" s="38" t="str">
        <f>IF(ISNA(MATCH($N883,data!$A:$A,0)),"",INDEX(data!E:E,MATCH($N883,data!$A:$A,0)))</f>
        <v/>
      </c>
      <c r="AQ883" s="38" t="str">
        <f>IF(ISNA(MATCH($N883,data!$A:$A,0)),"",INDEX(data!F:F,MATCH($N883,data!$A:$A,0)))</f>
        <v/>
      </c>
      <c r="AR883" s="38" t="str">
        <f>IF(ISNA(MATCH($N883,data!$A:$A,0)),"",INDEX(data!G:G,MATCH($N883,data!$A:$A,0)))</f>
        <v/>
      </c>
      <c r="AS883" s="38" t="str">
        <f>IF(ISNA(MATCH($N883,data!$A:$A,0)),"",INDEX(data!H:H,MATCH($N883,data!$A:$A,0)))</f>
        <v/>
      </c>
      <c r="AT883" s="38" t="str">
        <f>IF(ISNA(MATCH($N883,data!$A:$A,0)),"",INDEX(data!I:I,MATCH($N883,data!$A:$A,0)))</f>
        <v/>
      </c>
      <c r="AU883" s="38" t="str">
        <f>IF(ISNA(MATCH($N883,[1]data!$A:$A,0)),"",INDEX([1]data!L:L,MATCH($N883,[1]data!$A:$A,0)))</f>
        <v/>
      </c>
      <c r="AV883" s="38" t="str">
        <f>IF(ISNA(MATCH($N883,[1]data!$A:$A,0)),"",INDEX([1]data!M:M,MATCH($N883,[1]data!$A:$A,0)))</f>
        <v/>
      </c>
      <c r="AW883" s="38" t="str">
        <f>IF(ISNA(MATCH($N883,data!$A:$A,0)),"",INDEX(data!J:J,MATCH($N883,data!$A:$A,0)))</f>
        <v/>
      </c>
      <c r="AX883" s="38" t="str">
        <f>IF(ISNA(MATCH($N883,data!$A:$A,0)),"",INDEX(data!K:K,MATCH($N883,data!$A:$A,0)))</f>
        <v/>
      </c>
      <c r="AY883" s="38" t="str">
        <f>IF(ISNA(MATCH($N883,data!$A:$A,0)),"",INDEX(data!O:O,MATCH($N883,data!$A:$A,0)))</f>
        <v/>
      </c>
      <c r="AZ883" s="38" t="str">
        <f>IF(ISNA(MATCH($N883,data!$A:$A,0)),"",INDEX(data!N:N,MATCH($N883,data!$A:$A,0)))</f>
        <v/>
      </c>
      <c r="BA883" s="38" t="str">
        <f>IF(ISNA(MATCH($N883,data!$A:$A,0)),"",INDEX(data!P:P,MATCH($N883,data!$A:$A,0)))</f>
        <v/>
      </c>
      <c r="BB883" s="38" t="str">
        <f>IF(ISNA(MATCH($N883,data!$A:$A,0)),"",INDEX(data!Q:Q,MATCH($N883,data!$A:$A,0)))</f>
        <v/>
      </c>
      <c r="BC883" s="38" t="str">
        <f>IF(ISNA(MATCH($N883,data!$A:$A,0)),"",INDEX(data!R:R,MATCH($N883,data!$A:$A,0)))</f>
        <v/>
      </c>
      <c r="BD883" s="38" t="str">
        <f>IF(ISNA(MATCH($N883,[1]data!$A:$A,0)),"",INDEX([1]data!U:U,MATCH($N883,[1]data!$A:$A,0)))</f>
        <v/>
      </c>
      <c r="BE883" s="61" t="e">
        <f>IF(COUNTIF([1]data!A:A,[1]!Table1[[#This Row],[UPC]])&lt;2,"","DUP")</f>
        <v>#VALUE!</v>
      </c>
      <c r="BF883" s="38" t="str">
        <f>IF(ISNA(MATCH($N883,data!$A:$A,0)),"",INDEX(data!W:W,MATCH($N883,data!$A:$A,0)))</f>
        <v/>
      </c>
    </row>
    <row r="884" spans="1:58">
      <c r="A884" s="35"/>
      <c r="B884" s="35"/>
      <c r="C884" s="35"/>
      <c r="D884" s="35"/>
      <c r="E884" s="67"/>
      <c r="F884" s="67"/>
      <c r="G884" s="36"/>
      <c r="H884" s="29"/>
      <c r="I884" s="78" t="str">
        <f t="shared" si="22"/>
        <v/>
      </c>
      <c r="J884" s="29"/>
      <c r="K884" s="29"/>
      <c r="L884" s="33"/>
      <c r="M884" s="33"/>
      <c r="N884" s="60"/>
      <c r="O884" s="71"/>
      <c r="P884" s="71"/>
      <c r="Q884" s="33"/>
      <c r="R884" s="31"/>
      <c r="S884" s="31"/>
      <c r="T884" s="59"/>
      <c r="U884" s="59"/>
      <c r="V884" s="59"/>
      <c r="W884" s="57">
        <f t="shared" si="23"/>
        <v>0</v>
      </c>
      <c r="X884" s="126" t="str">
        <f>IF(Table1[[#This Row],[Shipping Weight Pounds]]&gt;150,"See LTL Form","No")</f>
        <v>No</v>
      </c>
      <c r="Y884" s="28"/>
      <c r="Z884" s="33"/>
      <c r="AA884" s="34"/>
      <c r="AB884" s="30"/>
      <c r="AC884" s="30"/>
      <c r="AD884" s="32"/>
      <c r="AE884" s="32"/>
      <c r="AF884" s="2"/>
      <c r="AG884" s="2"/>
      <c r="AH884" s="2"/>
      <c r="AI884" s="2"/>
      <c r="AK884" s="73" t="str">
        <f>IF(ISNA(MATCH($N884,[1]data!$A:$A,0)),"",INDEX([1]data!S:S,MATCH($N884,[1]data!$A:$A,0)))</f>
        <v/>
      </c>
      <c r="AL884" s="73" t="str">
        <f>IF(ISNA(MATCH($N884,[1]data!$A:$A,0)),"",INDEX([1]data!V:V,MATCH($N884,[1]data!$A:$A,0)))</f>
        <v/>
      </c>
      <c r="AM884" s="38" t="str">
        <f>IF(ISNA(MATCH($N884,data!$A:$A,0)),"",INDEX(data!B:B,MATCH($N884,data!$A:$A,0)))</f>
        <v/>
      </c>
      <c r="AN884" s="38" t="str">
        <f>IF(ISNA(MATCH($N884,data!$A:$A,0)),"",INDEX(data!C:C,MATCH($N884,data!$A:$A,0)))</f>
        <v/>
      </c>
      <c r="AO884" s="38" t="str">
        <f>IF(ISNA(MATCH($N884,data!$A:$A,0)),"",INDEX(data!D:D,MATCH($N884,data!$A:$A,0)))</f>
        <v/>
      </c>
      <c r="AP884" s="38" t="str">
        <f>IF(ISNA(MATCH($N884,data!$A:$A,0)),"",INDEX(data!E:E,MATCH($N884,data!$A:$A,0)))</f>
        <v/>
      </c>
      <c r="AQ884" s="38" t="str">
        <f>IF(ISNA(MATCH($N884,data!$A:$A,0)),"",INDEX(data!F:F,MATCH($N884,data!$A:$A,0)))</f>
        <v/>
      </c>
      <c r="AR884" s="38" t="str">
        <f>IF(ISNA(MATCH($N884,data!$A:$A,0)),"",INDEX(data!G:G,MATCH($N884,data!$A:$A,0)))</f>
        <v/>
      </c>
      <c r="AS884" s="38" t="str">
        <f>IF(ISNA(MATCH($N884,data!$A:$A,0)),"",INDEX(data!H:H,MATCH($N884,data!$A:$A,0)))</f>
        <v/>
      </c>
      <c r="AT884" s="38" t="str">
        <f>IF(ISNA(MATCH($N884,data!$A:$A,0)),"",INDEX(data!I:I,MATCH($N884,data!$A:$A,0)))</f>
        <v/>
      </c>
      <c r="AU884" s="38" t="str">
        <f>IF(ISNA(MATCH($N884,[1]data!$A:$A,0)),"",INDEX([1]data!L:L,MATCH($N884,[1]data!$A:$A,0)))</f>
        <v/>
      </c>
      <c r="AV884" s="38" t="str">
        <f>IF(ISNA(MATCH($N884,[1]data!$A:$A,0)),"",INDEX([1]data!M:M,MATCH($N884,[1]data!$A:$A,0)))</f>
        <v/>
      </c>
      <c r="AW884" s="38" t="str">
        <f>IF(ISNA(MATCH($N884,data!$A:$A,0)),"",INDEX(data!J:J,MATCH($N884,data!$A:$A,0)))</f>
        <v/>
      </c>
      <c r="AX884" s="38" t="str">
        <f>IF(ISNA(MATCH($N884,data!$A:$A,0)),"",INDEX(data!K:K,MATCH($N884,data!$A:$A,0)))</f>
        <v/>
      </c>
      <c r="AY884" s="38" t="str">
        <f>IF(ISNA(MATCH($N884,data!$A:$A,0)),"",INDEX(data!O:O,MATCH($N884,data!$A:$A,0)))</f>
        <v/>
      </c>
      <c r="AZ884" s="38" t="str">
        <f>IF(ISNA(MATCH($N884,data!$A:$A,0)),"",INDEX(data!N:N,MATCH($N884,data!$A:$A,0)))</f>
        <v/>
      </c>
      <c r="BA884" s="38" t="str">
        <f>IF(ISNA(MATCH($N884,data!$A:$A,0)),"",INDEX(data!P:P,MATCH($N884,data!$A:$A,0)))</f>
        <v/>
      </c>
      <c r="BB884" s="38" t="str">
        <f>IF(ISNA(MATCH($N884,data!$A:$A,0)),"",INDEX(data!Q:Q,MATCH($N884,data!$A:$A,0)))</f>
        <v/>
      </c>
      <c r="BC884" s="38" t="str">
        <f>IF(ISNA(MATCH($N884,data!$A:$A,0)),"",INDEX(data!R:R,MATCH($N884,data!$A:$A,0)))</f>
        <v/>
      </c>
      <c r="BD884" s="38" t="str">
        <f>IF(ISNA(MATCH($N884,[1]data!$A:$A,0)),"",INDEX([1]data!U:U,MATCH($N884,[1]data!$A:$A,0)))</f>
        <v/>
      </c>
      <c r="BE884" s="61" t="e">
        <f>IF(COUNTIF([1]data!A:A,[1]!Table1[[#This Row],[UPC]])&lt;2,"","DUP")</f>
        <v>#VALUE!</v>
      </c>
      <c r="BF884" s="38" t="str">
        <f>IF(ISNA(MATCH($N884,data!$A:$A,0)),"",INDEX(data!W:W,MATCH($N884,data!$A:$A,0)))</f>
        <v/>
      </c>
    </row>
    <row r="885" spans="1:58">
      <c r="A885" s="35"/>
      <c r="B885" s="35"/>
      <c r="C885" s="35"/>
      <c r="D885" s="35"/>
      <c r="E885" s="67"/>
      <c r="F885" s="67"/>
      <c r="G885" s="36"/>
      <c r="H885" s="29"/>
      <c r="I885" s="78" t="str">
        <f t="shared" si="22"/>
        <v/>
      </c>
      <c r="J885" s="29"/>
      <c r="K885" s="29"/>
      <c r="L885" s="33"/>
      <c r="M885" s="33"/>
      <c r="N885" s="60"/>
      <c r="O885" s="71"/>
      <c r="P885" s="71"/>
      <c r="Q885" s="33"/>
      <c r="R885" s="31"/>
      <c r="S885" s="31"/>
      <c r="T885" s="59"/>
      <c r="U885" s="59"/>
      <c r="V885" s="59"/>
      <c r="W885" s="57">
        <f t="shared" si="23"/>
        <v>0</v>
      </c>
      <c r="X885" s="126" t="str">
        <f>IF(Table1[[#This Row],[Shipping Weight Pounds]]&gt;150,"See LTL Form","No")</f>
        <v>No</v>
      </c>
      <c r="Y885" s="28"/>
      <c r="Z885" s="33"/>
      <c r="AA885" s="34"/>
      <c r="AB885" s="30"/>
      <c r="AC885" s="30"/>
      <c r="AD885" s="32"/>
      <c r="AE885" s="32"/>
      <c r="AF885" s="2"/>
      <c r="AG885" s="2"/>
      <c r="AH885" s="2"/>
      <c r="AI885" s="2"/>
      <c r="AK885" s="73" t="str">
        <f>IF(ISNA(MATCH($N885,[1]data!$A:$A,0)),"",INDEX([1]data!S:S,MATCH($N885,[1]data!$A:$A,0)))</f>
        <v/>
      </c>
      <c r="AL885" s="73" t="str">
        <f>IF(ISNA(MATCH($N885,[1]data!$A:$A,0)),"",INDEX([1]data!V:V,MATCH($N885,[1]data!$A:$A,0)))</f>
        <v/>
      </c>
      <c r="AM885" s="38" t="str">
        <f>IF(ISNA(MATCH($N885,data!$A:$A,0)),"",INDEX(data!B:B,MATCH($N885,data!$A:$A,0)))</f>
        <v/>
      </c>
      <c r="AN885" s="38" t="str">
        <f>IF(ISNA(MATCH($N885,data!$A:$A,0)),"",INDEX(data!C:C,MATCH($N885,data!$A:$A,0)))</f>
        <v/>
      </c>
      <c r="AO885" s="38" t="str">
        <f>IF(ISNA(MATCH($N885,data!$A:$A,0)),"",INDEX(data!D:D,MATCH($N885,data!$A:$A,0)))</f>
        <v/>
      </c>
      <c r="AP885" s="38" t="str">
        <f>IF(ISNA(MATCH($N885,data!$A:$A,0)),"",INDEX(data!E:E,MATCH($N885,data!$A:$A,0)))</f>
        <v/>
      </c>
      <c r="AQ885" s="38" t="str">
        <f>IF(ISNA(MATCH($N885,data!$A:$A,0)),"",INDEX(data!F:F,MATCH($N885,data!$A:$A,0)))</f>
        <v/>
      </c>
      <c r="AR885" s="38" t="str">
        <f>IF(ISNA(MATCH($N885,data!$A:$A,0)),"",INDEX(data!G:G,MATCH($N885,data!$A:$A,0)))</f>
        <v/>
      </c>
      <c r="AS885" s="38" t="str">
        <f>IF(ISNA(MATCH($N885,data!$A:$A,0)),"",INDEX(data!H:H,MATCH($N885,data!$A:$A,0)))</f>
        <v/>
      </c>
      <c r="AT885" s="38" t="str">
        <f>IF(ISNA(MATCH($N885,data!$A:$A,0)),"",INDEX(data!I:I,MATCH($N885,data!$A:$A,0)))</f>
        <v/>
      </c>
      <c r="AU885" s="38" t="str">
        <f>IF(ISNA(MATCH($N885,[1]data!$A:$A,0)),"",INDEX([1]data!L:L,MATCH($N885,[1]data!$A:$A,0)))</f>
        <v/>
      </c>
      <c r="AV885" s="38" t="str">
        <f>IF(ISNA(MATCH($N885,[1]data!$A:$A,0)),"",INDEX([1]data!M:M,MATCH($N885,[1]data!$A:$A,0)))</f>
        <v/>
      </c>
      <c r="AW885" s="38" t="str">
        <f>IF(ISNA(MATCH($N885,data!$A:$A,0)),"",INDEX(data!J:J,MATCH($N885,data!$A:$A,0)))</f>
        <v/>
      </c>
      <c r="AX885" s="38" t="str">
        <f>IF(ISNA(MATCH($N885,data!$A:$A,0)),"",INDEX(data!K:K,MATCH($N885,data!$A:$A,0)))</f>
        <v/>
      </c>
      <c r="AY885" s="38" t="str">
        <f>IF(ISNA(MATCH($N885,data!$A:$A,0)),"",INDEX(data!O:O,MATCH($N885,data!$A:$A,0)))</f>
        <v/>
      </c>
      <c r="AZ885" s="38" t="str">
        <f>IF(ISNA(MATCH($N885,data!$A:$A,0)),"",INDEX(data!N:N,MATCH($N885,data!$A:$A,0)))</f>
        <v/>
      </c>
      <c r="BA885" s="38" t="str">
        <f>IF(ISNA(MATCH($N885,data!$A:$A,0)),"",INDEX(data!P:P,MATCH($N885,data!$A:$A,0)))</f>
        <v/>
      </c>
      <c r="BB885" s="38" t="str">
        <f>IF(ISNA(MATCH($N885,data!$A:$A,0)),"",INDEX(data!Q:Q,MATCH($N885,data!$A:$A,0)))</f>
        <v/>
      </c>
      <c r="BC885" s="38" t="str">
        <f>IF(ISNA(MATCH($N885,data!$A:$A,0)),"",INDEX(data!R:R,MATCH($N885,data!$A:$A,0)))</f>
        <v/>
      </c>
      <c r="BD885" s="38" t="str">
        <f>IF(ISNA(MATCH($N885,[1]data!$A:$A,0)),"",INDEX([1]data!U:U,MATCH($N885,[1]data!$A:$A,0)))</f>
        <v/>
      </c>
      <c r="BE885" s="61" t="e">
        <f>IF(COUNTIF([1]data!A:A,[1]!Table1[[#This Row],[UPC]])&lt;2,"","DUP")</f>
        <v>#VALUE!</v>
      </c>
      <c r="BF885" s="38" t="str">
        <f>IF(ISNA(MATCH($N885,data!$A:$A,0)),"",INDEX(data!W:W,MATCH($N885,data!$A:$A,0)))</f>
        <v/>
      </c>
    </row>
    <row r="886" spans="1:58">
      <c r="A886" s="35"/>
      <c r="B886" s="35"/>
      <c r="C886" s="35"/>
      <c r="D886" s="35"/>
      <c r="E886" s="67"/>
      <c r="F886" s="67"/>
      <c r="G886" s="36"/>
      <c r="H886" s="29"/>
      <c r="I886" s="78" t="str">
        <f t="shared" si="22"/>
        <v/>
      </c>
      <c r="J886" s="29"/>
      <c r="K886" s="29"/>
      <c r="L886" s="33"/>
      <c r="M886" s="33"/>
      <c r="N886" s="60"/>
      <c r="O886" s="71"/>
      <c r="P886" s="71"/>
      <c r="Q886" s="33"/>
      <c r="R886" s="31"/>
      <c r="S886" s="31"/>
      <c r="T886" s="59"/>
      <c r="U886" s="59"/>
      <c r="V886" s="59"/>
      <c r="W886" s="57">
        <f t="shared" si="23"/>
        <v>0</v>
      </c>
      <c r="X886" s="126" t="str">
        <f>IF(Table1[[#This Row],[Shipping Weight Pounds]]&gt;150,"See LTL Form","No")</f>
        <v>No</v>
      </c>
      <c r="Y886" s="28"/>
      <c r="Z886" s="33"/>
      <c r="AA886" s="34"/>
      <c r="AB886" s="30"/>
      <c r="AC886" s="30"/>
      <c r="AD886" s="32"/>
      <c r="AE886" s="32"/>
      <c r="AF886" s="2"/>
      <c r="AG886" s="2"/>
      <c r="AH886" s="2"/>
      <c r="AI886" s="2"/>
      <c r="AK886" s="73" t="str">
        <f>IF(ISNA(MATCH($N886,[1]data!$A:$A,0)),"",INDEX([1]data!S:S,MATCH($N886,[1]data!$A:$A,0)))</f>
        <v/>
      </c>
      <c r="AL886" s="73" t="str">
        <f>IF(ISNA(MATCH($N886,[1]data!$A:$A,0)),"",INDEX([1]data!V:V,MATCH($N886,[1]data!$A:$A,0)))</f>
        <v/>
      </c>
      <c r="AM886" s="38" t="str">
        <f>IF(ISNA(MATCH($N886,data!$A:$A,0)),"",INDEX(data!B:B,MATCH($N886,data!$A:$A,0)))</f>
        <v/>
      </c>
      <c r="AN886" s="38" t="str">
        <f>IF(ISNA(MATCH($N886,data!$A:$A,0)),"",INDEX(data!C:C,MATCH($N886,data!$A:$A,0)))</f>
        <v/>
      </c>
      <c r="AO886" s="38" t="str">
        <f>IF(ISNA(MATCH($N886,data!$A:$A,0)),"",INDEX(data!D:D,MATCH($N886,data!$A:$A,0)))</f>
        <v/>
      </c>
      <c r="AP886" s="38" t="str">
        <f>IF(ISNA(MATCH($N886,data!$A:$A,0)),"",INDEX(data!E:E,MATCH($N886,data!$A:$A,0)))</f>
        <v/>
      </c>
      <c r="AQ886" s="38" t="str">
        <f>IF(ISNA(MATCH($N886,data!$A:$A,0)),"",INDEX(data!F:F,MATCH($N886,data!$A:$A,0)))</f>
        <v/>
      </c>
      <c r="AR886" s="38" t="str">
        <f>IF(ISNA(MATCH($N886,data!$A:$A,0)),"",INDEX(data!G:G,MATCH($N886,data!$A:$A,0)))</f>
        <v/>
      </c>
      <c r="AS886" s="38" t="str">
        <f>IF(ISNA(MATCH($N886,data!$A:$A,0)),"",INDEX(data!H:H,MATCH($N886,data!$A:$A,0)))</f>
        <v/>
      </c>
      <c r="AT886" s="38" t="str">
        <f>IF(ISNA(MATCH($N886,data!$A:$A,0)),"",INDEX(data!I:I,MATCH($N886,data!$A:$A,0)))</f>
        <v/>
      </c>
      <c r="AU886" s="38" t="str">
        <f>IF(ISNA(MATCH($N886,[1]data!$A:$A,0)),"",INDEX([1]data!L:L,MATCH($N886,[1]data!$A:$A,0)))</f>
        <v/>
      </c>
      <c r="AV886" s="38" t="str">
        <f>IF(ISNA(MATCH($N886,[1]data!$A:$A,0)),"",INDEX([1]data!M:M,MATCH($N886,[1]data!$A:$A,0)))</f>
        <v/>
      </c>
      <c r="AW886" s="38" t="str">
        <f>IF(ISNA(MATCH($N886,data!$A:$A,0)),"",INDEX(data!J:J,MATCH($N886,data!$A:$A,0)))</f>
        <v/>
      </c>
      <c r="AX886" s="38" t="str">
        <f>IF(ISNA(MATCH($N886,data!$A:$A,0)),"",INDEX(data!K:K,MATCH($N886,data!$A:$A,0)))</f>
        <v/>
      </c>
      <c r="AY886" s="38" t="str">
        <f>IF(ISNA(MATCH($N886,data!$A:$A,0)),"",INDEX(data!O:O,MATCH($N886,data!$A:$A,0)))</f>
        <v/>
      </c>
      <c r="AZ886" s="38" t="str">
        <f>IF(ISNA(MATCH($N886,data!$A:$A,0)),"",INDEX(data!N:N,MATCH($N886,data!$A:$A,0)))</f>
        <v/>
      </c>
      <c r="BA886" s="38" t="str">
        <f>IF(ISNA(MATCH($N886,data!$A:$A,0)),"",INDEX(data!P:P,MATCH($N886,data!$A:$A,0)))</f>
        <v/>
      </c>
      <c r="BB886" s="38" t="str">
        <f>IF(ISNA(MATCH($N886,data!$A:$A,0)),"",INDEX(data!Q:Q,MATCH($N886,data!$A:$A,0)))</f>
        <v/>
      </c>
      <c r="BC886" s="38" t="str">
        <f>IF(ISNA(MATCH($N886,data!$A:$A,0)),"",INDEX(data!R:R,MATCH($N886,data!$A:$A,0)))</f>
        <v/>
      </c>
      <c r="BD886" s="38" t="str">
        <f>IF(ISNA(MATCH($N886,[1]data!$A:$A,0)),"",INDEX([1]data!U:U,MATCH($N886,[1]data!$A:$A,0)))</f>
        <v/>
      </c>
      <c r="BE886" s="61" t="e">
        <f>IF(COUNTIF([1]data!A:A,[1]!Table1[[#This Row],[UPC]])&lt;2,"","DUP")</f>
        <v>#VALUE!</v>
      </c>
      <c r="BF886" s="38" t="str">
        <f>IF(ISNA(MATCH($N886,data!$A:$A,0)),"",INDEX(data!W:W,MATCH($N886,data!$A:$A,0)))</f>
        <v/>
      </c>
    </row>
    <row r="887" spans="1:58">
      <c r="A887" s="35"/>
      <c r="B887" s="35"/>
      <c r="C887" s="35"/>
      <c r="D887" s="35"/>
      <c r="E887" s="67"/>
      <c r="F887" s="67"/>
      <c r="G887" s="36"/>
      <c r="H887" s="29"/>
      <c r="I887" s="78" t="str">
        <f t="shared" si="22"/>
        <v/>
      </c>
      <c r="J887" s="29"/>
      <c r="K887" s="29"/>
      <c r="L887" s="33"/>
      <c r="M887" s="33"/>
      <c r="N887" s="60"/>
      <c r="O887" s="71"/>
      <c r="P887" s="71"/>
      <c r="Q887" s="33"/>
      <c r="R887" s="31"/>
      <c r="S887" s="31"/>
      <c r="T887" s="59"/>
      <c r="U887" s="59"/>
      <c r="V887" s="59"/>
      <c r="W887" s="57">
        <f t="shared" si="23"/>
        <v>0</v>
      </c>
      <c r="X887" s="126" t="str">
        <f>IF(Table1[[#This Row],[Shipping Weight Pounds]]&gt;150,"See LTL Form","No")</f>
        <v>No</v>
      </c>
      <c r="Y887" s="28"/>
      <c r="Z887" s="33"/>
      <c r="AA887" s="34"/>
      <c r="AB887" s="30"/>
      <c r="AC887" s="30"/>
      <c r="AD887" s="32"/>
      <c r="AE887" s="32"/>
      <c r="AF887" s="2"/>
      <c r="AG887" s="2"/>
      <c r="AH887" s="2"/>
      <c r="AI887" s="2"/>
      <c r="AK887" s="73" t="str">
        <f>IF(ISNA(MATCH($N887,[1]data!$A:$A,0)),"",INDEX([1]data!S:S,MATCH($N887,[1]data!$A:$A,0)))</f>
        <v/>
      </c>
      <c r="AL887" s="73" t="str">
        <f>IF(ISNA(MATCH($N887,[1]data!$A:$A,0)),"",INDEX([1]data!V:V,MATCH($N887,[1]data!$A:$A,0)))</f>
        <v/>
      </c>
      <c r="AM887" s="38" t="str">
        <f>IF(ISNA(MATCH($N887,data!$A:$A,0)),"",INDEX(data!B:B,MATCH($N887,data!$A:$A,0)))</f>
        <v/>
      </c>
      <c r="AN887" s="38" t="str">
        <f>IF(ISNA(MATCH($N887,data!$A:$A,0)),"",INDEX(data!C:C,MATCH($N887,data!$A:$A,0)))</f>
        <v/>
      </c>
      <c r="AO887" s="38" t="str">
        <f>IF(ISNA(MATCH($N887,data!$A:$A,0)),"",INDEX(data!D:D,MATCH($N887,data!$A:$A,0)))</f>
        <v/>
      </c>
      <c r="AP887" s="38" t="str">
        <f>IF(ISNA(MATCH($N887,data!$A:$A,0)),"",INDEX(data!E:E,MATCH($N887,data!$A:$A,0)))</f>
        <v/>
      </c>
      <c r="AQ887" s="38" t="str">
        <f>IF(ISNA(MATCH($N887,data!$A:$A,0)),"",INDEX(data!F:F,MATCH($N887,data!$A:$A,0)))</f>
        <v/>
      </c>
      <c r="AR887" s="38" t="str">
        <f>IF(ISNA(MATCH($N887,data!$A:$A,0)),"",INDEX(data!G:G,MATCH($N887,data!$A:$A,0)))</f>
        <v/>
      </c>
      <c r="AS887" s="38" t="str">
        <f>IF(ISNA(MATCH($N887,data!$A:$A,0)),"",INDEX(data!H:H,MATCH($N887,data!$A:$A,0)))</f>
        <v/>
      </c>
      <c r="AT887" s="38" t="str">
        <f>IF(ISNA(MATCH($N887,data!$A:$A,0)),"",INDEX(data!I:I,MATCH($N887,data!$A:$A,0)))</f>
        <v/>
      </c>
      <c r="AU887" s="38" t="str">
        <f>IF(ISNA(MATCH($N887,[1]data!$A:$A,0)),"",INDEX([1]data!L:L,MATCH($N887,[1]data!$A:$A,0)))</f>
        <v/>
      </c>
      <c r="AV887" s="38" t="str">
        <f>IF(ISNA(MATCH($N887,[1]data!$A:$A,0)),"",INDEX([1]data!M:M,MATCH($N887,[1]data!$A:$A,0)))</f>
        <v/>
      </c>
      <c r="AW887" s="38" t="str">
        <f>IF(ISNA(MATCH($N887,data!$A:$A,0)),"",INDEX(data!J:J,MATCH($N887,data!$A:$A,0)))</f>
        <v/>
      </c>
      <c r="AX887" s="38" t="str">
        <f>IF(ISNA(MATCH($N887,data!$A:$A,0)),"",INDEX(data!K:K,MATCH($N887,data!$A:$A,0)))</f>
        <v/>
      </c>
      <c r="AY887" s="38" t="str">
        <f>IF(ISNA(MATCH($N887,data!$A:$A,0)),"",INDEX(data!O:O,MATCH($N887,data!$A:$A,0)))</f>
        <v/>
      </c>
      <c r="AZ887" s="38" t="str">
        <f>IF(ISNA(MATCH($N887,data!$A:$A,0)),"",INDEX(data!N:N,MATCH($N887,data!$A:$A,0)))</f>
        <v/>
      </c>
      <c r="BA887" s="38" t="str">
        <f>IF(ISNA(MATCH($N887,data!$A:$A,0)),"",INDEX(data!P:P,MATCH($N887,data!$A:$A,0)))</f>
        <v/>
      </c>
      <c r="BB887" s="38" t="str">
        <f>IF(ISNA(MATCH($N887,data!$A:$A,0)),"",INDEX(data!Q:Q,MATCH($N887,data!$A:$A,0)))</f>
        <v/>
      </c>
      <c r="BC887" s="38" t="str">
        <f>IF(ISNA(MATCH($N887,data!$A:$A,0)),"",INDEX(data!R:R,MATCH($N887,data!$A:$A,0)))</f>
        <v/>
      </c>
      <c r="BD887" s="38" t="str">
        <f>IF(ISNA(MATCH($N887,[1]data!$A:$A,0)),"",INDEX([1]data!U:U,MATCH($N887,[1]data!$A:$A,0)))</f>
        <v/>
      </c>
      <c r="BE887" s="61" t="e">
        <f>IF(COUNTIF([1]data!A:A,[1]!Table1[[#This Row],[UPC]])&lt;2,"","DUP")</f>
        <v>#VALUE!</v>
      </c>
      <c r="BF887" s="38" t="str">
        <f>IF(ISNA(MATCH($N887,data!$A:$A,0)),"",INDEX(data!W:W,MATCH($N887,data!$A:$A,0)))</f>
        <v/>
      </c>
    </row>
    <row r="888" spans="1:58">
      <c r="A888" s="35"/>
      <c r="B888" s="35"/>
      <c r="C888" s="35"/>
      <c r="D888" s="35"/>
      <c r="E888" s="67"/>
      <c r="F888" s="67"/>
      <c r="G888" s="36"/>
      <c r="H888" s="29"/>
      <c r="I888" s="78" t="str">
        <f t="shared" si="22"/>
        <v/>
      </c>
      <c r="J888" s="29"/>
      <c r="K888" s="29"/>
      <c r="L888" s="33"/>
      <c r="M888" s="33"/>
      <c r="N888" s="60"/>
      <c r="O888" s="71"/>
      <c r="P888" s="71"/>
      <c r="Q888" s="33"/>
      <c r="R888" s="31"/>
      <c r="S888" s="31"/>
      <c r="T888" s="59"/>
      <c r="U888" s="59"/>
      <c r="V888" s="59"/>
      <c r="W888" s="57">
        <f t="shared" si="23"/>
        <v>0</v>
      </c>
      <c r="X888" s="126" t="str">
        <f>IF(Table1[[#This Row],[Shipping Weight Pounds]]&gt;150,"See LTL Form","No")</f>
        <v>No</v>
      </c>
      <c r="Y888" s="28"/>
      <c r="Z888" s="33"/>
      <c r="AA888" s="34"/>
      <c r="AB888" s="30"/>
      <c r="AC888" s="30"/>
      <c r="AD888" s="32"/>
      <c r="AE888" s="32"/>
      <c r="AF888" s="2"/>
      <c r="AG888" s="2"/>
      <c r="AH888" s="2"/>
      <c r="AI888" s="2"/>
      <c r="AK888" s="73" t="str">
        <f>IF(ISNA(MATCH($N888,[1]data!$A:$A,0)),"",INDEX([1]data!S:S,MATCH($N888,[1]data!$A:$A,0)))</f>
        <v/>
      </c>
      <c r="AL888" s="73" t="str">
        <f>IF(ISNA(MATCH($N888,[1]data!$A:$A,0)),"",INDEX([1]data!V:V,MATCH($N888,[1]data!$A:$A,0)))</f>
        <v/>
      </c>
      <c r="AM888" s="38" t="str">
        <f>IF(ISNA(MATCH($N888,data!$A:$A,0)),"",INDEX(data!B:B,MATCH($N888,data!$A:$A,0)))</f>
        <v/>
      </c>
      <c r="AN888" s="38" t="str">
        <f>IF(ISNA(MATCH($N888,data!$A:$A,0)),"",INDEX(data!C:C,MATCH($N888,data!$A:$A,0)))</f>
        <v/>
      </c>
      <c r="AO888" s="38" t="str">
        <f>IF(ISNA(MATCH($N888,data!$A:$A,0)),"",INDEX(data!D:D,MATCH($N888,data!$A:$A,0)))</f>
        <v/>
      </c>
      <c r="AP888" s="38" t="str">
        <f>IF(ISNA(MATCH($N888,data!$A:$A,0)),"",INDEX(data!E:E,MATCH($N888,data!$A:$A,0)))</f>
        <v/>
      </c>
      <c r="AQ888" s="38" t="str">
        <f>IF(ISNA(MATCH($N888,data!$A:$A,0)),"",INDEX(data!F:F,MATCH($N888,data!$A:$A,0)))</f>
        <v/>
      </c>
      <c r="AR888" s="38" t="str">
        <f>IF(ISNA(MATCH($N888,data!$A:$A,0)),"",INDEX(data!G:G,MATCH($N888,data!$A:$A,0)))</f>
        <v/>
      </c>
      <c r="AS888" s="38" t="str">
        <f>IF(ISNA(MATCH($N888,data!$A:$A,0)),"",INDEX(data!H:H,MATCH($N888,data!$A:$A,0)))</f>
        <v/>
      </c>
      <c r="AT888" s="38" t="str">
        <f>IF(ISNA(MATCH($N888,data!$A:$A,0)),"",INDEX(data!I:I,MATCH($N888,data!$A:$A,0)))</f>
        <v/>
      </c>
      <c r="AU888" s="38" t="str">
        <f>IF(ISNA(MATCH($N888,[1]data!$A:$A,0)),"",INDEX([1]data!L:L,MATCH($N888,[1]data!$A:$A,0)))</f>
        <v/>
      </c>
      <c r="AV888" s="38" t="str">
        <f>IF(ISNA(MATCH($N888,[1]data!$A:$A,0)),"",INDEX([1]data!M:M,MATCH($N888,[1]data!$A:$A,0)))</f>
        <v/>
      </c>
      <c r="AW888" s="38" t="str">
        <f>IF(ISNA(MATCH($N888,data!$A:$A,0)),"",INDEX(data!J:J,MATCH($N888,data!$A:$A,0)))</f>
        <v/>
      </c>
      <c r="AX888" s="38" t="str">
        <f>IF(ISNA(MATCH($N888,data!$A:$A,0)),"",INDEX(data!K:K,MATCH($N888,data!$A:$A,0)))</f>
        <v/>
      </c>
      <c r="AY888" s="38" t="str">
        <f>IF(ISNA(MATCH($N888,data!$A:$A,0)),"",INDEX(data!O:O,MATCH($N888,data!$A:$A,0)))</f>
        <v/>
      </c>
      <c r="AZ888" s="38" t="str">
        <f>IF(ISNA(MATCH($N888,data!$A:$A,0)),"",INDEX(data!N:N,MATCH($N888,data!$A:$A,0)))</f>
        <v/>
      </c>
      <c r="BA888" s="38" t="str">
        <f>IF(ISNA(MATCH($N888,data!$A:$A,0)),"",INDEX(data!P:P,MATCH($N888,data!$A:$A,0)))</f>
        <v/>
      </c>
      <c r="BB888" s="38" t="str">
        <f>IF(ISNA(MATCH($N888,data!$A:$A,0)),"",INDEX(data!Q:Q,MATCH($N888,data!$A:$A,0)))</f>
        <v/>
      </c>
      <c r="BC888" s="38" t="str">
        <f>IF(ISNA(MATCH($N888,data!$A:$A,0)),"",INDEX(data!R:R,MATCH($N888,data!$A:$A,0)))</f>
        <v/>
      </c>
      <c r="BD888" s="38" t="str">
        <f>IF(ISNA(MATCH($N888,[1]data!$A:$A,0)),"",INDEX([1]data!U:U,MATCH($N888,[1]data!$A:$A,0)))</f>
        <v/>
      </c>
      <c r="BE888" s="61" t="e">
        <f>IF(COUNTIF([1]data!A:A,[1]!Table1[[#This Row],[UPC]])&lt;2,"","DUP")</f>
        <v>#VALUE!</v>
      </c>
      <c r="BF888" s="38" t="str">
        <f>IF(ISNA(MATCH($N888,data!$A:$A,0)),"",INDEX(data!W:W,MATCH($N888,data!$A:$A,0)))</f>
        <v/>
      </c>
    </row>
    <row r="889" spans="1:58">
      <c r="A889" s="35"/>
      <c r="B889" s="35"/>
      <c r="C889" s="35"/>
      <c r="D889" s="35"/>
      <c r="E889" s="67"/>
      <c r="F889" s="67"/>
      <c r="G889" s="36"/>
      <c r="H889" s="29"/>
      <c r="I889" s="78" t="str">
        <f t="shared" si="22"/>
        <v/>
      </c>
      <c r="J889" s="29"/>
      <c r="K889" s="29"/>
      <c r="L889" s="33"/>
      <c r="M889" s="33"/>
      <c r="N889" s="60"/>
      <c r="O889" s="71"/>
      <c r="P889" s="71"/>
      <c r="Q889" s="33"/>
      <c r="R889" s="31"/>
      <c r="S889" s="31"/>
      <c r="T889" s="59"/>
      <c r="U889" s="59"/>
      <c r="V889" s="59"/>
      <c r="W889" s="57">
        <f t="shared" si="23"/>
        <v>0</v>
      </c>
      <c r="X889" s="126" t="str">
        <f>IF(Table1[[#This Row],[Shipping Weight Pounds]]&gt;150,"See LTL Form","No")</f>
        <v>No</v>
      </c>
      <c r="Y889" s="28"/>
      <c r="Z889" s="33"/>
      <c r="AA889" s="34"/>
      <c r="AB889" s="30"/>
      <c r="AC889" s="30"/>
      <c r="AD889" s="32"/>
      <c r="AE889" s="32"/>
      <c r="AF889" s="2"/>
      <c r="AG889" s="2"/>
      <c r="AH889" s="2"/>
      <c r="AI889" s="2"/>
      <c r="AK889" s="73" t="str">
        <f>IF(ISNA(MATCH($N889,[1]data!$A:$A,0)),"",INDEX([1]data!S:S,MATCH($N889,[1]data!$A:$A,0)))</f>
        <v/>
      </c>
      <c r="AL889" s="73" t="str">
        <f>IF(ISNA(MATCH($N889,[1]data!$A:$A,0)),"",INDEX([1]data!V:V,MATCH($N889,[1]data!$A:$A,0)))</f>
        <v/>
      </c>
      <c r="AM889" s="38" t="str">
        <f>IF(ISNA(MATCH($N889,data!$A:$A,0)),"",INDEX(data!B:B,MATCH($N889,data!$A:$A,0)))</f>
        <v/>
      </c>
      <c r="AN889" s="38" t="str">
        <f>IF(ISNA(MATCH($N889,data!$A:$A,0)),"",INDEX(data!C:C,MATCH($N889,data!$A:$A,0)))</f>
        <v/>
      </c>
      <c r="AO889" s="38" t="str">
        <f>IF(ISNA(MATCH($N889,data!$A:$A,0)),"",INDEX(data!D:D,MATCH($N889,data!$A:$A,0)))</f>
        <v/>
      </c>
      <c r="AP889" s="38" t="str">
        <f>IF(ISNA(MATCH($N889,data!$A:$A,0)),"",INDEX(data!E:E,MATCH($N889,data!$A:$A,0)))</f>
        <v/>
      </c>
      <c r="AQ889" s="38" t="str">
        <f>IF(ISNA(MATCH($N889,data!$A:$A,0)),"",INDEX(data!F:F,MATCH($N889,data!$A:$A,0)))</f>
        <v/>
      </c>
      <c r="AR889" s="38" t="str">
        <f>IF(ISNA(MATCH($N889,data!$A:$A,0)),"",INDEX(data!G:G,MATCH($N889,data!$A:$A,0)))</f>
        <v/>
      </c>
      <c r="AS889" s="38" t="str">
        <f>IF(ISNA(MATCH($N889,data!$A:$A,0)),"",INDEX(data!H:H,MATCH($N889,data!$A:$A,0)))</f>
        <v/>
      </c>
      <c r="AT889" s="38" t="str">
        <f>IF(ISNA(MATCH($N889,data!$A:$A,0)),"",INDEX(data!I:I,MATCH($N889,data!$A:$A,0)))</f>
        <v/>
      </c>
      <c r="AU889" s="38" t="str">
        <f>IF(ISNA(MATCH($N889,[1]data!$A:$A,0)),"",INDEX([1]data!L:L,MATCH($N889,[1]data!$A:$A,0)))</f>
        <v/>
      </c>
      <c r="AV889" s="38" t="str">
        <f>IF(ISNA(MATCH($N889,[1]data!$A:$A,0)),"",INDEX([1]data!M:M,MATCH($N889,[1]data!$A:$A,0)))</f>
        <v/>
      </c>
      <c r="AW889" s="38" t="str">
        <f>IF(ISNA(MATCH($N889,data!$A:$A,0)),"",INDEX(data!J:J,MATCH($N889,data!$A:$A,0)))</f>
        <v/>
      </c>
      <c r="AX889" s="38" t="str">
        <f>IF(ISNA(MATCH($N889,data!$A:$A,0)),"",INDEX(data!K:K,MATCH($N889,data!$A:$A,0)))</f>
        <v/>
      </c>
      <c r="AY889" s="38" t="str">
        <f>IF(ISNA(MATCH($N889,data!$A:$A,0)),"",INDEX(data!O:O,MATCH($N889,data!$A:$A,0)))</f>
        <v/>
      </c>
      <c r="AZ889" s="38" t="str">
        <f>IF(ISNA(MATCH($N889,data!$A:$A,0)),"",INDEX(data!N:N,MATCH($N889,data!$A:$A,0)))</f>
        <v/>
      </c>
      <c r="BA889" s="38" t="str">
        <f>IF(ISNA(MATCH($N889,data!$A:$A,0)),"",INDEX(data!P:P,MATCH($N889,data!$A:$A,0)))</f>
        <v/>
      </c>
      <c r="BB889" s="38" t="str">
        <f>IF(ISNA(MATCH($N889,data!$A:$A,0)),"",INDEX(data!Q:Q,MATCH($N889,data!$A:$A,0)))</f>
        <v/>
      </c>
      <c r="BC889" s="38" t="str">
        <f>IF(ISNA(MATCH($N889,data!$A:$A,0)),"",INDEX(data!R:R,MATCH($N889,data!$A:$A,0)))</f>
        <v/>
      </c>
      <c r="BD889" s="38" t="str">
        <f>IF(ISNA(MATCH($N889,[1]data!$A:$A,0)),"",INDEX([1]data!U:U,MATCH($N889,[1]data!$A:$A,0)))</f>
        <v/>
      </c>
      <c r="BE889" s="61" t="e">
        <f>IF(COUNTIF([1]data!A:A,[1]!Table1[[#This Row],[UPC]])&lt;2,"","DUP")</f>
        <v>#VALUE!</v>
      </c>
      <c r="BF889" s="38" t="str">
        <f>IF(ISNA(MATCH($N889,data!$A:$A,0)),"",INDEX(data!W:W,MATCH($N889,data!$A:$A,0)))</f>
        <v/>
      </c>
    </row>
    <row r="890" spans="1:58">
      <c r="A890" s="35"/>
      <c r="B890" s="35"/>
      <c r="C890" s="35"/>
      <c r="D890" s="35"/>
      <c r="E890" s="67"/>
      <c r="F890" s="67"/>
      <c r="G890" s="36"/>
      <c r="H890" s="29"/>
      <c r="I890" s="78" t="str">
        <f t="shared" si="22"/>
        <v/>
      </c>
      <c r="J890" s="29"/>
      <c r="K890" s="29"/>
      <c r="L890" s="33"/>
      <c r="M890" s="33"/>
      <c r="N890" s="60"/>
      <c r="O890" s="71"/>
      <c r="P890" s="71"/>
      <c r="Q890" s="33"/>
      <c r="R890" s="31"/>
      <c r="S890" s="31"/>
      <c r="T890" s="59"/>
      <c r="U890" s="59"/>
      <c r="V890" s="59"/>
      <c r="W890" s="57">
        <f t="shared" si="23"/>
        <v>0</v>
      </c>
      <c r="X890" s="126" t="str">
        <f>IF(Table1[[#This Row],[Shipping Weight Pounds]]&gt;150,"See LTL Form","No")</f>
        <v>No</v>
      </c>
      <c r="Y890" s="28"/>
      <c r="Z890" s="33"/>
      <c r="AA890" s="34"/>
      <c r="AB890" s="30"/>
      <c r="AC890" s="30"/>
      <c r="AD890" s="32"/>
      <c r="AE890" s="32"/>
      <c r="AF890" s="2"/>
      <c r="AG890" s="2"/>
      <c r="AH890" s="2"/>
      <c r="AI890" s="2"/>
      <c r="AK890" s="73" t="str">
        <f>IF(ISNA(MATCH($N890,[1]data!$A:$A,0)),"",INDEX([1]data!S:S,MATCH($N890,[1]data!$A:$A,0)))</f>
        <v/>
      </c>
      <c r="AL890" s="73" t="str">
        <f>IF(ISNA(MATCH($N890,[1]data!$A:$A,0)),"",INDEX([1]data!V:V,MATCH($N890,[1]data!$A:$A,0)))</f>
        <v/>
      </c>
      <c r="AM890" s="38" t="str">
        <f>IF(ISNA(MATCH($N890,data!$A:$A,0)),"",INDEX(data!B:B,MATCH($N890,data!$A:$A,0)))</f>
        <v/>
      </c>
      <c r="AN890" s="38" t="str">
        <f>IF(ISNA(MATCH($N890,data!$A:$A,0)),"",INDEX(data!C:C,MATCH($N890,data!$A:$A,0)))</f>
        <v/>
      </c>
      <c r="AO890" s="38" t="str">
        <f>IF(ISNA(MATCH($N890,data!$A:$A,0)),"",INDEX(data!D:D,MATCH($N890,data!$A:$A,0)))</f>
        <v/>
      </c>
      <c r="AP890" s="38" t="str">
        <f>IF(ISNA(MATCH($N890,data!$A:$A,0)),"",INDEX(data!E:E,MATCH($N890,data!$A:$A,0)))</f>
        <v/>
      </c>
      <c r="AQ890" s="38" t="str">
        <f>IF(ISNA(MATCH($N890,data!$A:$A,0)),"",INDEX(data!F:F,MATCH($N890,data!$A:$A,0)))</f>
        <v/>
      </c>
      <c r="AR890" s="38" t="str">
        <f>IF(ISNA(MATCH($N890,data!$A:$A,0)),"",INDEX(data!G:G,MATCH($N890,data!$A:$A,0)))</f>
        <v/>
      </c>
      <c r="AS890" s="38" t="str">
        <f>IF(ISNA(MATCH($N890,data!$A:$A,0)),"",INDEX(data!H:H,MATCH($N890,data!$A:$A,0)))</f>
        <v/>
      </c>
      <c r="AT890" s="38" t="str">
        <f>IF(ISNA(MATCH($N890,data!$A:$A,0)),"",INDEX(data!I:I,MATCH($N890,data!$A:$A,0)))</f>
        <v/>
      </c>
      <c r="AU890" s="38" t="str">
        <f>IF(ISNA(MATCH($N890,[1]data!$A:$A,0)),"",INDEX([1]data!L:L,MATCH($N890,[1]data!$A:$A,0)))</f>
        <v/>
      </c>
      <c r="AV890" s="38" t="str">
        <f>IF(ISNA(MATCH($N890,[1]data!$A:$A,0)),"",INDEX([1]data!M:M,MATCH($N890,[1]data!$A:$A,0)))</f>
        <v/>
      </c>
      <c r="AW890" s="38" t="str">
        <f>IF(ISNA(MATCH($N890,data!$A:$A,0)),"",INDEX(data!J:J,MATCH($N890,data!$A:$A,0)))</f>
        <v/>
      </c>
      <c r="AX890" s="38" t="str">
        <f>IF(ISNA(MATCH($N890,data!$A:$A,0)),"",INDEX(data!K:K,MATCH($N890,data!$A:$A,0)))</f>
        <v/>
      </c>
      <c r="AY890" s="38" t="str">
        <f>IF(ISNA(MATCH($N890,data!$A:$A,0)),"",INDEX(data!O:O,MATCH($N890,data!$A:$A,0)))</f>
        <v/>
      </c>
      <c r="AZ890" s="38" t="str">
        <f>IF(ISNA(MATCH($N890,data!$A:$A,0)),"",INDEX(data!N:N,MATCH($N890,data!$A:$A,0)))</f>
        <v/>
      </c>
      <c r="BA890" s="38" t="str">
        <f>IF(ISNA(MATCH($N890,data!$A:$A,0)),"",INDEX(data!P:P,MATCH($N890,data!$A:$A,0)))</f>
        <v/>
      </c>
      <c r="BB890" s="38" t="str">
        <f>IF(ISNA(MATCH($N890,data!$A:$A,0)),"",INDEX(data!Q:Q,MATCH($N890,data!$A:$A,0)))</f>
        <v/>
      </c>
      <c r="BC890" s="38" t="str">
        <f>IF(ISNA(MATCH($N890,data!$A:$A,0)),"",INDEX(data!R:R,MATCH($N890,data!$A:$A,0)))</f>
        <v/>
      </c>
      <c r="BD890" s="38" t="str">
        <f>IF(ISNA(MATCH($N890,[1]data!$A:$A,0)),"",INDEX([1]data!U:U,MATCH($N890,[1]data!$A:$A,0)))</f>
        <v/>
      </c>
      <c r="BE890" s="61" t="e">
        <f>IF(COUNTIF([1]data!A:A,[1]!Table1[[#This Row],[UPC]])&lt;2,"","DUP")</f>
        <v>#VALUE!</v>
      </c>
      <c r="BF890" s="38" t="str">
        <f>IF(ISNA(MATCH($N890,data!$A:$A,0)),"",INDEX(data!W:W,MATCH($N890,data!$A:$A,0)))</f>
        <v/>
      </c>
    </row>
    <row r="891" spans="1:58">
      <c r="A891" s="35"/>
      <c r="B891" s="35"/>
      <c r="C891" s="35"/>
      <c r="D891" s="35"/>
      <c r="E891" s="67"/>
      <c r="F891" s="67"/>
      <c r="G891" s="36"/>
      <c r="H891" s="29"/>
      <c r="I891" s="78" t="str">
        <f t="shared" si="22"/>
        <v/>
      </c>
      <c r="J891" s="29"/>
      <c r="K891" s="29"/>
      <c r="L891" s="33"/>
      <c r="M891" s="33"/>
      <c r="N891" s="60"/>
      <c r="O891" s="71"/>
      <c r="P891" s="71"/>
      <c r="Q891" s="33"/>
      <c r="R891" s="31"/>
      <c r="S891" s="31"/>
      <c r="T891" s="59"/>
      <c r="U891" s="59"/>
      <c r="V891" s="59"/>
      <c r="W891" s="57">
        <f t="shared" si="23"/>
        <v>0</v>
      </c>
      <c r="X891" s="126" t="str">
        <f>IF(Table1[[#This Row],[Shipping Weight Pounds]]&gt;150,"See LTL Form","No")</f>
        <v>No</v>
      </c>
      <c r="Y891" s="28"/>
      <c r="Z891" s="33"/>
      <c r="AA891" s="34"/>
      <c r="AB891" s="30"/>
      <c r="AC891" s="30"/>
      <c r="AD891" s="32"/>
      <c r="AE891" s="32"/>
      <c r="AF891" s="2"/>
      <c r="AG891" s="2"/>
      <c r="AH891" s="2"/>
      <c r="AI891" s="2"/>
      <c r="AK891" s="73" t="str">
        <f>IF(ISNA(MATCH($N891,[1]data!$A:$A,0)),"",INDEX([1]data!S:S,MATCH($N891,[1]data!$A:$A,0)))</f>
        <v/>
      </c>
      <c r="AL891" s="73" t="str">
        <f>IF(ISNA(MATCH($N891,[1]data!$A:$A,0)),"",INDEX([1]data!V:V,MATCH($N891,[1]data!$A:$A,0)))</f>
        <v/>
      </c>
      <c r="AM891" s="38" t="str">
        <f>IF(ISNA(MATCH($N891,data!$A:$A,0)),"",INDEX(data!B:B,MATCH($N891,data!$A:$A,0)))</f>
        <v/>
      </c>
      <c r="AN891" s="38" t="str">
        <f>IF(ISNA(MATCH($N891,data!$A:$A,0)),"",INDEX(data!C:C,MATCH($N891,data!$A:$A,0)))</f>
        <v/>
      </c>
      <c r="AO891" s="38" t="str">
        <f>IF(ISNA(MATCH($N891,data!$A:$A,0)),"",INDEX(data!D:D,MATCH($N891,data!$A:$A,0)))</f>
        <v/>
      </c>
      <c r="AP891" s="38" t="str">
        <f>IF(ISNA(MATCH($N891,data!$A:$A,0)),"",INDEX(data!E:E,MATCH($N891,data!$A:$A,0)))</f>
        <v/>
      </c>
      <c r="AQ891" s="38" t="str">
        <f>IF(ISNA(MATCH($N891,data!$A:$A,0)),"",INDEX(data!F:F,MATCH($N891,data!$A:$A,0)))</f>
        <v/>
      </c>
      <c r="AR891" s="38" t="str">
        <f>IF(ISNA(MATCH($N891,data!$A:$A,0)),"",INDEX(data!G:G,MATCH($N891,data!$A:$A,0)))</f>
        <v/>
      </c>
      <c r="AS891" s="38" t="str">
        <f>IF(ISNA(MATCH($N891,data!$A:$A,0)),"",INDEX(data!H:H,MATCH($N891,data!$A:$A,0)))</f>
        <v/>
      </c>
      <c r="AT891" s="38" t="str">
        <f>IF(ISNA(MATCH($N891,data!$A:$A,0)),"",INDEX(data!I:I,MATCH($N891,data!$A:$A,0)))</f>
        <v/>
      </c>
      <c r="AU891" s="38" t="str">
        <f>IF(ISNA(MATCH($N891,[1]data!$A:$A,0)),"",INDEX([1]data!L:L,MATCH($N891,[1]data!$A:$A,0)))</f>
        <v/>
      </c>
      <c r="AV891" s="38" t="str">
        <f>IF(ISNA(MATCH($N891,[1]data!$A:$A,0)),"",INDEX([1]data!M:M,MATCH($N891,[1]data!$A:$A,0)))</f>
        <v/>
      </c>
      <c r="AW891" s="38" t="str">
        <f>IF(ISNA(MATCH($N891,data!$A:$A,0)),"",INDEX(data!J:J,MATCH($N891,data!$A:$A,0)))</f>
        <v/>
      </c>
      <c r="AX891" s="38" t="str">
        <f>IF(ISNA(MATCH($N891,data!$A:$A,0)),"",INDEX(data!K:K,MATCH($N891,data!$A:$A,0)))</f>
        <v/>
      </c>
      <c r="AY891" s="38" t="str">
        <f>IF(ISNA(MATCH($N891,data!$A:$A,0)),"",INDEX(data!O:O,MATCH($N891,data!$A:$A,0)))</f>
        <v/>
      </c>
      <c r="AZ891" s="38" t="str">
        <f>IF(ISNA(MATCH($N891,data!$A:$A,0)),"",INDEX(data!N:N,MATCH($N891,data!$A:$A,0)))</f>
        <v/>
      </c>
      <c r="BA891" s="38" t="str">
        <f>IF(ISNA(MATCH($N891,data!$A:$A,0)),"",INDEX(data!P:P,MATCH($N891,data!$A:$A,0)))</f>
        <v/>
      </c>
      <c r="BB891" s="38" t="str">
        <f>IF(ISNA(MATCH($N891,data!$A:$A,0)),"",INDEX(data!Q:Q,MATCH($N891,data!$A:$A,0)))</f>
        <v/>
      </c>
      <c r="BC891" s="38" t="str">
        <f>IF(ISNA(MATCH($N891,data!$A:$A,0)),"",INDEX(data!R:R,MATCH($N891,data!$A:$A,0)))</f>
        <v/>
      </c>
      <c r="BD891" s="38" t="str">
        <f>IF(ISNA(MATCH($N891,[1]data!$A:$A,0)),"",INDEX([1]data!U:U,MATCH($N891,[1]data!$A:$A,0)))</f>
        <v/>
      </c>
      <c r="BE891" s="61" t="e">
        <f>IF(COUNTIF([1]data!A:A,[1]!Table1[[#This Row],[UPC]])&lt;2,"","DUP")</f>
        <v>#VALUE!</v>
      </c>
      <c r="BF891" s="38" t="str">
        <f>IF(ISNA(MATCH($N891,data!$A:$A,0)),"",INDEX(data!W:W,MATCH($N891,data!$A:$A,0)))</f>
        <v/>
      </c>
    </row>
    <row r="892" spans="1:58">
      <c r="A892" s="35"/>
      <c r="B892" s="35"/>
      <c r="C892" s="35"/>
      <c r="D892" s="35"/>
      <c r="E892" s="67"/>
      <c r="F892" s="67"/>
      <c r="G892" s="36"/>
      <c r="H892" s="29"/>
      <c r="I892" s="78" t="str">
        <f t="shared" si="22"/>
        <v/>
      </c>
      <c r="J892" s="29"/>
      <c r="K892" s="29"/>
      <c r="L892" s="33"/>
      <c r="M892" s="33"/>
      <c r="N892" s="60"/>
      <c r="O892" s="71"/>
      <c r="P892" s="71"/>
      <c r="Q892" s="33"/>
      <c r="R892" s="31"/>
      <c r="S892" s="31"/>
      <c r="T892" s="59"/>
      <c r="U892" s="59"/>
      <c r="V892" s="59"/>
      <c r="W892" s="57">
        <f t="shared" si="23"/>
        <v>0</v>
      </c>
      <c r="X892" s="126" t="str">
        <f>IF(Table1[[#This Row],[Shipping Weight Pounds]]&gt;150,"See LTL Form","No")</f>
        <v>No</v>
      </c>
      <c r="Y892" s="28"/>
      <c r="Z892" s="33"/>
      <c r="AA892" s="34"/>
      <c r="AB892" s="30"/>
      <c r="AC892" s="30"/>
      <c r="AD892" s="32"/>
      <c r="AE892" s="32"/>
      <c r="AF892" s="2"/>
      <c r="AG892" s="2"/>
      <c r="AH892" s="2"/>
      <c r="AI892" s="2"/>
      <c r="AK892" s="73" t="str">
        <f>IF(ISNA(MATCH($N892,[1]data!$A:$A,0)),"",INDEX([1]data!S:S,MATCH($N892,[1]data!$A:$A,0)))</f>
        <v/>
      </c>
      <c r="AL892" s="73" t="str">
        <f>IF(ISNA(MATCH($N892,[1]data!$A:$A,0)),"",INDEX([1]data!V:V,MATCH($N892,[1]data!$A:$A,0)))</f>
        <v/>
      </c>
      <c r="AM892" s="38" t="str">
        <f>IF(ISNA(MATCH($N892,data!$A:$A,0)),"",INDEX(data!B:B,MATCH($N892,data!$A:$A,0)))</f>
        <v/>
      </c>
      <c r="AN892" s="38" t="str">
        <f>IF(ISNA(MATCH($N892,data!$A:$A,0)),"",INDEX(data!C:C,MATCH($N892,data!$A:$A,0)))</f>
        <v/>
      </c>
      <c r="AO892" s="38" t="str">
        <f>IF(ISNA(MATCH($N892,data!$A:$A,0)),"",INDEX(data!D:D,MATCH($N892,data!$A:$A,0)))</f>
        <v/>
      </c>
      <c r="AP892" s="38" t="str">
        <f>IF(ISNA(MATCH($N892,data!$A:$A,0)),"",INDEX(data!E:E,MATCH($N892,data!$A:$A,0)))</f>
        <v/>
      </c>
      <c r="AQ892" s="38" t="str">
        <f>IF(ISNA(MATCH($N892,data!$A:$A,0)),"",INDEX(data!F:F,MATCH($N892,data!$A:$A,0)))</f>
        <v/>
      </c>
      <c r="AR892" s="38" t="str">
        <f>IF(ISNA(MATCH($N892,data!$A:$A,0)),"",INDEX(data!G:G,MATCH($N892,data!$A:$A,0)))</f>
        <v/>
      </c>
      <c r="AS892" s="38" t="str">
        <f>IF(ISNA(MATCH($N892,data!$A:$A,0)),"",INDEX(data!H:H,MATCH($N892,data!$A:$A,0)))</f>
        <v/>
      </c>
      <c r="AT892" s="38" t="str">
        <f>IF(ISNA(MATCH($N892,data!$A:$A,0)),"",INDEX(data!I:I,MATCH($N892,data!$A:$A,0)))</f>
        <v/>
      </c>
      <c r="AU892" s="38" t="str">
        <f>IF(ISNA(MATCH($N892,[1]data!$A:$A,0)),"",INDEX([1]data!L:L,MATCH($N892,[1]data!$A:$A,0)))</f>
        <v/>
      </c>
      <c r="AV892" s="38" t="str">
        <f>IF(ISNA(MATCH($N892,[1]data!$A:$A,0)),"",INDEX([1]data!M:M,MATCH($N892,[1]data!$A:$A,0)))</f>
        <v/>
      </c>
      <c r="AW892" s="38" t="str">
        <f>IF(ISNA(MATCH($N892,data!$A:$A,0)),"",INDEX(data!J:J,MATCH($N892,data!$A:$A,0)))</f>
        <v/>
      </c>
      <c r="AX892" s="38" t="str">
        <f>IF(ISNA(MATCH($N892,data!$A:$A,0)),"",INDEX(data!K:K,MATCH($N892,data!$A:$A,0)))</f>
        <v/>
      </c>
      <c r="AY892" s="38" t="str">
        <f>IF(ISNA(MATCH($N892,data!$A:$A,0)),"",INDEX(data!O:O,MATCH($N892,data!$A:$A,0)))</f>
        <v/>
      </c>
      <c r="AZ892" s="38" t="str">
        <f>IF(ISNA(MATCH($N892,data!$A:$A,0)),"",INDEX(data!N:N,MATCH($N892,data!$A:$A,0)))</f>
        <v/>
      </c>
      <c r="BA892" s="38" t="str">
        <f>IF(ISNA(MATCH($N892,data!$A:$A,0)),"",INDEX(data!P:P,MATCH($N892,data!$A:$A,0)))</f>
        <v/>
      </c>
      <c r="BB892" s="38" t="str">
        <f>IF(ISNA(MATCH($N892,data!$A:$A,0)),"",INDEX(data!Q:Q,MATCH($N892,data!$A:$A,0)))</f>
        <v/>
      </c>
      <c r="BC892" s="38" t="str">
        <f>IF(ISNA(MATCH($N892,data!$A:$A,0)),"",INDEX(data!R:R,MATCH($N892,data!$A:$A,0)))</f>
        <v/>
      </c>
      <c r="BD892" s="38" t="str">
        <f>IF(ISNA(MATCH($N892,[1]data!$A:$A,0)),"",INDEX([1]data!U:U,MATCH($N892,[1]data!$A:$A,0)))</f>
        <v/>
      </c>
      <c r="BE892" s="61" t="e">
        <f>IF(COUNTIF([1]data!A:A,[1]!Table1[[#This Row],[UPC]])&lt;2,"","DUP")</f>
        <v>#VALUE!</v>
      </c>
      <c r="BF892" s="38" t="str">
        <f>IF(ISNA(MATCH($N892,data!$A:$A,0)),"",INDEX(data!W:W,MATCH($N892,data!$A:$A,0)))</f>
        <v/>
      </c>
    </row>
    <row r="893" spans="1:58">
      <c r="A893" s="35"/>
      <c r="B893" s="35"/>
      <c r="C893" s="35"/>
      <c r="D893" s="35"/>
      <c r="E893" s="67"/>
      <c r="F893" s="67"/>
      <c r="G893" s="36"/>
      <c r="H893" s="29"/>
      <c r="I893" s="78" t="str">
        <f t="shared" si="22"/>
        <v/>
      </c>
      <c r="J893" s="29"/>
      <c r="K893" s="29"/>
      <c r="L893" s="33"/>
      <c r="M893" s="33"/>
      <c r="N893" s="60"/>
      <c r="O893" s="71"/>
      <c r="P893" s="71"/>
      <c r="Q893" s="33"/>
      <c r="R893" s="31"/>
      <c r="S893" s="31"/>
      <c r="T893" s="59"/>
      <c r="U893" s="59"/>
      <c r="V893" s="59"/>
      <c r="W893" s="57">
        <f t="shared" si="23"/>
        <v>0</v>
      </c>
      <c r="X893" s="126" t="str">
        <f>IF(Table1[[#This Row],[Shipping Weight Pounds]]&gt;150,"See LTL Form","No")</f>
        <v>No</v>
      </c>
      <c r="Y893" s="28"/>
      <c r="Z893" s="33"/>
      <c r="AA893" s="34"/>
      <c r="AB893" s="30"/>
      <c r="AC893" s="30"/>
      <c r="AD893" s="32"/>
      <c r="AE893" s="32"/>
      <c r="AF893" s="2"/>
      <c r="AG893" s="2"/>
      <c r="AH893" s="2"/>
      <c r="AI893" s="2"/>
      <c r="AK893" s="73" t="str">
        <f>IF(ISNA(MATCH($N893,[1]data!$A:$A,0)),"",INDEX([1]data!S:S,MATCH($N893,[1]data!$A:$A,0)))</f>
        <v/>
      </c>
      <c r="AL893" s="73" t="str">
        <f>IF(ISNA(MATCH($N893,[1]data!$A:$A,0)),"",INDEX([1]data!V:V,MATCH($N893,[1]data!$A:$A,0)))</f>
        <v/>
      </c>
      <c r="AM893" s="38" t="str">
        <f>IF(ISNA(MATCH($N893,data!$A:$A,0)),"",INDEX(data!B:B,MATCH($N893,data!$A:$A,0)))</f>
        <v/>
      </c>
      <c r="AN893" s="38" t="str">
        <f>IF(ISNA(MATCH($N893,data!$A:$A,0)),"",INDEX(data!C:C,MATCH($N893,data!$A:$A,0)))</f>
        <v/>
      </c>
      <c r="AO893" s="38" t="str">
        <f>IF(ISNA(MATCH($N893,data!$A:$A,0)),"",INDEX(data!D:D,MATCH($N893,data!$A:$A,0)))</f>
        <v/>
      </c>
      <c r="AP893" s="38" t="str">
        <f>IF(ISNA(MATCH($N893,data!$A:$A,0)),"",INDEX(data!E:E,MATCH($N893,data!$A:$A,0)))</f>
        <v/>
      </c>
      <c r="AQ893" s="38" t="str">
        <f>IF(ISNA(MATCH($N893,data!$A:$A,0)),"",INDEX(data!F:F,MATCH($N893,data!$A:$A,0)))</f>
        <v/>
      </c>
      <c r="AR893" s="38" t="str">
        <f>IF(ISNA(MATCH($N893,data!$A:$A,0)),"",INDEX(data!G:G,MATCH($N893,data!$A:$A,0)))</f>
        <v/>
      </c>
      <c r="AS893" s="38" t="str">
        <f>IF(ISNA(MATCH($N893,data!$A:$A,0)),"",INDEX(data!H:H,MATCH($N893,data!$A:$A,0)))</f>
        <v/>
      </c>
      <c r="AT893" s="38" t="str">
        <f>IF(ISNA(MATCH($N893,data!$A:$A,0)),"",INDEX(data!I:I,MATCH($N893,data!$A:$A,0)))</f>
        <v/>
      </c>
      <c r="AU893" s="38" t="str">
        <f>IF(ISNA(MATCH($N893,[1]data!$A:$A,0)),"",INDEX([1]data!L:L,MATCH($N893,[1]data!$A:$A,0)))</f>
        <v/>
      </c>
      <c r="AV893" s="38" t="str">
        <f>IF(ISNA(MATCH($N893,[1]data!$A:$A,0)),"",INDEX([1]data!M:M,MATCH($N893,[1]data!$A:$A,0)))</f>
        <v/>
      </c>
      <c r="AW893" s="38" t="str">
        <f>IF(ISNA(MATCH($N893,data!$A:$A,0)),"",INDEX(data!J:J,MATCH($N893,data!$A:$A,0)))</f>
        <v/>
      </c>
      <c r="AX893" s="38" t="str">
        <f>IF(ISNA(MATCH($N893,data!$A:$A,0)),"",INDEX(data!K:K,MATCH($N893,data!$A:$A,0)))</f>
        <v/>
      </c>
      <c r="AY893" s="38" t="str">
        <f>IF(ISNA(MATCH($N893,data!$A:$A,0)),"",INDEX(data!O:O,MATCH($N893,data!$A:$A,0)))</f>
        <v/>
      </c>
      <c r="AZ893" s="38" t="str">
        <f>IF(ISNA(MATCH($N893,data!$A:$A,0)),"",INDEX(data!N:N,MATCH($N893,data!$A:$A,0)))</f>
        <v/>
      </c>
      <c r="BA893" s="38" t="str">
        <f>IF(ISNA(MATCH($N893,data!$A:$A,0)),"",INDEX(data!P:P,MATCH($N893,data!$A:$A,0)))</f>
        <v/>
      </c>
      <c r="BB893" s="38" t="str">
        <f>IF(ISNA(MATCH($N893,data!$A:$A,0)),"",INDEX(data!Q:Q,MATCH($N893,data!$A:$A,0)))</f>
        <v/>
      </c>
      <c r="BC893" s="38" t="str">
        <f>IF(ISNA(MATCH($N893,data!$A:$A,0)),"",INDEX(data!R:R,MATCH($N893,data!$A:$A,0)))</f>
        <v/>
      </c>
      <c r="BD893" s="38" t="str">
        <f>IF(ISNA(MATCH($N893,[1]data!$A:$A,0)),"",INDEX([1]data!U:U,MATCH($N893,[1]data!$A:$A,0)))</f>
        <v/>
      </c>
      <c r="BE893" s="61" t="e">
        <f>IF(COUNTIF([1]data!A:A,[1]!Table1[[#This Row],[UPC]])&lt;2,"","DUP")</f>
        <v>#VALUE!</v>
      </c>
      <c r="BF893" s="38" t="str">
        <f>IF(ISNA(MATCH($N893,data!$A:$A,0)),"",INDEX(data!W:W,MATCH($N893,data!$A:$A,0)))</f>
        <v/>
      </c>
    </row>
    <row r="894" spans="1:58">
      <c r="A894" s="35"/>
      <c r="B894" s="35"/>
      <c r="C894" s="35"/>
      <c r="D894" s="35"/>
      <c r="E894" s="67"/>
      <c r="F894" s="67"/>
      <c r="G894" s="36"/>
      <c r="H894" s="29"/>
      <c r="I894" s="78" t="str">
        <f t="shared" si="22"/>
        <v/>
      </c>
      <c r="J894" s="29"/>
      <c r="K894" s="29"/>
      <c r="L894" s="33"/>
      <c r="M894" s="33"/>
      <c r="N894" s="60"/>
      <c r="O894" s="71"/>
      <c r="P894" s="71"/>
      <c r="Q894" s="33"/>
      <c r="R894" s="31"/>
      <c r="S894" s="31"/>
      <c r="T894" s="59"/>
      <c r="U894" s="59"/>
      <c r="V894" s="59"/>
      <c r="W894" s="57">
        <f t="shared" si="23"/>
        <v>0</v>
      </c>
      <c r="X894" s="126" t="str">
        <f>IF(Table1[[#This Row],[Shipping Weight Pounds]]&gt;150,"See LTL Form","No")</f>
        <v>No</v>
      </c>
      <c r="Y894" s="28"/>
      <c r="Z894" s="33"/>
      <c r="AA894" s="34"/>
      <c r="AB894" s="30"/>
      <c r="AC894" s="30"/>
      <c r="AD894" s="32"/>
      <c r="AE894" s="32"/>
      <c r="AF894" s="2"/>
      <c r="AG894" s="2"/>
      <c r="AH894" s="2"/>
      <c r="AI894" s="2"/>
      <c r="AK894" s="73" t="str">
        <f>IF(ISNA(MATCH($N894,[1]data!$A:$A,0)),"",INDEX([1]data!S:S,MATCH($N894,[1]data!$A:$A,0)))</f>
        <v/>
      </c>
      <c r="AL894" s="73" t="str">
        <f>IF(ISNA(MATCH($N894,[1]data!$A:$A,0)),"",INDEX([1]data!V:V,MATCH($N894,[1]data!$A:$A,0)))</f>
        <v/>
      </c>
      <c r="AM894" s="38" t="str">
        <f>IF(ISNA(MATCH($N894,data!$A:$A,0)),"",INDEX(data!B:B,MATCH($N894,data!$A:$A,0)))</f>
        <v/>
      </c>
      <c r="AN894" s="38" t="str">
        <f>IF(ISNA(MATCH($N894,data!$A:$A,0)),"",INDEX(data!C:C,MATCH($N894,data!$A:$A,0)))</f>
        <v/>
      </c>
      <c r="AO894" s="38" t="str">
        <f>IF(ISNA(MATCH($N894,data!$A:$A,0)),"",INDEX(data!D:D,MATCH($N894,data!$A:$A,0)))</f>
        <v/>
      </c>
      <c r="AP894" s="38" t="str">
        <f>IF(ISNA(MATCH($N894,data!$A:$A,0)),"",INDEX(data!E:E,MATCH($N894,data!$A:$A,0)))</f>
        <v/>
      </c>
      <c r="AQ894" s="38" t="str">
        <f>IF(ISNA(MATCH($N894,data!$A:$A,0)),"",INDEX(data!F:F,MATCH($N894,data!$A:$A,0)))</f>
        <v/>
      </c>
      <c r="AR894" s="38" t="str">
        <f>IF(ISNA(MATCH($N894,data!$A:$A,0)),"",INDEX(data!G:G,MATCH($N894,data!$A:$A,0)))</f>
        <v/>
      </c>
      <c r="AS894" s="38" t="str">
        <f>IF(ISNA(MATCH($N894,data!$A:$A,0)),"",INDEX(data!H:H,MATCH($N894,data!$A:$A,0)))</f>
        <v/>
      </c>
      <c r="AT894" s="38" t="str">
        <f>IF(ISNA(MATCH($N894,data!$A:$A,0)),"",INDEX(data!I:I,MATCH($N894,data!$A:$A,0)))</f>
        <v/>
      </c>
      <c r="AU894" s="38" t="str">
        <f>IF(ISNA(MATCH($N894,[1]data!$A:$A,0)),"",INDEX([1]data!L:L,MATCH($N894,[1]data!$A:$A,0)))</f>
        <v/>
      </c>
      <c r="AV894" s="38" t="str">
        <f>IF(ISNA(MATCH($N894,[1]data!$A:$A,0)),"",INDEX([1]data!M:M,MATCH($N894,[1]data!$A:$A,0)))</f>
        <v/>
      </c>
      <c r="AW894" s="38" t="str">
        <f>IF(ISNA(MATCH($N894,data!$A:$A,0)),"",INDEX(data!J:J,MATCH($N894,data!$A:$A,0)))</f>
        <v/>
      </c>
      <c r="AX894" s="38" t="str">
        <f>IF(ISNA(MATCH($N894,data!$A:$A,0)),"",INDEX(data!K:K,MATCH($N894,data!$A:$A,0)))</f>
        <v/>
      </c>
      <c r="AY894" s="38" t="str">
        <f>IF(ISNA(MATCH($N894,data!$A:$A,0)),"",INDEX(data!O:O,MATCH($N894,data!$A:$A,0)))</f>
        <v/>
      </c>
      <c r="AZ894" s="38" t="str">
        <f>IF(ISNA(MATCH($N894,data!$A:$A,0)),"",INDEX(data!N:N,MATCH($N894,data!$A:$A,0)))</f>
        <v/>
      </c>
      <c r="BA894" s="38" t="str">
        <f>IF(ISNA(MATCH($N894,data!$A:$A,0)),"",INDEX(data!P:P,MATCH($N894,data!$A:$A,0)))</f>
        <v/>
      </c>
      <c r="BB894" s="38" t="str">
        <f>IF(ISNA(MATCH($N894,data!$A:$A,0)),"",INDEX(data!Q:Q,MATCH($N894,data!$A:$A,0)))</f>
        <v/>
      </c>
      <c r="BC894" s="38" t="str">
        <f>IF(ISNA(MATCH($N894,data!$A:$A,0)),"",INDEX(data!R:R,MATCH($N894,data!$A:$A,0)))</f>
        <v/>
      </c>
      <c r="BD894" s="38" t="str">
        <f>IF(ISNA(MATCH($N894,[1]data!$A:$A,0)),"",INDEX([1]data!U:U,MATCH($N894,[1]data!$A:$A,0)))</f>
        <v/>
      </c>
      <c r="BE894" s="61" t="e">
        <f>IF(COUNTIF([1]data!A:A,[1]!Table1[[#This Row],[UPC]])&lt;2,"","DUP")</f>
        <v>#VALUE!</v>
      </c>
      <c r="BF894" s="38" t="str">
        <f>IF(ISNA(MATCH($N894,data!$A:$A,0)),"",INDEX(data!W:W,MATCH($N894,data!$A:$A,0)))</f>
        <v/>
      </c>
    </row>
    <row r="895" spans="1:58">
      <c r="A895" s="35"/>
      <c r="B895" s="35"/>
      <c r="C895" s="35"/>
      <c r="D895" s="35"/>
      <c r="E895" s="67"/>
      <c r="F895" s="67"/>
      <c r="G895" s="36"/>
      <c r="H895" s="29"/>
      <c r="I895" s="78" t="str">
        <f t="shared" si="22"/>
        <v/>
      </c>
      <c r="J895" s="29"/>
      <c r="K895" s="29"/>
      <c r="L895" s="33"/>
      <c r="M895" s="33"/>
      <c r="N895" s="60"/>
      <c r="O895" s="71"/>
      <c r="P895" s="71"/>
      <c r="Q895" s="33"/>
      <c r="R895" s="31"/>
      <c r="S895" s="31"/>
      <c r="T895" s="59"/>
      <c r="U895" s="59"/>
      <c r="V895" s="59"/>
      <c r="W895" s="57">
        <f t="shared" si="23"/>
        <v>0</v>
      </c>
      <c r="X895" s="126" t="str">
        <f>IF(Table1[[#This Row],[Shipping Weight Pounds]]&gt;150,"See LTL Form","No")</f>
        <v>No</v>
      </c>
      <c r="Y895" s="28"/>
      <c r="Z895" s="33"/>
      <c r="AA895" s="34"/>
      <c r="AB895" s="30"/>
      <c r="AC895" s="30"/>
      <c r="AD895" s="32"/>
      <c r="AE895" s="32"/>
      <c r="AF895" s="2"/>
      <c r="AG895" s="2"/>
      <c r="AH895" s="2"/>
      <c r="AI895" s="2"/>
      <c r="AK895" s="73" t="str">
        <f>IF(ISNA(MATCH($N895,[1]data!$A:$A,0)),"",INDEX([1]data!S:S,MATCH($N895,[1]data!$A:$A,0)))</f>
        <v/>
      </c>
      <c r="AL895" s="73" t="str">
        <f>IF(ISNA(MATCH($N895,[1]data!$A:$A,0)),"",INDEX([1]data!V:V,MATCH($N895,[1]data!$A:$A,0)))</f>
        <v/>
      </c>
      <c r="AM895" s="38" t="str">
        <f>IF(ISNA(MATCH($N895,data!$A:$A,0)),"",INDEX(data!B:B,MATCH($N895,data!$A:$A,0)))</f>
        <v/>
      </c>
      <c r="AN895" s="38" t="str">
        <f>IF(ISNA(MATCH($N895,data!$A:$A,0)),"",INDEX(data!C:C,MATCH($N895,data!$A:$A,0)))</f>
        <v/>
      </c>
      <c r="AO895" s="38" t="str">
        <f>IF(ISNA(MATCH($N895,data!$A:$A,0)),"",INDEX(data!D:D,MATCH($N895,data!$A:$A,0)))</f>
        <v/>
      </c>
      <c r="AP895" s="38" t="str">
        <f>IF(ISNA(MATCH($N895,data!$A:$A,0)),"",INDEX(data!E:E,MATCH($N895,data!$A:$A,0)))</f>
        <v/>
      </c>
      <c r="AQ895" s="38" t="str">
        <f>IF(ISNA(MATCH($N895,data!$A:$A,0)),"",INDEX(data!F:F,MATCH($N895,data!$A:$A,0)))</f>
        <v/>
      </c>
      <c r="AR895" s="38" t="str">
        <f>IF(ISNA(MATCH($N895,data!$A:$A,0)),"",INDEX(data!G:G,MATCH($N895,data!$A:$A,0)))</f>
        <v/>
      </c>
      <c r="AS895" s="38" t="str">
        <f>IF(ISNA(MATCH($N895,data!$A:$A,0)),"",INDEX(data!H:H,MATCH($N895,data!$A:$A,0)))</f>
        <v/>
      </c>
      <c r="AT895" s="38" t="str">
        <f>IF(ISNA(MATCH($N895,data!$A:$A,0)),"",INDEX(data!I:I,MATCH($N895,data!$A:$A,0)))</f>
        <v/>
      </c>
      <c r="AU895" s="38" t="str">
        <f>IF(ISNA(MATCH($N895,[1]data!$A:$A,0)),"",INDEX([1]data!L:L,MATCH($N895,[1]data!$A:$A,0)))</f>
        <v/>
      </c>
      <c r="AV895" s="38" t="str">
        <f>IF(ISNA(MATCH($N895,[1]data!$A:$A,0)),"",INDEX([1]data!M:M,MATCH($N895,[1]data!$A:$A,0)))</f>
        <v/>
      </c>
      <c r="AW895" s="38" t="str">
        <f>IF(ISNA(MATCH($N895,data!$A:$A,0)),"",INDEX(data!J:J,MATCH($N895,data!$A:$A,0)))</f>
        <v/>
      </c>
      <c r="AX895" s="38" t="str">
        <f>IF(ISNA(MATCH($N895,data!$A:$A,0)),"",INDEX(data!K:K,MATCH($N895,data!$A:$A,0)))</f>
        <v/>
      </c>
      <c r="AY895" s="38" t="str">
        <f>IF(ISNA(MATCH($N895,data!$A:$A,0)),"",INDEX(data!O:O,MATCH($N895,data!$A:$A,0)))</f>
        <v/>
      </c>
      <c r="AZ895" s="38" t="str">
        <f>IF(ISNA(MATCH($N895,data!$A:$A,0)),"",INDEX(data!N:N,MATCH($N895,data!$A:$A,0)))</f>
        <v/>
      </c>
      <c r="BA895" s="38" t="str">
        <f>IF(ISNA(MATCH($N895,data!$A:$A,0)),"",INDEX(data!P:P,MATCH($N895,data!$A:$A,0)))</f>
        <v/>
      </c>
      <c r="BB895" s="38" t="str">
        <f>IF(ISNA(MATCH($N895,data!$A:$A,0)),"",INDEX(data!Q:Q,MATCH($N895,data!$A:$A,0)))</f>
        <v/>
      </c>
      <c r="BC895" s="38" t="str">
        <f>IF(ISNA(MATCH($N895,data!$A:$A,0)),"",INDEX(data!R:R,MATCH($N895,data!$A:$A,0)))</f>
        <v/>
      </c>
      <c r="BD895" s="38" t="str">
        <f>IF(ISNA(MATCH($N895,[1]data!$A:$A,0)),"",INDEX([1]data!U:U,MATCH($N895,[1]data!$A:$A,0)))</f>
        <v/>
      </c>
      <c r="BE895" s="61" t="e">
        <f>IF(COUNTIF([1]data!A:A,[1]!Table1[[#This Row],[UPC]])&lt;2,"","DUP")</f>
        <v>#VALUE!</v>
      </c>
      <c r="BF895" s="38" t="str">
        <f>IF(ISNA(MATCH($N895,data!$A:$A,0)),"",INDEX(data!W:W,MATCH($N895,data!$A:$A,0)))</f>
        <v/>
      </c>
    </row>
    <row r="896" spans="1:58">
      <c r="A896" s="35"/>
      <c r="B896" s="35"/>
      <c r="C896" s="35"/>
      <c r="D896" s="35"/>
      <c r="E896" s="67"/>
      <c r="F896" s="67"/>
      <c r="G896" s="36"/>
      <c r="H896" s="29"/>
      <c r="I896" s="78" t="str">
        <f t="shared" si="22"/>
        <v/>
      </c>
      <c r="J896" s="29"/>
      <c r="K896" s="29"/>
      <c r="L896" s="33"/>
      <c r="M896" s="33"/>
      <c r="N896" s="60"/>
      <c r="O896" s="71"/>
      <c r="P896" s="71"/>
      <c r="Q896" s="33"/>
      <c r="R896" s="31"/>
      <c r="S896" s="31"/>
      <c r="T896" s="59"/>
      <c r="U896" s="59"/>
      <c r="V896" s="59"/>
      <c r="W896" s="57">
        <f t="shared" si="23"/>
        <v>0</v>
      </c>
      <c r="X896" s="126" t="str">
        <f>IF(Table1[[#This Row],[Shipping Weight Pounds]]&gt;150,"See LTL Form","No")</f>
        <v>No</v>
      </c>
      <c r="Y896" s="28"/>
      <c r="Z896" s="33"/>
      <c r="AA896" s="34"/>
      <c r="AB896" s="30"/>
      <c r="AC896" s="30"/>
      <c r="AD896" s="32"/>
      <c r="AE896" s="32"/>
      <c r="AF896" s="2"/>
      <c r="AG896" s="2"/>
      <c r="AH896" s="2"/>
      <c r="AI896" s="2"/>
      <c r="AK896" s="73" t="str">
        <f>IF(ISNA(MATCH($N896,[1]data!$A:$A,0)),"",INDEX([1]data!S:S,MATCH($N896,[1]data!$A:$A,0)))</f>
        <v/>
      </c>
      <c r="AL896" s="73" t="str">
        <f>IF(ISNA(MATCH($N896,[1]data!$A:$A,0)),"",INDEX([1]data!V:V,MATCH($N896,[1]data!$A:$A,0)))</f>
        <v/>
      </c>
      <c r="AM896" s="38" t="str">
        <f>IF(ISNA(MATCH($N896,data!$A:$A,0)),"",INDEX(data!B:B,MATCH($N896,data!$A:$A,0)))</f>
        <v/>
      </c>
      <c r="AN896" s="38" t="str">
        <f>IF(ISNA(MATCH($N896,data!$A:$A,0)),"",INDEX(data!C:C,MATCH($N896,data!$A:$A,0)))</f>
        <v/>
      </c>
      <c r="AO896" s="38" t="str">
        <f>IF(ISNA(MATCH($N896,data!$A:$A,0)),"",INDEX(data!D:D,MATCH($N896,data!$A:$A,0)))</f>
        <v/>
      </c>
      <c r="AP896" s="38" t="str">
        <f>IF(ISNA(MATCH($N896,data!$A:$A,0)),"",INDEX(data!E:E,MATCH($N896,data!$A:$A,0)))</f>
        <v/>
      </c>
      <c r="AQ896" s="38" t="str">
        <f>IF(ISNA(MATCH($N896,data!$A:$A,0)),"",INDEX(data!F:F,MATCH($N896,data!$A:$A,0)))</f>
        <v/>
      </c>
      <c r="AR896" s="38" t="str">
        <f>IF(ISNA(MATCH($N896,data!$A:$A,0)),"",INDEX(data!G:G,MATCH($N896,data!$A:$A,0)))</f>
        <v/>
      </c>
      <c r="AS896" s="38" t="str">
        <f>IF(ISNA(MATCH($N896,data!$A:$A,0)),"",INDEX(data!H:H,MATCH($N896,data!$A:$A,0)))</f>
        <v/>
      </c>
      <c r="AT896" s="38" t="str">
        <f>IF(ISNA(MATCH($N896,data!$A:$A,0)),"",INDEX(data!I:I,MATCH($N896,data!$A:$A,0)))</f>
        <v/>
      </c>
      <c r="AU896" s="38" t="str">
        <f>IF(ISNA(MATCH($N896,[1]data!$A:$A,0)),"",INDEX([1]data!L:L,MATCH($N896,[1]data!$A:$A,0)))</f>
        <v/>
      </c>
      <c r="AV896" s="38" t="str">
        <f>IF(ISNA(MATCH($N896,[1]data!$A:$A,0)),"",INDEX([1]data!M:M,MATCH($N896,[1]data!$A:$A,0)))</f>
        <v/>
      </c>
      <c r="AW896" s="38" t="str">
        <f>IF(ISNA(MATCH($N896,data!$A:$A,0)),"",INDEX(data!J:J,MATCH($N896,data!$A:$A,0)))</f>
        <v/>
      </c>
      <c r="AX896" s="38" t="str">
        <f>IF(ISNA(MATCH($N896,data!$A:$A,0)),"",INDEX(data!K:K,MATCH($N896,data!$A:$A,0)))</f>
        <v/>
      </c>
      <c r="AY896" s="38" t="str">
        <f>IF(ISNA(MATCH($N896,data!$A:$A,0)),"",INDEX(data!O:O,MATCH($N896,data!$A:$A,0)))</f>
        <v/>
      </c>
      <c r="AZ896" s="38" t="str">
        <f>IF(ISNA(MATCH($N896,data!$A:$A,0)),"",INDEX(data!N:N,MATCH($N896,data!$A:$A,0)))</f>
        <v/>
      </c>
      <c r="BA896" s="38" t="str">
        <f>IF(ISNA(MATCH($N896,data!$A:$A,0)),"",INDEX(data!P:P,MATCH($N896,data!$A:$A,0)))</f>
        <v/>
      </c>
      <c r="BB896" s="38" t="str">
        <f>IF(ISNA(MATCH($N896,data!$A:$A,0)),"",INDEX(data!Q:Q,MATCH($N896,data!$A:$A,0)))</f>
        <v/>
      </c>
      <c r="BC896" s="38" t="str">
        <f>IF(ISNA(MATCH($N896,data!$A:$A,0)),"",INDEX(data!R:R,MATCH($N896,data!$A:$A,0)))</f>
        <v/>
      </c>
      <c r="BD896" s="38" t="str">
        <f>IF(ISNA(MATCH($N896,[1]data!$A:$A,0)),"",INDEX([1]data!U:U,MATCH($N896,[1]data!$A:$A,0)))</f>
        <v/>
      </c>
      <c r="BE896" s="61" t="e">
        <f>IF(COUNTIF([1]data!A:A,[1]!Table1[[#This Row],[UPC]])&lt;2,"","DUP")</f>
        <v>#VALUE!</v>
      </c>
      <c r="BF896" s="38" t="str">
        <f>IF(ISNA(MATCH($N896,data!$A:$A,0)),"",INDEX(data!W:W,MATCH($N896,data!$A:$A,0)))</f>
        <v/>
      </c>
    </row>
    <row r="897" spans="1:58">
      <c r="A897" s="35"/>
      <c r="B897" s="35"/>
      <c r="C897" s="35"/>
      <c r="D897" s="35"/>
      <c r="E897" s="67"/>
      <c r="F897" s="67"/>
      <c r="G897" s="36"/>
      <c r="H897" s="29"/>
      <c r="I897" s="78" t="str">
        <f t="shared" si="22"/>
        <v/>
      </c>
      <c r="J897" s="29"/>
      <c r="K897" s="29"/>
      <c r="L897" s="33"/>
      <c r="M897" s="33"/>
      <c r="N897" s="60"/>
      <c r="O897" s="71"/>
      <c r="P897" s="71"/>
      <c r="Q897" s="33"/>
      <c r="R897" s="31"/>
      <c r="S897" s="31"/>
      <c r="T897" s="59"/>
      <c r="U897" s="59"/>
      <c r="V897" s="59"/>
      <c r="W897" s="57">
        <f t="shared" si="23"/>
        <v>0</v>
      </c>
      <c r="X897" s="126" t="str">
        <f>IF(Table1[[#This Row],[Shipping Weight Pounds]]&gt;150,"See LTL Form","No")</f>
        <v>No</v>
      </c>
      <c r="Y897" s="28"/>
      <c r="Z897" s="33"/>
      <c r="AA897" s="34"/>
      <c r="AB897" s="30"/>
      <c r="AC897" s="30"/>
      <c r="AD897" s="32"/>
      <c r="AE897" s="32"/>
      <c r="AF897" s="2"/>
      <c r="AG897" s="2"/>
      <c r="AH897" s="2"/>
      <c r="AI897" s="2"/>
      <c r="AK897" s="73" t="str">
        <f>IF(ISNA(MATCH($N897,[1]data!$A:$A,0)),"",INDEX([1]data!S:S,MATCH($N897,[1]data!$A:$A,0)))</f>
        <v/>
      </c>
      <c r="AL897" s="73" t="str">
        <f>IF(ISNA(MATCH($N897,[1]data!$A:$A,0)),"",INDEX([1]data!V:V,MATCH($N897,[1]data!$A:$A,0)))</f>
        <v/>
      </c>
      <c r="AM897" s="38" t="str">
        <f>IF(ISNA(MATCH($N897,data!$A:$A,0)),"",INDEX(data!B:B,MATCH($N897,data!$A:$A,0)))</f>
        <v/>
      </c>
      <c r="AN897" s="38" t="str">
        <f>IF(ISNA(MATCH($N897,data!$A:$A,0)),"",INDEX(data!C:C,MATCH($N897,data!$A:$A,0)))</f>
        <v/>
      </c>
      <c r="AO897" s="38" t="str">
        <f>IF(ISNA(MATCH($N897,data!$A:$A,0)),"",INDEX(data!D:D,MATCH($N897,data!$A:$A,0)))</f>
        <v/>
      </c>
      <c r="AP897" s="38" t="str">
        <f>IF(ISNA(MATCH($N897,data!$A:$A,0)),"",INDEX(data!E:E,MATCH($N897,data!$A:$A,0)))</f>
        <v/>
      </c>
      <c r="AQ897" s="38" t="str">
        <f>IF(ISNA(MATCH($N897,data!$A:$A,0)),"",INDEX(data!F:F,MATCH($N897,data!$A:$A,0)))</f>
        <v/>
      </c>
      <c r="AR897" s="38" t="str">
        <f>IF(ISNA(MATCH($N897,data!$A:$A,0)),"",INDEX(data!G:G,MATCH($N897,data!$A:$A,0)))</f>
        <v/>
      </c>
      <c r="AS897" s="38" t="str">
        <f>IF(ISNA(MATCH($N897,data!$A:$A,0)),"",INDEX(data!H:H,MATCH($N897,data!$A:$A,0)))</f>
        <v/>
      </c>
      <c r="AT897" s="38" t="str">
        <f>IF(ISNA(MATCH($N897,data!$A:$A,0)),"",INDEX(data!I:I,MATCH($N897,data!$A:$A,0)))</f>
        <v/>
      </c>
      <c r="AU897" s="38" t="str">
        <f>IF(ISNA(MATCH($N897,[1]data!$A:$A,0)),"",INDEX([1]data!L:L,MATCH($N897,[1]data!$A:$A,0)))</f>
        <v/>
      </c>
      <c r="AV897" s="38" t="str">
        <f>IF(ISNA(MATCH($N897,[1]data!$A:$A,0)),"",INDEX([1]data!M:M,MATCH($N897,[1]data!$A:$A,0)))</f>
        <v/>
      </c>
      <c r="AW897" s="38" t="str">
        <f>IF(ISNA(MATCH($N897,data!$A:$A,0)),"",INDEX(data!J:J,MATCH($N897,data!$A:$A,0)))</f>
        <v/>
      </c>
      <c r="AX897" s="38" t="str">
        <f>IF(ISNA(MATCH($N897,data!$A:$A,0)),"",INDEX(data!K:K,MATCH($N897,data!$A:$A,0)))</f>
        <v/>
      </c>
      <c r="AY897" s="38" t="str">
        <f>IF(ISNA(MATCH($N897,data!$A:$A,0)),"",INDEX(data!O:O,MATCH($N897,data!$A:$A,0)))</f>
        <v/>
      </c>
      <c r="AZ897" s="38" t="str">
        <f>IF(ISNA(MATCH($N897,data!$A:$A,0)),"",INDEX(data!N:N,MATCH($N897,data!$A:$A,0)))</f>
        <v/>
      </c>
      <c r="BA897" s="38" t="str">
        <f>IF(ISNA(MATCH($N897,data!$A:$A,0)),"",INDEX(data!P:P,MATCH($N897,data!$A:$A,0)))</f>
        <v/>
      </c>
      <c r="BB897" s="38" t="str">
        <f>IF(ISNA(MATCH($N897,data!$A:$A,0)),"",INDEX(data!Q:Q,MATCH($N897,data!$A:$A,0)))</f>
        <v/>
      </c>
      <c r="BC897" s="38" t="str">
        <f>IF(ISNA(MATCH($N897,data!$A:$A,0)),"",INDEX(data!R:R,MATCH($N897,data!$A:$A,0)))</f>
        <v/>
      </c>
      <c r="BD897" s="38" t="str">
        <f>IF(ISNA(MATCH($N897,[1]data!$A:$A,0)),"",INDEX([1]data!U:U,MATCH($N897,[1]data!$A:$A,0)))</f>
        <v/>
      </c>
      <c r="BE897" s="61" t="e">
        <f>IF(COUNTIF([1]data!A:A,[1]!Table1[[#This Row],[UPC]])&lt;2,"","DUP")</f>
        <v>#VALUE!</v>
      </c>
      <c r="BF897" s="38" t="str">
        <f>IF(ISNA(MATCH($N897,data!$A:$A,0)),"",INDEX(data!W:W,MATCH($N897,data!$A:$A,0)))</f>
        <v/>
      </c>
    </row>
    <row r="898" spans="1:58">
      <c r="A898" s="35"/>
      <c r="B898" s="35"/>
      <c r="C898" s="35"/>
      <c r="D898" s="35"/>
      <c r="E898" s="67"/>
      <c r="F898" s="67"/>
      <c r="G898" s="36"/>
      <c r="H898" s="29"/>
      <c r="I898" s="78" t="str">
        <f t="shared" si="22"/>
        <v/>
      </c>
      <c r="J898" s="29"/>
      <c r="K898" s="29"/>
      <c r="L898" s="33"/>
      <c r="M898" s="33"/>
      <c r="N898" s="60"/>
      <c r="O898" s="71"/>
      <c r="P898" s="71"/>
      <c r="Q898" s="33"/>
      <c r="R898" s="31"/>
      <c r="S898" s="31"/>
      <c r="T898" s="59"/>
      <c r="U898" s="59"/>
      <c r="V898" s="59"/>
      <c r="W898" s="57">
        <f t="shared" si="23"/>
        <v>0</v>
      </c>
      <c r="X898" s="126" t="str">
        <f>IF(Table1[[#This Row],[Shipping Weight Pounds]]&gt;150,"See LTL Form","No")</f>
        <v>No</v>
      </c>
      <c r="Y898" s="28"/>
      <c r="Z898" s="33"/>
      <c r="AA898" s="34"/>
      <c r="AB898" s="30"/>
      <c r="AC898" s="30"/>
      <c r="AD898" s="32"/>
      <c r="AE898" s="32"/>
      <c r="AF898" s="2"/>
      <c r="AG898" s="2"/>
      <c r="AH898" s="2"/>
      <c r="AI898" s="2"/>
      <c r="AK898" s="73" t="str">
        <f>IF(ISNA(MATCH($N898,[1]data!$A:$A,0)),"",INDEX([1]data!S:S,MATCH($N898,[1]data!$A:$A,0)))</f>
        <v/>
      </c>
      <c r="AL898" s="73" t="str">
        <f>IF(ISNA(MATCH($N898,[1]data!$A:$A,0)),"",INDEX([1]data!V:V,MATCH($N898,[1]data!$A:$A,0)))</f>
        <v/>
      </c>
      <c r="AM898" s="38" t="str">
        <f>IF(ISNA(MATCH($N898,data!$A:$A,0)),"",INDEX(data!B:B,MATCH($N898,data!$A:$A,0)))</f>
        <v/>
      </c>
      <c r="AN898" s="38" t="str">
        <f>IF(ISNA(MATCH($N898,data!$A:$A,0)),"",INDEX(data!C:C,MATCH($N898,data!$A:$A,0)))</f>
        <v/>
      </c>
      <c r="AO898" s="38" t="str">
        <f>IF(ISNA(MATCH($N898,data!$A:$A,0)),"",INDEX(data!D:D,MATCH($N898,data!$A:$A,0)))</f>
        <v/>
      </c>
      <c r="AP898" s="38" t="str">
        <f>IF(ISNA(MATCH($N898,data!$A:$A,0)),"",INDEX(data!E:E,MATCH($N898,data!$A:$A,0)))</f>
        <v/>
      </c>
      <c r="AQ898" s="38" t="str">
        <f>IF(ISNA(MATCH($N898,data!$A:$A,0)),"",INDEX(data!F:F,MATCH($N898,data!$A:$A,0)))</f>
        <v/>
      </c>
      <c r="AR898" s="38" t="str">
        <f>IF(ISNA(MATCH($N898,data!$A:$A,0)),"",INDEX(data!G:G,MATCH($N898,data!$A:$A,0)))</f>
        <v/>
      </c>
      <c r="AS898" s="38" t="str">
        <f>IF(ISNA(MATCH($N898,data!$A:$A,0)),"",INDEX(data!H:H,MATCH($N898,data!$A:$A,0)))</f>
        <v/>
      </c>
      <c r="AT898" s="38" t="str">
        <f>IF(ISNA(MATCH($N898,data!$A:$A,0)),"",INDEX(data!I:I,MATCH($N898,data!$A:$A,0)))</f>
        <v/>
      </c>
      <c r="AU898" s="38" t="str">
        <f>IF(ISNA(MATCH($N898,[1]data!$A:$A,0)),"",INDEX([1]data!L:L,MATCH($N898,[1]data!$A:$A,0)))</f>
        <v/>
      </c>
      <c r="AV898" s="38" t="str">
        <f>IF(ISNA(MATCH($N898,[1]data!$A:$A,0)),"",INDEX([1]data!M:M,MATCH($N898,[1]data!$A:$A,0)))</f>
        <v/>
      </c>
      <c r="AW898" s="38" t="str">
        <f>IF(ISNA(MATCH($N898,data!$A:$A,0)),"",INDEX(data!J:J,MATCH($N898,data!$A:$A,0)))</f>
        <v/>
      </c>
      <c r="AX898" s="38" t="str">
        <f>IF(ISNA(MATCH($N898,data!$A:$A,0)),"",INDEX(data!K:K,MATCH($N898,data!$A:$A,0)))</f>
        <v/>
      </c>
      <c r="AY898" s="38" t="str">
        <f>IF(ISNA(MATCH($N898,data!$A:$A,0)),"",INDEX(data!O:O,MATCH($N898,data!$A:$A,0)))</f>
        <v/>
      </c>
      <c r="AZ898" s="38" t="str">
        <f>IF(ISNA(MATCH($N898,data!$A:$A,0)),"",INDEX(data!N:N,MATCH($N898,data!$A:$A,0)))</f>
        <v/>
      </c>
      <c r="BA898" s="38" t="str">
        <f>IF(ISNA(MATCH($N898,data!$A:$A,0)),"",INDEX(data!P:P,MATCH($N898,data!$A:$A,0)))</f>
        <v/>
      </c>
      <c r="BB898" s="38" t="str">
        <f>IF(ISNA(MATCH($N898,data!$A:$A,0)),"",INDEX(data!Q:Q,MATCH($N898,data!$A:$A,0)))</f>
        <v/>
      </c>
      <c r="BC898" s="38" t="str">
        <f>IF(ISNA(MATCH($N898,data!$A:$A,0)),"",INDEX(data!R:R,MATCH($N898,data!$A:$A,0)))</f>
        <v/>
      </c>
      <c r="BD898" s="38" t="str">
        <f>IF(ISNA(MATCH($N898,[1]data!$A:$A,0)),"",INDEX([1]data!U:U,MATCH($N898,[1]data!$A:$A,0)))</f>
        <v/>
      </c>
      <c r="BE898" s="61" t="e">
        <f>IF(COUNTIF([1]data!A:A,[1]!Table1[[#This Row],[UPC]])&lt;2,"","DUP")</f>
        <v>#VALUE!</v>
      </c>
      <c r="BF898" s="38" t="str">
        <f>IF(ISNA(MATCH($N898,data!$A:$A,0)),"",INDEX(data!W:W,MATCH($N898,data!$A:$A,0)))</f>
        <v/>
      </c>
    </row>
    <row r="899" spans="1:58">
      <c r="A899" s="35"/>
      <c r="B899" s="35"/>
      <c r="C899" s="35"/>
      <c r="D899" s="35"/>
      <c r="E899" s="67"/>
      <c r="F899" s="67"/>
      <c r="G899" s="36"/>
      <c r="H899" s="29"/>
      <c r="I899" s="78" t="str">
        <f t="shared" si="22"/>
        <v/>
      </c>
      <c r="J899" s="29"/>
      <c r="K899" s="29"/>
      <c r="L899" s="33"/>
      <c r="M899" s="33"/>
      <c r="N899" s="60"/>
      <c r="O899" s="71"/>
      <c r="P899" s="71"/>
      <c r="Q899" s="33"/>
      <c r="R899" s="31"/>
      <c r="S899" s="31"/>
      <c r="T899" s="59"/>
      <c r="U899" s="59"/>
      <c r="V899" s="59"/>
      <c r="W899" s="57">
        <f t="shared" si="23"/>
        <v>0</v>
      </c>
      <c r="X899" s="126" t="str">
        <f>IF(Table1[[#This Row],[Shipping Weight Pounds]]&gt;150,"See LTL Form","No")</f>
        <v>No</v>
      </c>
      <c r="Y899" s="28"/>
      <c r="Z899" s="33"/>
      <c r="AA899" s="34"/>
      <c r="AB899" s="30"/>
      <c r="AC899" s="30"/>
      <c r="AD899" s="32"/>
      <c r="AE899" s="32"/>
      <c r="AF899" s="2"/>
      <c r="AG899" s="2"/>
      <c r="AH899" s="2"/>
      <c r="AI899" s="2"/>
      <c r="AK899" s="73" t="str">
        <f>IF(ISNA(MATCH($N899,[1]data!$A:$A,0)),"",INDEX([1]data!S:S,MATCH($N899,[1]data!$A:$A,0)))</f>
        <v/>
      </c>
      <c r="AL899" s="73" t="str">
        <f>IF(ISNA(MATCH($N899,[1]data!$A:$A,0)),"",INDEX([1]data!V:V,MATCH($N899,[1]data!$A:$A,0)))</f>
        <v/>
      </c>
      <c r="AM899" s="38" t="str">
        <f>IF(ISNA(MATCH($N899,data!$A:$A,0)),"",INDEX(data!B:B,MATCH($N899,data!$A:$A,0)))</f>
        <v/>
      </c>
      <c r="AN899" s="38" t="str">
        <f>IF(ISNA(MATCH($N899,data!$A:$A,0)),"",INDEX(data!C:C,MATCH($N899,data!$A:$A,0)))</f>
        <v/>
      </c>
      <c r="AO899" s="38" t="str">
        <f>IF(ISNA(MATCH($N899,data!$A:$A,0)),"",INDEX(data!D:D,MATCH($N899,data!$A:$A,0)))</f>
        <v/>
      </c>
      <c r="AP899" s="38" t="str">
        <f>IF(ISNA(MATCH($N899,data!$A:$A,0)),"",INDEX(data!E:E,MATCH($N899,data!$A:$A,0)))</f>
        <v/>
      </c>
      <c r="AQ899" s="38" t="str">
        <f>IF(ISNA(MATCH($N899,data!$A:$A,0)),"",INDEX(data!F:F,MATCH($N899,data!$A:$A,0)))</f>
        <v/>
      </c>
      <c r="AR899" s="38" t="str">
        <f>IF(ISNA(MATCH($N899,data!$A:$A,0)),"",INDEX(data!G:G,MATCH($N899,data!$A:$A,0)))</f>
        <v/>
      </c>
      <c r="AS899" s="38" t="str">
        <f>IF(ISNA(MATCH($N899,data!$A:$A,0)),"",INDEX(data!H:H,MATCH($N899,data!$A:$A,0)))</f>
        <v/>
      </c>
      <c r="AT899" s="38" t="str">
        <f>IF(ISNA(MATCH($N899,data!$A:$A,0)),"",INDEX(data!I:I,MATCH($N899,data!$A:$A,0)))</f>
        <v/>
      </c>
      <c r="AU899" s="38" t="str">
        <f>IF(ISNA(MATCH($N899,[1]data!$A:$A,0)),"",INDEX([1]data!L:L,MATCH($N899,[1]data!$A:$A,0)))</f>
        <v/>
      </c>
      <c r="AV899" s="38" t="str">
        <f>IF(ISNA(MATCH($N899,[1]data!$A:$A,0)),"",INDEX([1]data!M:M,MATCH($N899,[1]data!$A:$A,0)))</f>
        <v/>
      </c>
      <c r="AW899" s="38" t="str">
        <f>IF(ISNA(MATCH($N899,data!$A:$A,0)),"",INDEX(data!J:J,MATCH($N899,data!$A:$A,0)))</f>
        <v/>
      </c>
      <c r="AX899" s="38" t="str">
        <f>IF(ISNA(MATCH($N899,data!$A:$A,0)),"",INDEX(data!K:K,MATCH($N899,data!$A:$A,0)))</f>
        <v/>
      </c>
      <c r="AY899" s="38" t="str">
        <f>IF(ISNA(MATCH($N899,data!$A:$A,0)),"",INDEX(data!O:O,MATCH($N899,data!$A:$A,0)))</f>
        <v/>
      </c>
      <c r="AZ899" s="38" t="str">
        <f>IF(ISNA(MATCH($N899,data!$A:$A,0)),"",INDEX(data!N:N,MATCH($N899,data!$A:$A,0)))</f>
        <v/>
      </c>
      <c r="BA899" s="38" t="str">
        <f>IF(ISNA(MATCH($N899,data!$A:$A,0)),"",INDEX(data!P:P,MATCH($N899,data!$A:$A,0)))</f>
        <v/>
      </c>
      <c r="BB899" s="38" t="str">
        <f>IF(ISNA(MATCH($N899,data!$A:$A,0)),"",INDEX(data!Q:Q,MATCH($N899,data!$A:$A,0)))</f>
        <v/>
      </c>
      <c r="BC899" s="38" t="str">
        <f>IF(ISNA(MATCH($N899,data!$A:$A,0)),"",INDEX(data!R:R,MATCH($N899,data!$A:$A,0)))</f>
        <v/>
      </c>
      <c r="BD899" s="38" t="str">
        <f>IF(ISNA(MATCH($N899,[1]data!$A:$A,0)),"",INDEX([1]data!U:U,MATCH($N899,[1]data!$A:$A,0)))</f>
        <v/>
      </c>
      <c r="BE899" s="61" t="e">
        <f>IF(COUNTIF([1]data!A:A,[1]!Table1[[#This Row],[UPC]])&lt;2,"","DUP")</f>
        <v>#VALUE!</v>
      </c>
      <c r="BF899" s="38" t="str">
        <f>IF(ISNA(MATCH($N899,data!$A:$A,0)),"",INDEX(data!W:W,MATCH($N899,data!$A:$A,0)))</f>
        <v/>
      </c>
    </row>
    <row r="900" spans="1:58">
      <c r="A900" s="35"/>
      <c r="B900" s="35"/>
      <c r="C900" s="35"/>
      <c r="D900" s="35"/>
      <c r="E900" s="67"/>
      <c r="F900" s="67"/>
      <c r="G900" s="36"/>
      <c r="H900" s="29"/>
      <c r="I900" s="78" t="str">
        <f t="shared" si="22"/>
        <v/>
      </c>
      <c r="J900" s="29"/>
      <c r="K900" s="29"/>
      <c r="L900" s="33"/>
      <c r="M900" s="33"/>
      <c r="N900" s="60"/>
      <c r="O900" s="71"/>
      <c r="P900" s="71"/>
      <c r="Q900" s="33"/>
      <c r="R900" s="31"/>
      <c r="S900" s="31"/>
      <c r="T900" s="59"/>
      <c r="U900" s="59"/>
      <c r="V900" s="59"/>
      <c r="W900" s="57">
        <f t="shared" si="23"/>
        <v>0</v>
      </c>
      <c r="X900" s="126" t="str">
        <f>IF(Table1[[#This Row],[Shipping Weight Pounds]]&gt;150,"See LTL Form","No")</f>
        <v>No</v>
      </c>
      <c r="Y900" s="28"/>
      <c r="Z900" s="33"/>
      <c r="AA900" s="34"/>
      <c r="AB900" s="30"/>
      <c r="AC900" s="30"/>
      <c r="AD900" s="32"/>
      <c r="AE900" s="32"/>
      <c r="AF900" s="2"/>
      <c r="AG900" s="2"/>
      <c r="AH900" s="2"/>
      <c r="AI900" s="2"/>
      <c r="AK900" s="73" t="str">
        <f>IF(ISNA(MATCH($N900,[1]data!$A:$A,0)),"",INDEX([1]data!S:S,MATCH($N900,[1]data!$A:$A,0)))</f>
        <v/>
      </c>
      <c r="AL900" s="73" t="str">
        <f>IF(ISNA(MATCH($N900,[1]data!$A:$A,0)),"",INDEX([1]data!V:V,MATCH($N900,[1]data!$A:$A,0)))</f>
        <v/>
      </c>
      <c r="AM900" s="38" t="str">
        <f>IF(ISNA(MATCH($N900,data!$A:$A,0)),"",INDEX(data!B:B,MATCH($N900,data!$A:$A,0)))</f>
        <v/>
      </c>
      <c r="AN900" s="38" t="str">
        <f>IF(ISNA(MATCH($N900,data!$A:$A,0)),"",INDEX(data!C:C,MATCH($N900,data!$A:$A,0)))</f>
        <v/>
      </c>
      <c r="AO900" s="38" t="str">
        <f>IF(ISNA(MATCH($N900,data!$A:$A,0)),"",INDEX(data!D:D,MATCH($N900,data!$A:$A,0)))</f>
        <v/>
      </c>
      <c r="AP900" s="38" t="str">
        <f>IF(ISNA(MATCH($N900,data!$A:$A,0)),"",INDEX(data!E:E,MATCH($N900,data!$A:$A,0)))</f>
        <v/>
      </c>
      <c r="AQ900" s="38" t="str">
        <f>IF(ISNA(MATCH($N900,data!$A:$A,0)),"",INDEX(data!F:F,MATCH($N900,data!$A:$A,0)))</f>
        <v/>
      </c>
      <c r="AR900" s="38" t="str">
        <f>IF(ISNA(MATCH($N900,data!$A:$A,0)),"",INDEX(data!G:G,MATCH($N900,data!$A:$A,0)))</f>
        <v/>
      </c>
      <c r="AS900" s="38" t="str">
        <f>IF(ISNA(MATCH($N900,data!$A:$A,0)),"",INDEX(data!H:H,MATCH($N900,data!$A:$A,0)))</f>
        <v/>
      </c>
      <c r="AT900" s="38" t="str">
        <f>IF(ISNA(MATCH($N900,data!$A:$A,0)),"",INDEX(data!I:I,MATCH($N900,data!$A:$A,0)))</f>
        <v/>
      </c>
      <c r="AU900" s="38" t="str">
        <f>IF(ISNA(MATCH($N900,[1]data!$A:$A,0)),"",INDEX([1]data!L:L,MATCH($N900,[1]data!$A:$A,0)))</f>
        <v/>
      </c>
      <c r="AV900" s="38" t="str">
        <f>IF(ISNA(MATCH($N900,[1]data!$A:$A,0)),"",INDEX([1]data!M:M,MATCH($N900,[1]data!$A:$A,0)))</f>
        <v/>
      </c>
      <c r="AW900" s="38" t="str">
        <f>IF(ISNA(MATCH($N900,data!$A:$A,0)),"",INDEX(data!J:J,MATCH($N900,data!$A:$A,0)))</f>
        <v/>
      </c>
      <c r="AX900" s="38" t="str">
        <f>IF(ISNA(MATCH($N900,data!$A:$A,0)),"",INDEX(data!K:K,MATCH($N900,data!$A:$A,0)))</f>
        <v/>
      </c>
      <c r="AY900" s="38" t="str">
        <f>IF(ISNA(MATCH($N900,data!$A:$A,0)),"",INDEX(data!O:O,MATCH($N900,data!$A:$A,0)))</f>
        <v/>
      </c>
      <c r="AZ900" s="38" t="str">
        <f>IF(ISNA(MATCH($N900,data!$A:$A,0)),"",INDEX(data!N:N,MATCH($N900,data!$A:$A,0)))</f>
        <v/>
      </c>
      <c r="BA900" s="38" t="str">
        <f>IF(ISNA(MATCH($N900,data!$A:$A,0)),"",INDEX(data!P:P,MATCH($N900,data!$A:$A,0)))</f>
        <v/>
      </c>
      <c r="BB900" s="38" t="str">
        <f>IF(ISNA(MATCH($N900,data!$A:$A,0)),"",INDEX(data!Q:Q,MATCH($N900,data!$A:$A,0)))</f>
        <v/>
      </c>
      <c r="BC900" s="38" t="str">
        <f>IF(ISNA(MATCH($N900,data!$A:$A,0)),"",INDEX(data!R:R,MATCH($N900,data!$A:$A,0)))</f>
        <v/>
      </c>
      <c r="BD900" s="38" t="str">
        <f>IF(ISNA(MATCH($N900,[1]data!$A:$A,0)),"",INDEX([1]data!U:U,MATCH($N900,[1]data!$A:$A,0)))</f>
        <v/>
      </c>
      <c r="BE900" s="61" t="e">
        <f>IF(COUNTIF([1]data!A:A,[1]!Table1[[#This Row],[UPC]])&lt;2,"","DUP")</f>
        <v>#VALUE!</v>
      </c>
      <c r="BF900" s="38" t="str">
        <f>IF(ISNA(MATCH($N900,data!$A:$A,0)),"",INDEX(data!W:W,MATCH($N900,data!$A:$A,0)))</f>
        <v/>
      </c>
    </row>
    <row r="901" spans="1:58">
      <c r="A901" s="35"/>
      <c r="B901" s="35"/>
      <c r="C901" s="35"/>
      <c r="D901" s="35"/>
      <c r="E901" s="67"/>
      <c r="F901" s="67"/>
      <c r="G901" s="36"/>
      <c r="H901" s="29"/>
      <c r="I901" s="78" t="str">
        <f t="shared" si="22"/>
        <v/>
      </c>
      <c r="J901" s="29"/>
      <c r="K901" s="29"/>
      <c r="L901" s="33"/>
      <c r="M901" s="33"/>
      <c r="N901" s="60"/>
      <c r="O901" s="71"/>
      <c r="P901" s="71"/>
      <c r="Q901" s="33"/>
      <c r="R901" s="31"/>
      <c r="S901" s="31"/>
      <c r="T901" s="59"/>
      <c r="U901" s="59"/>
      <c r="V901" s="59"/>
      <c r="W901" s="57">
        <f t="shared" si="23"/>
        <v>0</v>
      </c>
      <c r="X901" s="126" t="str">
        <f>IF(Table1[[#This Row],[Shipping Weight Pounds]]&gt;150,"See LTL Form","No")</f>
        <v>No</v>
      </c>
      <c r="Y901" s="28"/>
      <c r="Z901" s="33"/>
      <c r="AA901" s="34"/>
      <c r="AB901" s="30"/>
      <c r="AC901" s="30"/>
      <c r="AD901" s="32"/>
      <c r="AE901" s="32"/>
      <c r="AF901" s="2"/>
      <c r="AG901" s="2"/>
      <c r="AH901" s="2"/>
      <c r="AI901" s="2"/>
      <c r="AK901" s="73" t="str">
        <f>IF(ISNA(MATCH($N901,[1]data!$A:$A,0)),"",INDEX([1]data!S:S,MATCH($N901,[1]data!$A:$A,0)))</f>
        <v/>
      </c>
      <c r="AL901" s="73" t="str">
        <f>IF(ISNA(MATCH($N901,[1]data!$A:$A,0)),"",INDEX([1]data!V:V,MATCH($N901,[1]data!$A:$A,0)))</f>
        <v/>
      </c>
      <c r="AM901" s="38" t="str">
        <f>IF(ISNA(MATCH($N901,data!$A:$A,0)),"",INDEX(data!B:B,MATCH($N901,data!$A:$A,0)))</f>
        <v/>
      </c>
      <c r="AN901" s="38" t="str">
        <f>IF(ISNA(MATCH($N901,data!$A:$A,0)),"",INDEX(data!C:C,MATCH($N901,data!$A:$A,0)))</f>
        <v/>
      </c>
      <c r="AO901" s="38" t="str">
        <f>IF(ISNA(MATCH($N901,data!$A:$A,0)),"",INDEX(data!D:D,MATCH($N901,data!$A:$A,0)))</f>
        <v/>
      </c>
      <c r="AP901" s="38" t="str">
        <f>IF(ISNA(MATCH($N901,data!$A:$A,0)),"",INDEX(data!E:E,MATCH($N901,data!$A:$A,0)))</f>
        <v/>
      </c>
      <c r="AQ901" s="38" t="str">
        <f>IF(ISNA(MATCH($N901,data!$A:$A,0)),"",INDEX(data!F:F,MATCH($N901,data!$A:$A,0)))</f>
        <v/>
      </c>
      <c r="AR901" s="38" t="str">
        <f>IF(ISNA(MATCH($N901,data!$A:$A,0)),"",INDEX(data!G:G,MATCH($N901,data!$A:$A,0)))</f>
        <v/>
      </c>
      <c r="AS901" s="38" t="str">
        <f>IF(ISNA(MATCH($N901,data!$A:$A,0)),"",INDEX(data!H:H,MATCH($N901,data!$A:$A,0)))</f>
        <v/>
      </c>
      <c r="AT901" s="38" t="str">
        <f>IF(ISNA(MATCH($N901,data!$A:$A,0)),"",INDEX(data!I:I,MATCH($N901,data!$A:$A,0)))</f>
        <v/>
      </c>
      <c r="AU901" s="38" t="str">
        <f>IF(ISNA(MATCH($N901,[1]data!$A:$A,0)),"",INDEX([1]data!L:L,MATCH($N901,[1]data!$A:$A,0)))</f>
        <v/>
      </c>
      <c r="AV901" s="38" t="str">
        <f>IF(ISNA(MATCH($N901,[1]data!$A:$A,0)),"",INDEX([1]data!M:M,MATCH($N901,[1]data!$A:$A,0)))</f>
        <v/>
      </c>
      <c r="AW901" s="38" t="str">
        <f>IF(ISNA(MATCH($N901,data!$A:$A,0)),"",INDEX(data!J:J,MATCH($N901,data!$A:$A,0)))</f>
        <v/>
      </c>
      <c r="AX901" s="38" t="str">
        <f>IF(ISNA(MATCH($N901,data!$A:$A,0)),"",INDEX(data!K:K,MATCH($N901,data!$A:$A,0)))</f>
        <v/>
      </c>
      <c r="AY901" s="38" t="str">
        <f>IF(ISNA(MATCH($N901,data!$A:$A,0)),"",INDEX(data!O:O,MATCH($N901,data!$A:$A,0)))</f>
        <v/>
      </c>
      <c r="AZ901" s="38" t="str">
        <f>IF(ISNA(MATCH($N901,data!$A:$A,0)),"",INDEX(data!N:N,MATCH($N901,data!$A:$A,0)))</f>
        <v/>
      </c>
      <c r="BA901" s="38" t="str">
        <f>IF(ISNA(MATCH($N901,data!$A:$A,0)),"",INDEX(data!P:P,MATCH($N901,data!$A:$A,0)))</f>
        <v/>
      </c>
      <c r="BB901" s="38" t="str">
        <f>IF(ISNA(MATCH($N901,data!$A:$A,0)),"",INDEX(data!Q:Q,MATCH($N901,data!$A:$A,0)))</f>
        <v/>
      </c>
      <c r="BC901" s="38" t="str">
        <f>IF(ISNA(MATCH($N901,data!$A:$A,0)),"",INDEX(data!R:R,MATCH($N901,data!$A:$A,0)))</f>
        <v/>
      </c>
      <c r="BD901" s="38" t="str">
        <f>IF(ISNA(MATCH($N901,[1]data!$A:$A,0)),"",INDEX([1]data!U:U,MATCH($N901,[1]data!$A:$A,0)))</f>
        <v/>
      </c>
      <c r="BE901" s="61" t="e">
        <f>IF(COUNTIF([1]data!A:A,[1]!Table1[[#This Row],[UPC]])&lt;2,"","DUP")</f>
        <v>#VALUE!</v>
      </c>
      <c r="BF901" s="38" t="str">
        <f>IF(ISNA(MATCH($N901,data!$A:$A,0)),"",INDEX(data!W:W,MATCH($N901,data!$A:$A,0)))</f>
        <v/>
      </c>
    </row>
    <row r="902" spans="1:58">
      <c r="A902" s="35"/>
      <c r="B902" s="35"/>
      <c r="C902" s="35"/>
      <c r="D902" s="35"/>
      <c r="E902" s="67"/>
      <c r="F902" s="67"/>
      <c r="G902" s="36"/>
      <c r="H902" s="29"/>
      <c r="I902" s="78" t="str">
        <f t="shared" si="22"/>
        <v/>
      </c>
      <c r="J902" s="29"/>
      <c r="K902" s="29"/>
      <c r="L902" s="33"/>
      <c r="M902" s="33"/>
      <c r="N902" s="60"/>
      <c r="O902" s="71"/>
      <c r="P902" s="71"/>
      <c r="Q902" s="33"/>
      <c r="R902" s="31"/>
      <c r="S902" s="31"/>
      <c r="T902" s="59"/>
      <c r="U902" s="59"/>
      <c r="V902" s="59"/>
      <c r="W902" s="57">
        <f t="shared" si="23"/>
        <v>0</v>
      </c>
      <c r="X902" s="126" t="str">
        <f>IF(Table1[[#This Row],[Shipping Weight Pounds]]&gt;150,"See LTL Form","No")</f>
        <v>No</v>
      </c>
      <c r="Y902" s="28"/>
      <c r="Z902" s="33"/>
      <c r="AA902" s="34"/>
      <c r="AB902" s="30"/>
      <c r="AC902" s="30"/>
      <c r="AD902" s="32"/>
      <c r="AE902" s="32"/>
      <c r="AF902" s="2"/>
      <c r="AG902" s="2"/>
      <c r="AH902" s="2"/>
      <c r="AI902" s="2"/>
      <c r="AK902" s="73" t="str">
        <f>IF(ISNA(MATCH($N902,[1]data!$A:$A,0)),"",INDEX([1]data!S:S,MATCH($N902,[1]data!$A:$A,0)))</f>
        <v/>
      </c>
      <c r="AL902" s="73" t="str">
        <f>IF(ISNA(MATCH($N902,[1]data!$A:$A,0)),"",INDEX([1]data!V:V,MATCH($N902,[1]data!$A:$A,0)))</f>
        <v/>
      </c>
      <c r="AM902" s="38" t="str">
        <f>IF(ISNA(MATCH($N902,data!$A:$A,0)),"",INDEX(data!B:B,MATCH($N902,data!$A:$A,0)))</f>
        <v/>
      </c>
      <c r="AN902" s="38" t="str">
        <f>IF(ISNA(MATCH($N902,data!$A:$A,0)),"",INDEX(data!C:C,MATCH($N902,data!$A:$A,0)))</f>
        <v/>
      </c>
      <c r="AO902" s="38" t="str">
        <f>IF(ISNA(MATCH($N902,data!$A:$A,0)),"",INDEX(data!D:D,MATCH($N902,data!$A:$A,0)))</f>
        <v/>
      </c>
      <c r="AP902" s="38" t="str">
        <f>IF(ISNA(MATCH($N902,data!$A:$A,0)),"",INDEX(data!E:E,MATCH($N902,data!$A:$A,0)))</f>
        <v/>
      </c>
      <c r="AQ902" s="38" t="str">
        <f>IF(ISNA(MATCH($N902,data!$A:$A,0)),"",INDEX(data!F:F,MATCH($N902,data!$A:$A,0)))</f>
        <v/>
      </c>
      <c r="AR902" s="38" t="str">
        <f>IF(ISNA(MATCH($N902,data!$A:$A,0)),"",INDEX(data!G:G,MATCH($N902,data!$A:$A,0)))</f>
        <v/>
      </c>
      <c r="AS902" s="38" t="str">
        <f>IF(ISNA(MATCH($N902,data!$A:$A,0)),"",INDEX(data!H:H,MATCH($N902,data!$A:$A,0)))</f>
        <v/>
      </c>
      <c r="AT902" s="38" t="str">
        <f>IF(ISNA(MATCH($N902,data!$A:$A,0)),"",INDEX(data!I:I,MATCH($N902,data!$A:$A,0)))</f>
        <v/>
      </c>
      <c r="AU902" s="38" t="str">
        <f>IF(ISNA(MATCH($N902,[1]data!$A:$A,0)),"",INDEX([1]data!L:L,MATCH($N902,[1]data!$A:$A,0)))</f>
        <v/>
      </c>
      <c r="AV902" s="38" t="str">
        <f>IF(ISNA(MATCH($N902,[1]data!$A:$A,0)),"",INDEX([1]data!M:M,MATCH($N902,[1]data!$A:$A,0)))</f>
        <v/>
      </c>
      <c r="AW902" s="38" t="str">
        <f>IF(ISNA(MATCH($N902,data!$A:$A,0)),"",INDEX(data!J:J,MATCH($N902,data!$A:$A,0)))</f>
        <v/>
      </c>
      <c r="AX902" s="38" t="str">
        <f>IF(ISNA(MATCH($N902,data!$A:$A,0)),"",INDEX(data!K:K,MATCH($N902,data!$A:$A,0)))</f>
        <v/>
      </c>
      <c r="AY902" s="38" t="str">
        <f>IF(ISNA(MATCH($N902,data!$A:$A,0)),"",INDEX(data!O:O,MATCH($N902,data!$A:$A,0)))</f>
        <v/>
      </c>
      <c r="AZ902" s="38" t="str">
        <f>IF(ISNA(MATCH($N902,data!$A:$A,0)),"",INDEX(data!N:N,MATCH($N902,data!$A:$A,0)))</f>
        <v/>
      </c>
      <c r="BA902" s="38" t="str">
        <f>IF(ISNA(MATCH($N902,data!$A:$A,0)),"",INDEX(data!P:P,MATCH($N902,data!$A:$A,0)))</f>
        <v/>
      </c>
      <c r="BB902" s="38" t="str">
        <f>IF(ISNA(MATCH($N902,data!$A:$A,0)),"",INDEX(data!Q:Q,MATCH($N902,data!$A:$A,0)))</f>
        <v/>
      </c>
      <c r="BC902" s="38" t="str">
        <f>IF(ISNA(MATCH($N902,data!$A:$A,0)),"",INDEX(data!R:R,MATCH($N902,data!$A:$A,0)))</f>
        <v/>
      </c>
      <c r="BD902" s="38" t="str">
        <f>IF(ISNA(MATCH($N902,[1]data!$A:$A,0)),"",INDEX([1]data!U:U,MATCH($N902,[1]data!$A:$A,0)))</f>
        <v/>
      </c>
      <c r="BE902" s="61" t="e">
        <f>IF(COUNTIF([1]data!A:A,[1]!Table1[[#This Row],[UPC]])&lt;2,"","DUP")</f>
        <v>#VALUE!</v>
      </c>
      <c r="BF902" s="38" t="str">
        <f>IF(ISNA(MATCH($N902,data!$A:$A,0)),"",INDEX(data!W:W,MATCH($N902,data!$A:$A,0)))</f>
        <v/>
      </c>
    </row>
    <row r="903" spans="1:58">
      <c r="A903" s="35"/>
      <c r="B903" s="35"/>
      <c r="C903" s="35"/>
      <c r="D903" s="35"/>
      <c r="E903" s="67"/>
      <c r="F903" s="67"/>
      <c r="G903" s="36"/>
      <c r="H903" s="29"/>
      <c r="I903" s="78" t="str">
        <f t="shared" si="22"/>
        <v/>
      </c>
      <c r="J903" s="29"/>
      <c r="K903" s="29"/>
      <c r="L903" s="33"/>
      <c r="M903" s="33"/>
      <c r="N903" s="60"/>
      <c r="O903" s="71"/>
      <c r="P903" s="71"/>
      <c r="Q903" s="33"/>
      <c r="R903" s="31"/>
      <c r="S903" s="31"/>
      <c r="T903" s="59"/>
      <c r="U903" s="59"/>
      <c r="V903" s="59"/>
      <c r="W903" s="57">
        <f t="shared" si="23"/>
        <v>0</v>
      </c>
      <c r="X903" s="126" t="str">
        <f>IF(Table1[[#This Row],[Shipping Weight Pounds]]&gt;150,"See LTL Form","No")</f>
        <v>No</v>
      </c>
      <c r="Y903" s="28"/>
      <c r="Z903" s="33"/>
      <c r="AA903" s="34"/>
      <c r="AB903" s="30"/>
      <c r="AC903" s="30"/>
      <c r="AD903" s="32"/>
      <c r="AE903" s="32"/>
      <c r="AF903" s="2"/>
      <c r="AG903" s="2"/>
      <c r="AH903" s="2"/>
      <c r="AI903" s="2"/>
      <c r="AK903" s="73" t="str">
        <f>IF(ISNA(MATCH($N903,[1]data!$A:$A,0)),"",INDEX([1]data!S:S,MATCH($N903,[1]data!$A:$A,0)))</f>
        <v/>
      </c>
      <c r="AL903" s="73" t="str">
        <f>IF(ISNA(MATCH($N903,[1]data!$A:$A,0)),"",INDEX([1]data!V:V,MATCH($N903,[1]data!$A:$A,0)))</f>
        <v/>
      </c>
      <c r="AM903" s="38" t="str">
        <f>IF(ISNA(MATCH($N903,data!$A:$A,0)),"",INDEX(data!B:B,MATCH($N903,data!$A:$A,0)))</f>
        <v/>
      </c>
      <c r="AN903" s="38" t="str">
        <f>IF(ISNA(MATCH($N903,data!$A:$A,0)),"",INDEX(data!C:C,MATCH($N903,data!$A:$A,0)))</f>
        <v/>
      </c>
      <c r="AO903" s="38" t="str">
        <f>IF(ISNA(MATCH($N903,data!$A:$A,0)),"",INDEX(data!D:D,MATCH($N903,data!$A:$A,0)))</f>
        <v/>
      </c>
      <c r="AP903" s="38" t="str">
        <f>IF(ISNA(MATCH($N903,data!$A:$A,0)),"",INDEX(data!E:E,MATCH($N903,data!$A:$A,0)))</f>
        <v/>
      </c>
      <c r="AQ903" s="38" t="str">
        <f>IF(ISNA(MATCH($N903,data!$A:$A,0)),"",INDEX(data!F:F,MATCH($N903,data!$A:$A,0)))</f>
        <v/>
      </c>
      <c r="AR903" s="38" t="str">
        <f>IF(ISNA(MATCH($N903,data!$A:$A,0)),"",INDEX(data!G:G,MATCH($N903,data!$A:$A,0)))</f>
        <v/>
      </c>
      <c r="AS903" s="38" t="str">
        <f>IF(ISNA(MATCH($N903,data!$A:$A,0)),"",INDEX(data!H:H,MATCH($N903,data!$A:$A,0)))</f>
        <v/>
      </c>
      <c r="AT903" s="38" t="str">
        <f>IF(ISNA(MATCH($N903,data!$A:$A,0)),"",INDEX(data!I:I,MATCH($N903,data!$A:$A,0)))</f>
        <v/>
      </c>
      <c r="AU903" s="38" t="str">
        <f>IF(ISNA(MATCH($N903,[1]data!$A:$A,0)),"",INDEX([1]data!L:L,MATCH($N903,[1]data!$A:$A,0)))</f>
        <v/>
      </c>
      <c r="AV903" s="38" t="str">
        <f>IF(ISNA(MATCH($N903,[1]data!$A:$A,0)),"",INDEX([1]data!M:M,MATCH($N903,[1]data!$A:$A,0)))</f>
        <v/>
      </c>
      <c r="AW903" s="38" t="str">
        <f>IF(ISNA(MATCH($N903,data!$A:$A,0)),"",INDEX(data!J:J,MATCH($N903,data!$A:$A,0)))</f>
        <v/>
      </c>
      <c r="AX903" s="38" t="str">
        <f>IF(ISNA(MATCH($N903,data!$A:$A,0)),"",INDEX(data!K:K,MATCH($N903,data!$A:$A,0)))</f>
        <v/>
      </c>
      <c r="AY903" s="38" t="str">
        <f>IF(ISNA(MATCH($N903,data!$A:$A,0)),"",INDEX(data!O:O,MATCH($N903,data!$A:$A,0)))</f>
        <v/>
      </c>
      <c r="AZ903" s="38" t="str">
        <f>IF(ISNA(MATCH($N903,data!$A:$A,0)),"",INDEX(data!N:N,MATCH($N903,data!$A:$A,0)))</f>
        <v/>
      </c>
      <c r="BA903" s="38" t="str">
        <f>IF(ISNA(MATCH($N903,data!$A:$A,0)),"",INDEX(data!P:P,MATCH($N903,data!$A:$A,0)))</f>
        <v/>
      </c>
      <c r="BB903" s="38" t="str">
        <f>IF(ISNA(MATCH($N903,data!$A:$A,0)),"",INDEX(data!Q:Q,MATCH($N903,data!$A:$A,0)))</f>
        <v/>
      </c>
      <c r="BC903" s="38" t="str">
        <f>IF(ISNA(MATCH($N903,data!$A:$A,0)),"",INDEX(data!R:R,MATCH($N903,data!$A:$A,0)))</f>
        <v/>
      </c>
      <c r="BD903" s="38" t="str">
        <f>IF(ISNA(MATCH($N903,[1]data!$A:$A,0)),"",INDEX([1]data!U:U,MATCH($N903,[1]data!$A:$A,0)))</f>
        <v/>
      </c>
      <c r="BE903" s="61" t="e">
        <f>IF(COUNTIF([1]data!A:A,[1]!Table1[[#This Row],[UPC]])&lt;2,"","DUP")</f>
        <v>#VALUE!</v>
      </c>
      <c r="BF903" s="38" t="str">
        <f>IF(ISNA(MATCH($N903,data!$A:$A,0)),"",INDEX(data!W:W,MATCH($N903,data!$A:$A,0)))</f>
        <v/>
      </c>
    </row>
    <row r="904" spans="1:58">
      <c r="A904" s="35"/>
      <c r="B904" s="35"/>
      <c r="C904" s="35"/>
      <c r="D904" s="35"/>
      <c r="E904" s="67"/>
      <c r="F904" s="67"/>
      <c r="G904" s="36"/>
      <c r="H904" s="29"/>
      <c r="I904" s="78" t="str">
        <f t="shared" ref="I904:I967" si="24">IF(H904&lt;&gt;0,(H904-G904)/H904,"")</f>
        <v/>
      </c>
      <c r="J904" s="29"/>
      <c r="K904" s="29"/>
      <c r="L904" s="33"/>
      <c r="M904" s="33"/>
      <c r="N904" s="60"/>
      <c r="O904" s="71"/>
      <c r="P904" s="71"/>
      <c r="Q904" s="33"/>
      <c r="R904" s="31"/>
      <c r="S904" s="31"/>
      <c r="T904" s="59"/>
      <c r="U904" s="59"/>
      <c r="V904" s="59"/>
      <c r="W904" s="57">
        <f t="shared" ref="W904:W967" si="25">IF(ISERR(Q904*R904*S904),"",(Q904*R904*S904))</f>
        <v>0</v>
      </c>
      <c r="X904" s="126" t="str">
        <f>IF(Table1[[#This Row],[Shipping Weight Pounds]]&gt;150,"See LTL Form","No")</f>
        <v>No</v>
      </c>
      <c r="Y904" s="28"/>
      <c r="Z904" s="33"/>
      <c r="AA904" s="34"/>
      <c r="AB904" s="30"/>
      <c r="AC904" s="30"/>
      <c r="AD904" s="32"/>
      <c r="AE904" s="32"/>
      <c r="AF904" s="2"/>
      <c r="AG904" s="2"/>
      <c r="AH904" s="2"/>
      <c r="AI904" s="2"/>
      <c r="AK904" s="73" t="str">
        <f>IF(ISNA(MATCH($N904,[1]data!$A:$A,0)),"",INDEX([1]data!S:S,MATCH($N904,[1]data!$A:$A,0)))</f>
        <v/>
      </c>
      <c r="AL904" s="73" t="str">
        <f>IF(ISNA(MATCH($N904,[1]data!$A:$A,0)),"",INDEX([1]data!V:V,MATCH($N904,[1]data!$A:$A,0)))</f>
        <v/>
      </c>
      <c r="AM904" s="38" t="str">
        <f>IF(ISNA(MATCH($N904,data!$A:$A,0)),"",INDEX(data!B:B,MATCH($N904,data!$A:$A,0)))</f>
        <v/>
      </c>
      <c r="AN904" s="38" t="str">
        <f>IF(ISNA(MATCH($N904,data!$A:$A,0)),"",INDEX(data!C:C,MATCH($N904,data!$A:$A,0)))</f>
        <v/>
      </c>
      <c r="AO904" s="38" t="str">
        <f>IF(ISNA(MATCH($N904,data!$A:$A,0)),"",INDEX(data!D:D,MATCH($N904,data!$A:$A,0)))</f>
        <v/>
      </c>
      <c r="AP904" s="38" t="str">
        <f>IF(ISNA(MATCH($N904,data!$A:$A,0)),"",INDEX(data!E:E,MATCH($N904,data!$A:$A,0)))</f>
        <v/>
      </c>
      <c r="AQ904" s="38" t="str">
        <f>IF(ISNA(MATCH($N904,data!$A:$A,0)),"",INDEX(data!F:F,MATCH($N904,data!$A:$A,0)))</f>
        <v/>
      </c>
      <c r="AR904" s="38" t="str">
        <f>IF(ISNA(MATCH($N904,data!$A:$A,0)),"",INDEX(data!G:G,MATCH($N904,data!$A:$A,0)))</f>
        <v/>
      </c>
      <c r="AS904" s="38" t="str">
        <f>IF(ISNA(MATCH($N904,data!$A:$A,0)),"",INDEX(data!H:H,MATCH($N904,data!$A:$A,0)))</f>
        <v/>
      </c>
      <c r="AT904" s="38" t="str">
        <f>IF(ISNA(MATCH($N904,data!$A:$A,0)),"",INDEX(data!I:I,MATCH($N904,data!$A:$A,0)))</f>
        <v/>
      </c>
      <c r="AU904" s="38" t="str">
        <f>IF(ISNA(MATCH($N904,[1]data!$A:$A,0)),"",INDEX([1]data!L:L,MATCH($N904,[1]data!$A:$A,0)))</f>
        <v/>
      </c>
      <c r="AV904" s="38" t="str">
        <f>IF(ISNA(MATCH($N904,[1]data!$A:$A,0)),"",INDEX([1]data!M:M,MATCH($N904,[1]data!$A:$A,0)))</f>
        <v/>
      </c>
      <c r="AW904" s="38" t="str">
        <f>IF(ISNA(MATCH($N904,data!$A:$A,0)),"",INDEX(data!J:J,MATCH($N904,data!$A:$A,0)))</f>
        <v/>
      </c>
      <c r="AX904" s="38" t="str">
        <f>IF(ISNA(MATCH($N904,data!$A:$A,0)),"",INDEX(data!K:K,MATCH($N904,data!$A:$A,0)))</f>
        <v/>
      </c>
      <c r="AY904" s="38" t="str">
        <f>IF(ISNA(MATCH($N904,data!$A:$A,0)),"",INDEX(data!O:O,MATCH($N904,data!$A:$A,0)))</f>
        <v/>
      </c>
      <c r="AZ904" s="38" t="str">
        <f>IF(ISNA(MATCH($N904,data!$A:$A,0)),"",INDEX(data!N:N,MATCH($N904,data!$A:$A,0)))</f>
        <v/>
      </c>
      <c r="BA904" s="38" t="str">
        <f>IF(ISNA(MATCH($N904,data!$A:$A,0)),"",INDEX(data!P:P,MATCH($N904,data!$A:$A,0)))</f>
        <v/>
      </c>
      <c r="BB904" s="38" t="str">
        <f>IF(ISNA(MATCH($N904,data!$A:$A,0)),"",INDEX(data!Q:Q,MATCH($N904,data!$A:$A,0)))</f>
        <v/>
      </c>
      <c r="BC904" s="38" t="str">
        <f>IF(ISNA(MATCH($N904,data!$A:$A,0)),"",INDEX(data!R:R,MATCH($N904,data!$A:$A,0)))</f>
        <v/>
      </c>
      <c r="BD904" s="38" t="str">
        <f>IF(ISNA(MATCH($N904,[1]data!$A:$A,0)),"",INDEX([1]data!U:U,MATCH($N904,[1]data!$A:$A,0)))</f>
        <v/>
      </c>
      <c r="BE904" s="61" t="e">
        <f>IF(COUNTIF([1]data!A:A,[1]!Table1[[#This Row],[UPC]])&lt;2,"","DUP")</f>
        <v>#VALUE!</v>
      </c>
      <c r="BF904" s="38" t="str">
        <f>IF(ISNA(MATCH($N904,data!$A:$A,0)),"",INDEX(data!W:W,MATCH($N904,data!$A:$A,0)))</f>
        <v/>
      </c>
    </row>
    <row r="905" spans="1:58">
      <c r="A905" s="35"/>
      <c r="B905" s="35"/>
      <c r="C905" s="35"/>
      <c r="D905" s="35"/>
      <c r="E905" s="67"/>
      <c r="F905" s="67"/>
      <c r="G905" s="36"/>
      <c r="H905" s="29"/>
      <c r="I905" s="78" t="str">
        <f t="shared" si="24"/>
        <v/>
      </c>
      <c r="J905" s="29"/>
      <c r="K905" s="29"/>
      <c r="L905" s="33"/>
      <c r="M905" s="33"/>
      <c r="N905" s="60"/>
      <c r="O905" s="71"/>
      <c r="P905" s="71"/>
      <c r="Q905" s="33"/>
      <c r="R905" s="31"/>
      <c r="S905" s="31"/>
      <c r="T905" s="59"/>
      <c r="U905" s="59"/>
      <c r="V905" s="59"/>
      <c r="W905" s="57">
        <f t="shared" si="25"/>
        <v>0</v>
      </c>
      <c r="X905" s="126" t="str">
        <f>IF(Table1[[#This Row],[Shipping Weight Pounds]]&gt;150,"See LTL Form","No")</f>
        <v>No</v>
      </c>
      <c r="Y905" s="28"/>
      <c r="Z905" s="33"/>
      <c r="AA905" s="34"/>
      <c r="AB905" s="30"/>
      <c r="AC905" s="30"/>
      <c r="AD905" s="32"/>
      <c r="AE905" s="32"/>
      <c r="AF905" s="2"/>
      <c r="AG905" s="2"/>
      <c r="AH905" s="2"/>
      <c r="AI905" s="2"/>
      <c r="AK905" s="73" t="str">
        <f>IF(ISNA(MATCH($N905,[1]data!$A:$A,0)),"",INDEX([1]data!S:S,MATCH($N905,[1]data!$A:$A,0)))</f>
        <v/>
      </c>
      <c r="AL905" s="73" t="str">
        <f>IF(ISNA(MATCH($N905,[1]data!$A:$A,0)),"",INDEX([1]data!V:V,MATCH($N905,[1]data!$A:$A,0)))</f>
        <v/>
      </c>
      <c r="AM905" s="38" t="str">
        <f>IF(ISNA(MATCH($N905,data!$A:$A,0)),"",INDEX(data!B:B,MATCH($N905,data!$A:$A,0)))</f>
        <v/>
      </c>
      <c r="AN905" s="38" t="str">
        <f>IF(ISNA(MATCH($N905,data!$A:$A,0)),"",INDEX(data!C:C,MATCH($N905,data!$A:$A,0)))</f>
        <v/>
      </c>
      <c r="AO905" s="38" t="str">
        <f>IF(ISNA(MATCH($N905,data!$A:$A,0)),"",INDEX(data!D:D,MATCH($N905,data!$A:$A,0)))</f>
        <v/>
      </c>
      <c r="AP905" s="38" t="str">
        <f>IF(ISNA(MATCH($N905,data!$A:$A,0)),"",INDEX(data!E:E,MATCH($N905,data!$A:$A,0)))</f>
        <v/>
      </c>
      <c r="AQ905" s="38" t="str">
        <f>IF(ISNA(MATCH($N905,data!$A:$A,0)),"",INDEX(data!F:F,MATCH($N905,data!$A:$A,0)))</f>
        <v/>
      </c>
      <c r="AR905" s="38" t="str">
        <f>IF(ISNA(MATCH($N905,data!$A:$A,0)),"",INDEX(data!G:G,MATCH($N905,data!$A:$A,0)))</f>
        <v/>
      </c>
      <c r="AS905" s="38" t="str">
        <f>IF(ISNA(MATCH($N905,data!$A:$A,0)),"",INDEX(data!H:H,MATCH($N905,data!$A:$A,0)))</f>
        <v/>
      </c>
      <c r="AT905" s="38" t="str">
        <f>IF(ISNA(MATCH($N905,data!$A:$A,0)),"",INDEX(data!I:I,MATCH($N905,data!$A:$A,0)))</f>
        <v/>
      </c>
      <c r="AU905" s="38" t="str">
        <f>IF(ISNA(MATCH($N905,[1]data!$A:$A,0)),"",INDEX([1]data!L:L,MATCH($N905,[1]data!$A:$A,0)))</f>
        <v/>
      </c>
      <c r="AV905" s="38" t="str">
        <f>IF(ISNA(MATCH($N905,[1]data!$A:$A,0)),"",INDEX([1]data!M:M,MATCH($N905,[1]data!$A:$A,0)))</f>
        <v/>
      </c>
      <c r="AW905" s="38" t="str">
        <f>IF(ISNA(MATCH($N905,data!$A:$A,0)),"",INDEX(data!J:J,MATCH($N905,data!$A:$A,0)))</f>
        <v/>
      </c>
      <c r="AX905" s="38" t="str">
        <f>IF(ISNA(MATCH($N905,data!$A:$A,0)),"",INDEX(data!K:K,MATCH($N905,data!$A:$A,0)))</f>
        <v/>
      </c>
      <c r="AY905" s="38" t="str">
        <f>IF(ISNA(MATCH($N905,data!$A:$A,0)),"",INDEX(data!O:O,MATCH($N905,data!$A:$A,0)))</f>
        <v/>
      </c>
      <c r="AZ905" s="38" t="str">
        <f>IF(ISNA(MATCH($N905,data!$A:$A,0)),"",INDEX(data!N:N,MATCH($N905,data!$A:$A,0)))</f>
        <v/>
      </c>
      <c r="BA905" s="38" t="str">
        <f>IF(ISNA(MATCH($N905,data!$A:$A,0)),"",INDEX(data!P:P,MATCH($N905,data!$A:$A,0)))</f>
        <v/>
      </c>
      <c r="BB905" s="38" t="str">
        <f>IF(ISNA(MATCH($N905,data!$A:$A,0)),"",INDEX(data!Q:Q,MATCH($N905,data!$A:$A,0)))</f>
        <v/>
      </c>
      <c r="BC905" s="38" t="str">
        <f>IF(ISNA(MATCH($N905,data!$A:$A,0)),"",INDEX(data!R:R,MATCH($N905,data!$A:$A,0)))</f>
        <v/>
      </c>
      <c r="BD905" s="38" t="str">
        <f>IF(ISNA(MATCH($N905,[1]data!$A:$A,0)),"",INDEX([1]data!U:U,MATCH($N905,[1]data!$A:$A,0)))</f>
        <v/>
      </c>
      <c r="BE905" s="61" t="e">
        <f>IF(COUNTIF([1]data!A:A,[1]!Table1[[#This Row],[UPC]])&lt;2,"","DUP")</f>
        <v>#VALUE!</v>
      </c>
      <c r="BF905" s="38" t="str">
        <f>IF(ISNA(MATCH($N905,data!$A:$A,0)),"",INDEX(data!W:W,MATCH($N905,data!$A:$A,0)))</f>
        <v/>
      </c>
    </row>
    <row r="906" spans="1:58">
      <c r="A906" s="35"/>
      <c r="B906" s="35"/>
      <c r="C906" s="35"/>
      <c r="D906" s="35"/>
      <c r="E906" s="67"/>
      <c r="F906" s="67"/>
      <c r="G906" s="36"/>
      <c r="H906" s="29"/>
      <c r="I906" s="78" t="str">
        <f t="shared" si="24"/>
        <v/>
      </c>
      <c r="J906" s="29"/>
      <c r="K906" s="29"/>
      <c r="L906" s="33"/>
      <c r="M906" s="33"/>
      <c r="N906" s="60"/>
      <c r="O906" s="71"/>
      <c r="P906" s="71"/>
      <c r="Q906" s="33"/>
      <c r="R906" s="31"/>
      <c r="S906" s="31"/>
      <c r="T906" s="59"/>
      <c r="U906" s="59"/>
      <c r="V906" s="59"/>
      <c r="W906" s="57">
        <f t="shared" si="25"/>
        <v>0</v>
      </c>
      <c r="X906" s="126" t="str">
        <f>IF(Table1[[#This Row],[Shipping Weight Pounds]]&gt;150,"See LTL Form","No")</f>
        <v>No</v>
      </c>
      <c r="Y906" s="28"/>
      <c r="Z906" s="33"/>
      <c r="AA906" s="34"/>
      <c r="AB906" s="30"/>
      <c r="AC906" s="30"/>
      <c r="AD906" s="32"/>
      <c r="AE906" s="32"/>
      <c r="AF906" s="2"/>
      <c r="AG906" s="2"/>
      <c r="AH906" s="2"/>
      <c r="AI906" s="2"/>
      <c r="AK906" s="73" t="str">
        <f>IF(ISNA(MATCH($N906,[1]data!$A:$A,0)),"",INDEX([1]data!S:S,MATCH($N906,[1]data!$A:$A,0)))</f>
        <v/>
      </c>
      <c r="AL906" s="73" t="str">
        <f>IF(ISNA(MATCH($N906,[1]data!$A:$A,0)),"",INDEX([1]data!V:V,MATCH($N906,[1]data!$A:$A,0)))</f>
        <v/>
      </c>
      <c r="AM906" s="38" t="str">
        <f>IF(ISNA(MATCH($N906,data!$A:$A,0)),"",INDEX(data!B:B,MATCH($N906,data!$A:$A,0)))</f>
        <v/>
      </c>
      <c r="AN906" s="38" t="str">
        <f>IF(ISNA(MATCH($N906,data!$A:$A,0)),"",INDEX(data!C:C,MATCH($N906,data!$A:$A,0)))</f>
        <v/>
      </c>
      <c r="AO906" s="38" t="str">
        <f>IF(ISNA(MATCH($N906,data!$A:$A,0)),"",INDEX(data!D:D,MATCH($N906,data!$A:$A,0)))</f>
        <v/>
      </c>
      <c r="AP906" s="38" t="str">
        <f>IF(ISNA(MATCH($N906,data!$A:$A,0)),"",INDEX(data!E:E,MATCH($N906,data!$A:$A,0)))</f>
        <v/>
      </c>
      <c r="AQ906" s="38" t="str">
        <f>IF(ISNA(MATCH($N906,data!$A:$A,0)),"",INDEX(data!F:F,MATCH($N906,data!$A:$A,0)))</f>
        <v/>
      </c>
      <c r="AR906" s="38" t="str">
        <f>IF(ISNA(MATCH($N906,data!$A:$A,0)),"",INDEX(data!G:G,MATCH($N906,data!$A:$A,0)))</f>
        <v/>
      </c>
      <c r="AS906" s="38" t="str">
        <f>IF(ISNA(MATCH($N906,data!$A:$A,0)),"",INDEX(data!H:H,MATCH($N906,data!$A:$A,0)))</f>
        <v/>
      </c>
      <c r="AT906" s="38" t="str">
        <f>IF(ISNA(MATCH($N906,data!$A:$A,0)),"",INDEX(data!I:I,MATCH($N906,data!$A:$A,0)))</f>
        <v/>
      </c>
      <c r="AU906" s="38" t="str">
        <f>IF(ISNA(MATCH($N906,[1]data!$A:$A,0)),"",INDEX([1]data!L:L,MATCH($N906,[1]data!$A:$A,0)))</f>
        <v/>
      </c>
      <c r="AV906" s="38" t="str">
        <f>IF(ISNA(MATCH($N906,[1]data!$A:$A,0)),"",INDEX([1]data!M:M,MATCH($N906,[1]data!$A:$A,0)))</f>
        <v/>
      </c>
      <c r="AW906" s="38" t="str">
        <f>IF(ISNA(MATCH($N906,data!$A:$A,0)),"",INDEX(data!J:J,MATCH($N906,data!$A:$A,0)))</f>
        <v/>
      </c>
      <c r="AX906" s="38" t="str">
        <f>IF(ISNA(MATCH($N906,data!$A:$A,0)),"",INDEX(data!K:K,MATCH($N906,data!$A:$A,0)))</f>
        <v/>
      </c>
      <c r="AY906" s="38" t="str">
        <f>IF(ISNA(MATCH($N906,data!$A:$A,0)),"",INDEX(data!O:O,MATCH($N906,data!$A:$A,0)))</f>
        <v/>
      </c>
      <c r="AZ906" s="38" t="str">
        <f>IF(ISNA(MATCH($N906,data!$A:$A,0)),"",INDEX(data!N:N,MATCH($N906,data!$A:$A,0)))</f>
        <v/>
      </c>
      <c r="BA906" s="38" t="str">
        <f>IF(ISNA(MATCH($N906,data!$A:$A,0)),"",INDEX(data!P:P,MATCH($N906,data!$A:$A,0)))</f>
        <v/>
      </c>
      <c r="BB906" s="38" t="str">
        <f>IF(ISNA(MATCH($N906,data!$A:$A,0)),"",INDEX(data!Q:Q,MATCH($N906,data!$A:$A,0)))</f>
        <v/>
      </c>
      <c r="BC906" s="38" t="str">
        <f>IF(ISNA(MATCH($N906,data!$A:$A,0)),"",INDEX(data!R:R,MATCH($N906,data!$A:$A,0)))</f>
        <v/>
      </c>
      <c r="BD906" s="38" t="str">
        <f>IF(ISNA(MATCH($N906,[1]data!$A:$A,0)),"",INDEX([1]data!U:U,MATCH($N906,[1]data!$A:$A,0)))</f>
        <v/>
      </c>
      <c r="BE906" s="61" t="e">
        <f>IF(COUNTIF([1]data!A:A,[1]!Table1[[#This Row],[UPC]])&lt;2,"","DUP")</f>
        <v>#VALUE!</v>
      </c>
      <c r="BF906" s="38" t="str">
        <f>IF(ISNA(MATCH($N906,data!$A:$A,0)),"",INDEX(data!W:W,MATCH($N906,data!$A:$A,0)))</f>
        <v/>
      </c>
    </row>
    <row r="907" spans="1:58">
      <c r="A907" s="35"/>
      <c r="B907" s="35"/>
      <c r="C907" s="35"/>
      <c r="D907" s="35"/>
      <c r="E907" s="67"/>
      <c r="F907" s="67"/>
      <c r="G907" s="36"/>
      <c r="H907" s="29"/>
      <c r="I907" s="78" t="str">
        <f t="shared" si="24"/>
        <v/>
      </c>
      <c r="J907" s="29"/>
      <c r="K907" s="29"/>
      <c r="L907" s="33"/>
      <c r="M907" s="33"/>
      <c r="N907" s="60"/>
      <c r="O907" s="71"/>
      <c r="P907" s="71"/>
      <c r="Q907" s="33"/>
      <c r="R907" s="31"/>
      <c r="S907" s="31"/>
      <c r="T907" s="59"/>
      <c r="U907" s="59"/>
      <c r="V907" s="59"/>
      <c r="W907" s="57">
        <f t="shared" si="25"/>
        <v>0</v>
      </c>
      <c r="X907" s="126" t="str">
        <f>IF(Table1[[#This Row],[Shipping Weight Pounds]]&gt;150,"See LTL Form","No")</f>
        <v>No</v>
      </c>
      <c r="Y907" s="28"/>
      <c r="Z907" s="33"/>
      <c r="AA907" s="34"/>
      <c r="AB907" s="30"/>
      <c r="AC907" s="30"/>
      <c r="AD907" s="32"/>
      <c r="AE907" s="32"/>
      <c r="AF907" s="2"/>
      <c r="AG907" s="2"/>
      <c r="AH907" s="2"/>
      <c r="AI907" s="2"/>
      <c r="AK907" s="73" t="str">
        <f>IF(ISNA(MATCH($N907,[1]data!$A:$A,0)),"",INDEX([1]data!S:S,MATCH($N907,[1]data!$A:$A,0)))</f>
        <v/>
      </c>
      <c r="AL907" s="73" t="str">
        <f>IF(ISNA(MATCH($N907,[1]data!$A:$A,0)),"",INDEX([1]data!V:V,MATCH($N907,[1]data!$A:$A,0)))</f>
        <v/>
      </c>
      <c r="AM907" s="38" t="str">
        <f>IF(ISNA(MATCH($N907,data!$A:$A,0)),"",INDEX(data!B:B,MATCH($N907,data!$A:$A,0)))</f>
        <v/>
      </c>
      <c r="AN907" s="38" t="str">
        <f>IF(ISNA(MATCH($N907,data!$A:$A,0)),"",INDEX(data!C:C,MATCH($N907,data!$A:$A,0)))</f>
        <v/>
      </c>
      <c r="AO907" s="38" t="str">
        <f>IF(ISNA(MATCH($N907,data!$A:$A,0)),"",INDEX(data!D:D,MATCH($N907,data!$A:$A,0)))</f>
        <v/>
      </c>
      <c r="AP907" s="38" t="str">
        <f>IF(ISNA(MATCH($N907,data!$A:$A,0)),"",INDEX(data!E:E,MATCH($N907,data!$A:$A,0)))</f>
        <v/>
      </c>
      <c r="AQ907" s="38" t="str">
        <f>IF(ISNA(MATCH($N907,data!$A:$A,0)),"",INDEX(data!F:F,MATCH($N907,data!$A:$A,0)))</f>
        <v/>
      </c>
      <c r="AR907" s="38" t="str">
        <f>IF(ISNA(MATCH($N907,data!$A:$A,0)),"",INDEX(data!G:G,MATCH($N907,data!$A:$A,0)))</f>
        <v/>
      </c>
      <c r="AS907" s="38" t="str">
        <f>IF(ISNA(MATCH($N907,data!$A:$A,0)),"",INDEX(data!H:H,MATCH($N907,data!$A:$A,0)))</f>
        <v/>
      </c>
      <c r="AT907" s="38" t="str">
        <f>IF(ISNA(MATCH($N907,data!$A:$A,0)),"",INDEX(data!I:I,MATCH($N907,data!$A:$A,0)))</f>
        <v/>
      </c>
      <c r="AU907" s="38" t="str">
        <f>IF(ISNA(MATCH($N907,[1]data!$A:$A,0)),"",INDEX([1]data!L:L,MATCH($N907,[1]data!$A:$A,0)))</f>
        <v/>
      </c>
      <c r="AV907" s="38" t="str">
        <f>IF(ISNA(MATCH($N907,[1]data!$A:$A,0)),"",INDEX([1]data!M:M,MATCH($N907,[1]data!$A:$A,0)))</f>
        <v/>
      </c>
      <c r="AW907" s="38" t="str">
        <f>IF(ISNA(MATCH($N907,data!$A:$A,0)),"",INDEX(data!J:J,MATCH($N907,data!$A:$A,0)))</f>
        <v/>
      </c>
      <c r="AX907" s="38" t="str">
        <f>IF(ISNA(MATCH($N907,data!$A:$A,0)),"",INDEX(data!K:K,MATCH($N907,data!$A:$A,0)))</f>
        <v/>
      </c>
      <c r="AY907" s="38" t="str">
        <f>IF(ISNA(MATCH($N907,data!$A:$A,0)),"",INDEX(data!O:O,MATCH($N907,data!$A:$A,0)))</f>
        <v/>
      </c>
      <c r="AZ907" s="38" t="str">
        <f>IF(ISNA(MATCH($N907,data!$A:$A,0)),"",INDEX(data!N:N,MATCH($N907,data!$A:$A,0)))</f>
        <v/>
      </c>
      <c r="BA907" s="38" t="str">
        <f>IF(ISNA(MATCH($N907,data!$A:$A,0)),"",INDEX(data!P:P,MATCH($N907,data!$A:$A,0)))</f>
        <v/>
      </c>
      <c r="BB907" s="38" t="str">
        <f>IF(ISNA(MATCH($N907,data!$A:$A,0)),"",INDEX(data!Q:Q,MATCH($N907,data!$A:$A,0)))</f>
        <v/>
      </c>
      <c r="BC907" s="38" t="str">
        <f>IF(ISNA(MATCH($N907,data!$A:$A,0)),"",INDEX(data!R:R,MATCH($N907,data!$A:$A,0)))</f>
        <v/>
      </c>
      <c r="BD907" s="38" t="str">
        <f>IF(ISNA(MATCH($N907,[1]data!$A:$A,0)),"",INDEX([1]data!U:U,MATCH($N907,[1]data!$A:$A,0)))</f>
        <v/>
      </c>
      <c r="BE907" s="61" t="e">
        <f>IF(COUNTIF([1]data!A:A,[1]!Table1[[#This Row],[UPC]])&lt;2,"","DUP")</f>
        <v>#VALUE!</v>
      </c>
      <c r="BF907" s="38" t="str">
        <f>IF(ISNA(MATCH($N907,data!$A:$A,0)),"",INDEX(data!W:W,MATCH($N907,data!$A:$A,0)))</f>
        <v/>
      </c>
    </row>
    <row r="908" spans="1:58">
      <c r="A908" s="35"/>
      <c r="B908" s="35"/>
      <c r="C908" s="35"/>
      <c r="D908" s="35"/>
      <c r="E908" s="67"/>
      <c r="F908" s="67"/>
      <c r="G908" s="36"/>
      <c r="H908" s="29"/>
      <c r="I908" s="78" t="str">
        <f t="shared" si="24"/>
        <v/>
      </c>
      <c r="J908" s="29"/>
      <c r="K908" s="29"/>
      <c r="L908" s="33"/>
      <c r="M908" s="33"/>
      <c r="N908" s="60"/>
      <c r="O908" s="71"/>
      <c r="P908" s="71"/>
      <c r="Q908" s="33"/>
      <c r="R908" s="31"/>
      <c r="S908" s="31"/>
      <c r="T908" s="59"/>
      <c r="U908" s="59"/>
      <c r="V908" s="59"/>
      <c r="W908" s="57">
        <f t="shared" si="25"/>
        <v>0</v>
      </c>
      <c r="X908" s="126" t="str">
        <f>IF(Table1[[#This Row],[Shipping Weight Pounds]]&gt;150,"See LTL Form","No")</f>
        <v>No</v>
      </c>
      <c r="Y908" s="28"/>
      <c r="Z908" s="33"/>
      <c r="AA908" s="34"/>
      <c r="AB908" s="30"/>
      <c r="AC908" s="30"/>
      <c r="AD908" s="32"/>
      <c r="AE908" s="32"/>
      <c r="AF908" s="2"/>
      <c r="AG908" s="2"/>
      <c r="AH908" s="2"/>
      <c r="AI908" s="2"/>
      <c r="AK908" s="73" t="str">
        <f>IF(ISNA(MATCH($N908,[1]data!$A:$A,0)),"",INDEX([1]data!S:S,MATCH($N908,[1]data!$A:$A,0)))</f>
        <v/>
      </c>
      <c r="AL908" s="73" t="str">
        <f>IF(ISNA(MATCH($N908,[1]data!$A:$A,0)),"",INDEX([1]data!V:V,MATCH($N908,[1]data!$A:$A,0)))</f>
        <v/>
      </c>
      <c r="AM908" s="38" t="str">
        <f>IF(ISNA(MATCH($N908,data!$A:$A,0)),"",INDEX(data!B:B,MATCH($N908,data!$A:$A,0)))</f>
        <v/>
      </c>
      <c r="AN908" s="38" t="str">
        <f>IF(ISNA(MATCH($N908,data!$A:$A,0)),"",INDEX(data!C:C,MATCH($N908,data!$A:$A,0)))</f>
        <v/>
      </c>
      <c r="AO908" s="38" t="str">
        <f>IF(ISNA(MATCH($N908,data!$A:$A,0)),"",INDEX(data!D:D,MATCH($N908,data!$A:$A,0)))</f>
        <v/>
      </c>
      <c r="AP908" s="38" t="str">
        <f>IF(ISNA(MATCH($N908,data!$A:$A,0)),"",INDEX(data!E:E,MATCH($N908,data!$A:$A,0)))</f>
        <v/>
      </c>
      <c r="AQ908" s="38" t="str">
        <f>IF(ISNA(MATCH($N908,data!$A:$A,0)),"",INDEX(data!F:F,MATCH($N908,data!$A:$A,0)))</f>
        <v/>
      </c>
      <c r="AR908" s="38" t="str">
        <f>IF(ISNA(MATCH($N908,data!$A:$A,0)),"",INDEX(data!G:G,MATCH($N908,data!$A:$A,0)))</f>
        <v/>
      </c>
      <c r="AS908" s="38" t="str">
        <f>IF(ISNA(MATCH($N908,data!$A:$A,0)),"",INDEX(data!H:H,MATCH($N908,data!$A:$A,0)))</f>
        <v/>
      </c>
      <c r="AT908" s="38" t="str">
        <f>IF(ISNA(MATCH($N908,data!$A:$A,0)),"",INDEX(data!I:I,MATCH($N908,data!$A:$A,0)))</f>
        <v/>
      </c>
      <c r="AU908" s="38" t="str">
        <f>IF(ISNA(MATCH($N908,[1]data!$A:$A,0)),"",INDEX([1]data!L:L,MATCH($N908,[1]data!$A:$A,0)))</f>
        <v/>
      </c>
      <c r="AV908" s="38" t="str">
        <f>IF(ISNA(MATCH($N908,[1]data!$A:$A,0)),"",INDEX([1]data!M:M,MATCH($N908,[1]data!$A:$A,0)))</f>
        <v/>
      </c>
      <c r="AW908" s="38" t="str">
        <f>IF(ISNA(MATCH($N908,data!$A:$A,0)),"",INDEX(data!J:J,MATCH($N908,data!$A:$A,0)))</f>
        <v/>
      </c>
      <c r="AX908" s="38" t="str">
        <f>IF(ISNA(MATCH($N908,data!$A:$A,0)),"",INDEX(data!K:K,MATCH($N908,data!$A:$A,0)))</f>
        <v/>
      </c>
      <c r="AY908" s="38" t="str">
        <f>IF(ISNA(MATCH($N908,data!$A:$A,0)),"",INDEX(data!O:O,MATCH($N908,data!$A:$A,0)))</f>
        <v/>
      </c>
      <c r="AZ908" s="38" t="str">
        <f>IF(ISNA(MATCH($N908,data!$A:$A,0)),"",INDEX(data!N:N,MATCH($N908,data!$A:$A,0)))</f>
        <v/>
      </c>
      <c r="BA908" s="38" t="str">
        <f>IF(ISNA(MATCH($N908,data!$A:$A,0)),"",INDEX(data!P:P,MATCH($N908,data!$A:$A,0)))</f>
        <v/>
      </c>
      <c r="BB908" s="38" t="str">
        <f>IF(ISNA(MATCH($N908,data!$A:$A,0)),"",INDEX(data!Q:Q,MATCH($N908,data!$A:$A,0)))</f>
        <v/>
      </c>
      <c r="BC908" s="38" t="str">
        <f>IF(ISNA(MATCH($N908,data!$A:$A,0)),"",INDEX(data!R:R,MATCH($N908,data!$A:$A,0)))</f>
        <v/>
      </c>
      <c r="BD908" s="38" t="str">
        <f>IF(ISNA(MATCH($N908,[1]data!$A:$A,0)),"",INDEX([1]data!U:U,MATCH($N908,[1]data!$A:$A,0)))</f>
        <v/>
      </c>
      <c r="BE908" s="61" t="e">
        <f>IF(COUNTIF([1]data!A:A,[1]!Table1[[#This Row],[UPC]])&lt;2,"","DUP")</f>
        <v>#VALUE!</v>
      </c>
      <c r="BF908" s="38" t="str">
        <f>IF(ISNA(MATCH($N908,data!$A:$A,0)),"",INDEX(data!W:W,MATCH($N908,data!$A:$A,0)))</f>
        <v/>
      </c>
    </row>
    <row r="909" spans="1:58">
      <c r="A909" s="35"/>
      <c r="B909" s="35"/>
      <c r="C909" s="35"/>
      <c r="D909" s="35"/>
      <c r="E909" s="67"/>
      <c r="F909" s="67"/>
      <c r="G909" s="36"/>
      <c r="H909" s="29"/>
      <c r="I909" s="78" t="str">
        <f t="shared" si="24"/>
        <v/>
      </c>
      <c r="J909" s="29"/>
      <c r="K909" s="29"/>
      <c r="L909" s="33"/>
      <c r="M909" s="33"/>
      <c r="N909" s="60"/>
      <c r="O909" s="71"/>
      <c r="P909" s="71"/>
      <c r="Q909" s="33"/>
      <c r="R909" s="31"/>
      <c r="S909" s="31"/>
      <c r="T909" s="59"/>
      <c r="U909" s="59"/>
      <c r="V909" s="59"/>
      <c r="W909" s="57">
        <f t="shared" si="25"/>
        <v>0</v>
      </c>
      <c r="X909" s="126" t="str">
        <f>IF(Table1[[#This Row],[Shipping Weight Pounds]]&gt;150,"See LTL Form","No")</f>
        <v>No</v>
      </c>
      <c r="Y909" s="28"/>
      <c r="Z909" s="33"/>
      <c r="AA909" s="34"/>
      <c r="AB909" s="30"/>
      <c r="AC909" s="30"/>
      <c r="AD909" s="32"/>
      <c r="AE909" s="32"/>
      <c r="AF909" s="2"/>
      <c r="AG909" s="2"/>
      <c r="AH909" s="2"/>
      <c r="AI909" s="2"/>
      <c r="AK909" s="73" t="str">
        <f>IF(ISNA(MATCH($N909,[1]data!$A:$A,0)),"",INDEX([1]data!S:S,MATCH($N909,[1]data!$A:$A,0)))</f>
        <v/>
      </c>
      <c r="AL909" s="73" t="str">
        <f>IF(ISNA(MATCH($N909,[1]data!$A:$A,0)),"",INDEX([1]data!V:V,MATCH($N909,[1]data!$A:$A,0)))</f>
        <v/>
      </c>
      <c r="AM909" s="38" t="str">
        <f>IF(ISNA(MATCH($N909,data!$A:$A,0)),"",INDEX(data!B:B,MATCH($N909,data!$A:$A,0)))</f>
        <v/>
      </c>
      <c r="AN909" s="38" t="str">
        <f>IF(ISNA(MATCH($N909,data!$A:$A,0)),"",INDEX(data!C:C,MATCH($N909,data!$A:$A,0)))</f>
        <v/>
      </c>
      <c r="AO909" s="38" t="str">
        <f>IF(ISNA(MATCH($N909,data!$A:$A,0)),"",INDEX(data!D:D,MATCH($N909,data!$A:$A,0)))</f>
        <v/>
      </c>
      <c r="AP909" s="38" t="str">
        <f>IF(ISNA(MATCH($N909,data!$A:$A,0)),"",INDEX(data!E:E,MATCH($N909,data!$A:$A,0)))</f>
        <v/>
      </c>
      <c r="AQ909" s="38" t="str">
        <f>IF(ISNA(MATCH($N909,data!$A:$A,0)),"",INDEX(data!F:F,MATCH($N909,data!$A:$A,0)))</f>
        <v/>
      </c>
      <c r="AR909" s="38" t="str">
        <f>IF(ISNA(MATCH($N909,data!$A:$A,0)),"",INDEX(data!G:G,MATCH($N909,data!$A:$A,0)))</f>
        <v/>
      </c>
      <c r="AS909" s="38" t="str">
        <f>IF(ISNA(MATCH($N909,data!$A:$A,0)),"",INDEX(data!H:H,MATCH($N909,data!$A:$A,0)))</f>
        <v/>
      </c>
      <c r="AT909" s="38" t="str">
        <f>IF(ISNA(MATCH($N909,data!$A:$A,0)),"",INDEX(data!I:I,MATCH($N909,data!$A:$A,0)))</f>
        <v/>
      </c>
      <c r="AU909" s="38" t="str">
        <f>IF(ISNA(MATCH($N909,[1]data!$A:$A,0)),"",INDEX([1]data!L:L,MATCH($N909,[1]data!$A:$A,0)))</f>
        <v/>
      </c>
      <c r="AV909" s="38" t="str">
        <f>IF(ISNA(MATCH($N909,[1]data!$A:$A,0)),"",INDEX([1]data!M:M,MATCH($N909,[1]data!$A:$A,0)))</f>
        <v/>
      </c>
      <c r="AW909" s="38" t="str">
        <f>IF(ISNA(MATCH($N909,data!$A:$A,0)),"",INDEX(data!J:J,MATCH($N909,data!$A:$A,0)))</f>
        <v/>
      </c>
      <c r="AX909" s="38" t="str">
        <f>IF(ISNA(MATCH($N909,data!$A:$A,0)),"",INDEX(data!K:K,MATCH($N909,data!$A:$A,0)))</f>
        <v/>
      </c>
      <c r="AY909" s="38" t="str">
        <f>IF(ISNA(MATCH($N909,data!$A:$A,0)),"",INDEX(data!O:O,MATCH($N909,data!$A:$A,0)))</f>
        <v/>
      </c>
      <c r="AZ909" s="38" t="str">
        <f>IF(ISNA(MATCH($N909,data!$A:$A,0)),"",INDEX(data!N:N,MATCH($N909,data!$A:$A,0)))</f>
        <v/>
      </c>
      <c r="BA909" s="38" t="str">
        <f>IF(ISNA(MATCH($N909,data!$A:$A,0)),"",INDEX(data!P:P,MATCH($N909,data!$A:$A,0)))</f>
        <v/>
      </c>
      <c r="BB909" s="38" t="str">
        <f>IF(ISNA(MATCH($N909,data!$A:$A,0)),"",INDEX(data!Q:Q,MATCH($N909,data!$A:$A,0)))</f>
        <v/>
      </c>
      <c r="BC909" s="38" t="str">
        <f>IF(ISNA(MATCH($N909,data!$A:$A,0)),"",INDEX(data!R:R,MATCH($N909,data!$A:$A,0)))</f>
        <v/>
      </c>
      <c r="BD909" s="38" t="str">
        <f>IF(ISNA(MATCH($N909,[1]data!$A:$A,0)),"",INDEX([1]data!U:U,MATCH($N909,[1]data!$A:$A,0)))</f>
        <v/>
      </c>
      <c r="BE909" s="61" t="e">
        <f>IF(COUNTIF([1]data!A:A,[1]!Table1[[#This Row],[UPC]])&lt;2,"","DUP")</f>
        <v>#VALUE!</v>
      </c>
      <c r="BF909" s="38" t="str">
        <f>IF(ISNA(MATCH($N909,data!$A:$A,0)),"",INDEX(data!W:W,MATCH($N909,data!$A:$A,0)))</f>
        <v/>
      </c>
    </row>
    <row r="910" spans="1:58">
      <c r="A910" s="35"/>
      <c r="B910" s="35"/>
      <c r="C910" s="35"/>
      <c r="D910" s="35"/>
      <c r="E910" s="67"/>
      <c r="F910" s="67"/>
      <c r="G910" s="36"/>
      <c r="H910" s="29"/>
      <c r="I910" s="78" t="str">
        <f t="shared" si="24"/>
        <v/>
      </c>
      <c r="J910" s="29"/>
      <c r="K910" s="29"/>
      <c r="L910" s="33"/>
      <c r="M910" s="33"/>
      <c r="N910" s="60"/>
      <c r="O910" s="71"/>
      <c r="P910" s="71"/>
      <c r="Q910" s="33"/>
      <c r="R910" s="31"/>
      <c r="S910" s="31"/>
      <c r="T910" s="59"/>
      <c r="U910" s="59"/>
      <c r="V910" s="59"/>
      <c r="W910" s="57">
        <f t="shared" si="25"/>
        <v>0</v>
      </c>
      <c r="X910" s="126" t="str">
        <f>IF(Table1[[#This Row],[Shipping Weight Pounds]]&gt;150,"See LTL Form","No")</f>
        <v>No</v>
      </c>
      <c r="Y910" s="28"/>
      <c r="Z910" s="33"/>
      <c r="AA910" s="34"/>
      <c r="AB910" s="30"/>
      <c r="AC910" s="30"/>
      <c r="AD910" s="32"/>
      <c r="AE910" s="32"/>
      <c r="AF910" s="2"/>
      <c r="AG910" s="2"/>
      <c r="AH910" s="2"/>
      <c r="AI910" s="2"/>
      <c r="AK910" s="73" t="str">
        <f>IF(ISNA(MATCH($N910,[1]data!$A:$A,0)),"",INDEX([1]data!S:S,MATCH($N910,[1]data!$A:$A,0)))</f>
        <v/>
      </c>
      <c r="AL910" s="73" t="str">
        <f>IF(ISNA(MATCH($N910,[1]data!$A:$A,0)),"",INDEX([1]data!V:V,MATCH($N910,[1]data!$A:$A,0)))</f>
        <v/>
      </c>
      <c r="AM910" s="38" t="str">
        <f>IF(ISNA(MATCH($N910,data!$A:$A,0)),"",INDEX(data!B:B,MATCH($N910,data!$A:$A,0)))</f>
        <v/>
      </c>
      <c r="AN910" s="38" t="str">
        <f>IF(ISNA(MATCH($N910,data!$A:$A,0)),"",INDEX(data!C:C,MATCH($N910,data!$A:$A,0)))</f>
        <v/>
      </c>
      <c r="AO910" s="38" t="str">
        <f>IF(ISNA(MATCH($N910,data!$A:$A,0)),"",INDEX(data!D:D,MATCH($N910,data!$A:$A,0)))</f>
        <v/>
      </c>
      <c r="AP910" s="38" t="str">
        <f>IF(ISNA(MATCH($N910,data!$A:$A,0)),"",INDEX(data!E:E,MATCH($N910,data!$A:$A,0)))</f>
        <v/>
      </c>
      <c r="AQ910" s="38" t="str">
        <f>IF(ISNA(MATCH($N910,data!$A:$A,0)),"",INDEX(data!F:F,MATCH($N910,data!$A:$A,0)))</f>
        <v/>
      </c>
      <c r="AR910" s="38" t="str">
        <f>IF(ISNA(MATCH($N910,data!$A:$A,0)),"",INDEX(data!G:G,MATCH($N910,data!$A:$A,0)))</f>
        <v/>
      </c>
      <c r="AS910" s="38" t="str">
        <f>IF(ISNA(MATCH($N910,data!$A:$A,0)),"",INDEX(data!H:H,MATCH($N910,data!$A:$A,0)))</f>
        <v/>
      </c>
      <c r="AT910" s="38" t="str">
        <f>IF(ISNA(MATCH($N910,data!$A:$A,0)),"",INDEX(data!I:I,MATCH($N910,data!$A:$A,0)))</f>
        <v/>
      </c>
      <c r="AU910" s="38" t="str">
        <f>IF(ISNA(MATCH($N910,[1]data!$A:$A,0)),"",INDEX([1]data!L:L,MATCH($N910,[1]data!$A:$A,0)))</f>
        <v/>
      </c>
      <c r="AV910" s="38" t="str">
        <f>IF(ISNA(MATCH($N910,[1]data!$A:$A,0)),"",INDEX([1]data!M:M,MATCH($N910,[1]data!$A:$A,0)))</f>
        <v/>
      </c>
      <c r="AW910" s="38" t="str">
        <f>IF(ISNA(MATCH($N910,data!$A:$A,0)),"",INDEX(data!J:J,MATCH($N910,data!$A:$A,0)))</f>
        <v/>
      </c>
      <c r="AX910" s="38" t="str">
        <f>IF(ISNA(MATCH($N910,data!$A:$A,0)),"",INDEX(data!K:K,MATCH($N910,data!$A:$A,0)))</f>
        <v/>
      </c>
      <c r="AY910" s="38" t="str">
        <f>IF(ISNA(MATCH($N910,data!$A:$A,0)),"",INDEX(data!O:O,MATCH($N910,data!$A:$A,0)))</f>
        <v/>
      </c>
      <c r="AZ910" s="38" t="str">
        <f>IF(ISNA(MATCH($N910,data!$A:$A,0)),"",INDEX(data!N:N,MATCH($N910,data!$A:$A,0)))</f>
        <v/>
      </c>
      <c r="BA910" s="38" t="str">
        <f>IF(ISNA(MATCH($N910,data!$A:$A,0)),"",INDEX(data!P:P,MATCH($N910,data!$A:$A,0)))</f>
        <v/>
      </c>
      <c r="BB910" s="38" t="str">
        <f>IF(ISNA(MATCH($N910,data!$A:$A,0)),"",INDEX(data!Q:Q,MATCH($N910,data!$A:$A,0)))</f>
        <v/>
      </c>
      <c r="BC910" s="38" t="str">
        <f>IF(ISNA(MATCH($N910,data!$A:$A,0)),"",INDEX(data!R:R,MATCH($N910,data!$A:$A,0)))</f>
        <v/>
      </c>
      <c r="BD910" s="38" t="str">
        <f>IF(ISNA(MATCH($N910,[1]data!$A:$A,0)),"",INDEX([1]data!U:U,MATCH($N910,[1]data!$A:$A,0)))</f>
        <v/>
      </c>
      <c r="BE910" s="61" t="e">
        <f>IF(COUNTIF([1]data!A:A,[1]!Table1[[#This Row],[UPC]])&lt;2,"","DUP")</f>
        <v>#VALUE!</v>
      </c>
      <c r="BF910" s="38" t="str">
        <f>IF(ISNA(MATCH($N910,data!$A:$A,0)),"",INDEX(data!W:W,MATCH($N910,data!$A:$A,0)))</f>
        <v/>
      </c>
    </row>
    <row r="911" spans="1:58">
      <c r="A911" s="35"/>
      <c r="B911" s="35"/>
      <c r="C911" s="35"/>
      <c r="D911" s="35"/>
      <c r="E911" s="67"/>
      <c r="F911" s="67"/>
      <c r="G911" s="36"/>
      <c r="H911" s="29"/>
      <c r="I911" s="78" t="str">
        <f t="shared" si="24"/>
        <v/>
      </c>
      <c r="J911" s="29"/>
      <c r="K911" s="29"/>
      <c r="L911" s="33"/>
      <c r="M911" s="33"/>
      <c r="N911" s="60"/>
      <c r="O911" s="71"/>
      <c r="P911" s="71"/>
      <c r="Q911" s="33"/>
      <c r="R911" s="31"/>
      <c r="S911" s="31"/>
      <c r="T911" s="59"/>
      <c r="U911" s="59"/>
      <c r="V911" s="59"/>
      <c r="W911" s="57">
        <f t="shared" si="25"/>
        <v>0</v>
      </c>
      <c r="X911" s="126" t="str">
        <f>IF(Table1[[#This Row],[Shipping Weight Pounds]]&gt;150,"See LTL Form","No")</f>
        <v>No</v>
      </c>
      <c r="Y911" s="28"/>
      <c r="Z911" s="33"/>
      <c r="AA911" s="34"/>
      <c r="AB911" s="30"/>
      <c r="AC911" s="30"/>
      <c r="AD911" s="32"/>
      <c r="AE911" s="32"/>
      <c r="AF911" s="2"/>
      <c r="AG911" s="2"/>
      <c r="AH911" s="2"/>
      <c r="AI911" s="2"/>
      <c r="AK911" s="73" t="str">
        <f>IF(ISNA(MATCH($N911,[1]data!$A:$A,0)),"",INDEX([1]data!S:S,MATCH($N911,[1]data!$A:$A,0)))</f>
        <v/>
      </c>
      <c r="AL911" s="73" t="str">
        <f>IF(ISNA(MATCH($N911,[1]data!$A:$A,0)),"",INDEX([1]data!V:V,MATCH($N911,[1]data!$A:$A,0)))</f>
        <v/>
      </c>
      <c r="AM911" s="38" t="str">
        <f>IF(ISNA(MATCH($N911,data!$A:$A,0)),"",INDEX(data!B:B,MATCH($N911,data!$A:$A,0)))</f>
        <v/>
      </c>
      <c r="AN911" s="38" t="str">
        <f>IF(ISNA(MATCH($N911,data!$A:$A,0)),"",INDEX(data!C:C,MATCH($N911,data!$A:$A,0)))</f>
        <v/>
      </c>
      <c r="AO911" s="38" t="str">
        <f>IF(ISNA(MATCH($N911,data!$A:$A,0)),"",INDEX(data!D:D,MATCH($N911,data!$A:$A,0)))</f>
        <v/>
      </c>
      <c r="AP911" s="38" t="str">
        <f>IF(ISNA(MATCH($N911,data!$A:$A,0)),"",INDEX(data!E:E,MATCH($N911,data!$A:$A,0)))</f>
        <v/>
      </c>
      <c r="AQ911" s="38" t="str">
        <f>IF(ISNA(MATCH($N911,data!$A:$A,0)),"",INDEX(data!F:F,MATCH($N911,data!$A:$A,0)))</f>
        <v/>
      </c>
      <c r="AR911" s="38" t="str">
        <f>IF(ISNA(MATCH($N911,data!$A:$A,0)),"",INDEX(data!G:G,MATCH($N911,data!$A:$A,0)))</f>
        <v/>
      </c>
      <c r="AS911" s="38" t="str">
        <f>IF(ISNA(MATCH($N911,data!$A:$A,0)),"",INDEX(data!H:H,MATCH($N911,data!$A:$A,0)))</f>
        <v/>
      </c>
      <c r="AT911" s="38" t="str">
        <f>IF(ISNA(MATCH($N911,data!$A:$A,0)),"",INDEX(data!I:I,MATCH($N911,data!$A:$A,0)))</f>
        <v/>
      </c>
      <c r="AU911" s="38" t="str">
        <f>IF(ISNA(MATCH($N911,[1]data!$A:$A,0)),"",INDEX([1]data!L:L,MATCH($N911,[1]data!$A:$A,0)))</f>
        <v/>
      </c>
      <c r="AV911" s="38" t="str">
        <f>IF(ISNA(MATCH($N911,[1]data!$A:$A,0)),"",INDEX([1]data!M:M,MATCH($N911,[1]data!$A:$A,0)))</f>
        <v/>
      </c>
      <c r="AW911" s="38" t="str">
        <f>IF(ISNA(MATCH($N911,data!$A:$A,0)),"",INDEX(data!J:J,MATCH($N911,data!$A:$A,0)))</f>
        <v/>
      </c>
      <c r="AX911" s="38" t="str">
        <f>IF(ISNA(MATCH($N911,data!$A:$A,0)),"",INDEX(data!K:K,MATCH($N911,data!$A:$A,0)))</f>
        <v/>
      </c>
      <c r="AY911" s="38" t="str">
        <f>IF(ISNA(MATCH($N911,data!$A:$A,0)),"",INDEX(data!O:O,MATCH($N911,data!$A:$A,0)))</f>
        <v/>
      </c>
      <c r="AZ911" s="38" t="str">
        <f>IF(ISNA(MATCH($N911,data!$A:$A,0)),"",INDEX(data!N:N,MATCH($N911,data!$A:$A,0)))</f>
        <v/>
      </c>
      <c r="BA911" s="38" t="str">
        <f>IF(ISNA(MATCH($N911,data!$A:$A,0)),"",INDEX(data!P:P,MATCH($N911,data!$A:$A,0)))</f>
        <v/>
      </c>
      <c r="BB911" s="38" t="str">
        <f>IF(ISNA(MATCH($N911,data!$A:$A,0)),"",INDEX(data!Q:Q,MATCH($N911,data!$A:$A,0)))</f>
        <v/>
      </c>
      <c r="BC911" s="38" t="str">
        <f>IF(ISNA(MATCH($N911,data!$A:$A,0)),"",INDEX(data!R:R,MATCH($N911,data!$A:$A,0)))</f>
        <v/>
      </c>
      <c r="BD911" s="38" t="str">
        <f>IF(ISNA(MATCH($N911,[1]data!$A:$A,0)),"",INDEX([1]data!U:U,MATCH($N911,[1]data!$A:$A,0)))</f>
        <v/>
      </c>
      <c r="BE911" s="61" t="e">
        <f>IF(COUNTIF([1]data!A:A,[1]!Table1[[#This Row],[UPC]])&lt;2,"","DUP")</f>
        <v>#VALUE!</v>
      </c>
      <c r="BF911" s="38" t="str">
        <f>IF(ISNA(MATCH($N911,data!$A:$A,0)),"",INDEX(data!W:W,MATCH($N911,data!$A:$A,0)))</f>
        <v/>
      </c>
    </row>
    <row r="912" spans="1:58">
      <c r="A912" s="35"/>
      <c r="B912" s="35"/>
      <c r="C912" s="35"/>
      <c r="D912" s="35"/>
      <c r="E912" s="67"/>
      <c r="F912" s="67"/>
      <c r="G912" s="36"/>
      <c r="H912" s="29"/>
      <c r="I912" s="78" t="str">
        <f t="shared" si="24"/>
        <v/>
      </c>
      <c r="J912" s="29"/>
      <c r="K912" s="29"/>
      <c r="L912" s="33"/>
      <c r="M912" s="33"/>
      <c r="N912" s="60"/>
      <c r="O912" s="71"/>
      <c r="P912" s="71"/>
      <c r="Q912" s="33"/>
      <c r="R912" s="31"/>
      <c r="S912" s="31"/>
      <c r="T912" s="59"/>
      <c r="U912" s="59"/>
      <c r="V912" s="59"/>
      <c r="W912" s="57">
        <f t="shared" si="25"/>
        <v>0</v>
      </c>
      <c r="X912" s="126" t="str">
        <f>IF(Table1[[#This Row],[Shipping Weight Pounds]]&gt;150,"See LTL Form","No")</f>
        <v>No</v>
      </c>
      <c r="Y912" s="28"/>
      <c r="Z912" s="33"/>
      <c r="AA912" s="34"/>
      <c r="AB912" s="30"/>
      <c r="AC912" s="30"/>
      <c r="AD912" s="32"/>
      <c r="AE912" s="32"/>
      <c r="AF912" s="2"/>
      <c r="AG912" s="2"/>
      <c r="AH912" s="2"/>
      <c r="AI912" s="2"/>
      <c r="AK912" s="73" t="str">
        <f>IF(ISNA(MATCH($N912,[1]data!$A:$A,0)),"",INDEX([1]data!S:S,MATCH($N912,[1]data!$A:$A,0)))</f>
        <v/>
      </c>
      <c r="AL912" s="73" t="str">
        <f>IF(ISNA(MATCH($N912,[1]data!$A:$A,0)),"",INDEX([1]data!V:V,MATCH($N912,[1]data!$A:$A,0)))</f>
        <v/>
      </c>
      <c r="AM912" s="38" t="str">
        <f>IF(ISNA(MATCH($N912,data!$A:$A,0)),"",INDEX(data!B:B,MATCH($N912,data!$A:$A,0)))</f>
        <v/>
      </c>
      <c r="AN912" s="38" t="str">
        <f>IF(ISNA(MATCH($N912,data!$A:$A,0)),"",INDEX(data!C:C,MATCH($N912,data!$A:$A,0)))</f>
        <v/>
      </c>
      <c r="AO912" s="38" t="str">
        <f>IF(ISNA(MATCH($N912,data!$A:$A,0)),"",INDEX(data!D:D,MATCH($N912,data!$A:$A,0)))</f>
        <v/>
      </c>
      <c r="AP912" s="38" t="str">
        <f>IF(ISNA(MATCH($N912,data!$A:$A,0)),"",INDEX(data!E:E,MATCH($N912,data!$A:$A,0)))</f>
        <v/>
      </c>
      <c r="AQ912" s="38" t="str">
        <f>IF(ISNA(MATCH($N912,data!$A:$A,0)),"",INDEX(data!F:F,MATCH($N912,data!$A:$A,0)))</f>
        <v/>
      </c>
      <c r="AR912" s="38" t="str">
        <f>IF(ISNA(MATCH($N912,data!$A:$A,0)),"",INDEX(data!G:G,MATCH($N912,data!$A:$A,0)))</f>
        <v/>
      </c>
      <c r="AS912" s="38" t="str">
        <f>IF(ISNA(MATCH($N912,data!$A:$A,0)),"",INDEX(data!H:H,MATCH($N912,data!$A:$A,0)))</f>
        <v/>
      </c>
      <c r="AT912" s="38" t="str">
        <f>IF(ISNA(MATCH($N912,data!$A:$A,0)),"",INDEX(data!I:I,MATCH($N912,data!$A:$A,0)))</f>
        <v/>
      </c>
      <c r="AU912" s="38" t="str">
        <f>IF(ISNA(MATCH($N912,[1]data!$A:$A,0)),"",INDEX([1]data!L:L,MATCH($N912,[1]data!$A:$A,0)))</f>
        <v/>
      </c>
      <c r="AV912" s="38" t="str">
        <f>IF(ISNA(MATCH($N912,[1]data!$A:$A,0)),"",INDEX([1]data!M:M,MATCH($N912,[1]data!$A:$A,0)))</f>
        <v/>
      </c>
      <c r="AW912" s="38" t="str">
        <f>IF(ISNA(MATCH($N912,data!$A:$A,0)),"",INDEX(data!J:J,MATCH($N912,data!$A:$A,0)))</f>
        <v/>
      </c>
      <c r="AX912" s="38" t="str">
        <f>IF(ISNA(MATCH($N912,data!$A:$A,0)),"",INDEX(data!K:K,MATCH($N912,data!$A:$A,0)))</f>
        <v/>
      </c>
      <c r="AY912" s="38" t="str">
        <f>IF(ISNA(MATCH($N912,data!$A:$A,0)),"",INDEX(data!O:O,MATCH($N912,data!$A:$A,0)))</f>
        <v/>
      </c>
      <c r="AZ912" s="38" t="str">
        <f>IF(ISNA(MATCH($N912,data!$A:$A,0)),"",INDEX(data!N:N,MATCH($N912,data!$A:$A,0)))</f>
        <v/>
      </c>
      <c r="BA912" s="38" t="str">
        <f>IF(ISNA(MATCH($N912,data!$A:$A,0)),"",INDEX(data!P:P,MATCH($N912,data!$A:$A,0)))</f>
        <v/>
      </c>
      <c r="BB912" s="38" t="str">
        <f>IF(ISNA(MATCH($N912,data!$A:$A,0)),"",INDEX(data!Q:Q,MATCH($N912,data!$A:$A,0)))</f>
        <v/>
      </c>
      <c r="BC912" s="38" t="str">
        <f>IF(ISNA(MATCH($N912,data!$A:$A,0)),"",INDEX(data!R:R,MATCH($N912,data!$A:$A,0)))</f>
        <v/>
      </c>
      <c r="BD912" s="38" t="str">
        <f>IF(ISNA(MATCH($N912,[1]data!$A:$A,0)),"",INDEX([1]data!U:U,MATCH($N912,[1]data!$A:$A,0)))</f>
        <v/>
      </c>
      <c r="BE912" s="61" t="e">
        <f>IF(COUNTIF([1]data!A:A,[1]!Table1[[#This Row],[UPC]])&lt;2,"","DUP")</f>
        <v>#VALUE!</v>
      </c>
      <c r="BF912" s="38" t="str">
        <f>IF(ISNA(MATCH($N912,data!$A:$A,0)),"",INDEX(data!W:W,MATCH($N912,data!$A:$A,0)))</f>
        <v/>
      </c>
    </row>
    <row r="913" spans="1:58">
      <c r="A913" s="35"/>
      <c r="B913" s="35"/>
      <c r="C913" s="35"/>
      <c r="D913" s="35"/>
      <c r="E913" s="67"/>
      <c r="F913" s="67"/>
      <c r="G913" s="36"/>
      <c r="H913" s="29"/>
      <c r="I913" s="78" t="str">
        <f t="shared" si="24"/>
        <v/>
      </c>
      <c r="J913" s="29"/>
      <c r="K913" s="29"/>
      <c r="L913" s="33"/>
      <c r="M913" s="33"/>
      <c r="N913" s="60"/>
      <c r="O913" s="71"/>
      <c r="P913" s="71"/>
      <c r="Q913" s="33"/>
      <c r="R913" s="31"/>
      <c r="S913" s="31"/>
      <c r="T913" s="59"/>
      <c r="U913" s="59"/>
      <c r="V913" s="59"/>
      <c r="W913" s="57">
        <f t="shared" si="25"/>
        <v>0</v>
      </c>
      <c r="X913" s="126" t="str">
        <f>IF(Table1[[#This Row],[Shipping Weight Pounds]]&gt;150,"See LTL Form","No")</f>
        <v>No</v>
      </c>
      <c r="Y913" s="28"/>
      <c r="Z913" s="33"/>
      <c r="AA913" s="34"/>
      <c r="AB913" s="30"/>
      <c r="AC913" s="30"/>
      <c r="AD913" s="32"/>
      <c r="AE913" s="32"/>
      <c r="AF913" s="2"/>
      <c r="AG913" s="2"/>
      <c r="AH913" s="2"/>
      <c r="AI913" s="2"/>
      <c r="AK913" s="73" t="str">
        <f>IF(ISNA(MATCH($N913,[1]data!$A:$A,0)),"",INDEX([1]data!S:S,MATCH($N913,[1]data!$A:$A,0)))</f>
        <v/>
      </c>
      <c r="AL913" s="73" t="str">
        <f>IF(ISNA(MATCH($N913,[1]data!$A:$A,0)),"",INDEX([1]data!V:V,MATCH($N913,[1]data!$A:$A,0)))</f>
        <v/>
      </c>
      <c r="AM913" s="38" t="str">
        <f>IF(ISNA(MATCH($N913,data!$A:$A,0)),"",INDEX(data!B:B,MATCH($N913,data!$A:$A,0)))</f>
        <v/>
      </c>
      <c r="AN913" s="38" t="str">
        <f>IF(ISNA(MATCH($N913,data!$A:$A,0)),"",INDEX(data!C:C,MATCH($N913,data!$A:$A,0)))</f>
        <v/>
      </c>
      <c r="AO913" s="38" t="str">
        <f>IF(ISNA(MATCH($N913,data!$A:$A,0)),"",INDEX(data!D:D,MATCH($N913,data!$A:$A,0)))</f>
        <v/>
      </c>
      <c r="AP913" s="38" t="str">
        <f>IF(ISNA(MATCH($N913,data!$A:$A,0)),"",INDEX(data!E:E,MATCH($N913,data!$A:$A,0)))</f>
        <v/>
      </c>
      <c r="AQ913" s="38" t="str">
        <f>IF(ISNA(MATCH($N913,data!$A:$A,0)),"",INDEX(data!F:F,MATCH($N913,data!$A:$A,0)))</f>
        <v/>
      </c>
      <c r="AR913" s="38" t="str">
        <f>IF(ISNA(MATCH($N913,data!$A:$A,0)),"",INDEX(data!G:G,MATCH($N913,data!$A:$A,0)))</f>
        <v/>
      </c>
      <c r="AS913" s="38" t="str">
        <f>IF(ISNA(MATCH($N913,data!$A:$A,0)),"",INDEX(data!H:H,MATCH($N913,data!$A:$A,0)))</f>
        <v/>
      </c>
      <c r="AT913" s="38" t="str">
        <f>IF(ISNA(MATCH($N913,data!$A:$A,0)),"",INDEX(data!I:I,MATCH($N913,data!$A:$A,0)))</f>
        <v/>
      </c>
      <c r="AU913" s="38" t="str">
        <f>IF(ISNA(MATCH($N913,[1]data!$A:$A,0)),"",INDEX([1]data!L:L,MATCH($N913,[1]data!$A:$A,0)))</f>
        <v/>
      </c>
      <c r="AV913" s="38" t="str">
        <f>IF(ISNA(MATCH($N913,[1]data!$A:$A,0)),"",INDEX([1]data!M:M,MATCH($N913,[1]data!$A:$A,0)))</f>
        <v/>
      </c>
      <c r="AW913" s="38" t="str">
        <f>IF(ISNA(MATCH($N913,data!$A:$A,0)),"",INDEX(data!J:J,MATCH($N913,data!$A:$A,0)))</f>
        <v/>
      </c>
      <c r="AX913" s="38" t="str">
        <f>IF(ISNA(MATCH($N913,data!$A:$A,0)),"",INDEX(data!K:K,MATCH($N913,data!$A:$A,0)))</f>
        <v/>
      </c>
      <c r="AY913" s="38" t="str">
        <f>IF(ISNA(MATCH($N913,data!$A:$A,0)),"",INDEX(data!O:O,MATCH($N913,data!$A:$A,0)))</f>
        <v/>
      </c>
      <c r="AZ913" s="38" t="str">
        <f>IF(ISNA(MATCH($N913,data!$A:$A,0)),"",INDEX(data!N:N,MATCH($N913,data!$A:$A,0)))</f>
        <v/>
      </c>
      <c r="BA913" s="38" t="str">
        <f>IF(ISNA(MATCH($N913,data!$A:$A,0)),"",INDEX(data!P:P,MATCH($N913,data!$A:$A,0)))</f>
        <v/>
      </c>
      <c r="BB913" s="38" t="str">
        <f>IF(ISNA(MATCH($N913,data!$A:$A,0)),"",INDEX(data!Q:Q,MATCH($N913,data!$A:$A,0)))</f>
        <v/>
      </c>
      <c r="BC913" s="38" t="str">
        <f>IF(ISNA(MATCH($N913,data!$A:$A,0)),"",INDEX(data!R:R,MATCH($N913,data!$A:$A,0)))</f>
        <v/>
      </c>
      <c r="BD913" s="38" t="str">
        <f>IF(ISNA(MATCH($N913,[1]data!$A:$A,0)),"",INDEX([1]data!U:U,MATCH($N913,[1]data!$A:$A,0)))</f>
        <v/>
      </c>
      <c r="BE913" s="61" t="e">
        <f>IF(COUNTIF([1]data!A:A,[1]!Table1[[#This Row],[UPC]])&lt;2,"","DUP")</f>
        <v>#VALUE!</v>
      </c>
      <c r="BF913" s="38" t="str">
        <f>IF(ISNA(MATCH($N913,data!$A:$A,0)),"",INDEX(data!W:W,MATCH($N913,data!$A:$A,0)))</f>
        <v/>
      </c>
    </row>
    <row r="914" spans="1:58">
      <c r="A914" s="35"/>
      <c r="B914" s="35"/>
      <c r="C914" s="35"/>
      <c r="D914" s="35"/>
      <c r="E914" s="67"/>
      <c r="F914" s="67"/>
      <c r="G914" s="36"/>
      <c r="H914" s="29"/>
      <c r="I914" s="78" t="str">
        <f t="shared" si="24"/>
        <v/>
      </c>
      <c r="J914" s="29"/>
      <c r="K914" s="29"/>
      <c r="L914" s="33"/>
      <c r="M914" s="33"/>
      <c r="N914" s="60"/>
      <c r="O914" s="71"/>
      <c r="P914" s="71"/>
      <c r="Q914" s="33"/>
      <c r="R914" s="31"/>
      <c r="S914" s="31"/>
      <c r="T914" s="59"/>
      <c r="U914" s="59"/>
      <c r="V914" s="59"/>
      <c r="W914" s="57">
        <f t="shared" si="25"/>
        <v>0</v>
      </c>
      <c r="X914" s="126" t="str">
        <f>IF(Table1[[#This Row],[Shipping Weight Pounds]]&gt;150,"See LTL Form","No")</f>
        <v>No</v>
      </c>
      <c r="Y914" s="28"/>
      <c r="Z914" s="33"/>
      <c r="AA914" s="34"/>
      <c r="AB914" s="30"/>
      <c r="AC914" s="30"/>
      <c r="AD914" s="32"/>
      <c r="AE914" s="32"/>
      <c r="AF914" s="2"/>
      <c r="AG914" s="2"/>
      <c r="AH914" s="2"/>
      <c r="AI914" s="2"/>
      <c r="AK914" s="73" t="str">
        <f>IF(ISNA(MATCH($N914,[1]data!$A:$A,0)),"",INDEX([1]data!S:S,MATCH($N914,[1]data!$A:$A,0)))</f>
        <v/>
      </c>
      <c r="AL914" s="73" t="str">
        <f>IF(ISNA(MATCH($N914,[1]data!$A:$A,0)),"",INDEX([1]data!V:V,MATCH($N914,[1]data!$A:$A,0)))</f>
        <v/>
      </c>
      <c r="AM914" s="38" t="str">
        <f>IF(ISNA(MATCH($N914,data!$A:$A,0)),"",INDEX(data!B:B,MATCH($N914,data!$A:$A,0)))</f>
        <v/>
      </c>
      <c r="AN914" s="38" t="str">
        <f>IF(ISNA(MATCH($N914,data!$A:$A,0)),"",INDEX(data!C:C,MATCH($N914,data!$A:$A,0)))</f>
        <v/>
      </c>
      <c r="AO914" s="38" t="str">
        <f>IF(ISNA(MATCH($N914,data!$A:$A,0)),"",INDEX(data!D:D,MATCH($N914,data!$A:$A,0)))</f>
        <v/>
      </c>
      <c r="AP914" s="38" t="str">
        <f>IF(ISNA(MATCH($N914,data!$A:$A,0)),"",INDEX(data!E:E,MATCH($N914,data!$A:$A,0)))</f>
        <v/>
      </c>
      <c r="AQ914" s="38" t="str">
        <f>IF(ISNA(MATCH($N914,data!$A:$A,0)),"",INDEX(data!F:F,MATCH($N914,data!$A:$A,0)))</f>
        <v/>
      </c>
      <c r="AR914" s="38" t="str">
        <f>IF(ISNA(MATCH($N914,data!$A:$A,0)),"",INDEX(data!G:G,MATCH($N914,data!$A:$A,0)))</f>
        <v/>
      </c>
      <c r="AS914" s="38" t="str">
        <f>IF(ISNA(MATCH($N914,data!$A:$A,0)),"",INDEX(data!H:H,MATCH($N914,data!$A:$A,0)))</f>
        <v/>
      </c>
      <c r="AT914" s="38" t="str">
        <f>IF(ISNA(MATCH($N914,data!$A:$A,0)),"",INDEX(data!I:I,MATCH($N914,data!$A:$A,0)))</f>
        <v/>
      </c>
      <c r="AU914" s="38" t="str">
        <f>IF(ISNA(MATCH($N914,[1]data!$A:$A,0)),"",INDEX([1]data!L:L,MATCH($N914,[1]data!$A:$A,0)))</f>
        <v/>
      </c>
      <c r="AV914" s="38" t="str">
        <f>IF(ISNA(MATCH($N914,[1]data!$A:$A,0)),"",INDEX([1]data!M:M,MATCH($N914,[1]data!$A:$A,0)))</f>
        <v/>
      </c>
      <c r="AW914" s="38" t="str">
        <f>IF(ISNA(MATCH($N914,data!$A:$A,0)),"",INDEX(data!J:J,MATCH($N914,data!$A:$A,0)))</f>
        <v/>
      </c>
      <c r="AX914" s="38" t="str">
        <f>IF(ISNA(MATCH($N914,data!$A:$A,0)),"",INDEX(data!K:K,MATCH($N914,data!$A:$A,0)))</f>
        <v/>
      </c>
      <c r="AY914" s="38" t="str">
        <f>IF(ISNA(MATCH($N914,data!$A:$A,0)),"",INDEX(data!O:O,MATCH($N914,data!$A:$A,0)))</f>
        <v/>
      </c>
      <c r="AZ914" s="38" t="str">
        <f>IF(ISNA(MATCH($N914,data!$A:$A,0)),"",INDEX(data!N:N,MATCH($N914,data!$A:$A,0)))</f>
        <v/>
      </c>
      <c r="BA914" s="38" t="str">
        <f>IF(ISNA(MATCH($N914,data!$A:$A,0)),"",INDEX(data!P:P,MATCH($N914,data!$A:$A,0)))</f>
        <v/>
      </c>
      <c r="BB914" s="38" t="str">
        <f>IF(ISNA(MATCH($N914,data!$A:$A,0)),"",INDEX(data!Q:Q,MATCH($N914,data!$A:$A,0)))</f>
        <v/>
      </c>
      <c r="BC914" s="38" t="str">
        <f>IF(ISNA(MATCH($N914,data!$A:$A,0)),"",INDEX(data!R:R,MATCH($N914,data!$A:$A,0)))</f>
        <v/>
      </c>
      <c r="BD914" s="38" t="str">
        <f>IF(ISNA(MATCH($N914,[1]data!$A:$A,0)),"",INDEX([1]data!U:U,MATCH($N914,[1]data!$A:$A,0)))</f>
        <v/>
      </c>
      <c r="BE914" s="61" t="e">
        <f>IF(COUNTIF([1]data!A:A,[1]!Table1[[#This Row],[UPC]])&lt;2,"","DUP")</f>
        <v>#VALUE!</v>
      </c>
      <c r="BF914" s="38" t="str">
        <f>IF(ISNA(MATCH($N914,data!$A:$A,0)),"",INDEX(data!W:W,MATCH($N914,data!$A:$A,0)))</f>
        <v/>
      </c>
    </row>
    <row r="915" spans="1:58">
      <c r="A915" s="35"/>
      <c r="B915" s="35"/>
      <c r="C915" s="35"/>
      <c r="D915" s="35"/>
      <c r="E915" s="67"/>
      <c r="F915" s="67"/>
      <c r="G915" s="36"/>
      <c r="H915" s="29"/>
      <c r="I915" s="78" t="str">
        <f t="shared" si="24"/>
        <v/>
      </c>
      <c r="J915" s="29"/>
      <c r="K915" s="29"/>
      <c r="L915" s="33"/>
      <c r="M915" s="33"/>
      <c r="N915" s="60"/>
      <c r="O915" s="71"/>
      <c r="P915" s="71"/>
      <c r="Q915" s="33"/>
      <c r="R915" s="31"/>
      <c r="S915" s="31"/>
      <c r="T915" s="59"/>
      <c r="U915" s="59"/>
      <c r="V915" s="59"/>
      <c r="W915" s="57">
        <f t="shared" si="25"/>
        <v>0</v>
      </c>
      <c r="X915" s="126" t="str">
        <f>IF(Table1[[#This Row],[Shipping Weight Pounds]]&gt;150,"See LTL Form","No")</f>
        <v>No</v>
      </c>
      <c r="Y915" s="28"/>
      <c r="Z915" s="33"/>
      <c r="AA915" s="34"/>
      <c r="AB915" s="30"/>
      <c r="AC915" s="30"/>
      <c r="AD915" s="32"/>
      <c r="AE915" s="32"/>
      <c r="AF915" s="2"/>
      <c r="AG915" s="2"/>
      <c r="AH915" s="2"/>
      <c r="AI915" s="2"/>
      <c r="AK915" s="73" t="str">
        <f>IF(ISNA(MATCH($N915,[1]data!$A:$A,0)),"",INDEX([1]data!S:S,MATCH($N915,[1]data!$A:$A,0)))</f>
        <v/>
      </c>
      <c r="AL915" s="73" t="str">
        <f>IF(ISNA(MATCH($N915,[1]data!$A:$A,0)),"",INDEX([1]data!V:V,MATCH($N915,[1]data!$A:$A,0)))</f>
        <v/>
      </c>
      <c r="AM915" s="38" t="str">
        <f>IF(ISNA(MATCH($N915,data!$A:$A,0)),"",INDEX(data!B:B,MATCH($N915,data!$A:$A,0)))</f>
        <v/>
      </c>
      <c r="AN915" s="38" t="str">
        <f>IF(ISNA(MATCH($N915,data!$A:$A,0)),"",INDEX(data!C:C,MATCH($N915,data!$A:$A,0)))</f>
        <v/>
      </c>
      <c r="AO915" s="38" t="str">
        <f>IF(ISNA(MATCH($N915,data!$A:$A,0)),"",INDEX(data!D:D,MATCH($N915,data!$A:$A,0)))</f>
        <v/>
      </c>
      <c r="AP915" s="38" t="str">
        <f>IF(ISNA(MATCH($N915,data!$A:$A,0)),"",INDEX(data!E:E,MATCH($N915,data!$A:$A,0)))</f>
        <v/>
      </c>
      <c r="AQ915" s="38" t="str">
        <f>IF(ISNA(MATCH($N915,data!$A:$A,0)),"",INDEX(data!F:F,MATCH($N915,data!$A:$A,0)))</f>
        <v/>
      </c>
      <c r="AR915" s="38" t="str">
        <f>IF(ISNA(MATCH($N915,data!$A:$A,0)),"",INDEX(data!G:G,MATCH($N915,data!$A:$A,0)))</f>
        <v/>
      </c>
      <c r="AS915" s="38" t="str">
        <f>IF(ISNA(MATCH($N915,data!$A:$A,0)),"",INDEX(data!H:H,MATCH($N915,data!$A:$A,0)))</f>
        <v/>
      </c>
      <c r="AT915" s="38" t="str">
        <f>IF(ISNA(MATCH($N915,data!$A:$A,0)),"",INDEX(data!I:I,MATCH($N915,data!$A:$A,0)))</f>
        <v/>
      </c>
      <c r="AU915" s="38" t="str">
        <f>IF(ISNA(MATCH($N915,[1]data!$A:$A,0)),"",INDEX([1]data!L:L,MATCH($N915,[1]data!$A:$A,0)))</f>
        <v/>
      </c>
      <c r="AV915" s="38" t="str">
        <f>IF(ISNA(MATCH($N915,[1]data!$A:$A,0)),"",INDEX([1]data!M:M,MATCH($N915,[1]data!$A:$A,0)))</f>
        <v/>
      </c>
      <c r="AW915" s="38" t="str">
        <f>IF(ISNA(MATCH($N915,data!$A:$A,0)),"",INDEX(data!J:J,MATCH($N915,data!$A:$A,0)))</f>
        <v/>
      </c>
      <c r="AX915" s="38" t="str">
        <f>IF(ISNA(MATCH($N915,data!$A:$A,0)),"",INDEX(data!K:K,MATCH($N915,data!$A:$A,0)))</f>
        <v/>
      </c>
      <c r="AY915" s="38" t="str">
        <f>IF(ISNA(MATCH($N915,data!$A:$A,0)),"",INDEX(data!O:O,MATCH($N915,data!$A:$A,0)))</f>
        <v/>
      </c>
      <c r="AZ915" s="38" t="str">
        <f>IF(ISNA(MATCH($N915,data!$A:$A,0)),"",INDEX(data!N:N,MATCH($N915,data!$A:$A,0)))</f>
        <v/>
      </c>
      <c r="BA915" s="38" t="str">
        <f>IF(ISNA(MATCH($N915,data!$A:$A,0)),"",INDEX(data!P:P,MATCH($N915,data!$A:$A,0)))</f>
        <v/>
      </c>
      <c r="BB915" s="38" t="str">
        <f>IF(ISNA(MATCH($N915,data!$A:$A,0)),"",INDEX(data!Q:Q,MATCH($N915,data!$A:$A,0)))</f>
        <v/>
      </c>
      <c r="BC915" s="38" t="str">
        <f>IF(ISNA(MATCH($N915,data!$A:$A,0)),"",INDEX(data!R:R,MATCH($N915,data!$A:$A,0)))</f>
        <v/>
      </c>
      <c r="BD915" s="38" t="str">
        <f>IF(ISNA(MATCH($N915,[1]data!$A:$A,0)),"",INDEX([1]data!U:U,MATCH($N915,[1]data!$A:$A,0)))</f>
        <v/>
      </c>
      <c r="BE915" s="61" t="e">
        <f>IF(COUNTIF([1]data!A:A,[1]!Table1[[#This Row],[UPC]])&lt;2,"","DUP")</f>
        <v>#VALUE!</v>
      </c>
      <c r="BF915" s="38" t="str">
        <f>IF(ISNA(MATCH($N915,data!$A:$A,0)),"",INDEX(data!W:W,MATCH($N915,data!$A:$A,0)))</f>
        <v/>
      </c>
    </row>
    <row r="916" spans="1:58">
      <c r="A916" s="35"/>
      <c r="B916" s="35"/>
      <c r="C916" s="35"/>
      <c r="D916" s="35"/>
      <c r="E916" s="67"/>
      <c r="F916" s="67"/>
      <c r="G916" s="36"/>
      <c r="H916" s="29"/>
      <c r="I916" s="78" t="str">
        <f t="shared" si="24"/>
        <v/>
      </c>
      <c r="J916" s="29"/>
      <c r="K916" s="29"/>
      <c r="L916" s="33"/>
      <c r="M916" s="33"/>
      <c r="N916" s="60"/>
      <c r="O916" s="71"/>
      <c r="P916" s="71"/>
      <c r="Q916" s="33"/>
      <c r="R916" s="31"/>
      <c r="S916" s="31"/>
      <c r="T916" s="59"/>
      <c r="U916" s="59"/>
      <c r="V916" s="59"/>
      <c r="W916" s="57">
        <f t="shared" si="25"/>
        <v>0</v>
      </c>
      <c r="X916" s="126" t="str">
        <f>IF(Table1[[#This Row],[Shipping Weight Pounds]]&gt;150,"See LTL Form","No")</f>
        <v>No</v>
      </c>
      <c r="Y916" s="28"/>
      <c r="Z916" s="33"/>
      <c r="AA916" s="34"/>
      <c r="AB916" s="30"/>
      <c r="AC916" s="30"/>
      <c r="AD916" s="32"/>
      <c r="AE916" s="32"/>
      <c r="AF916" s="2"/>
      <c r="AG916" s="2"/>
      <c r="AH916" s="2"/>
      <c r="AI916" s="2"/>
      <c r="AK916" s="73" t="str">
        <f>IF(ISNA(MATCH($N916,[1]data!$A:$A,0)),"",INDEX([1]data!S:S,MATCH($N916,[1]data!$A:$A,0)))</f>
        <v/>
      </c>
      <c r="AL916" s="73" t="str">
        <f>IF(ISNA(MATCH($N916,[1]data!$A:$A,0)),"",INDEX([1]data!V:V,MATCH($N916,[1]data!$A:$A,0)))</f>
        <v/>
      </c>
      <c r="AM916" s="38" t="str">
        <f>IF(ISNA(MATCH($N916,data!$A:$A,0)),"",INDEX(data!B:B,MATCH($N916,data!$A:$A,0)))</f>
        <v/>
      </c>
      <c r="AN916" s="38" t="str">
        <f>IF(ISNA(MATCH($N916,data!$A:$A,0)),"",INDEX(data!C:C,MATCH($N916,data!$A:$A,0)))</f>
        <v/>
      </c>
      <c r="AO916" s="38" t="str">
        <f>IF(ISNA(MATCH($N916,data!$A:$A,0)),"",INDEX(data!D:D,MATCH($N916,data!$A:$A,0)))</f>
        <v/>
      </c>
      <c r="AP916" s="38" t="str">
        <f>IF(ISNA(MATCH($N916,data!$A:$A,0)),"",INDEX(data!E:E,MATCH($N916,data!$A:$A,0)))</f>
        <v/>
      </c>
      <c r="AQ916" s="38" t="str">
        <f>IF(ISNA(MATCH($N916,data!$A:$A,0)),"",INDEX(data!F:F,MATCH($N916,data!$A:$A,0)))</f>
        <v/>
      </c>
      <c r="AR916" s="38" t="str">
        <f>IF(ISNA(MATCH($N916,data!$A:$A,0)),"",INDEX(data!G:G,MATCH($N916,data!$A:$A,0)))</f>
        <v/>
      </c>
      <c r="AS916" s="38" t="str">
        <f>IF(ISNA(MATCH($N916,data!$A:$A,0)),"",INDEX(data!H:H,MATCH($N916,data!$A:$A,0)))</f>
        <v/>
      </c>
      <c r="AT916" s="38" t="str">
        <f>IF(ISNA(MATCH($N916,data!$A:$A,0)),"",INDEX(data!I:I,MATCH($N916,data!$A:$A,0)))</f>
        <v/>
      </c>
      <c r="AU916" s="38" t="str">
        <f>IF(ISNA(MATCH($N916,[1]data!$A:$A,0)),"",INDEX([1]data!L:L,MATCH($N916,[1]data!$A:$A,0)))</f>
        <v/>
      </c>
      <c r="AV916" s="38" t="str">
        <f>IF(ISNA(MATCH($N916,[1]data!$A:$A,0)),"",INDEX([1]data!M:M,MATCH($N916,[1]data!$A:$A,0)))</f>
        <v/>
      </c>
      <c r="AW916" s="38" t="str">
        <f>IF(ISNA(MATCH($N916,data!$A:$A,0)),"",INDEX(data!J:J,MATCH($N916,data!$A:$A,0)))</f>
        <v/>
      </c>
      <c r="AX916" s="38" t="str">
        <f>IF(ISNA(MATCH($N916,data!$A:$A,0)),"",INDEX(data!K:K,MATCH($N916,data!$A:$A,0)))</f>
        <v/>
      </c>
      <c r="AY916" s="38" t="str">
        <f>IF(ISNA(MATCH($N916,data!$A:$A,0)),"",INDEX(data!O:O,MATCH($N916,data!$A:$A,0)))</f>
        <v/>
      </c>
      <c r="AZ916" s="38" t="str">
        <f>IF(ISNA(MATCH($N916,data!$A:$A,0)),"",INDEX(data!N:N,MATCH($N916,data!$A:$A,0)))</f>
        <v/>
      </c>
      <c r="BA916" s="38" t="str">
        <f>IF(ISNA(MATCH($N916,data!$A:$A,0)),"",INDEX(data!P:P,MATCH($N916,data!$A:$A,0)))</f>
        <v/>
      </c>
      <c r="BB916" s="38" t="str">
        <f>IF(ISNA(MATCH($N916,data!$A:$A,0)),"",INDEX(data!Q:Q,MATCH($N916,data!$A:$A,0)))</f>
        <v/>
      </c>
      <c r="BC916" s="38" t="str">
        <f>IF(ISNA(MATCH($N916,data!$A:$A,0)),"",INDEX(data!R:R,MATCH($N916,data!$A:$A,0)))</f>
        <v/>
      </c>
      <c r="BD916" s="38" t="str">
        <f>IF(ISNA(MATCH($N916,[1]data!$A:$A,0)),"",INDEX([1]data!U:U,MATCH($N916,[1]data!$A:$A,0)))</f>
        <v/>
      </c>
      <c r="BE916" s="61" t="e">
        <f>IF(COUNTIF([1]data!A:A,[1]!Table1[[#This Row],[UPC]])&lt;2,"","DUP")</f>
        <v>#VALUE!</v>
      </c>
      <c r="BF916" s="38" t="str">
        <f>IF(ISNA(MATCH($N916,data!$A:$A,0)),"",INDEX(data!W:W,MATCH($N916,data!$A:$A,0)))</f>
        <v/>
      </c>
    </row>
    <row r="917" spans="1:58">
      <c r="A917" s="35"/>
      <c r="B917" s="35"/>
      <c r="C917" s="35"/>
      <c r="D917" s="35"/>
      <c r="E917" s="67"/>
      <c r="F917" s="67"/>
      <c r="G917" s="36"/>
      <c r="H917" s="29"/>
      <c r="I917" s="78" t="str">
        <f t="shared" si="24"/>
        <v/>
      </c>
      <c r="J917" s="29"/>
      <c r="K917" s="29"/>
      <c r="L917" s="33"/>
      <c r="M917" s="33"/>
      <c r="N917" s="60"/>
      <c r="O917" s="71"/>
      <c r="P917" s="71"/>
      <c r="Q917" s="33"/>
      <c r="R917" s="31"/>
      <c r="S917" s="31"/>
      <c r="T917" s="59"/>
      <c r="U917" s="59"/>
      <c r="V917" s="59"/>
      <c r="W917" s="57">
        <f t="shared" si="25"/>
        <v>0</v>
      </c>
      <c r="X917" s="126" t="str">
        <f>IF(Table1[[#This Row],[Shipping Weight Pounds]]&gt;150,"See LTL Form","No")</f>
        <v>No</v>
      </c>
      <c r="Y917" s="28"/>
      <c r="Z917" s="33"/>
      <c r="AA917" s="34"/>
      <c r="AB917" s="30"/>
      <c r="AC917" s="30"/>
      <c r="AD917" s="32"/>
      <c r="AE917" s="32"/>
      <c r="AF917" s="2"/>
      <c r="AG917" s="2"/>
      <c r="AH917" s="2"/>
      <c r="AI917" s="2"/>
      <c r="AK917" s="73" t="str">
        <f>IF(ISNA(MATCH($N917,[1]data!$A:$A,0)),"",INDEX([1]data!S:S,MATCH($N917,[1]data!$A:$A,0)))</f>
        <v/>
      </c>
      <c r="AL917" s="73" t="str">
        <f>IF(ISNA(MATCH($N917,[1]data!$A:$A,0)),"",INDEX([1]data!V:V,MATCH($N917,[1]data!$A:$A,0)))</f>
        <v/>
      </c>
      <c r="AM917" s="38" t="str">
        <f>IF(ISNA(MATCH($N917,data!$A:$A,0)),"",INDEX(data!B:B,MATCH($N917,data!$A:$A,0)))</f>
        <v/>
      </c>
      <c r="AN917" s="38" t="str">
        <f>IF(ISNA(MATCH($N917,data!$A:$A,0)),"",INDEX(data!C:C,MATCH($N917,data!$A:$A,0)))</f>
        <v/>
      </c>
      <c r="AO917" s="38" t="str">
        <f>IF(ISNA(MATCH($N917,data!$A:$A,0)),"",INDEX(data!D:D,MATCH($N917,data!$A:$A,0)))</f>
        <v/>
      </c>
      <c r="AP917" s="38" t="str">
        <f>IF(ISNA(MATCH($N917,data!$A:$A,0)),"",INDEX(data!E:E,MATCH($N917,data!$A:$A,0)))</f>
        <v/>
      </c>
      <c r="AQ917" s="38" t="str">
        <f>IF(ISNA(MATCH($N917,data!$A:$A,0)),"",INDEX(data!F:F,MATCH($N917,data!$A:$A,0)))</f>
        <v/>
      </c>
      <c r="AR917" s="38" t="str">
        <f>IF(ISNA(MATCH($N917,data!$A:$A,0)),"",INDEX(data!G:G,MATCH($N917,data!$A:$A,0)))</f>
        <v/>
      </c>
      <c r="AS917" s="38" t="str">
        <f>IF(ISNA(MATCH($N917,data!$A:$A,0)),"",INDEX(data!H:H,MATCH($N917,data!$A:$A,0)))</f>
        <v/>
      </c>
      <c r="AT917" s="38" t="str">
        <f>IF(ISNA(MATCH($N917,data!$A:$A,0)),"",INDEX(data!I:I,MATCH($N917,data!$A:$A,0)))</f>
        <v/>
      </c>
      <c r="AU917" s="38" t="str">
        <f>IF(ISNA(MATCH($N917,[1]data!$A:$A,0)),"",INDEX([1]data!L:L,MATCH($N917,[1]data!$A:$A,0)))</f>
        <v/>
      </c>
      <c r="AV917" s="38" t="str">
        <f>IF(ISNA(MATCH($N917,[1]data!$A:$A,0)),"",INDEX([1]data!M:M,MATCH($N917,[1]data!$A:$A,0)))</f>
        <v/>
      </c>
      <c r="AW917" s="38" t="str">
        <f>IF(ISNA(MATCH($N917,data!$A:$A,0)),"",INDEX(data!J:J,MATCH($N917,data!$A:$A,0)))</f>
        <v/>
      </c>
      <c r="AX917" s="38" t="str">
        <f>IF(ISNA(MATCH($N917,data!$A:$A,0)),"",INDEX(data!K:K,MATCH($N917,data!$A:$A,0)))</f>
        <v/>
      </c>
      <c r="AY917" s="38" t="str">
        <f>IF(ISNA(MATCH($N917,data!$A:$A,0)),"",INDEX(data!O:O,MATCH($N917,data!$A:$A,0)))</f>
        <v/>
      </c>
      <c r="AZ917" s="38" t="str">
        <f>IF(ISNA(MATCH($N917,data!$A:$A,0)),"",INDEX(data!N:N,MATCH($N917,data!$A:$A,0)))</f>
        <v/>
      </c>
      <c r="BA917" s="38" t="str">
        <f>IF(ISNA(MATCH($N917,data!$A:$A,0)),"",INDEX(data!P:P,MATCH($N917,data!$A:$A,0)))</f>
        <v/>
      </c>
      <c r="BB917" s="38" t="str">
        <f>IF(ISNA(MATCH($N917,data!$A:$A,0)),"",INDEX(data!Q:Q,MATCH($N917,data!$A:$A,0)))</f>
        <v/>
      </c>
      <c r="BC917" s="38" t="str">
        <f>IF(ISNA(MATCH($N917,data!$A:$A,0)),"",INDEX(data!R:R,MATCH($N917,data!$A:$A,0)))</f>
        <v/>
      </c>
      <c r="BD917" s="38" t="str">
        <f>IF(ISNA(MATCH($N917,[1]data!$A:$A,0)),"",INDEX([1]data!U:U,MATCH($N917,[1]data!$A:$A,0)))</f>
        <v/>
      </c>
      <c r="BE917" s="61" t="e">
        <f>IF(COUNTIF([1]data!A:A,[1]!Table1[[#This Row],[UPC]])&lt;2,"","DUP")</f>
        <v>#VALUE!</v>
      </c>
      <c r="BF917" s="38" t="str">
        <f>IF(ISNA(MATCH($N917,data!$A:$A,0)),"",INDEX(data!W:W,MATCH($N917,data!$A:$A,0)))</f>
        <v/>
      </c>
    </row>
    <row r="918" spans="1:58">
      <c r="A918" s="35"/>
      <c r="B918" s="35"/>
      <c r="C918" s="35"/>
      <c r="D918" s="35"/>
      <c r="E918" s="67"/>
      <c r="F918" s="67"/>
      <c r="G918" s="36"/>
      <c r="H918" s="29"/>
      <c r="I918" s="78" t="str">
        <f t="shared" si="24"/>
        <v/>
      </c>
      <c r="J918" s="29"/>
      <c r="K918" s="29"/>
      <c r="L918" s="33"/>
      <c r="M918" s="33"/>
      <c r="N918" s="60"/>
      <c r="O918" s="71"/>
      <c r="P918" s="71"/>
      <c r="Q918" s="33"/>
      <c r="R918" s="31"/>
      <c r="S918" s="31"/>
      <c r="T918" s="59"/>
      <c r="U918" s="59"/>
      <c r="V918" s="59"/>
      <c r="W918" s="57">
        <f t="shared" si="25"/>
        <v>0</v>
      </c>
      <c r="X918" s="126" t="str">
        <f>IF(Table1[[#This Row],[Shipping Weight Pounds]]&gt;150,"See LTL Form","No")</f>
        <v>No</v>
      </c>
      <c r="Y918" s="28"/>
      <c r="Z918" s="33"/>
      <c r="AA918" s="34"/>
      <c r="AB918" s="30"/>
      <c r="AC918" s="30"/>
      <c r="AD918" s="32"/>
      <c r="AE918" s="32"/>
      <c r="AF918" s="2"/>
      <c r="AG918" s="2"/>
      <c r="AH918" s="2"/>
      <c r="AI918" s="2"/>
      <c r="AK918" s="73" t="str">
        <f>IF(ISNA(MATCH($N918,[1]data!$A:$A,0)),"",INDEX([1]data!S:S,MATCH($N918,[1]data!$A:$A,0)))</f>
        <v/>
      </c>
      <c r="AL918" s="73" t="str">
        <f>IF(ISNA(MATCH($N918,[1]data!$A:$A,0)),"",INDEX([1]data!V:V,MATCH($N918,[1]data!$A:$A,0)))</f>
        <v/>
      </c>
      <c r="AM918" s="38" t="str">
        <f>IF(ISNA(MATCH($N918,data!$A:$A,0)),"",INDEX(data!B:B,MATCH($N918,data!$A:$A,0)))</f>
        <v/>
      </c>
      <c r="AN918" s="38" t="str">
        <f>IF(ISNA(MATCH($N918,data!$A:$A,0)),"",INDEX(data!C:C,MATCH($N918,data!$A:$A,0)))</f>
        <v/>
      </c>
      <c r="AO918" s="38" t="str">
        <f>IF(ISNA(MATCH($N918,data!$A:$A,0)),"",INDEX(data!D:D,MATCH($N918,data!$A:$A,0)))</f>
        <v/>
      </c>
      <c r="AP918" s="38" t="str">
        <f>IF(ISNA(MATCH($N918,data!$A:$A,0)),"",INDEX(data!E:E,MATCH($N918,data!$A:$A,0)))</f>
        <v/>
      </c>
      <c r="AQ918" s="38" t="str">
        <f>IF(ISNA(MATCH($N918,data!$A:$A,0)),"",INDEX(data!F:F,MATCH($N918,data!$A:$A,0)))</f>
        <v/>
      </c>
      <c r="AR918" s="38" t="str">
        <f>IF(ISNA(MATCH($N918,data!$A:$A,0)),"",INDEX(data!G:G,MATCH($N918,data!$A:$A,0)))</f>
        <v/>
      </c>
      <c r="AS918" s="38" t="str">
        <f>IF(ISNA(MATCH($N918,data!$A:$A,0)),"",INDEX(data!H:H,MATCH($N918,data!$A:$A,0)))</f>
        <v/>
      </c>
      <c r="AT918" s="38" t="str">
        <f>IF(ISNA(MATCH($N918,data!$A:$A,0)),"",INDEX(data!I:I,MATCH($N918,data!$A:$A,0)))</f>
        <v/>
      </c>
      <c r="AU918" s="38" t="str">
        <f>IF(ISNA(MATCH($N918,[1]data!$A:$A,0)),"",INDEX([1]data!L:L,MATCH($N918,[1]data!$A:$A,0)))</f>
        <v/>
      </c>
      <c r="AV918" s="38" t="str">
        <f>IF(ISNA(MATCH($N918,[1]data!$A:$A,0)),"",INDEX([1]data!M:M,MATCH($N918,[1]data!$A:$A,0)))</f>
        <v/>
      </c>
      <c r="AW918" s="38" t="str">
        <f>IF(ISNA(MATCH($N918,data!$A:$A,0)),"",INDEX(data!J:J,MATCH($N918,data!$A:$A,0)))</f>
        <v/>
      </c>
      <c r="AX918" s="38" t="str">
        <f>IF(ISNA(MATCH($N918,data!$A:$A,0)),"",INDEX(data!K:K,MATCH($N918,data!$A:$A,0)))</f>
        <v/>
      </c>
      <c r="AY918" s="38" t="str">
        <f>IF(ISNA(MATCH($N918,data!$A:$A,0)),"",INDEX(data!O:O,MATCH($N918,data!$A:$A,0)))</f>
        <v/>
      </c>
      <c r="AZ918" s="38" t="str">
        <f>IF(ISNA(MATCH($N918,data!$A:$A,0)),"",INDEX(data!N:N,MATCH($N918,data!$A:$A,0)))</f>
        <v/>
      </c>
      <c r="BA918" s="38" t="str">
        <f>IF(ISNA(MATCH($N918,data!$A:$A,0)),"",INDEX(data!P:P,MATCH($N918,data!$A:$A,0)))</f>
        <v/>
      </c>
      <c r="BB918" s="38" t="str">
        <f>IF(ISNA(MATCH($N918,data!$A:$A,0)),"",INDEX(data!Q:Q,MATCH($N918,data!$A:$A,0)))</f>
        <v/>
      </c>
      <c r="BC918" s="38" t="str">
        <f>IF(ISNA(MATCH($N918,data!$A:$A,0)),"",INDEX(data!R:R,MATCH($N918,data!$A:$A,0)))</f>
        <v/>
      </c>
      <c r="BD918" s="38" t="str">
        <f>IF(ISNA(MATCH($N918,[1]data!$A:$A,0)),"",INDEX([1]data!U:U,MATCH($N918,[1]data!$A:$A,0)))</f>
        <v/>
      </c>
      <c r="BE918" s="61" t="e">
        <f>IF(COUNTIF([1]data!A:A,[1]!Table1[[#This Row],[UPC]])&lt;2,"","DUP")</f>
        <v>#VALUE!</v>
      </c>
      <c r="BF918" s="38" t="str">
        <f>IF(ISNA(MATCH($N918,data!$A:$A,0)),"",INDEX(data!W:W,MATCH($N918,data!$A:$A,0)))</f>
        <v/>
      </c>
    </row>
    <row r="919" spans="1:58">
      <c r="A919" s="35"/>
      <c r="B919" s="35"/>
      <c r="C919" s="35"/>
      <c r="D919" s="35"/>
      <c r="E919" s="67"/>
      <c r="F919" s="67"/>
      <c r="G919" s="36"/>
      <c r="H919" s="29"/>
      <c r="I919" s="78" t="str">
        <f t="shared" si="24"/>
        <v/>
      </c>
      <c r="J919" s="29"/>
      <c r="K919" s="29"/>
      <c r="L919" s="33"/>
      <c r="M919" s="33"/>
      <c r="N919" s="60"/>
      <c r="O919" s="71"/>
      <c r="P919" s="71"/>
      <c r="Q919" s="33"/>
      <c r="R919" s="31"/>
      <c r="S919" s="31"/>
      <c r="T919" s="59"/>
      <c r="U919" s="59"/>
      <c r="V919" s="59"/>
      <c r="W919" s="57">
        <f t="shared" si="25"/>
        <v>0</v>
      </c>
      <c r="X919" s="126" t="str">
        <f>IF(Table1[[#This Row],[Shipping Weight Pounds]]&gt;150,"See LTL Form","No")</f>
        <v>No</v>
      </c>
      <c r="Y919" s="28"/>
      <c r="Z919" s="33"/>
      <c r="AA919" s="34"/>
      <c r="AB919" s="30"/>
      <c r="AC919" s="30"/>
      <c r="AD919" s="32"/>
      <c r="AE919" s="32"/>
      <c r="AF919" s="2"/>
      <c r="AG919" s="2"/>
      <c r="AH919" s="2"/>
      <c r="AI919" s="2"/>
      <c r="AK919" s="73" t="str">
        <f>IF(ISNA(MATCH($N919,[1]data!$A:$A,0)),"",INDEX([1]data!S:S,MATCH($N919,[1]data!$A:$A,0)))</f>
        <v/>
      </c>
      <c r="AL919" s="73" t="str">
        <f>IF(ISNA(MATCH($N919,[1]data!$A:$A,0)),"",INDEX([1]data!V:V,MATCH($N919,[1]data!$A:$A,0)))</f>
        <v/>
      </c>
      <c r="AM919" s="38" t="str">
        <f>IF(ISNA(MATCH($N919,data!$A:$A,0)),"",INDEX(data!B:B,MATCH($N919,data!$A:$A,0)))</f>
        <v/>
      </c>
      <c r="AN919" s="38" t="str">
        <f>IF(ISNA(MATCH($N919,data!$A:$A,0)),"",INDEX(data!C:C,MATCH($N919,data!$A:$A,0)))</f>
        <v/>
      </c>
      <c r="AO919" s="38" t="str">
        <f>IF(ISNA(MATCH($N919,data!$A:$A,0)),"",INDEX(data!D:D,MATCH($N919,data!$A:$A,0)))</f>
        <v/>
      </c>
      <c r="AP919" s="38" t="str">
        <f>IF(ISNA(MATCH($N919,data!$A:$A,0)),"",INDEX(data!E:E,MATCH($N919,data!$A:$A,0)))</f>
        <v/>
      </c>
      <c r="AQ919" s="38" t="str">
        <f>IF(ISNA(MATCH($N919,data!$A:$A,0)),"",INDEX(data!F:F,MATCH($N919,data!$A:$A,0)))</f>
        <v/>
      </c>
      <c r="AR919" s="38" t="str">
        <f>IF(ISNA(MATCH($N919,data!$A:$A,0)),"",INDEX(data!G:G,MATCH($N919,data!$A:$A,0)))</f>
        <v/>
      </c>
      <c r="AS919" s="38" t="str">
        <f>IF(ISNA(MATCH($N919,data!$A:$A,0)),"",INDEX(data!H:H,MATCH($N919,data!$A:$A,0)))</f>
        <v/>
      </c>
      <c r="AT919" s="38" t="str">
        <f>IF(ISNA(MATCH($N919,data!$A:$A,0)),"",INDEX(data!I:I,MATCH($N919,data!$A:$A,0)))</f>
        <v/>
      </c>
      <c r="AU919" s="38" t="str">
        <f>IF(ISNA(MATCH($N919,[1]data!$A:$A,0)),"",INDEX([1]data!L:L,MATCH($N919,[1]data!$A:$A,0)))</f>
        <v/>
      </c>
      <c r="AV919" s="38" t="str">
        <f>IF(ISNA(MATCH($N919,[1]data!$A:$A,0)),"",INDEX([1]data!M:M,MATCH($N919,[1]data!$A:$A,0)))</f>
        <v/>
      </c>
      <c r="AW919" s="38" t="str">
        <f>IF(ISNA(MATCH($N919,data!$A:$A,0)),"",INDEX(data!J:J,MATCH($N919,data!$A:$A,0)))</f>
        <v/>
      </c>
      <c r="AX919" s="38" t="str">
        <f>IF(ISNA(MATCH($N919,data!$A:$A,0)),"",INDEX(data!K:K,MATCH($N919,data!$A:$A,0)))</f>
        <v/>
      </c>
      <c r="AY919" s="38" t="str">
        <f>IF(ISNA(MATCH($N919,data!$A:$A,0)),"",INDEX(data!O:O,MATCH($N919,data!$A:$A,0)))</f>
        <v/>
      </c>
      <c r="AZ919" s="38" t="str">
        <f>IF(ISNA(MATCH($N919,data!$A:$A,0)),"",INDEX(data!N:N,MATCH($N919,data!$A:$A,0)))</f>
        <v/>
      </c>
      <c r="BA919" s="38" t="str">
        <f>IF(ISNA(MATCH($N919,data!$A:$A,0)),"",INDEX(data!P:P,MATCH($N919,data!$A:$A,0)))</f>
        <v/>
      </c>
      <c r="BB919" s="38" t="str">
        <f>IF(ISNA(MATCH($N919,data!$A:$A,0)),"",INDEX(data!Q:Q,MATCH($N919,data!$A:$A,0)))</f>
        <v/>
      </c>
      <c r="BC919" s="38" t="str">
        <f>IF(ISNA(MATCH($N919,data!$A:$A,0)),"",INDEX(data!R:R,MATCH($N919,data!$A:$A,0)))</f>
        <v/>
      </c>
      <c r="BD919" s="38" t="str">
        <f>IF(ISNA(MATCH($N919,[1]data!$A:$A,0)),"",INDEX([1]data!U:U,MATCH($N919,[1]data!$A:$A,0)))</f>
        <v/>
      </c>
      <c r="BE919" s="61" t="e">
        <f>IF(COUNTIF([1]data!A:A,[1]!Table1[[#This Row],[UPC]])&lt;2,"","DUP")</f>
        <v>#VALUE!</v>
      </c>
      <c r="BF919" s="38" t="str">
        <f>IF(ISNA(MATCH($N919,data!$A:$A,0)),"",INDEX(data!W:W,MATCH($N919,data!$A:$A,0)))</f>
        <v/>
      </c>
    </row>
    <row r="920" spans="1:58">
      <c r="A920" s="35"/>
      <c r="B920" s="35"/>
      <c r="C920" s="35"/>
      <c r="D920" s="35"/>
      <c r="E920" s="67"/>
      <c r="F920" s="67"/>
      <c r="G920" s="36"/>
      <c r="H920" s="29"/>
      <c r="I920" s="78" t="str">
        <f t="shared" si="24"/>
        <v/>
      </c>
      <c r="J920" s="29"/>
      <c r="K920" s="29"/>
      <c r="L920" s="33"/>
      <c r="M920" s="33"/>
      <c r="N920" s="60"/>
      <c r="O920" s="71"/>
      <c r="P920" s="71"/>
      <c r="Q920" s="33"/>
      <c r="R920" s="31"/>
      <c r="S920" s="31"/>
      <c r="T920" s="59"/>
      <c r="U920" s="59"/>
      <c r="V920" s="59"/>
      <c r="W920" s="57">
        <f t="shared" si="25"/>
        <v>0</v>
      </c>
      <c r="X920" s="126" t="str">
        <f>IF(Table1[[#This Row],[Shipping Weight Pounds]]&gt;150,"See LTL Form","No")</f>
        <v>No</v>
      </c>
      <c r="Y920" s="28"/>
      <c r="Z920" s="33"/>
      <c r="AA920" s="34"/>
      <c r="AB920" s="30"/>
      <c r="AC920" s="30"/>
      <c r="AD920" s="32"/>
      <c r="AE920" s="32"/>
      <c r="AF920" s="2"/>
      <c r="AG920" s="2"/>
      <c r="AH920" s="2"/>
      <c r="AI920" s="2"/>
      <c r="AK920" s="73" t="str">
        <f>IF(ISNA(MATCH($N920,[1]data!$A:$A,0)),"",INDEX([1]data!S:S,MATCH($N920,[1]data!$A:$A,0)))</f>
        <v/>
      </c>
      <c r="AL920" s="73" t="str">
        <f>IF(ISNA(MATCH($N920,[1]data!$A:$A,0)),"",INDEX([1]data!V:V,MATCH($N920,[1]data!$A:$A,0)))</f>
        <v/>
      </c>
      <c r="AM920" s="38" t="str">
        <f>IF(ISNA(MATCH($N920,data!$A:$A,0)),"",INDEX(data!B:B,MATCH($N920,data!$A:$A,0)))</f>
        <v/>
      </c>
      <c r="AN920" s="38" t="str">
        <f>IF(ISNA(MATCH($N920,data!$A:$A,0)),"",INDEX(data!C:C,MATCH($N920,data!$A:$A,0)))</f>
        <v/>
      </c>
      <c r="AO920" s="38" t="str">
        <f>IF(ISNA(MATCH($N920,data!$A:$A,0)),"",INDEX(data!D:D,MATCH($N920,data!$A:$A,0)))</f>
        <v/>
      </c>
      <c r="AP920" s="38" t="str">
        <f>IF(ISNA(MATCH($N920,data!$A:$A,0)),"",INDEX(data!E:E,MATCH($N920,data!$A:$A,0)))</f>
        <v/>
      </c>
      <c r="AQ920" s="38" t="str">
        <f>IF(ISNA(MATCH($N920,data!$A:$A,0)),"",INDEX(data!F:F,MATCH($N920,data!$A:$A,0)))</f>
        <v/>
      </c>
      <c r="AR920" s="38" t="str">
        <f>IF(ISNA(MATCH($N920,data!$A:$A,0)),"",INDEX(data!G:G,MATCH($N920,data!$A:$A,0)))</f>
        <v/>
      </c>
      <c r="AS920" s="38" t="str">
        <f>IF(ISNA(MATCH($N920,data!$A:$A,0)),"",INDEX(data!H:H,MATCH($N920,data!$A:$A,0)))</f>
        <v/>
      </c>
      <c r="AT920" s="38" t="str">
        <f>IF(ISNA(MATCH($N920,data!$A:$A,0)),"",INDEX(data!I:I,MATCH($N920,data!$A:$A,0)))</f>
        <v/>
      </c>
      <c r="AU920" s="38" t="str">
        <f>IF(ISNA(MATCH($N920,[1]data!$A:$A,0)),"",INDEX([1]data!L:L,MATCH($N920,[1]data!$A:$A,0)))</f>
        <v/>
      </c>
      <c r="AV920" s="38" t="str">
        <f>IF(ISNA(MATCH($N920,[1]data!$A:$A,0)),"",INDEX([1]data!M:M,MATCH($N920,[1]data!$A:$A,0)))</f>
        <v/>
      </c>
      <c r="AW920" s="38" t="str">
        <f>IF(ISNA(MATCH($N920,data!$A:$A,0)),"",INDEX(data!J:J,MATCH($N920,data!$A:$A,0)))</f>
        <v/>
      </c>
      <c r="AX920" s="38" t="str">
        <f>IF(ISNA(MATCH($N920,data!$A:$A,0)),"",INDEX(data!K:K,MATCH($N920,data!$A:$A,0)))</f>
        <v/>
      </c>
      <c r="AY920" s="38" t="str">
        <f>IF(ISNA(MATCH($N920,data!$A:$A,0)),"",INDEX(data!O:O,MATCH($N920,data!$A:$A,0)))</f>
        <v/>
      </c>
      <c r="AZ920" s="38" t="str">
        <f>IF(ISNA(MATCH($N920,data!$A:$A,0)),"",INDEX(data!N:N,MATCH($N920,data!$A:$A,0)))</f>
        <v/>
      </c>
      <c r="BA920" s="38" t="str">
        <f>IF(ISNA(MATCH($N920,data!$A:$A,0)),"",INDEX(data!P:P,MATCH($N920,data!$A:$A,0)))</f>
        <v/>
      </c>
      <c r="BB920" s="38" t="str">
        <f>IF(ISNA(MATCH($N920,data!$A:$A,0)),"",INDEX(data!Q:Q,MATCH($N920,data!$A:$A,0)))</f>
        <v/>
      </c>
      <c r="BC920" s="38" t="str">
        <f>IF(ISNA(MATCH($N920,data!$A:$A,0)),"",INDEX(data!R:R,MATCH($N920,data!$A:$A,0)))</f>
        <v/>
      </c>
      <c r="BD920" s="38" t="str">
        <f>IF(ISNA(MATCH($N920,[1]data!$A:$A,0)),"",INDEX([1]data!U:U,MATCH($N920,[1]data!$A:$A,0)))</f>
        <v/>
      </c>
      <c r="BE920" s="61" t="e">
        <f>IF(COUNTIF([1]data!A:A,[1]!Table1[[#This Row],[UPC]])&lt;2,"","DUP")</f>
        <v>#VALUE!</v>
      </c>
      <c r="BF920" s="38" t="str">
        <f>IF(ISNA(MATCH($N920,data!$A:$A,0)),"",INDEX(data!W:W,MATCH($N920,data!$A:$A,0)))</f>
        <v/>
      </c>
    </row>
    <row r="921" spans="1:58">
      <c r="A921" s="35"/>
      <c r="B921" s="35"/>
      <c r="C921" s="35"/>
      <c r="D921" s="35"/>
      <c r="E921" s="67"/>
      <c r="F921" s="67"/>
      <c r="G921" s="36"/>
      <c r="H921" s="29"/>
      <c r="I921" s="78" t="str">
        <f t="shared" si="24"/>
        <v/>
      </c>
      <c r="J921" s="29"/>
      <c r="K921" s="29"/>
      <c r="L921" s="33"/>
      <c r="M921" s="33"/>
      <c r="N921" s="60"/>
      <c r="O921" s="71"/>
      <c r="P921" s="71"/>
      <c r="Q921" s="33"/>
      <c r="R921" s="31"/>
      <c r="S921" s="31"/>
      <c r="T921" s="59"/>
      <c r="U921" s="59"/>
      <c r="V921" s="59"/>
      <c r="W921" s="57">
        <f t="shared" si="25"/>
        <v>0</v>
      </c>
      <c r="X921" s="126" t="str">
        <f>IF(Table1[[#This Row],[Shipping Weight Pounds]]&gt;150,"See LTL Form","No")</f>
        <v>No</v>
      </c>
      <c r="Y921" s="28"/>
      <c r="Z921" s="33"/>
      <c r="AA921" s="34"/>
      <c r="AB921" s="30"/>
      <c r="AC921" s="30"/>
      <c r="AD921" s="32"/>
      <c r="AE921" s="32"/>
      <c r="AF921" s="2"/>
      <c r="AG921" s="2"/>
      <c r="AH921" s="2"/>
      <c r="AI921" s="2"/>
      <c r="AK921" s="73" t="str">
        <f>IF(ISNA(MATCH($N921,[1]data!$A:$A,0)),"",INDEX([1]data!S:S,MATCH($N921,[1]data!$A:$A,0)))</f>
        <v/>
      </c>
      <c r="AL921" s="73" t="str">
        <f>IF(ISNA(MATCH($N921,[1]data!$A:$A,0)),"",INDEX([1]data!V:V,MATCH($N921,[1]data!$A:$A,0)))</f>
        <v/>
      </c>
      <c r="AM921" s="38" t="str">
        <f>IF(ISNA(MATCH($N921,data!$A:$A,0)),"",INDEX(data!B:B,MATCH($N921,data!$A:$A,0)))</f>
        <v/>
      </c>
      <c r="AN921" s="38" t="str">
        <f>IF(ISNA(MATCH($N921,data!$A:$A,0)),"",INDEX(data!C:C,MATCH($N921,data!$A:$A,0)))</f>
        <v/>
      </c>
      <c r="AO921" s="38" t="str">
        <f>IF(ISNA(MATCH($N921,data!$A:$A,0)),"",INDEX(data!D:D,MATCH($N921,data!$A:$A,0)))</f>
        <v/>
      </c>
      <c r="AP921" s="38" t="str">
        <f>IF(ISNA(MATCH($N921,data!$A:$A,0)),"",INDEX(data!E:E,MATCH($N921,data!$A:$A,0)))</f>
        <v/>
      </c>
      <c r="AQ921" s="38" t="str">
        <f>IF(ISNA(MATCH($N921,data!$A:$A,0)),"",INDEX(data!F:F,MATCH($N921,data!$A:$A,0)))</f>
        <v/>
      </c>
      <c r="AR921" s="38" t="str">
        <f>IF(ISNA(MATCH($N921,data!$A:$A,0)),"",INDEX(data!G:G,MATCH($N921,data!$A:$A,0)))</f>
        <v/>
      </c>
      <c r="AS921" s="38" t="str">
        <f>IF(ISNA(MATCH($N921,data!$A:$A,0)),"",INDEX(data!H:H,MATCH($N921,data!$A:$A,0)))</f>
        <v/>
      </c>
      <c r="AT921" s="38" t="str">
        <f>IF(ISNA(MATCH($N921,data!$A:$A,0)),"",INDEX(data!I:I,MATCH($N921,data!$A:$A,0)))</f>
        <v/>
      </c>
      <c r="AU921" s="38" t="str">
        <f>IF(ISNA(MATCH($N921,[1]data!$A:$A,0)),"",INDEX([1]data!L:L,MATCH($N921,[1]data!$A:$A,0)))</f>
        <v/>
      </c>
      <c r="AV921" s="38" t="str">
        <f>IF(ISNA(MATCH($N921,[1]data!$A:$A,0)),"",INDEX([1]data!M:M,MATCH($N921,[1]data!$A:$A,0)))</f>
        <v/>
      </c>
      <c r="AW921" s="38" t="str">
        <f>IF(ISNA(MATCH($N921,data!$A:$A,0)),"",INDEX(data!J:J,MATCH($N921,data!$A:$A,0)))</f>
        <v/>
      </c>
      <c r="AX921" s="38" t="str">
        <f>IF(ISNA(MATCH($N921,data!$A:$A,0)),"",INDEX(data!K:K,MATCH($N921,data!$A:$A,0)))</f>
        <v/>
      </c>
      <c r="AY921" s="38" t="str">
        <f>IF(ISNA(MATCH($N921,data!$A:$A,0)),"",INDEX(data!O:O,MATCH($N921,data!$A:$A,0)))</f>
        <v/>
      </c>
      <c r="AZ921" s="38" t="str">
        <f>IF(ISNA(MATCH($N921,data!$A:$A,0)),"",INDEX(data!N:N,MATCH($N921,data!$A:$A,0)))</f>
        <v/>
      </c>
      <c r="BA921" s="38" t="str">
        <f>IF(ISNA(MATCH($N921,data!$A:$A,0)),"",INDEX(data!P:P,MATCH($N921,data!$A:$A,0)))</f>
        <v/>
      </c>
      <c r="BB921" s="38" t="str">
        <f>IF(ISNA(MATCH($N921,data!$A:$A,0)),"",INDEX(data!Q:Q,MATCH($N921,data!$A:$A,0)))</f>
        <v/>
      </c>
      <c r="BC921" s="38" t="str">
        <f>IF(ISNA(MATCH($N921,data!$A:$A,0)),"",INDEX(data!R:R,MATCH($N921,data!$A:$A,0)))</f>
        <v/>
      </c>
      <c r="BD921" s="38" t="str">
        <f>IF(ISNA(MATCH($N921,[1]data!$A:$A,0)),"",INDEX([1]data!U:U,MATCH($N921,[1]data!$A:$A,0)))</f>
        <v/>
      </c>
      <c r="BE921" s="61" t="e">
        <f>IF(COUNTIF([1]data!A:A,[1]!Table1[[#This Row],[UPC]])&lt;2,"","DUP")</f>
        <v>#VALUE!</v>
      </c>
      <c r="BF921" s="38" t="str">
        <f>IF(ISNA(MATCH($N921,data!$A:$A,0)),"",INDEX(data!W:W,MATCH($N921,data!$A:$A,0)))</f>
        <v/>
      </c>
    </row>
    <row r="922" spans="1:58">
      <c r="A922" s="35"/>
      <c r="B922" s="35"/>
      <c r="C922" s="35"/>
      <c r="D922" s="35"/>
      <c r="E922" s="67"/>
      <c r="F922" s="67"/>
      <c r="G922" s="36"/>
      <c r="H922" s="29"/>
      <c r="I922" s="78" t="str">
        <f t="shared" si="24"/>
        <v/>
      </c>
      <c r="J922" s="29"/>
      <c r="K922" s="29"/>
      <c r="L922" s="33"/>
      <c r="M922" s="33"/>
      <c r="N922" s="60"/>
      <c r="O922" s="71"/>
      <c r="P922" s="71"/>
      <c r="Q922" s="33"/>
      <c r="R922" s="31"/>
      <c r="S922" s="31"/>
      <c r="T922" s="59"/>
      <c r="U922" s="59"/>
      <c r="V922" s="59"/>
      <c r="W922" s="57">
        <f t="shared" si="25"/>
        <v>0</v>
      </c>
      <c r="X922" s="126" t="str">
        <f>IF(Table1[[#This Row],[Shipping Weight Pounds]]&gt;150,"See LTL Form","No")</f>
        <v>No</v>
      </c>
      <c r="Y922" s="28"/>
      <c r="Z922" s="33"/>
      <c r="AA922" s="34"/>
      <c r="AB922" s="30"/>
      <c r="AC922" s="30"/>
      <c r="AD922" s="32"/>
      <c r="AE922" s="32"/>
      <c r="AF922" s="2"/>
      <c r="AG922" s="2"/>
      <c r="AH922" s="2"/>
      <c r="AI922" s="2"/>
      <c r="AK922" s="73" t="str">
        <f>IF(ISNA(MATCH($N922,[1]data!$A:$A,0)),"",INDEX([1]data!S:S,MATCH($N922,[1]data!$A:$A,0)))</f>
        <v/>
      </c>
      <c r="AL922" s="73" t="str">
        <f>IF(ISNA(MATCH($N922,[1]data!$A:$A,0)),"",INDEX([1]data!V:V,MATCH($N922,[1]data!$A:$A,0)))</f>
        <v/>
      </c>
      <c r="AM922" s="38" t="str">
        <f>IF(ISNA(MATCH($N922,data!$A:$A,0)),"",INDEX(data!B:B,MATCH($N922,data!$A:$A,0)))</f>
        <v/>
      </c>
      <c r="AN922" s="38" t="str">
        <f>IF(ISNA(MATCH($N922,data!$A:$A,0)),"",INDEX(data!C:C,MATCH($N922,data!$A:$A,0)))</f>
        <v/>
      </c>
      <c r="AO922" s="38" t="str">
        <f>IF(ISNA(MATCH($N922,data!$A:$A,0)),"",INDEX(data!D:D,MATCH($N922,data!$A:$A,0)))</f>
        <v/>
      </c>
      <c r="AP922" s="38" t="str">
        <f>IF(ISNA(MATCH($N922,data!$A:$A,0)),"",INDEX(data!E:E,MATCH($N922,data!$A:$A,0)))</f>
        <v/>
      </c>
      <c r="AQ922" s="38" t="str">
        <f>IF(ISNA(MATCH($N922,data!$A:$A,0)),"",INDEX(data!F:F,MATCH($N922,data!$A:$A,0)))</f>
        <v/>
      </c>
      <c r="AR922" s="38" t="str">
        <f>IF(ISNA(MATCH($N922,data!$A:$A,0)),"",INDEX(data!G:G,MATCH($N922,data!$A:$A,0)))</f>
        <v/>
      </c>
      <c r="AS922" s="38" t="str">
        <f>IF(ISNA(MATCH($N922,data!$A:$A,0)),"",INDEX(data!H:H,MATCH($N922,data!$A:$A,0)))</f>
        <v/>
      </c>
      <c r="AT922" s="38" t="str">
        <f>IF(ISNA(MATCH($N922,data!$A:$A,0)),"",INDEX(data!I:I,MATCH($N922,data!$A:$A,0)))</f>
        <v/>
      </c>
      <c r="AU922" s="38" t="str">
        <f>IF(ISNA(MATCH($N922,[1]data!$A:$A,0)),"",INDEX([1]data!L:L,MATCH($N922,[1]data!$A:$A,0)))</f>
        <v/>
      </c>
      <c r="AV922" s="38" t="str">
        <f>IF(ISNA(MATCH($N922,[1]data!$A:$A,0)),"",INDEX([1]data!M:M,MATCH($N922,[1]data!$A:$A,0)))</f>
        <v/>
      </c>
      <c r="AW922" s="38" t="str">
        <f>IF(ISNA(MATCH($N922,data!$A:$A,0)),"",INDEX(data!J:J,MATCH($N922,data!$A:$A,0)))</f>
        <v/>
      </c>
      <c r="AX922" s="38" t="str">
        <f>IF(ISNA(MATCH($N922,data!$A:$A,0)),"",INDEX(data!K:K,MATCH($N922,data!$A:$A,0)))</f>
        <v/>
      </c>
      <c r="AY922" s="38" t="str">
        <f>IF(ISNA(MATCH($N922,data!$A:$A,0)),"",INDEX(data!O:O,MATCH($N922,data!$A:$A,0)))</f>
        <v/>
      </c>
      <c r="AZ922" s="38" t="str">
        <f>IF(ISNA(MATCH($N922,data!$A:$A,0)),"",INDEX(data!N:N,MATCH($N922,data!$A:$A,0)))</f>
        <v/>
      </c>
      <c r="BA922" s="38" t="str">
        <f>IF(ISNA(MATCH($N922,data!$A:$A,0)),"",INDEX(data!P:P,MATCH($N922,data!$A:$A,0)))</f>
        <v/>
      </c>
      <c r="BB922" s="38" t="str">
        <f>IF(ISNA(MATCH($N922,data!$A:$A,0)),"",INDEX(data!Q:Q,MATCH($N922,data!$A:$A,0)))</f>
        <v/>
      </c>
      <c r="BC922" s="38" t="str">
        <f>IF(ISNA(MATCH($N922,data!$A:$A,0)),"",INDEX(data!R:R,MATCH($N922,data!$A:$A,0)))</f>
        <v/>
      </c>
      <c r="BD922" s="38" t="str">
        <f>IF(ISNA(MATCH($N922,[1]data!$A:$A,0)),"",INDEX([1]data!U:U,MATCH($N922,[1]data!$A:$A,0)))</f>
        <v/>
      </c>
      <c r="BE922" s="61" t="e">
        <f>IF(COUNTIF([1]data!A:A,[1]!Table1[[#This Row],[UPC]])&lt;2,"","DUP")</f>
        <v>#VALUE!</v>
      </c>
      <c r="BF922" s="38" t="str">
        <f>IF(ISNA(MATCH($N922,data!$A:$A,0)),"",INDEX(data!W:W,MATCH($N922,data!$A:$A,0)))</f>
        <v/>
      </c>
    </row>
    <row r="923" spans="1:58">
      <c r="A923" s="35"/>
      <c r="B923" s="35"/>
      <c r="C923" s="35"/>
      <c r="D923" s="35"/>
      <c r="E923" s="67"/>
      <c r="F923" s="67"/>
      <c r="G923" s="36"/>
      <c r="H923" s="29"/>
      <c r="I923" s="78" t="str">
        <f t="shared" si="24"/>
        <v/>
      </c>
      <c r="J923" s="29"/>
      <c r="K923" s="29"/>
      <c r="L923" s="33"/>
      <c r="M923" s="33"/>
      <c r="N923" s="60"/>
      <c r="O923" s="71"/>
      <c r="P923" s="71"/>
      <c r="Q923" s="33"/>
      <c r="R923" s="31"/>
      <c r="S923" s="31"/>
      <c r="T923" s="59"/>
      <c r="U923" s="59"/>
      <c r="V923" s="59"/>
      <c r="W923" s="57">
        <f t="shared" si="25"/>
        <v>0</v>
      </c>
      <c r="X923" s="126" t="str">
        <f>IF(Table1[[#This Row],[Shipping Weight Pounds]]&gt;150,"See LTL Form","No")</f>
        <v>No</v>
      </c>
      <c r="Y923" s="28"/>
      <c r="Z923" s="33"/>
      <c r="AA923" s="34"/>
      <c r="AB923" s="30"/>
      <c r="AC923" s="30"/>
      <c r="AD923" s="32"/>
      <c r="AE923" s="32"/>
      <c r="AF923" s="2"/>
      <c r="AG923" s="2"/>
      <c r="AH923" s="2"/>
      <c r="AI923" s="2"/>
      <c r="AK923" s="73" t="str">
        <f>IF(ISNA(MATCH($N923,[1]data!$A:$A,0)),"",INDEX([1]data!S:S,MATCH($N923,[1]data!$A:$A,0)))</f>
        <v/>
      </c>
      <c r="AL923" s="73" t="str">
        <f>IF(ISNA(MATCH($N923,[1]data!$A:$A,0)),"",INDEX([1]data!V:V,MATCH($N923,[1]data!$A:$A,0)))</f>
        <v/>
      </c>
      <c r="AM923" s="38" t="str">
        <f>IF(ISNA(MATCH($N923,data!$A:$A,0)),"",INDEX(data!B:B,MATCH($N923,data!$A:$A,0)))</f>
        <v/>
      </c>
      <c r="AN923" s="38" t="str">
        <f>IF(ISNA(MATCH($N923,data!$A:$A,0)),"",INDEX(data!C:C,MATCH($N923,data!$A:$A,0)))</f>
        <v/>
      </c>
      <c r="AO923" s="38" t="str">
        <f>IF(ISNA(MATCH($N923,data!$A:$A,0)),"",INDEX(data!D:D,MATCH($N923,data!$A:$A,0)))</f>
        <v/>
      </c>
      <c r="AP923" s="38" t="str">
        <f>IF(ISNA(MATCH($N923,data!$A:$A,0)),"",INDEX(data!E:E,MATCH($N923,data!$A:$A,0)))</f>
        <v/>
      </c>
      <c r="AQ923" s="38" t="str">
        <f>IF(ISNA(MATCH($N923,data!$A:$A,0)),"",INDEX(data!F:F,MATCH($N923,data!$A:$A,0)))</f>
        <v/>
      </c>
      <c r="AR923" s="38" t="str">
        <f>IF(ISNA(MATCH($N923,data!$A:$A,0)),"",INDEX(data!G:G,MATCH($N923,data!$A:$A,0)))</f>
        <v/>
      </c>
      <c r="AS923" s="38" t="str">
        <f>IF(ISNA(MATCH($N923,data!$A:$A,0)),"",INDEX(data!H:H,MATCH($N923,data!$A:$A,0)))</f>
        <v/>
      </c>
      <c r="AT923" s="38" t="str">
        <f>IF(ISNA(MATCH($N923,data!$A:$A,0)),"",INDEX(data!I:I,MATCH($N923,data!$A:$A,0)))</f>
        <v/>
      </c>
      <c r="AU923" s="38" t="str">
        <f>IF(ISNA(MATCH($N923,[1]data!$A:$A,0)),"",INDEX([1]data!L:L,MATCH($N923,[1]data!$A:$A,0)))</f>
        <v/>
      </c>
      <c r="AV923" s="38" t="str">
        <f>IF(ISNA(MATCH($N923,[1]data!$A:$A,0)),"",INDEX([1]data!M:M,MATCH($N923,[1]data!$A:$A,0)))</f>
        <v/>
      </c>
      <c r="AW923" s="38" t="str">
        <f>IF(ISNA(MATCH($N923,data!$A:$A,0)),"",INDEX(data!J:J,MATCH($N923,data!$A:$A,0)))</f>
        <v/>
      </c>
      <c r="AX923" s="38" t="str">
        <f>IF(ISNA(MATCH($N923,data!$A:$A,0)),"",INDEX(data!K:K,MATCH($N923,data!$A:$A,0)))</f>
        <v/>
      </c>
      <c r="AY923" s="38" t="str">
        <f>IF(ISNA(MATCH($N923,data!$A:$A,0)),"",INDEX(data!O:O,MATCH($N923,data!$A:$A,0)))</f>
        <v/>
      </c>
      <c r="AZ923" s="38" t="str">
        <f>IF(ISNA(MATCH($N923,data!$A:$A,0)),"",INDEX(data!N:N,MATCH($N923,data!$A:$A,0)))</f>
        <v/>
      </c>
      <c r="BA923" s="38" t="str">
        <f>IF(ISNA(MATCH($N923,data!$A:$A,0)),"",INDEX(data!P:P,MATCH($N923,data!$A:$A,0)))</f>
        <v/>
      </c>
      <c r="BB923" s="38" t="str">
        <f>IF(ISNA(MATCH($N923,data!$A:$A,0)),"",INDEX(data!Q:Q,MATCH($N923,data!$A:$A,0)))</f>
        <v/>
      </c>
      <c r="BC923" s="38" t="str">
        <f>IF(ISNA(MATCH($N923,data!$A:$A,0)),"",INDEX(data!R:R,MATCH($N923,data!$A:$A,0)))</f>
        <v/>
      </c>
      <c r="BD923" s="38" t="str">
        <f>IF(ISNA(MATCH($N923,[1]data!$A:$A,0)),"",INDEX([1]data!U:U,MATCH($N923,[1]data!$A:$A,0)))</f>
        <v/>
      </c>
      <c r="BE923" s="61" t="e">
        <f>IF(COUNTIF([1]data!A:A,[1]!Table1[[#This Row],[UPC]])&lt;2,"","DUP")</f>
        <v>#VALUE!</v>
      </c>
      <c r="BF923" s="38" t="str">
        <f>IF(ISNA(MATCH($N923,data!$A:$A,0)),"",INDEX(data!W:W,MATCH($N923,data!$A:$A,0)))</f>
        <v/>
      </c>
    </row>
    <row r="924" spans="1:58">
      <c r="A924" s="35"/>
      <c r="B924" s="35"/>
      <c r="C924" s="35"/>
      <c r="D924" s="35"/>
      <c r="E924" s="67"/>
      <c r="F924" s="67"/>
      <c r="G924" s="36"/>
      <c r="H924" s="29"/>
      <c r="I924" s="78" t="str">
        <f t="shared" si="24"/>
        <v/>
      </c>
      <c r="J924" s="29"/>
      <c r="K924" s="29"/>
      <c r="L924" s="33"/>
      <c r="M924" s="33"/>
      <c r="N924" s="60"/>
      <c r="O924" s="71"/>
      <c r="P924" s="71"/>
      <c r="Q924" s="33"/>
      <c r="R924" s="31"/>
      <c r="S924" s="31"/>
      <c r="T924" s="59"/>
      <c r="U924" s="59"/>
      <c r="V924" s="59"/>
      <c r="W924" s="57">
        <f t="shared" si="25"/>
        <v>0</v>
      </c>
      <c r="X924" s="126" t="str">
        <f>IF(Table1[[#This Row],[Shipping Weight Pounds]]&gt;150,"See LTL Form","No")</f>
        <v>No</v>
      </c>
      <c r="Y924" s="28"/>
      <c r="Z924" s="33"/>
      <c r="AA924" s="34"/>
      <c r="AB924" s="30"/>
      <c r="AC924" s="30"/>
      <c r="AD924" s="32"/>
      <c r="AE924" s="32"/>
      <c r="AF924" s="2"/>
      <c r="AG924" s="2"/>
      <c r="AH924" s="2"/>
      <c r="AI924" s="2"/>
      <c r="AK924" s="73" t="str">
        <f>IF(ISNA(MATCH($N924,[1]data!$A:$A,0)),"",INDEX([1]data!S:S,MATCH($N924,[1]data!$A:$A,0)))</f>
        <v/>
      </c>
      <c r="AL924" s="73" t="str">
        <f>IF(ISNA(MATCH($N924,[1]data!$A:$A,0)),"",INDEX([1]data!V:V,MATCH($N924,[1]data!$A:$A,0)))</f>
        <v/>
      </c>
      <c r="AM924" s="38" t="str">
        <f>IF(ISNA(MATCH($N924,data!$A:$A,0)),"",INDEX(data!B:B,MATCH($N924,data!$A:$A,0)))</f>
        <v/>
      </c>
      <c r="AN924" s="38" t="str">
        <f>IF(ISNA(MATCH($N924,data!$A:$A,0)),"",INDEX(data!C:C,MATCH($N924,data!$A:$A,0)))</f>
        <v/>
      </c>
      <c r="AO924" s="38" t="str">
        <f>IF(ISNA(MATCH($N924,data!$A:$A,0)),"",INDEX(data!D:D,MATCH($N924,data!$A:$A,0)))</f>
        <v/>
      </c>
      <c r="AP924" s="38" t="str">
        <f>IF(ISNA(MATCH($N924,data!$A:$A,0)),"",INDEX(data!E:E,MATCH($N924,data!$A:$A,0)))</f>
        <v/>
      </c>
      <c r="AQ924" s="38" t="str">
        <f>IF(ISNA(MATCH($N924,data!$A:$A,0)),"",INDEX(data!F:F,MATCH($N924,data!$A:$A,0)))</f>
        <v/>
      </c>
      <c r="AR924" s="38" t="str">
        <f>IF(ISNA(MATCH($N924,data!$A:$A,0)),"",INDEX(data!G:G,MATCH($N924,data!$A:$A,0)))</f>
        <v/>
      </c>
      <c r="AS924" s="38" t="str">
        <f>IF(ISNA(MATCH($N924,data!$A:$A,0)),"",INDEX(data!H:H,MATCH($N924,data!$A:$A,0)))</f>
        <v/>
      </c>
      <c r="AT924" s="38" t="str">
        <f>IF(ISNA(MATCH($N924,data!$A:$A,0)),"",INDEX(data!I:I,MATCH($N924,data!$A:$A,0)))</f>
        <v/>
      </c>
      <c r="AU924" s="38" t="str">
        <f>IF(ISNA(MATCH($N924,[1]data!$A:$A,0)),"",INDEX([1]data!L:L,MATCH($N924,[1]data!$A:$A,0)))</f>
        <v/>
      </c>
      <c r="AV924" s="38" t="str">
        <f>IF(ISNA(MATCH($N924,[1]data!$A:$A,0)),"",INDEX([1]data!M:M,MATCH($N924,[1]data!$A:$A,0)))</f>
        <v/>
      </c>
      <c r="AW924" s="38" t="str">
        <f>IF(ISNA(MATCH($N924,data!$A:$A,0)),"",INDEX(data!J:J,MATCH($N924,data!$A:$A,0)))</f>
        <v/>
      </c>
      <c r="AX924" s="38" t="str">
        <f>IF(ISNA(MATCH($N924,data!$A:$A,0)),"",INDEX(data!K:K,MATCH($N924,data!$A:$A,0)))</f>
        <v/>
      </c>
      <c r="AY924" s="38" t="str">
        <f>IF(ISNA(MATCH($N924,data!$A:$A,0)),"",INDEX(data!O:O,MATCH($N924,data!$A:$A,0)))</f>
        <v/>
      </c>
      <c r="AZ924" s="38" t="str">
        <f>IF(ISNA(MATCH($N924,data!$A:$A,0)),"",INDEX(data!N:N,MATCH($N924,data!$A:$A,0)))</f>
        <v/>
      </c>
      <c r="BA924" s="38" t="str">
        <f>IF(ISNA(MATCH($N924,data!$A:$A,0)),"",INDEX(data!P:P,MATCH($N924,data!$A:$A,0)))</f>
        <v/>
      </c>
      <c r="BB924" s="38" t="str">
        <f>IF(ISNA(MATCH($N924,data!$A:$A,0)),"",INDEX(data!Q:Q,MATCH($N924,data!$A:$A,0)))</f>
        <v/>
      </c>
      <c r="BC924" s="38" t="str">
        <f>IF(ISNA(MATCH($N924,data!$A:$A,0)),"",INDEX(data!R:R,MATCH($N924,data!$A:$A,0)))</f>
        <v/>
      </c>
      <c r="BD924" s="38" t="str">
        <f>IF(ISNA(MATCH($N924,[1]data!$A:$A,0)),"",INDEX([1]data!U:U,MATCH($N924,[1]data!$A:$A,0)))</f>
        <v/>
      </c>
      <c r="BE924" s="61" t="e">
        <f>IF(COUNTIF([1]data!A:A,[1]!Table1[[#This Row],[UPC]])&lt;2,"","DUP")</f>
        <v>#VALUE!</v>
      </c>
      <c r="BF924" s="38" t="str">
        <f>IF(ISNA(MATCH($N924,data!$A:$A,0)),"",INDEX(data!W:W,MATCH($N924,data!$A:$A,0)))</f>
        <v/>
      </c>
    </row>
    <row r="925" spans="1:58">
      <c r="A925" s="35"/>
      <c r="B925" s="35"/>
      <c r="C925" s="35"/>
      <c r="D925" s="35"/>
      <c r="E925" s="67"/>
      <c r="F925" s="67"/>
      <c r="G925" s="36"/>
      <c r="H925" s="29"/>
      <c r="I925" s="78" t="str">
        <f t="shared" si="24"/>
        <v/>
      </c>
      <c r="J925" s="29"/>
      <c r="K925" s="29"/>
      <c r="L925" s="33"/>
      <c r="M925" s="33"/>
      <c r="N925" s="60"/>
      <c r="O925" s="71"/>
      <c r="P925" s="71"/>
      <c r="Q925" s="33"/>
      <c r="R925" s="31"/>
      <c r="S925" s="31"/>
      <c r="T925" s="59"/>
      <c r="U925" s="59"/>
      <c r="V925" s="59"/>
      <c r="W925" s="57">
        <f t="shared" si="25"/>
        <v>0</v>
      </c>
      <c r="X925" s="126" t="str">
        <f>IF(Table1[[#This Row],[Shipping Weight Pounds]]&gt;150,"See LTL Form","No")</f>
        <v>No</v>
      </c>
      <c r="Y925" s="28"/>
      <c r="Z925" s="33"/>
      <c r="AA925" s="34"/>
      <c r="AB925" s="30"/>
      <c r="AC925" s="30"/>
      <c r="AD925" s="32"/>
      <c r="AE925" s="32"/>
      <c r="AF925" s="2"/>
      <c r="AG925" s="2"/>
      <c r="AH925" s="2"/>
      <c r="AI925" s="2"/>
      <c r="AK925" s="73" t="str">
        <f>IF(ISNA(MATCH($N925,[1]data!$A:$A,0)),"",INDEX([1]data!S:S,MATCH($N925,[1]data!$A:$A,0)))</f>
        <v/>
      </c>
      <c r="AL925" s="73" t="str">
        <f>IF(ISNA(MATCH($N925,[1]data!$A:$A,0)),"",INDEX([1]data!V:V,MATCH($N925,[1]data!$A:$A,0)))</f>
        <v/>
      </c>
      <c r="AM925" s="38" t="str">
        <f>IF(ISNA(MATCH($N925,data!$A:$A,0)),"",INDEX(data!B:B,MATCH($N925,data!$A:$A,0)))</f>
        <v/>
      </c>
      <c r="AN925" s="38" t="str">
        <f>IF(ISNA(MATCH($N925,data!$A:$A,0)),"",INDEX(data!C:C,MATCH($N925,data!$A:$A,0)))</f>
        <v/>
      </c>
      <c r="AO925" s="38" t="str">
        <f>IF(ISNA(MATCH($N925,data!$A:$A,0)),"",INDEX(data!D:D,MATCH($N925,data!$A:$A,0)))</f>
        <v/>
      </c>
      <c r="AP925" s="38" t="str">
        <f>IF(ISNA(MATCH($N925,data!$A:$A,0)),"",INDEX(data!E:E,MATCH($N925,data!$A:$A,0)))</f>
        <v/>
      </c>
      <c r="AQ925" s="38" t="str">
        <f>IF(ISNA(MATCH($N925,data!$A:$A,0)),"",INDEX(data!F:F,MATCH($N925,data!$A:$A,0)))</f>
        <v/>
      </c>
      <c r="AR925" s="38" t="str">
        <f>IF(ISNA(MATCH($N925,data!$A:$A,0)),"",INDEX(data!G:G,MATCH($N925,data!$A:$A,0)))</f>
        <v/>
      </c>
      <c r="AS925" s="38" t="str">
        <f>IF(ISNA(MATCH($N925,data!$A:$A,0)),"",INDEX(data!H:H,MATCH($N925,data!$A:$A,0)))</f>
        <v/>
      </c>
      <c r="AT925" s="38" t="str">
        <f>IF(ISNA(MATCH($N925,data!$A:$A,0)),"",INDEX(data!I:I,MATCH($N925,data!$A:$A,0)))</f>
        <v/>
      </c>
      <c r="AU925" s="38" t="str">
        <f>IF(ISNA(MATCH($N925,[1]data!$A:$A,0)),"",INDEX([1]data!L:L,MATCH($N925,[1]data!$A:$A,0)))</f>
        <v/>
      </c>
      <c r="AV925" s="38" t="str">
        <f>IF(ISNA(MATCH($N925,[1]data!$A:$A,0)),"",INDEX([1]data!M:M,MATCH($N925,[1]data!$A:$A,0)))</f>
        <v/>
      </c>
      <c r="AW925" s="38" t="str">
        <f>IF(ISNA(MATCH($N925,data!$A:$A,0)),"",INDEX(data!J:J,MATCH($N925,data!$A:$A,0)))</f>
        <v/>
      </c>
      <c r="AX925" s="38" t="str">
        <f>IF(ISNA(MATCH($N925,data!$A:$A,0)),"",INDEX(data!K:K,MATCH($N925,data!$A:$A,0)))</f>
        <v/>
      </c>
      <c r="AY925" s="38" t="str">
        <f>IF(ISNA(MATCH($N925,data!$A:$A,0)),"",INDEX(data!O:O,MATCH($N925,data!$A:$A,0)))</f>
        <v/>
      </c>
      <c r="AZ925" s="38" t="str">
        <f>IF(ISNA(MATCH($N925,data!$A:$A,0)),"",INDEX(data!N:N,MATCH($N925,data!$A:$A,0)))</f>
        <v/>
      </c>
      <c r="BA925" s="38" t="str">
        <f>IF(ISNA(MATCH($N925,data!$A:$A,0)),"",INDEX(data!P:P,MATCH($N925,data!$A:$A,0)))</f>
        <v/>
      </c>
      <c r="BB925" s="38" t="str">
        <f>IF(ISNA(MATCH($N925,data!$A:$A,0)),"",INDEX(data!Q:Q,MATCH($N925,data!$A:$A,0)))</f>
        <v/>
      </c>
      <c r="BC925" s="38" t="str">
        <f>IF(ISNA(MATCH($N925,data!$A:$A,0)),"",INDEX(data!R:R,MATCH($N925,data!$A:$A,0)))</f>
        <v/>
      </c>
      <c r="BD925" s="38" t="str">
        <f>IF(ISNA(MATCH($N925,[1]data!$A:$A,0)),"",INDEX([1]data!U:U,MATCH($N925,[1]data!$A:$A,0)))</f>
        <v/>
      </c>
      <c r="BE925" s="61" t="e">
        <f>IF(COUNTIF([1]data!A:A,[1]!Table1[[#This Row],[UPC]])&lt;2,"","DUP")</f>
        <v>#VALUE!</v>
      </c>
      <c r="BF925" s="38" t="str">
        <f>IF(ISNA(MATCH($N925,data!$A:$A,0)),"",INDEX(data!W:W,MATCH($N925,data!$A:$A,0)))</f>
        <v/>
      </c>
    </row>
    <row r="926" spans="1:58">
      <c r="A926" s="35"/>
      <c r="B926" s="35"/>
      <c r="C926" s="35"/>
      <c r="D926" s="35"/>
      <c r="E926" s="67"/>
      <c r="F926" s="67"/>
      <c r="G926" s="36"/>
      <c r="H926" s="29"/>
      <c r="I926" s="78" t="str">
        <f t="shared" si="24"/>
        <v/>
      </c>
      <c r="J926" s="29"/>
      <c r="K926" s="29"/>
      <c r="L926" s="33"/>
      <c r="M926" s="33"/>
      <c r="N926" s="60"/>
      <c r="O926" s="71"/>
      <c r="P926" s="71"/>
      <c r="Q926" s="33"/>
      <c r="R926" s="31"/>
      <c r="S926" s="31"/>
      <c r="T926" s="59"/>
      <c r="U926" s="59"/>
      <c r="V926" s="59"/>
      <c r="W926" s="57">
        <f t="shared" si="25"/>
        <v>0</v>
      </c>
      <c r="X926" s="126" t="str">
        <f>IF(Table1[[#This Row],[Shipping Weight Pounds]]&gt;150,"See LTL Form","No")</f>
        <v>No</v>
      </c>
      <c r="Y926" s="28"/>
      <c r="Z926" s="33"/>
      <c r="AA926" s="34"/>
      <c r="AB926" s="30"/>
      <c r="AC926" s="30"/>
      <c r="AD926" s="32"/>
      <c r="AE926" s="32"/>
      <c r="AF926" s="2"/>
      <c r="AG926" s="2"/>
      <c r="AH926" s="2"/>
      <c r="AI926" s="2"/>
      <c r="AK926" s="73" t="str">
        <f>IF(ISNA(MATCH($N926,[1]data!$A:$A,0)),"",INDEX([1]data!S:S,MATCH($N926,[1]data!$A:$A,0)))</f>
        <v/>
      </c>
      <c r="AL926" s="73" t="str">
        <f>IF(ISNA(MATCH($N926,[1]data!$A:$A,0)),"",INDEX([1]data!V:V,MATCH($N926,[1]data!$A:$A,0)))</f>
        <v/>
      </c>
      <c r="AM926" s="38" t="str">
        <f>IF(ISNA(MATCH($N926,data!$A:$A,0)),"",INDEX(data!B:B,MATCH($N926,data!$A:$A,0)))</f>
        <v/>
      </c>
      <c r="AN926" s="38" t="str">
        <f>IF(ISNA(MATCH($N926,data!$A:$A,0)),"",INDEX(data!C:C,MATCH($N926,data!$A:$A,0)))</f>
        <v/>
      </c>
      <c r="AO926" s="38" t="str">
        <f>IF(ISNA(MATCH($N926,data!$A:$A,0)),"",INDEX(data!D:D,MATCH($N926,data!$A:$A,0)))</f>
        <v/>
      </c>
      <c r="AP926" s="38" t="str">
        <f>IF(ISNA(MATCH($N926,data!$A:$A,0)),"",INDEX(data!E:E,MATCH($N926,data!$A:$A,0)))</f>
        <v/>
      </c>
      <c r="AQ926" s="38" t="str">
        <f>IF(ISNA(MATCH($N926,data!$A:$A,0)),"",INDEX(data!F:F,MATCH($N926,data!$A:$A,0)))</f>
        <v/>
      </c>
      <c r="AR926" s="38" t="str">
        <f>IF(ISNA(MATCH($N926,data!$A:$A,0)),"",INDEX(data!G:G,MATCH($N926,data!$A:$A,0)))</f>
        <v/>
      </c>
      <c r="AS926" s="38" t="str">
        <f>IF(ISNA(MATCH($N926,data!$A:$A,0)),"",INDEX(data!H:H,MATCH($N926,data!$A:$A,0)))</f>
        <v/>
      </c>
      <c r="AT926" s="38" t="str">
        <f>IF(ISNA(MATCH($N926,data!$A:$A,0)),"",INDEX(data!I:I,MATCH($N926,data!$A:$A,0)))</f>
        <v/>
      </c>
      <c r="AU926" s="38" t="str">
        <f>IF(ISNA(MATCH($N926,[1]data!$A:$A,0)),"",INDEX([1]data!L:L,MATCH($N926,[1]data!$A:$A,0)))</f>
        <v/>
      </c>
      <c r="AV926" s="38" t="str">
        <f>IF(ISNA(MATCH($N926,[1]data!$A:$A,0)),"",INDEX([1]data!M:M,MATCH($N926,[1]data!$A:$A,0)))</f>
        <v/>
      </c>
      <c r="AW926" s="38" t="str">
        <f>IF(ISNA(MATCH($N926,data!$A:$A,0)),"",INDEX(data!J:J,MATCH($N926,data!$A:$A,0)))</f>
        <v/>
      </c>
      <c r="AX926" s="38" t="str">
        <f>IF(ISNA(MATCH($N926,data!$A:$A,0)),"",INDEX(data!K:K,MATCH($N926,data!$A:$A,0)))</f>
        <v/>
      </c>
      <c r="AY926" s="38" t="str">
        <f>IF(ISNA(MATCH($N926,data!$A:$A,0)),"",INDEX(data!O:O,MATCH($N926,data!$A:$A,0)))</f>
        <v/>
      </c>
      <c r="AZ926" s="38" t="str">
        <f>IF(ISNA(MATCH($N926,data!$A:$A,0)),"",INDEX(data!N:N,MATCH($N926,data!$A:$A,0)))</f>
        <v/>
      </c>
      <c r="BA926" s="38" t="str">
        <f>IF(ISNA(MATCH($N926,data!$A:$A,0)),"",INDEX(data!P:P,MATCH($N926,data!$A:$A,0)))</f>
        <v/>
      </c>
      <c r="BB926" s="38" t="str">
        <f>IF(ISNA(MATCH($N926,data!$A:$A,0)),"",INDEX(data!Q:Q,MATCH($N926,data!$A:$A,0)))</f>
        <v/>
      </c>
      <c r="BC926" s="38" t="str">
        <f>IF(ISNA(MATCH($N926,data!$A:$A,0)),"",INDEX(data!R:R,MATCH($N926,data!$A:$A,0)))</f>
        <v/>
      </c>
      <c r="BD926" s="38" t="str">
        <f>IF(ISNA(MATCH($N926,[1]data!$A:$A,0)),"",INDEX([1]data!U:U,MATCH($N926,[1]data!$A:$A,0)))</f>
        <v/>
      </c>
      <c r="BE926" s="61" t="e">
        <f>IF(COUNTIF([1]data!A:A,[1]!Table1[[#This Row],[UPC]])&lt;2,"","DUP")</f>
        <v>#VALUE!</v>
      </c>
      <c r="BF926" s="38" t="str">
        <f>IF(ISNA(MATCH($N926,data!$A:$A,0)),"",INDEX(data!W:W,MATCH($N926,data!$A:$A,0)))</f>
        <v/>
      </c>
    </row>
    <row r="927" spans="1:58">
      <c r="A927" s="35"/>
      <c r="B927" s="35"/>
      <c r="C927" s="35"/>
      <c r="D927" s="35"/>
      <c r="E927" s="67"/>
      <c r="F927" s="67"/>
      <c r="G927" s="36"/>
      <c r="H927" s="29"/>
      <c r="I927" s="78" t="str">
        <f t="shared" si="24"/>
        <v/>
      </c>
      <c r="J927" s="29"/>
      <c r="K927" s="29"/>
      <c r="L927" s="33"/>
      <c r="M927" s="33"/>
      <c r="N927" s="60"/>
      <c r="O927" s="71"/>
      <c r="P927" s="71"/>
      <c r="Q927" s="33"/>
      <c r="R927" s="31"/>
      <c r="S927" s="31"/>
      <c r="T927" s="59"/>
      <c r="U927" s="59"/>
      <c r="V927" s="59"/>
      <c r="W927" s="57">
        <f t="shared" si="25"/>
        <v>0</v>
      </c>
      <c r="X927" s="126" t="str">
        <f>IF(Table1[[#This Row],[Shipping Weight Pounds]]&gt;150,"See LTL Form","No")</f>
        <v>No</v>
      </c>
      <c r="Y927" s="28"/>
      <c r="Z927" s="33"/>
      <c r="AA927" s="34"/>
      <c r="AB927" s="30"/>
      <c r="AC927" s="30"/>
      <c r="AD927" s="32"/>
      <c r="AE927" s="32"/>
      <c r="AF927" s="2"/>
      <c r="AG927" s="2"/>
      <c r="AH927" s="2"/>
      <c r="AI927" s="2"/>
      <c r="AK927" s="73" t="str">
        <f>IF(ISNA(MATCH($N927,[1]data!$A:$A,0)),"",INDEX([1]data!S:S,MATCH($N927,[1]data!$A:$A,0)))</f>
        <v/>
      </c>
      <c r="AL927" s="73" t="str">
        <f>IF(ISNA(MATCH($N927,[1]data!$A:$A,0)),"",INDEX([1]data!V:V,MATCH($N927,[1]data!$A:$A,0)))</f>
        <v/>
      </c>
      <c r="AM927" s="38" t="str">
        <f>IF(ISNA(MATCH($N927,data!$A:$A,0)),"",INDEX(data!B:B,MATCH($N927,data!$A:$A,0)))</f>
        <v/>
      </c>
      <c r="AN927" s="38" t="str">
        <f>IF(ISNA(MATCH($N927,data!$A:$A,0)),"",INDEX(data!C:C,MATCH($N927,data!$A:$A,0)))</f>
        <v/>
      </c>
      <c r="AO927" s="38" t="str">
        <f>IF(ISNA(MATCH($N927,data!$A:$A,0)),"",INDEX(data!D:D,MATCH($N927,data!$A:$A,0)))</f>
        <v/>
      </c>
      <c r="AP927" s="38" t="str">
        <f>IF(ISNA(MATCH($N927,data!$A:$A,0)),"",INDEX(data!E:E,MATCH($N927,data!$A:$A,0)))</f>
        <v/>
      </c>
      <c r="AQ927" s="38" t="str">
        <f>IF(ISNA(MATCH($N927,data!$A:$A,0)),"",INDEX(data!F:F,MATCH($N927,data!$A:$A,0)))</f>
        <v/>
      </c>
      <c r="AR927" s="38" t="str">
        <f>IF(ISNA(MATCH($N927,data!$A:$A,0)),"",INDEX(data!G:G,MATCH($N927,data!$A:$A,0)))</f>
        <v/>
      </c>
      <c r="AS927" s="38" t="str">
        <f>IF(ISNA(MATCH($N927,data!$A:$A,0)),"",INDEX(data!H:H,MATCH($N927,data!$A:$A,0)))</f>
        <v/>
      </c>
      <c r="AT927" s="38" t="str">
        <f>IF(ISNA(MATCH($N927,data!$A:$A,0)),"",INDEX(data!I:I,MATCH($N927,data!$A:$A,0)))</f>
        <v/>
      </c>
      <c r="AU927" s="38" t="str">
        <f>IF(ISNA(MATCH($N927,[1]data!$A:$A,0)),"",INDEX([1]data!L:L,MATCH($N927,[1]data!$A:$A,0)))</f>
        <v/>
      </c>
      <c r="AV927" s="38" t="str">
        <f>IF(ISNA(MATCH($N927,[1]data!$A:$A,0)),"",INDEX([1]data!M:M,MATCH($N927,[1]data!$A:$A,0)))</f>
        <v/>
      </c>
      <c r="AW927" s="38" t="str">
        <f>IF(ISNA(MATCH($N927,data!$A:$A,0)),"",INDEX(data!J:J,MATCH($N927,data!$A:$A,0)))</f>
        <v/>
      </c>
      <c r="AX927" s="38" t="str">
        <f>IF(ISNA(MATCH($N927,data!$A:$A,0)),"",INDEX(data!K:K,MATCH($N927,data!$A:$A,0)))</f>
        <v/>
      </c>
      <c r="AY927" s="38" t="str">
        <f>IF(ISNA(MATCH($N927,data!$A:$A,0)),"",INDEX(data!O:O,MATCH($N927,data!$A:$A,0)))</f>
        <v/>
      </c>
      <c r="AZ927" s="38" t="str">
        <f>IF(ISNA(MATCH($N927,data!$A:$A,0)),"",INDEX(data!N:N,MATCH($N927,data!$A:$A,0)))</f>
        <v/>
      </c>
      <c r="BA927" s="38" t="str">
        <f>IF(ISNA(MATCH($N927,data!$A:$A,0)),"",INDEX(data!P:P,MATCH($N927,data!$A:$A,0)))</f>
        <v/>
      </c>
      <c r="BB927" s="38" t="str">
        <f>IF(ISNA(MATCH($N927,data!$A:$A,0)),"",INDEX(data!Q:Q,MATCH($N927,data!$A:$A,0)))</f>
        <v/>
      </c>
      <c r="BC927" s="38" t="str">
        <f>IF(ISNA(MATCH($N927,data!$A:$A,0)),"",INDEX(data!R:R,MATCH($N927,data!$A:$A,0)))</f>
        <v/>
      </c>
      <c r="BD927" s="38" t="str">
        <f>IF(ISNA(MATCH($N927,[1]data!$A:$A,0)),"",INDEX([1]data!U:U,MATCH($N927,[1]data!$A:$A,0)))</f>
        <v/>
      </c>
      <c r="BE927" s="61" t="e">
        <f>IF(COUNTIF([1]data!A:A,[1]!Table1[[#This Row],[UPC]])&lt;2,"","DUP")</f>
        <v>#VALUE!</v>
      </c>
      <c r="BF927" s="38" t="str">
        <f>IF(ISNA(MATCH($N927,data!$A:$A,0)),"",INDEX(data!W:W,MATCH($N927,data!$A:$A,0)))</f>
        <v/>
      </c>
    </row>
    <row r="928" spans="1:58">
      <c r="A928" s="35"/>
      <c r="B928" s="35"/>
      <c r="C928" s="35"/>
      <c r="D928" s="35"/>
      <c r="E928" s="67"/>
      <c r="F928" s="67"/>
      <c r="G928" s="36"/>
      <c r="H928" s="29"/>
      <c r="I928" s="78" t="str">
        <f t="shared" si="24"/>
        <v/>
      </c>
      <c r="J928" s="29"/>
      <c r="K928" s="29"/>
      <c r="L928" s="33"/>
      <c r="M928" s="33"/>
      <c r="N928" s="60"/>
      <c r="O928" s="71"/>
      <c r="P928" s="71"/>
      <c r="Q928" s="33"/>
      <c r="R928" s="31"/>
      <c r="S928" s="31"/>
      <c r="T928" s="59"/>
      <c r="U928" s="59"/>
      <c r="V928" s="59"/>
      <c r="W928" s="57">
        <f t="shared" si="25"/>
        <v>0</v>
      </c>
      <c r="X928" s="126" t="str">
        <f>IF(Table1[[#This Row],[Shipping Weight Pounds]]&gt;150,"See LTL Form","No")</f>
        <v>No</v>
      </c>
      <c r="Y928" s="28"/>
      <c r="Z928" s="33"/>
      <c r="AA928" s="34"/>
      <c r="AB928" s="30"/>
      <c r="AC928" s="30"/>
      <c r="AD928" s="32"/>
      <c r="AE928" s="32"/>
      <c r="AF928" s="2"/>
      <c r="AG928" s="2"/>
      <c r="AH928" s="2"/>
      <c r="AI928" s="2"/>
      <c r="AK928" s="73" t="str">
        <f>IF(ISNA(MATCH($N928,[1]data!$A:$A,0)),"",INDEX([1]data!S:S,MATCH($N928,[1]data!$A:$A,0)))</f>
        <v/>
      </c>
      <c r="AL928" s="73" t="str">
        <f>IF(ISNA(MATCH($N928,[1]data!$A:$A,0)),"",INDEX([1]data!V:V,MATCH($N928,[1]data!$A:$A,0)))</f>
        <v/>
      </c>
      <c r="AM928" s="38" t="str">
        <f>IF(ISNA(MATCH($N928,data!$A:$A,0)),"",INDEX(data!B:B,MATCH($N928,data!$A:$A,0)))</f>
        <v/>
      </c>
      <c r="AN928" s="38" t="str">
        <f>IF(ISNA(MATCH($N928,data!$A:$A,0)),"",INDEX(data!C:C,MATCH($N928,data!$A:$A,0)))</f>
        <v/>
      </c>
      <c r="AO928" s="38" t="str">
        <f>IF(ISNA(MATCH($N928,data!$A:$A,0)),"",INDEX(data!D:D,MATCH($N928,data!$A:$A,0)))</f>
        <v/>
      </c>
      <c r="AP928" s="38" t="str">
        <f>IF(ISNA(MATCH($N928,data!$A:$A,0)),"",INDEX(data!E:E,MATCH($N928,data!$A:$A,0)))</f>
        <v/>
      </c>
      <c r="AQ928" s="38" t="str">
        <f>IF(ISNA(MATCH($N928,data!$A:$A,0)),"",INDEX(data!F:F,MATCH($N928,data!$A:$A,0)))</f>
        <v/>
      </c>
      <c r="AR928" s="38" t="str">
        <f>IF(ISNA(MATCH($N928,data!$A:$A,0)),"",INDEX(data!G:G,MATCH($N928,data!$A:$A,0)))</f>
        <v/>
      </c>
      <c r="AS928" s="38" t="str">
        <f>IF(ISNA(MATCH($N928,data!$A:$A,0)),"",INDEX(data!H:H,MATCH($N928,data!$A:$A,0)))</f>
        <v/>
      </c>
      <c r="AT928" s="38" t="str">
        <f>IF(ISNA(MATCH($N928,data!$A:$A,0)),"",INDEX(data!I:I,MATCH($N928,data!$A:$A,0)))</f>
        <v/>
      </c>
      <c r="AU928" s="38" t="str">
        <f>IF(ISNA(MATCH($N928,[1]data!$A:$A,0)),"",INDEX([1]data!L:L,MATCH($N928,[1]data!$A:$A,0)))</f>
        <v/>
      </c>
      <c r="AV928" s="38" t="str">
        <f>IF(ISNA(MATCH($N928,[1]data!$A:$A,0)),"",INDEX([1]data!M:M,MATCH($N928,[1]data!$A:$A,0)))</f>
        <v/>
      </c>
      <c r="AW928" s="38" t="str">
        <f>IF(ISNA(MATCH($N928,data!$A:$A,0)),"",INDEX(data!J:J,MATCH($N928,data!$A:$A,0)))</f>
        <v/>
      </c>
      <c r="AX928" s="38" t="str">
        <f>IF(ISNA(MATCH($N928,data!$A:$A,0)),"",INDEX(data!K:K,MATCH($N928,data!$A:$A,0)))</f>
        <v/>
      </c>
      <c r="AY928" s="38" t="str">
        <f>IF(ISNA(MATCH($N928,data!$A:$A,0)),"",INDEX(data!O:O,MATCH($N928,data!$A:$A,0)))</f>
        <v/>
      </c>
      <c r="AZ928" s="38" t="str">
        <f>IF(ISNA(MATCH($N928,data!$A:$A,0)),"",INDEX(data!N:N,MATCH($N928,data!$A:$A,0)))</f>
        <v/>
      </c>
      <c r="BA928" s="38" t="str">
        <f>IF(ISNA(MATCH($N928,data!$A:$A,0)),"",INDEX(data!P:P,MATCH($N928,data!$A:$A,0)))</f>
        <v/>
      </c>
      <c r="BB928" s="38" t="str">
        <f>IF(ISNA(MATCH($N928,data!$A:$A,0)),"",INDEX(data!Q:Q,MATCH($N928,data!$A:$A,0)))</f>
        <v/>
      </c>
      <c r="BC928" s="38" t="str">
        <f>IF(ISNA(MATCH($N928,data!$A:$A,0)),"",INDEX(data!R:R,MATCH($N928,data!$A:$A,0)))</f>
        <v/>
      </c>
      <c r="BD928" s="38" t="str">
        <f>IF(ISNA(MATCH($N928,[1]data!$A:$A,0)),"",INDEX([1]data!U:U,MATCH($N928,[1]data!$A:$A,0)))</f>
        <v/>
      </c>
      <c r="BE928" s="61" t="e">
        <f>IF(COUNTIF([1]data!A:A,[1]!Table1[[#This Row],[UPC]])&lt;2,"","DUP")</f>
        <v>#VALUE!</v>
      </c>
      <c r="BF928" s="38" t="str">
        <f>IF(ISNA(MATCH($N928,data!$A:$A,0)),"",INDEX(data!W:W,MATCH($N928,data!$A:$A,0)))</f>
        <v/>
      </c>
    </row>
    <row r="929" spans="1:58">
      <c r="A929" s="35"/>
      <c r="B929" s="35"/>
      <c r="C929" s="35"/>
      <c r="D929" s="35"/>
      <c r="E929" s="67"/>
      <c r="F929" s="67"/>
      <c r="G929" s="36"/>
      <c r="H929" s="29"/>
      <c r="I929" s="78" t="str">
        <f t="shared" si="24"/>
        <v/>
      </c>
      <c r="J929" s="29"/>
      <c r="K929" s="29"/>
      <c r="L929" s="33"/>
      <c r="M929" s="33"/>
      <c r="N929" s="60"/>
      <c r="O929" s="71"/>
      <c r="P929" s="71"/>
      <c r="Q929" s="33"/>
      <c r="R929" s="31"/>
      <c r="S929" s="31"/>
      <c r="T929" s="59"/>
      <c r="U929" s="59"/>
      <c r="V929" s="59"/>
      <c r="W929" s="57">
        <f t="shared" si="25"/>
        <v>0</v>
      </c>
      <c r="X929" s="126" t="str">
        <f>IF(Table1[[#This Row],[Shipping Weight Pounds]]&gt;150,"See LTL Form","No")</f>
        <v>No</v>
      </c>
      <c r="Y929" s="28"/>
      <c r="Z929" s="33"/>
      <c r="AA929" s="34"/>
      <c r="AB929" s="30"/>
      <c r="AC929" s="30"/>
      <c r="AD929" s="32"/>
      <c r="AE929" s="32"/>
      <c r="AF929" s="2"/>
      <c r="AG929" s="2"/>
      <c r="AH929" s="2"/>
      <c r="AI929" s="2"/>
      <c r="AK929" s="73" t="str">
        <f>IF(ISNA(MATCH($N929,[1]data!$A:$A,0)),"",INDEX([1]data!S:S,MATCH($N929,[1]data!$A:$A,0)))</f>
        <v/>
      </c>
      <c r="AL929" s="73" t="str">
        <f>IF(ISNA(MATCH($N929,[1]data!$A:$A,0)),"",INDEX([1]data!V:V,MATCH($N929,[1]data!$A:$A,0)))</f>
        <v/>
      </c>
      <c r="AM929" s="38" t="str">
        <f>IF(ISNA(MATCH($N929,data!$A:$A,0)),"",INDEX(data!B:B,MATCH($N929,data!$A:$A,0)))</f>
        <v/>
      </c>
      <c r="AN929" s="38" t="str">
        <f>IF(ISNA(MATCH($N929,data!$A:$A,0)),"",INDEX(data!C:C,MATCH($N929,data!$A:$A,0)))</f>
        <v/>
      </c>
      <c r="AO929" s="38" t="str">
        <f>IF(ISNA(MATCH($N929,data!$A:$A,0)),"",INDEX(data!D:D,MATCH($N929,data!$A:$A,0)))</f>
        <v/>
      </c>
      <c r="AP929" s="38" t="str">
        <f>IF(ISNA(MATCH($N929,data!$A:$A,0)),"",INDEX(data!E:E,MATCH($N929,data!$A:$A,0)))</f>
        <v/>
      </c>
      <c r="AQ929" s="38" t="str">
        <f>IF(ISNA(MATCH($N929,data!$A:$A,0)),"",INDEX(data!F:F,MATCH($N929,data!$A:$A,0)))</f>
        <v/>
      </c>
      <c r="AR929" s="38" t="str">
        <f>IF(ISNA(MATCH($N929,data!$A:$A,0)),"",INDEX(data!G:G,MATCH($N929,data!$A:$A,0)))</f>
        <v/>
      </c>
      <c r="AS929" s="38" t="str">
        <f>IF(ISNA(MATCH($N929,data!$A:$A,0)),"",INDEX(data!H:H,MATCH($N929,data!$A:$A,0)))</f>
        <v/>
      </c>
      <c r="AT929" s="38" t="str">
        <f>IF(ISNA(MATCH($N929,data!$A:$A,0)),"",INDEX(data!I:I,MATCH($N929,data!$A:$A,0)))</f>
        <v/>
      </c>
      <c r="AU929" s="38" t="str">
        <f>IF(ISNA(MATCH($N929,[1]data!$A:$A,0)),"",INDEX([1]data!L:L,MATCH($N929,[1]data!$A:$A,0)))</f>
        <v/>
      </c>
      <c r="AV929" s="38" t="str">
        <f>IF(ISNA(MATCH($N929,[1]data!$A:$A,0)),"",INDEX([1]data!M:M,MATCH($N929,[1]data!$A:$A,0)))</f>
        <v/>
      </c>
      <c r="AW929" s="38" t="str">
        <f>IF(ISNA(MATCH($N929,data!$A:$A,0)),"",INDEX(data!J:J,MATCH($N929,data!$A:$A,0)))</f>
        <v/>
      </c>
      <c r="AX929" s="38" t="str">
        <f>IF(ISNA(MATCH($N929,data!$A:$A,0)),"",INDEX(data!K:K,MATCH($N929,data!$A:$A,0)))</f>
        <v/>
      </c>
      <c r="AY929" s="38" t="str">
        <f>IF(ISNA(MATCH($N929,data!$A:$A,0)),"",INDEX(data!O:O,MATCH($N929,data!$A:$A,0)))</f>
        <v/>
      </c>
      <c r="AZ929" s="38" t="str">
        <f>IF(ISNA(MATCH($N929,data!$A:$A,0)),"",INDEX(data!N:N,MATCH($N929,data!$A:$A,0)))</f>
        <v/>
      </c>
      <c r="BA929" s="38" t="str">
        <f>IF(ISNA(MATCH($N929,data!$A:$A,0)),"",INDEX(data!P:P,MATCH($N929,data!$A:$A,0)))</f>
        <v/>
      </c>
      <c r="BB929" s="38" t="str">
        <f>IF(ISNA(MATCH($N929,data!$A:$A,0)),"",INDEX(data!Q:Q,MATCH($N929,data!$A:$A,0)))</f>
        <v/>
      </c>
      <c r="BC929" s="38" t="str">
        <f>IF(ISNA(MATCH($N929,data!$A:$A,0)),"",INDEX(data!R:R,MATCH($N929,data!$A:$A,0)))</f>
        <v/>
      </c>
      <c r="BD929" s="38" t="str">
        <f>IF(ISNA(MATCH($N929,[1]data!$A:$A,0)),"",INDEX([1]data!U:U,MATCH($N929,[1]data!$A:$A,0)))</f>
        <v/>
      </c>
      <c r="BE929" s="61" t="e">
        <f>IF(COUNTIF([1]data!A:A,[1]!Table1[[#This Row],[UPC]])&lt;2,"","DUP")</f>
        <v>#VALUE!</v>
      </c>
      <c r="BF929" s="38" t="str">
        <f>IF(ISNA(MATCH($N929,data!$A:$A,0)),"",INDEX(data!W:W,MATCH($N929,data!$A:$A,0)))</f>
        <v/>
      </c>
    </row>
    <row r="930" spans="1:58">
      <c r="A930" s="35"/>
      <c r="B930" s="35"/>
      <c r="C930" s="35"/>
      <c r="D930" s="35"/>
      <c r="E930" s="67"/>
      <c r="F930" s="67"/>
      <c r="G930" s="36"/>
      <c r="H930" s="29"/>
      <c r="I930" s="78" t="str">
        <f t="shared" si="24"/>
        <v/>
      </c>
      <c r="J930" s="29"/>
      <c r="K930" s="29"/>
      <c r="L930" s="33"/>
      <c r="M930" s="33"/>
      <c r="N930" s="60"/>
      <c r="O930" s="71"/>
      <c r="P930" s="71"/>
      <c r="Q930" s="33"/>
      <c r="R930" s="31"/>
      <c r="S930" s="31"/>
      <c r="T930" s="59"/>
      <c r="U930" s="59"/>
      <c r="V930" s="59"/>
      <c r="W930" s="57">
        <f t="shared" si="25"/>
        <v>0</v>
      </c>
      <c r="X930" s="126" t="str">
        <f>IF(Table1[[#This Row],[Shipping Weight Pounds]]&gt;150,"See LTL Form","No")</f>
        <v>No</v>
      </c>
      <c r="Y930" s="28"/>
      <c r="Z930" s="33"/>
      <c r="AA930" s="34"/>
      <c r="AB930" s="30"/>
      <c r="AC930" s="30"/>
      <c r="AD930" s="32"/>
      <c r="AE930" s="32"/>
      <c r="AF930" s="2"/>
      <c r="AG930" s="2"/>
      <c r="AH930" s="2"/>
      <c r="AI930" s="2"/>
      <c r="AK930" s="73" t="str">
        <f>IF(ISNA(MATCH($N930,[1]data!$A:$A,0)),"",INDEX([1]data!S:S,MATCH($N930,[1]data!$A:$A,0)))</f>
        <v/>
      </c>
      <c r="AL930" s="73" t="str">
        <f>IF(ISNA(MATCH($N930,[1]data!$A:$A,0)),"",INDEX([1]data!V:V,MATCH($N930,[1]data!$A:$A,0)))</f>
        <v/>
      </c>
      <c r="AM930" s="38" t="str">
        <f>IF(ISNA(MATCH($N930,data!$A:$A,0)),"",INDEX(data!B:B,MATCH($N930,data!$A:$A,0)))</f>
        <v/>
      </c>
      <c r="AN930" s="38" t="str">
        <f>IF(ISNA(MATCH($N930,data!$A:$A,0)),"",INDEX(data!C:C,MATCH($N930,data!$A:$A,0)))</f>
        <v/>
      </c>
      <c r="AO930" s="38" t="str">
        <f>IF(ISNA(MATCH($N930,data!$A:$A,0)),"",INDEX(data!D:D,MATCH($N930,data!$A:$A,0)))</f>
        <v/>
      </c>
      <c r="AP930" s="38" t="str">
        <f>IF(ISNA(MATCH($N930,data!$A:$A,0)),"",INDEX(data!E:E,MATCH($N930,data!$A:$A,0)))</f>
        <v/>
      </c>
      <c r="AQ930" s="38" t="str">
        <f>IF(ISNA(MATCH($N930,data!$A:$A,0)),"",INDEX(data!F:F,MATCH($N930,data!$A:$A,0)))</f>
        <v/>
      </c>
      <c r="AR930" s="38" t="str">
        <f>IF(ISNA(MATCH($N930,data!$A:$A,0)),"",INDEX(data!G:G,MATCH($N930,data!$A:$A,0)))</f>
        <v/>
      </c>
      <c r="AS930" s="38" t="str">
        <f>IF(ISNA(MATCH($N930,data!$A:$A,0)),"",INDEX(data!H:H,MATCH($N930,data!$A:$A,0)))</f>
        <v/>
      </c>
      <c r="AT930" s="38" t="str">
        <f>IF(ISNA(MATCH($N930,data!$A:$A,0)),"",INDEX(data!I:I,MATCH($N930,data!$A:$A,0)))</f>
        <v/>
      </c>
      <c r="AU930" s="38" t="str">
        <f>IF(ISNA(MATCH($N930,[1]data!$A:$A,0)),"",INDEX([1]data!L:L,MATCH($N930,[1]data!$A:$A,0)))</f>
        <v/>
      </c>
      <c r="AV930" s="38" t="str">
        <f>IF(ISNA(MATCH($N930,[1]data!$A:$A,0)),"",INDEX([1]data!M:M,MATCH($N930,[1]data!$A:$A,0)))</f>
        <v/>
      </c>
      <c r="AW930" s="38" t="str">
        <f>IF(ISNA(MATCH($N930,data!$A:$A,0)),"",INDEX(data!J:J,MATCH($N930,data!$A:$A,0)))</f>
        <v/>
      </c>
      <c r="AX930" s="38" t="str">
        <f>IF(ISNA(MATCH($N930,data!$A:$A,0)),"",INDEX(data!K:K,MATCH($N930,data!$A:$A,0)))</f>
        <v/>
      </c>
      <c r="AY930" s="38" t="str">
        <f>IF(ISNA(MATCH($N930,data!$A:$A,0)),"",INDEX(data!O:O,MATCH($N930,data!$A:$A,0)))</f>
        <v/>
      </c>
      <c r="AZ930" s="38" t="str">
        <f>IF(ISNA(MATCH($N930,data!$A:$A,0)),"",INDEX(data!N:N,MATCH($N930,data!$A:$A,0)))</f>
        <v/>
      </c>
      <c r="BA930" s="38" t="str">
        <f>IF(ISNA(MATCH($N930,data!$A:$A,0)),"",INDEX(data!P:P,MATCH($N930,data!$A:$A,0)))</f>
        <v/>
      </c>
      <c r="BB930" s="38" t="str">
        <f>IF(ISNA(MATCH($N930,data!$A:$A,0)),"",INDEX(data!Q:Q,MATCH($N930,data!$A:$A,0)))</f>
        <v/>
      </c>
      <c r="BC930" s="38" t="str">
        <f>IF(ISNA(MATCH($N930,data!$A:$A,0)),"",INDEX(data!R:R,MATCH($N930,data!$A:$A,0)))</f>
        <v/>
      </c>
      <c r="BD930" s="38" t="str">
        <f>IF(ISNA(MATCH($N930,[1]data!$A:$A,0)),"",INDEX([1]data!U:U,MATCH($N930,[1]data!$A:$A,0)))</f>
        <v/>
      </c>
      <c r="BE930" s="61" t="e">
        <f>IF(COUNTIF([1]data!A:A,[1]!Table1[[#This Row],[UPC]])&lt;2,"","DUP")</f>
        <v>#VALUE!</v>
      </c>
      <c r="BF930" s="38" t="str">
        <f>IF(ISNA(MATCH($N930,data!$A:$A,0)),"",INDEX(data!W:W,MATCH($N930,data!$A:$A,0)))</f>
        <v/>
      </c>
    </row>
    <row r="931" spans="1:58">
      <c r="A931" s="35"/>
      <c r="B931" s="35"/>
      <c r="C931" s="35"/>
      <c r="D931" s="35"/>
      <c r="E931" s="67"/>
      <c r="F931" s="67"/>
      <c r="G931" s="36"/>
      <c r="H931" s="29"/>
      <c r="I931" s="78" t="str">
        <f t="shared" si="24"/>
        <v/>
      </c>
      <c r="J931" s="29"/>
      <c r="K931" s="29"/>
      <c r="L931" s="33"/>
      <c r="M931" s="33"/>
      <c r="N931" s="60"/>
      <c r="O931" s="71"/>
      <c r="P931" s="71"/>
      <c r="Q931" s="33"/>
      <c r="R931" s="31"/>
      <c r="S931" s="31"/>
      <c r="T931" s="59"/>
      <c r="U931" s="59"/>
      <c r="V931" s="59"/>
      <c r="W931" s="57">
        <f t="shared" si="25"/>
        <v>0</v>
      </c>
      <c r="X931" s="126" t="str">
        <f>IF(Table1[[#This Row],[Shipping Weight Pounds]]&gt;150,"See LTL Form","No")</f>
        <v>No</v>
      </c>
      <c r="Y931" s="28"/>
      <c r="Z931" s="33"/>
      <c r="AA931" s="34"/>
      <c r="AB931" s="30"/>
      <c r="AC931" s="30"/>
      <c r="AD931" s="32"/>
      <c r="AE931" s="32"/>
      <c r="AF931" s="2"/>
      <c r="AG931" s="2"/>
      <c r="AH931" s="2"/>
      <c r="AI931" s="2"/>
      <c r="AK931" s="73" t="str">
        <f>IF(ISNA(MATCH($N931,[1]data!$A:$A,0)),"",INDEX([1]data!S:S,MATCH($N931,[1]data!$A:$A,0)))</f>
        <v/>
      </c>
      <c r="AL931" s="73" t="str">
        <f>IF(ISNA(MATCH($N931,[1]data!$A:$A,0)),"",INDEX([1]data!V:V,MATCH($N931,[1]data!$A:$A,0)))</f>
        <v/>
      </c>
      <c r="AM931" s="38" t="str">
        <f>IF(ISNA(MATCH($N931,data!$A:$A,0)),"",INDEX(data!B:B,MATCH($N931,data!$A:$A,0)))</f>
        <v/>
      </c>
      <c r="AN931" s="38" t="str">
        <f>IF(ISNA(MATCH($N931,data!$A:$A,0)),"",INDEX(data!C:C,MATCH($N931,data!$A:$A,0)))</f>
        <v/>
      </c>
      <c r="AO931" s="38" t="str">
        <f>IF(ISNA(MATCH($N931,data!$A:$A,0)),"",INDEX(data!D:D,MATCH($N931,data!$A:$A,0)))</f>
        <v/>
      </c>
      <c r="AP931" s="38" t="str">
        <f>IF(ISNA(MATCH($N931,data!$A:$A,0)),"",INDEX(data!E:E,MATCH($N931,data!$A:$A,0)))</f>
        <v/>
      </c>
      <c r="AQ931" s="38" t="str">
        <f>IF(ISNA(MATCH($N931,data!$A:$A,0)),"",INDEX(data!F:F,MATCH($N931,data!$A:$A,0)))</f>
        <v/>
      </c>
      <c r="AR931" s="38" t="str">
        <f>IF(ISNA(MATCH($N931,data!$A:$A,0)),"",INDEX(data!G:G,MATCH($N931,data!$A:$A,0)))</f>
        <v/>
      </c>
      <c r="AS931" s="38" t="str">
        <f>IF(ISNA(MATCH($N931,data!$A:$A,0)),"",INDEX(data!H:H,MATCH($N931,data!$A:$A,0)))</f>
        <v/>
      </c>
      <c r="AT931" s="38" t="str">
        <f>IF(ISNA(MATCH($N931,data!$A:$A,0)),"",INDEX(data!I:I,MATCH($N931,data!$A:$A,0)))</f>
        <v/>
      </c>
      <c r="AU931" s="38" t="str">
        <f>IF(ISNA(MATCH($N931,[1]data!$A:$A,0)),"",INDEX([1]data!L:L,MATCH($N931,[1]data!$A:$A,0)))</f>
        <v/>
      </c>
      <c r="AV931" s="38" t="str">
        <f>IF(ISNA(MATCH($N931,[1]data!$A:$A,0)),"",INDEX([1]data!M:M,MATCH($N931,[1]data!$A:$A,0)))</f>
        <v/>
      </c>
      <c r="AW931" s="38" t="str">
        <f>IF(ISNA(MATCH($N931,data!$A:$A,0)),"",INDEX(data!J:J,MATCH($N931,data!$A:$A,0)))</f>
        <v/>
      </c>
      <c r="AX931" s="38" t="str">
        <f>IF(ISNA(MATCH($N931,data!$A:$A,0)),"",INDEX(data!K:K,MATCH($N931,data!$A:$A,0)))</f>
        <v/>
      </c>
      <c r="AY931" s="38" t="str">
        <f>IF(ISNA(MATCH($N931,data!$A:$A,0)),"",INDEX(data!O:O,MATCH($N931,data!$A:$A,0)))</f>
        <v/>
      </c>
      <c r="AZ931" s="38" t="str">
        <f>IF(ISNA(MATCH($N931,data!$A:$A,0)),"",INDEX(data!N:N,MATCH($N931,data!$A:$A,0)))</f>
        <v/>
      </c>
      <c r="BA931" s="38" t="str">
        <f>IF(ISNA(MATCH($N931,data!$A:$A,0)),"",INDEX(data!P:P,MATCH($N931,data!$A:$A,0)))</f>
        <v/>
      </c>
      <c r="BB931" s="38" t="str">
        <f>IF(ISNA(MATCH($N931,data!$A:$A,0)),"",INDEX(data!Q:Q,MATCH($N931,data!$A:$A,0)))</f>
        <v/>
      </c>
      <c r="BC931" s="38" t="str">
        <f>IF(ISNA(MATCH($N931,data!$A:$A,0)),"",INDEX(data!R:R,MATCH($N931,data!$A:$A,0)))</f>
        <v/>
      </c>
      <c r="BD931" s="38" t="str">
        <f>IF(ISNA(MATCH($N931,[1]data!$A:$A,0)),"",INDEX([1]data!U:U,MATCH($N931,[1]data!$A:$A,0)))</f>
        <v/>
      </c>
      <c r="BE931" s="61" t="e">
        <f>IF(COUNTIF([1]data!A:A,[1]!Table1[[#This Row],[UPC]])&lt;2,"","DUP")</f>
        <v>#VALUE!</v>
      </c>
      <c r="BF931" s="38" t="str">
        <f>IF(ISNA(MATCH($N931,data!$A:$A,0)),"",INDEX(data!W:W,MATCH($N931,data!$A:$A,0)))</f>
        <v/>
      </c>
    </row>
    <row r="932" spans="1:58">
      <c r="A932" s="35"/>
      <c r="B932" s="35"/>
      <c r="C932" s="35"/>
      <c r="D932" s="35"/>
      <c r="E932" s="67"/>
      <c r="F932" s="67"/>
      <c r="G932" s="36"/>
      <c r="H932" s="29"/>
      <c r="I932" s="78" t="str">
        <f t="shared" si="24"/>
        <v/>
      </c>
      <c r="J932" s="29"/>
      <c r="K932" s="29"/>
      <c r="L932" s="33"/>
      <c r="M932" s="33"/>
      <c r="N932" s="60"/>
      <c r="O932" s="71"/>
      <c r="P932" s="71"/>
      <c r="Q932" s="33"/>
      <c r="R932" s="31"/>
      <c r="S932" s="31"/>
      <c r="T932" s="59"/>
      <c r="U932" s="59"/>
      <c r="V932" s="59"/>
      <c r="W932" s="57">
        <f t="shared" si="25"/>
        <v>0</v>
      </c>
      <c r="X932" s="126" t="str">
        <f>IF(Table1[[#This Row],[Shipping Weight Pounds]]&gt;150,"See LTL Form","No")</f>
        <v>No</v>
      </c>
      <c r="Y932" s="28"/>
      <c r="Z932" s="33"/>
      <c r="AA932" s="34"/>
      <c r="AB932" s="30"/>
      <c r="AC932" s="30"/>
      <c r="AD932" s="32"/>
      <c r="AE932" s="32"/>
      <c r="AF932" s="2"/>
      <c r="AG932" s="2"/>
      <c r="AH932" s="2"/>
      <c r="AI932" s="2"/>
      <c r="AK932" s="73" t="str">
        <f>IF(ISNA(MATCH($N932,[1]data!$A:$A,0)),"",INDEX([1]data!S:S,MATCH($N932,[1]data!$A:$A,0)))</f>
        <v/>
      </c>
      <c r="AL932" s="73" t="str">
        <f>IF(ISNA(MATCH($N932,[1]data!$A:$A,0)),"",INDEX([1]data!V:V,MATCH($N932,[1]data!$A:$A,0)))</f>
        <v/>
      </c>
      <c r="AM932" s="38" t="str">
        <f>IF(ISNA(MATCH($N932,data!$A:$A,0)),"",INDEX(data!B:B,MATCH($N932,data!$A:$A,0)))</f>
        <v/>
      </c>
      <c r="AN932" s="38" t="str">
        <f>IF(ISNA(MATCH($N932,data!$A:$A,0)),"",INDEX(data!C:C,MATCH($N932,data!$A:$A,0)))</f>
        <v/>
      </c>
      <c r="AO932" s="38" t="str">
        <f>IF(ISNA(MATCH($N932,data!$A:$A,0)),"",INDEX(data!D:D,MATCH($N932,data!$A:$A,0)))</f>
        <v/>
      </c>
      <c r="AP932" s="38" t="str">
        <f>IF(ISNA(MATCH($N932,data!$A:$A,0)),"",INDEX(data!E:E,MATCH($N932,data!$A:$A,0)))</f>
        <v/>
      </c>
      <c r="AQ932" s="38" t="str">
        <f>IF(ISNA(MATCH($N932,data!$A:$A,0)),"",INDEX(data!F:F,MATCH($N932,data!$A:$A,0)))</f>
        <v/>
      </c>
      <c r="AR932" s="38" t="str">
        <f>IF(ISNA(MATCH($N932,data!$A:$A,0)),"",INDEX(data!G:G,MATCH($N932,data!$A:$A,0)))</f>
        <v/>
      </c>
      <c r="AS932" s="38" t="str">
        <f>IF(ISNA(MATCH($N932,data!$A:$A,0)),"",INDEX(data!H:H,MATCH($N932,data!$A:$A,0)))</f>
        <v/>
      </c>
      <c r="AT932" s="38" t="str">
        <f>IF(ISNA(MATCH($N932,data!$A:$A,0)),"",INDEX(data!I:I,MATCH($N932,data!$A:$A,0)))</f>
        <v/>
      </c>
      <c r="AU932" s="38" t="str">
        <f>IF(ISNA(MATCH($N932,[1]data!$A:$A,0)),"",INDEX([1]data!L:L,MATCH($N932,[1]data!$A:$A,0)))</f>
        <v/>
      </c>
      <c r="AV932" s="38" t="str">
        <f>IF(ISNA(MATCH($N932,[1]data!$A:$A,0)),"",INDEX([1]data!M:M,MATCH($N932,[1]data!$A:$A,0)))</f>
        <v/>
      </c>
      <c r="AW932" s="38" t="str">
        <f>IF(ISNA(MATCH($N932,data!$A:$A,0)),"",INDEX(data!J:J,MATCH($N932,data!$A:$A,0)))</f>
        <v/>
      </c>
      <c r="AX932" s="38" t="str">
        <f>IF(ISNA(MATCH($N932,data!$A:$A,0)),"",INDEX(data!K:K,MATCH($N932,data!$A:$A,0)))</f>
        <v/>
      </c>
      <c r="AY932" s="38" t="str">
        <f>IF(ISNA(MATCH($N932,data!$A:$A,0)),"",INDEX(data!O:O,MATCH($N932,data!$A:$A,0)))</f>
        <v/>
      </c>
      <c r="AZ932" s="38" t="str">
        <f>IF(ISNA(MATCH($N932,data!$A:$A,0)),"",INDEX(data!N:N,MATCH($N932,data!$A:$A,0)))</f>
        <v/>
      </c>
      <c r="BA932" s="38" t="str">
        <f>IF(ISNA(MATCH($N932,data!$A:$A,0)),"",INDEX(data!P:P,MATCH($N932,data!$A:$A,0)))</f>
        <v/>
      </c>
      <c r="BB932" s="38" t="str">
        <f>IF(ISNA(MATCH($N932,data!$A:$A,0)),"",INDEX(data!Q:Q,MATCH($N932,data!$A:$A,0)))</f>
        <v/>
      </c>
      <c r="BC932" s="38" t="str">
        <f>IF(ISNA(MATCH($N932,data!$A:$A,0)),"",INDEX(data!R:R,MATCH($N932,data!$A:$A,0)))</f>
        <v/>
      </c>
      <c r="BD932" s="38" t="str">
        <f>IF(ISNA(MATCH($N932,[1]data!$A:$A,0)),"",INDEX([1]data!U:U,MATCH($N932,[1]data!$A:$A,0)))</f>
        <v/>
      </c>
      <c r="BE932" s="61" t="e">
        <f>IF(COUNTIF([1]data!A:A,[1]!Table1[[#This Row],[UPC]])&lt;2,"","DUP")</f>
        <v>#VALUE!</v>
      </c>
      <c r="BF932" s="38" t="str">
        <f>IF(ISNA(MATCH($N932,data!$A:$A,0)),"",INDEX(data!W:W,MATCH($N932,data!$A:$A,0)))</f>
        <v/>
      </c>
    </row>
    <row r="933" spans="1:58">
      <c r="A933" s="35"/>
      <c r="B933" s="35"/>
      <c r="C933" s="35"/>
      <c r="D933" s="35"/>
      <c r="E933" s="67"/>
      <c r="F933" s="67"/>
      <c r="G933" s="36"/>
      <c r="H933" s="29"/>
      <c r="I933" s="78" t="str">
        <f t="shared" si="24"/>
        <v/>
      </c>
      <c r="J933" s="29"/>
      <c r="K933" s="29"/>
      <c r="L933" s="33"/>
      <c r="M933" s="33"/>
      <c r="N933" s="60"/>
      <c r="O933" s="71"/>
      <c r="P933" s="71"/>
      <c r="Q933" s="33"/>
      <c r="R933" s="31"/>
      <c r="S933" s="31"/>
      <c r="T933" s="59"/>
      <c r="U933" s="59"/>
      <c r="V933" s="59"/>
      <c r="W933" s="57">
        <f t="shared" si="25"/>
        <v>0</v>
      </c>
      <c r="X933" s="126" t="str">
        <f>IF(Table1[[#This Row],[Shipping Weight Pounds]]&gt;150,"See LTL Form","No")</f>
        <v>No</v>
      </c>
      <c r="Y933" s="28"/>
      <c r="Z933" s="33"/>
      <c r="AA933" s="34"/>
      <c r="AB933" s="30"/>
      <c r="AC933" s="30"/>
      <c r="AD933" s="32"/>
      <c r="AE933" s="32"/>
      <c r="AF933" s="2"/>
      <c r="AG933" s="2"/>
      <c r="AH933" s="2"/>
      <c r="AI933" s="2"/>
      <c r="AK933" s="73" t="str">
        <f>IF(ISNA(MATCH($N933,[1]data!$A:$A,0)),"",INDEX([1]data!S:S,MATCH($N933,[1]data!$A:$A,0)))</f>
        <v/>
      </c>
      <c r="AL933" s="73" t="str">
        <f>IF(ISNA(MATCH($N933,[1]data!$A:$A,0)),"",INDEX([1]data!V:V,MATCH($N933,[1]data!$A:$A,0)))</f>
        <v/>
      </c>
      <c r="AM933" s="38" t="str">
        <f>IF(ISNA(MATCH($N933,data!$A:$A,0)),"",INDEX(data!B:B,MATCH($N933,data!$A:$A,0)))</f>
        <v/>
      </c>
      <c r="AN933" s="38" t="str">
        <f>IF(ISNA(MATCH($N933,data!$A:$A,0)),"",INDEX(data!C:C,MATCH($N933,data!$A:$A,0)))</f>
        <v/>
      </c>
      <c r="AO933" s="38" t="str">
        <f>IF(ISNA(MATCH($N933,data!$A:$A,0)),"",INDEX(data!D:D,MATCH($N933,data!$A:$A,0)))</f>
        <v/>
      </c>
      <c r="AP933" s="38" t="str">
        <f>IF(ISNA(MATCH($N933,data!$A:$A,0)),"",INDEX(data!E:E,MATCH($N933,data!$A:$A,0)))</f>
        <v/>
      </c>
      <c r="AQ933" s="38" t="str">
        <f>IF(ISNA(MATCH($N933,data!$A:$A,0)),"",INDEX(data!F:F,MATCH($N933,data!$A:$A,0)))</f>
        <v/>
      </c>
      <c r="AR933" s="38" t="str">
        <f>IF(ISNA(MATCH($N933,data!$A:$A,0)),"",INDEX(data!G:G,MATCH($N933,data!$A:$A,0)))</f>
        <v/>
      </c>
      <c r="AS933" s="38" t="str">
        <f>IF(ISNA(MATCH($N933,data!$A:$A,0)),"",INDEX(data!H:H,MATCH($N933,data!$A:$A,0)))</f>
        <v/>
      </c>
      <c r="AT933" s="38" t="str">
        <f>IF(ISNA(MATCH($N933,data!$A:$A,0)),"",INDEX(data!I:I,MATCH($N933,data!$A:$A,0)))</f>
        <v/>
      </c>
      <c r="AU933" s="38" t="str">
        <f>IF(ISNA(MATCH($N933,[1]data!$A:$A,0)),"",INDEX([1]data!L:L,MATCH($N933,[1]data!$A:$A,0)))</f>
        <v/>
      </c>
      <c r="AV933" s="38" t="str">
        <f>IF(ISNA(MATCH($N933,[1]data!$A:$A,0)),"",INDEX([1]data!M:M,MATCH($N933,[1]data!$A:$A,0)))</f>
        <v/>
      </c>
      <c r="AW933" s="38" t="str">
        <f>IF(ISNA(MATCH($N933,data!$A:$A,0)),"",INDEX(data!J:J,MATCH($N933,data!$A:$A,0)))</f>
        <v/>
      </c>
      <c r="AX933" s="38" t="str">
        <f>IF(ISNA(MATCH($N933,data!$A:$A,0)),"",INDEX(data!K:K,MATCH($N933,data!$A:$A,0)))</f>
        <v/>
      </c>
      <c r="AY933" s="38" t="str">
        <f>IF(ISNA(MATCH($N933,data!$A:$A,0)),"",INDEX(data!O:O,MATCH($N933,data!$A:$A,0)))</f>
        <v/>
      </c>
      <c r="AZ933" s="38" t="str">
        <f>IF(ISNA(MATCH($N933,data!$A:$A,0)),"",INDEX(data!N:N,MATCH($N933,data!$A:$A,0)))</f>
        <v/>
      </c>
      <c r="BA933" s="38" t="str">
        <f>IF(ISNA(MATCH($N933,data!$A:$A,0)),"",INDEX(data!P:P,MATCH($N933,data!$A:$A,0)))</f>
        <v/>
      </c>
      <c r="BB933" s="38" t="str">
        <f>IF(ISNA(MATCH($N933,data!$A:$A,0)),"",INDEX(data!Q:Q,MATCH($N933,data!$A:$A,0)))</f>
        <v/>
      </c>
      <c r="BC933" s="38" t="str">
        <f>IF(ISNA(MATCH($N933,data!$A:$A,0)),"",INDEX(data!R:R,MATCH($N933,data!$A:$A,0)))</f>
        <v/>
      </c>
      <c r="BD933" s="38" t="str">
        <f>IF(ISNA(MATCH($N933,[1]data!$A:$A,0)),"",INDEX([1]data!U:U,MATCH($N933,[1]data!$A:$A,0)))</f>
        <v/>
      </c>
      <c r="BE933" s="61" t="e">
        <f>IF(COUNTIF([1]data!A:A,[1]!Table1[[#This Row],[UPC]])&lt;2,"","DUP")</f>
        <v>#VALUE!</v>
      </c>
      <c r="BF933" s="38" t="str">
        <f>IF(ISNA(MATCH($N933,data!$A:$A,0)),"",INDEX(data!W:W,MATCH($N933,data!$A:$A,0)))</f>
        <v/>
      </c>
    </row>
    <row r="934" spans="1:58">
      <c r="A934" s="35"/>
      <c r="B934" s="35"/>
      <c r="C934" s="35"/>
      <c r="D934" s="35"/>
      <c r="E934" s="67"/>
      <c r="F934" s="67"/>
      <c r="G934" s="36"/>
      <c r="H934" s="29"/>
      <c r="I934" s="78" t="str">
        <f t="shared" si="24"/>
        <v/>
      </c>
      <c r="J934" s="29"/>
      <c r="K934" s="29"/>
      <c r="L934" s="33"/>
      <c r="M934" s="33"/>
      <c r="N934" s="60"/>
      <c r="O934" s="71"/>
      <c r="P934" s="71"/>
      <c r="Q934" s="33"/>
      <c r="R934" s="31"/>
      <c r="S934" s="31"/>
      <c r="T934" s="59"/>
      <c r="U934" s="59"/>
      <c r="V934" s="59"/>
      <c r="W934" s="57">
        <f t="shared" si="25"/>
        <v>0</v>
      </c>
      <c r="X934" s="126" t="str">
        <f>IF(Table1[[#This Row],[Shipping Weight Pounds]]&gt;150,"See LTL Form","No")</f>
        <v>No</v>
      </c>
      <c r="Y934" s="28"/>
      <c r="Z934" s="33"/>
      <c r="AA934" s="34"/>
      <c r="AB934" s="30"/>
      <c r="AC934" s="30"/>
      <c r="AD934" s="32"/>
      <c r="AE934" s="32"/>
      <c r="AF934" s="2"/>
      <c r="AG934" s="2"/>
      <c r="AH934" s="2"/>
      <c r="AI934" s="2"/>
      <c r="AK934" s="73" t="str">
        <f>IF(ISNA(MATCH($N934,[1]data!$A:$A,0)),"",INDEX([1]data!S:S,MATCH($N934,[1]data!$A:$A,0)))</f>
        <v/>
      </c>
      <c r="AL934" s="73" t="str">
        <f>IF(ISNA(MATCH($N934,[1]data!$A:$A,0)),"",INDEX([1]data!V:V,MATCH($N934,[1]data!$A:$A,0)))</f>
        <v/>
      </c>
      <c r="AM934" s="38" t="str">
        <f>IF(ISNA(MATCH($N934,data!$A:$A,0)),"",INDEX(data!B:B,MATCH($N934,data!$A:$A,0)))</f>
        <v/>
      </c>
      <c r="AN934" s="38" t="str">
        <f>IF(ISNA(MATCH($N934,data!$A:$A,0)),"",INDEX(data!C:C,MATCH($N934,data!$A:$A,0)))</f>
        <v/>
      </c>
      <c r="AO934" s="38" t="str">
        <f>IF(ISNA(MATCH($N934,data!$A:$A,0)),"",INDEX(data!D:D,MATCH($N934,data!$A:$A,0)))</f>
        <v/>
      </c>
      <c r="AP934" s="38" t="str">
        <f>IF(ISNA(MATCH($N934,data!$A:$A,0)),"",INDEX(data!E:E,MATCH($N934,data!$A:$A,0)))</f>
        <v/>
      </c>
      <c r="AQ934" s="38" t="str">
        <f>IF(ISNA(MATCH($N934,data!$A:$A,0)),"",INDEX(data!F:F,MATCH($N934,data!$A:$A,0)))</f>
        <v/>
      </c>
      <c r="AR934" s="38" t="str">
        <f>IF(ISNA(MATCH($N934,data!$A:$A,0)),"",INDEX(data!G:G,MATCH($N934,data!$A:$A,0)))</f>
        <v/>
      </c>
      <c r="AS934" s="38" t="str">
        <f>IF(ISNA(MATCH($N934,data!$A:$A,0)),"",INDEX(data!H:H,MATCH($N934,data!$A:$A,0)))</f>
        <v/>
      </c>
      <c r="AT934" s="38" t="str">
        <f>IF(ISNA(MATCH($N934,data!$A:$A,0)),"",INDEX(data!I:I,MATCH($N934,data!$A:$A,0)))</f>
        <v/>
      </c>
      <c r="AU934" s="38" t="str">
        <f>IF(ISNA(MATCH($N934,[1]data!$A:$A,0)),"",INDEX([1]data!L:L,MATCH($N934,[1]data!$A:$A,0)))</f>
        <v/>
      </c>
      <c r="AV934" s="38" t="str">
        <f>IF(ISNA(MATCH($N934,[1]data!$A:$A,0)),"",INDEX([1]data!M:M,MATCH($N934,[1]data!$A:$A,0)))</f>
        <v/>
      </c>
      <c r="AW934" s="38" t="str">
        <f>IF(ISNA(MATCH($N934,data!$A:$A,0)),"",INDEX(data!J:J,MATCH($N934,data!$A:$A,0)))</f>
        <v/>
      </c>
      <c r="AX934" s="38" t="str">
        <f>IF(ISNA(MATCH($N934,data!$A:$A,0)),"",INDEX(data!K:K,MATCH($N934,data!$A:$A,0)))</f>
        <v/>
      </c>
      <c r="AY934" s="38" t="str">
        <f>IF(ISNA(MATCH($N934,data!$A:$A,0)),"",INDEX(data!O:O,MATCH($N934,data!$A:$A,0)))</f>
        <v/>
      </c>
      <c r="AZ934" s="38" t="str">
        <f>IF(ISNA(MATCH($N934,data!$A:$A,0)),"",INDEX(data!N:N,MATCH($N934,data!$A:$A,0)))</f>
        <v/>
      </c>
      <c r="BA934" s="38" t="str">
        <f>IF(ISNA(MATCH($N934,data!$A:$A,0)),"",INDEX(data!P:P,MATCH($N934,data!$A:$A,0)))</f>
        <v/>
      </c>
      <c r="BB934" s="38" t="str">
        <f>IF(ISNA(MATCH($N934,data!$A:$A,0)),"",INDEX(data!Q:Q,MATCH($N934,data!$A:$A,0)))</f>
        <v/>
      </c>
      <c r="BC934" s="38" t="str">
        <f>IF(ISNA(MATCH($N934,data!$A:$A,0)),"",INDEX(data!R:R,MATCH($N934,data!$A:$A,0)))</f>
        <v/>
      </c>
      <c r="BD934" s="38" t="str">
        <f>IF(ISNA(MATCH($N934,[1]data!$A:$A,0)),"",INDEX([1]data!U:U,MATCH($N934,[1]data!$A:$A,0)))</f>
        <v/>
      </c>
      <c r="BE934" s="61" t="e">
        <f>IF(COUNTIF([1]data!A:A,[1]!Table1[[#This Row],[UPC]])&lt;2,"","DUP")</f>
        <v>#VALUE!</v>
      </c>
      <c r="BF934" s="38" t="str">
        <f>IF(ISNA(MATCH($N934,data!$A:$A,0)),"",INDEX(data!W:W,MATCH($N934,data!$A:$A,0)))</f>
        <v/>
      </c>
    </row>
    <row r="935" spans="1:58">
      <c r="A935" s="35"/>
      <c r="B935" s="35"/>
      <c r="C935" s="35"/>
      <c r="D935" s="35"/>
      <c r="E935" s="67"/>
      <c r="F935" s="67"/>
      <c r="G935" s="36"/>
      <c r="H935" s="29"/>
      <c r="I935" s="78" t="str">
        <f t="shared" si="24"/>
        <v/>
      </c>
      <c r="J935" s="29"/>
      <c r="K935" s="29"/>
      <c r="L935" s="33"/>
      <c r="M935" s="33"/>
      <c r="N935" s="60"/>
      <c r="O935" s="71"/>
      <c r="P935" s="71"/>
      <c r="Q935" s="33"/>
      <c r="R935" s="31"/>
      <c r="S935" s="31"/>
      <c r="T935" s="59"/>
      <c r="U935" s="59"/>
      <c r="V935" s="59"/>
      <c r="W935" s="57">
        <f t="shared" si="25"/>
        <v>0</v>
      </c>
      <c r="X935" s="126" t="str">
        <f>IF(Table1[[#This Row],[Shipping Weight Pounds]]&gt;150,"See LTL Form","No")</f>
        <v>No</v>
      </c>
      <c r="Y935" s="28"/>
      <c r="Z935" s="33"/>
      <c r="AA935" s="34"/>
      <c r="AB935" s="30"/>
      <c r="AC935" s="30"/>
      <c r="AD935" s="32"/>
      <c r="AE935" s="32"/>
      <c r="AF935" s="2"/>
      <c r="AG935" s="2"/>
      <c r="AH935" s="2"/>
      <c r="AI935" s="2"/>
      <c r="AK935" s="73" t="str">
        <f>IF(ISNA(MATCH($N935,[1]data!$A:$A,0)),"",INDEX([1]data!S:S,MATCH($N935,[1]data!$A:$A,0)))</f>
        <v/>
      </c>
      <c r="AL935" s="73" t="str">
        <f>IF(ISNA(MATCH($N935,[1]data!$A:$A,0)),"",INDEX([1]data!V:V,MATCH($N935,[1]data!$A:$A,0)))</f>
        <v/>
      </c>
      <c r="AM935" s="38" t="str">
        <f>IF(ISNA(MATCH($N935,data!$A:$A,0)),"",INDEX(data!B:B,MATCH($N935,data!$A:$A,0)))</f>
        <v/>
      </c>
      <c r="AN935" s="38" t="str">
        <f>IF(ISNA(MATCH($N935,data!$A:$A,0)),"",INDEX(data!C:C,MATCH($N935,data!$A:$A,0)))</f>
        <v/>
      </c>
      <c r="AO935" s="38" t="str">
        <f>IF(ISNA(MATCH($N935,data!$A:$A,0)),"",INDEX(data!D:D,MATCH($N935,data!$A:$A,0)))</f>
        <v/>
      </c>
      <c r="AP935" s="38" t="str">
        <f>IF(ISNA(MATCH($N935,data!$A:$A,0)),"",INDEX(data!E:E,MATCH($N935,data!$A:$A,0)))</f>
        <v/>
      </c>
      <c r="AQ935" s="38" t="str">
        <f>IF(ISNA(MATCH($N935,data!$A:$A,0)),"",INDEX(data!F:F,MATCH($N935,data!$A:$A,0)))</f>
        <v/>
      </c>
      <c r="AR935" s="38" t="str">
        <f>IF(ISNA(MATCH($N935,data!$A:$A,0)),"",INDEX(data!G:G,MATCH($N935,data!$A:$A,0)))</f>
        <v/>
      </c>
      <c r="AS935" s="38" t="str">
        <f>IF(ISNA(MATCH($N935,data!$A:$A,0)),"",INDEX(data!H:H,MATCH($N935,data!$A:$A,0)))</f>
        <v/>
      </c>
      <c r="AT935" s="38" t="str">
        <f>IF(ISNA(MATCH($N935,data!$A:$A,0)),"",INDEX(data!I:I,MATCH($N935,data!$A:$A,0)))</f>
        <v/>
      </c>
      <c r="AU935" s="38" t="str">
        <f>IF(ISNA(MATCH($N935,[1]data!$A:$A,0)),"",INDEX([1]data!L:L,MATCH($N935,[1]data!$A:$A,0)))</f>
        <v/>
      </c>
      <c r="AV935" s="38" t="str">
        <f>IF(ISNA(MATCH($N935,[1]data!$A:$A,0)),"",INDEX([1]data!M:M,MATCH($N935,[1]data!$A:$A,0)))</f>
        <v/>
      </c>
      <c r="AW935" s="38" t="str">
        <f>IF(ISNA(MATCH($N935,data!$A:$A,0)),"",INDEX(data!J:J,MATCH($N935,data!$A:$A,0)))</f>
        <v/>
      </c>
      <c r="AX935" s="38" t="str">
        <f>IF(ISNA(MATCH($N935,data!$A:$A,0)),"",INDEX(data!K:K,MATCH($N935,data!$A:$A,0)))</f>
        <v/>
      </c>
      <c r="AY935" s="38" t="str">
        <f>IF(ISNA(MATCH($N935,data!$A:$A,0)),"",INDEX(data!O:O,MATCH($N935,data!$A:$A,0)))</f>
        <v/>
      </c>
      <c r="AZ935" s="38" t="str">
        <f>IF(ISNA(MATCH($N935,data!$A:$A,0)),"",INDEX(data!N:N,MATCH($N935,data!$A:$A,0)))</f>
        <v/>
      </c>
      <c r="BA935" s="38" t="str">
        <f>IF(ISNA(MATCH($N935,data!$A:$A,0)),"",INDEX(data!P:P,MATCH($N935,data!$A:$A,0)))</f>
        <v/>
      </c>
      <c r="BB935" s="38" t="str">
        <f>IF(ISNA(MATCH($N935,data!$A:$A,0)),"",INDEX(data!Q:Q,MATCH($N935,data!$A:$A,0)))</f>
        <v/>
      </c>
      <c r="BC935" s="38" t="str">
        <f>IF(ISNA(MATCH($N935,data!$A:$A,0)),"",INDEX(data!R:R,MATCH($N935,data!$A:$A,0)))</f>
        <v/>
      </c>
      <c r="BD935" s="38" t="str">
        <f>IF(ISNA(MATCH($N935,[1]data!$A:$A,0)),"",INDEX([1]data!U:U,MATCH($N935,[1]data!$A:$A,0)))</f>
        <v/>
      </c>
      <c r="BE935" s="61" t="e">
        <f>IF(COUNTIF([1]data!A:A,[1]!Table1[[#This Row],[UPC]])&lt;2,"","DUP")</f>
        <v>#VALUE!</v>
      </c>
      <c r="BF935" s="38" t="str">
        <f>IF(ISNA(MATCH($N935,data!$A:$A,0)),"",INDEX(data!W:W,MATCH($N935,data!$A:$A,0)))</f>
        <v/>
      </c>
    </row>
    <row r="936" spans="1:58">
      <c r="A936" s="35"/>
      <c r="B936" s="35"/>
      <c r="C936" s="35"/>
      <c r="D936" s="35"/>
      <c r="E936" s="67"/>
      <c r="F936" s="67"/>
      <c r="G936" s="36"/>
      <c r="H936" s="29"/>
      <c r="I936" s="78" t="str">
        <f t="shared" si="24"/>
        <v/>
      </c>
      <c r="J936" s="29"/>
      <c r="K936" s="29"/>
      <c r="L936" s="33"/>
      <c r="M936" s="33"/>
      <c r="N936" s="60"/>
      <c r="O936" s="71"/>
      <c r="P936" s="71"/>
      <c r="Q936" s="33"/>
      <c r="R936" s="31"/>
      <c r="S936" s="31"/>
      <c r="T936" s="59"/>
      <c r="U936" s="59"/>
      <c r="V936" s="59"/>
      <c r="W936" s="57">
        <f t="shared" si="25"/>
        <v>0</v>
      </c>
      <c r="X936" s="126" t="str">
        <f>IF(Table1[[#This Row],[Shipping Weight Pounds]]&gt;150,"See LTL Form","No")</f>
        <v>No</v>
      </c>
      <c r="Y936" s="28"/>
      <c r="Z936" s="33"/>
      <c r="AA936" s="34"/>
      <c r="AB936" s="30"/>
      <c r="AC936" s="30"/>
      <c r="AD936" s="32"/>
      <c r="AE936" s="32"/>
      <c r="AF936" s="2"/>
      <c r="AG936" s="2"/>
      <c r="AH936" s="2"/>
      <c r="AI936" s="2"/>
      <c r="AK936" s="73" t="str">
        <f>IF(ISNA(MATCH($N936,[1]data!$A:$A,0)),"",INDEX([1]data!S:S,MATCH($N936,[1]data!$A:$A,0)))</f>
        <v/>
      </c>
      <c r="AL936" s="73" t="str">
        <f>IF(ISNA(MATCH($N936,[1]data!$A:$A,0)),"",INDEX([1]data!V:V,MATCH($N936,[1]data!$A:$A,0)))</f>
        <v/>
      </c>
      <c r="AM936" s="38" t="str">
        <f>IF(ISNA(MATCH($N936,data!$A:$A,0)),"",INDEX(data!B:B,MATCH($N936,data!$A:$A,0)))</f>
        <v/>
      </c>
      <c r="AN936" s="38" t="str">
        <f>IF(ISNA(MATCH($N936,data!$A:$A,0)),"",INDEX(data!C:C,MATCH($N936,data!$A:$A,0)))</f>
        <v/>
      </c>
      <c r="AO936" s="38" t="str">
        <f>IF(ISNA(MATCH($N936,data!$A:$A,0)),"",INDEX(data!D:D,MATCH($N936,data!$A:$A,0)))</f>
        <v/>
      </c>
      <c r="AP936" s="38" t="str">
        <f>IF(ISNA(MATCH($N936,data!$A:$A,0)),"",INDEX(data!E:E,MATCH($N936,data!$A:$A,0)))</f>
        <v/>
      </c>
      <c r="AQ936" s="38" t="str">
        <f>IF(ISNA(MATCH($N936,data!$A:$A,0)),"",INDEX(data!F:F,MATCH($N936,data!$A:$A,0)))</f>
        <v/>
      </c>
      <c r="AR936" s="38" t="str">
        <f>IF(ISNA(MATCH($N936,data!$A:$A,0)),"",INDEX(data!G:G,MATCH($N936,data!$A:$A,0)))</f>
        <v/>
      </c>
      <c r="AS936" s="38" t="str">
        <f>IF(ISNA(MATCH($N936,data!$A:$A,0)),"",INDEX(data!H:H,MATCH($N936,data!$A:$A,0)))</f>
        <v/>
      </c>
      <c r="AT936" s="38" t="str">
        <f>IF(ISNA(MATCH($N936,data!$A:$A,0)),"",INDEX(data!I:I,MATCH($N936,data!$A:$A,0)))</f>
        <v/>
      </c>
      <c r="AU936" s="38" t="str">
        <f>IF(ISNA(MATCH($N936,[1]data!$A:$A,0)),"",INDEX([1]data!L:L,MATCH($N936,[1]data!$A:$A,0)))</f>
        <v/>
      </c>
      <c r="AV936" s="38" t="str">
        <f>IF(ISNA(MATCH($N936,[1]data!$A:$A,0)),"",INDEX([1]data!M:M,MATCH($N936,[1]data!$A:$A,0)))</f>
        <v/>
      </c>
      <c r="AW936" s="38" t="str">
        <f>IF(ISNA(MATCH($N936,data!$A:$A,0)),"",INDEX(data!J:J,MATCH($N936,data!$A:$A,0)))</f>
        <v/>
      </c>
      <c r="AX936" s="38" t="str">
        <f>IF(ISNA(MATCH($N936,data!$A:$A,0)),"",INDEX(data!K:K,MATCH($N936,data!$A:$A,0)))</f>
        <v/>
      </c>
      <c r="AY936" s="38" t="str">
        <f>IF(ISNA(MATCH($N936,data!$A:$A,0)),"",INDEX(data!O:O,MATCH($N936,data!$A:$A,0)))</f>
        <v/>
      </c>
      <c r="AZ936" s="38" t="str">
        <f>IF(ISNA(MATCH($N936,data!$A:$A,0)),"",INDEX(data!N:N,MATCH($N936,data!$A:$A,0)))</f>
        <v/>
      </c>
      <c r="BA936" s="38" t="str">
        <f>IF(ISNA(MATCH($N936,data!$A:$A,0)),"",INDEX(data!P:P,MATCH($N936,data!$A:$A,0)))</f>
        <v/>
      </c>
      <c r="BB936" s="38" t="str">
        <f>IF(ISNA(MATCH($N936,data!$A:$A,0)),"",INDEX(data!Q:Q,MATCH($N936,data!$A:$A,0)))</f>
        <v/>
      </c>
      <c r="BC936" s="38" t="str">
        <f>IF(ISNA(MATCH($N936,data!$A:$A,0)),"",INDEX(data!R:R,MATCH($N936,data!$A:$A,0)))</f>
        <v/>
      </c>
      <c r="BD936" s="38" t="str">
        <f>IF(ISNA(MATCH($N936,[1]data!$A:$A,0)),"",INDEX([1]data!U:U,MATCH($N936,[1]data!$A:$A,0)))</f>
        <v/>
      </c>
      <c r="BE936" s="61" t="e">
        <f>IF(COUNTIF([1]data!A:A,[1]!Table1[[#This Row],[UPC]])&lt;2,"","DUP")</f>
        <v>#VALUE!</v>
      </c>
      <c r="BF936" s="38" t="str">
        <f>IF(ISNA(MATCH($N936,data!$A:$A,0)),"",INDEX(data!W:W,MATCH($N936,data!$A:$A,0)))</f>
        <v/>
      </c>
    </row>
    <row r="937" spans="1:58">
      <c r="A937" s="35"/>
      <c r="B937" s="35"/>
      <c r="C937" s="35"/>
      <c r="D937" s="35"/>
      <c r="E937" s="67"/>
      <c r="F937" s="67"/>
      <c r="G937" s="36"/>
      <c r="H937" s="29"/>
      <c r="I937" s="78" t="str">
        <f t="shared" si="24"/>
        <v/>
      </c>
      <c r="J937" s="29"/>
      <c r="K937" s="29"/>
      <c r="L937" s="33"/>
      <c r="M937" s="33"/>
      <c r="N937" s="60"/>
      <c r="O937" s="71"/>
      <c r="P937" s="71"/>
      <c r="Q937" s="33"/>
      <c r="R937" s="31"/>
      <c r="S937" s="31"/>
      <c r="T937" s="59"/>
      <c r="U937" s="59"/>
      <c r="V937" s="59"/>
      <c r="W937" s="57">
        <f t="shared" si="25"/>
        <v>0</v>
      </c>
      <c r="X937" s="126" t="str">
        <f>IF(Table1[[#This Row],[Shipping Weight Pounds]]&gt;150,"See LTL Form","No")</f>
        <v>No</v>
      </c>
      <c r="Y937" s="28"/>
      <c r="Z937" s="33"/>
      <c r="AA937" s="34"/>
      <c r="AB937" s="30"/>
      <c r="AC937" s="30"/>
      <c r="AD937" s="32"/>
      <c r="AE937" s="32"/>
      <c r="AF937" s="2"/>
      <c r="AG937" s="2"/>
      <c r="AH937" s="2"/>
      <c r="AI937" s="2"/>
      <c r="AK937" s="73" t="str">
        <f>IF(ISNA(MATCH($N937,[1]data!$A:$A,0)),"",INDEX([1]data!S:S,MATCH($N937,[1]data!$A:$A,0)))</f>
        <v/>
      </c>
      <c r="AL937" s="73" t="str">
        <f>IF(ISNA(MATCH($N937,[1]data!$A:$A,0)),"",INDEX([1]data!V:V,MATCH($N937,[1]data!$A:$A,0)))</f>
        <v/>
      </c>
      <c r="AM937" s="38" t="str">
        <f>IF(ISNA(MATCH($N937,data!$A:$A,0)),"",INDEX(data!B:B,MATCH($N937,data!$A:$A,0)))</f>
        <v/>
      </c>
      <c r="AN937" s="38" t="str">
        <f>IF(ISNA(MATCH($N937,data!$A:$A,0)),"",INDEX(data!C:C,MATCH($N937,data!$A:$A,0)))</f>
        <v/>
      </c>
      <c r="AO937" s="38" t="str">
        <f>IF(ISNA(MATCH($N937,data!$A:$A,0)),"",INDEX(data!D:D,MATCH($N937,data!$A:$A,0)))</f>
        <v/>
      </c>
      <c r="AP937" s="38" t="str">
        <f>IF(ISNA(MATCH($N937,data!$A:$A,0)),"",INDEX(data!E:E,MATCH($N937,data!$A:$A,0)))</f>
        <v/>
      </c>
      <c r="AQ937" s="38" t="str">
        <f>IF(ISNA(MATCH($N937,data!$A:$A,0)),"",INDEX(data!F:F,MATCH($N937,data!$A:$A,0)))</f>
        <v/>
      </c>
      <c r="AR937" s="38" t="str">
        <f>IF(ISNA(MATCH($N937,data!$A:$A,0)),"",INDEX(data!G:G,MATCH($N937,data!$A:$A,0)))</f>
        <v/>
      </c>
      <c r="AS937" s="38" t="str">
        <f>IF(ISNA(MATCH($N937,data!$A:$A,0)),"",INDEX(data!H:H,MATCH($N937,data!$A:$A,0)))</f>
        <v/>
      </c>
      <c r="AT937" s="38" t="str">
        <f>IF(ISNA(MATCH($N937,data!$A:$A,0)),"",INDEX(data!I:I,MATCH($N937,data!$A:$A,0)))</f>
        <v/>
      </c>
      <c r="AU937" s="38" t="str">
        <f>IF(ISNA(MATCH($N937,[1]data!$A:$A,0)),"",INDEX([1]data!L:L,MATCH($N937,[1]data!$A:$A,0)))</f>
        <v/>
      </c>
      <c r="AV937" s="38" t="str">
        <f>IF(ISNA(MATCH($N937,[1]data!$A:$A,0)),"",INDEX([1]data!M:M,MATCH($N937,[1]data!$A:$A,0)))</f>
        <v/>
      </c>
      <c r="AW937" s="38" t="str">
        <f>IF(ISNA(MATCH($N937,data!$A:$A,0)),"",INDEX(data!J:J,MATCH($N937,data!$A:$A,0)))</f>
        <v/>
      </c>
      <c r="AX937" s="38" t="str">
        <f>IF(ISNA(MATCH($N937,data!$A:$A,0)),"",INDEX(data!K:K,MATCH($N937,data!$A:$A,0)))</f>
        <v/>
      </c>
      <c r="AY937" s="38" t="str">
        <f>IF(ISNA(MATCH($N937,data!$A:$A,0)),"",INDEX(data!O:O,MATCH($N937,data!$A:$A,0)))</f>
        <v/>
      </c>
      <c r="AZ937" s="38" t="str">
        <f>IF(ISNA(MATCH($N937,data!$A:$A,0)),"",INDEX(data!N:N,MATCH($N937,data!$A:$A,0)))</f>
        <v/>
      </c>
      <c r="BA937" s="38" t="str">
        <f>IF(ISNA(MATCH($N937,data!$A:$A,0)),"",INDEX(data!P:P,MATCH($N937,data!$A:$A,0)))</f>
        <v/>
      </c>
      <c r="BB937" s="38" t="str">
        <f>IF(ISNA(MATCH($N937,data!$A:$A,0)),"",INDEX(data!Q:Q,MATCH($N937,data!$A:$A,0)))</f>
        <v/>
      </c>
      <c r="BC937" s="38" t="str">
        <f>IF(ISNA(MATCH($N937,data!$A:$A,0)),"",INDEX(data!R:R,MATCH($N937,data!$A:$A,0)))</f>
        <v/>
      </c>
      <c r="BD937" s="38" t="str">
        <f>IF(ISNA(MATCH($N937,[1]data!$A:$A,0)),"",INDEX([1]data!U:U,MATCH($N937,[1]data!$A:$A,0)))</f>
        <v/>
      </c>
      <c r="BE937" s="61" t="e">
        <f>IF(COUNTIF([1]data!A:A,[1]!Table1[[#This Row],[UPC]])&lt;2,"","DUP")</f>
        <v>#VALUE!</v>
      </c>
      <c r="BF937" s="38" t="str">
        <f>IF(ISNA(MATCH($N937,data!$A:$A,0)),"",INDEX(data!W:W,MATCH($N937,data!$A:$A,0)))</f>
        <v/>
      </c>
    </row>
    <row r="938" spans="1:58">
      <c r="A938" s="35"/>
      <c r="B938" s="35"/>
      <c r="C938" s="35"/>
      <c r="D938" s="35"/>
      <c r="E938" s="67"/>
      <c r="F938" s="67"/>
      <c r="G938" s="36"/>
      <c r="H938" s="29"/>
      <c r="I938" s="78" t="str">
        <f t="shared" si="24"/>
        <v/>
      </c>
      <c r="J938" s="29"/>
      <c r="K938" s="29"/>
      <c r="L938" s="33"/>
      <c r="M938" s="33"/>
      <c r="N938" s="60"/>
      <c r="O938" s="71"/>
      <c r="P938" s="71"/>
      <c r="Q938" s="33"/>
      <c r="R938" s="31"/>
      <c r="S938" s="31"/>
      <c r="T938" s="59"/>
      <c r="U938" s="59"/>
      <c r="V938" s="59"/>
      <c r="W938" s="57">
        <f t="shared" si="25"/>
        <v>0</v>
      </c>
      <c r="X938" s="126" t="str">
        <f>IF(Table1[[#This Row],[Shipping Weight Pounds]]&gt;150,"See LTL Form","No")</f>
        <v>No</v>
      </c>
      <c r="Y938" s="28"/>
      <c r="Z938" s="33"/>
      <c r="AA938" s="34"/>
      <c r="AB938" s="30"/>
      <c r="AC938" s="30"/>
      <c r="AD938" s="32"/>
      <c r="AE938" s="32"/>
      <c r="AF938" s="2"/>
      <c r="AG938" s="2"/>
      <c r="AH938" s="2"/>
      <c r="AI938" s="2"/>
      <c r="AK938" s="73" t="str">
        <f>IF(ISNA(MATCH($N938,[1]data!$A:$A,0)),"",INDEX([1]data!S:S,MATCH($N938,[1]data!$A:$A,0)))</f>
        <v/>
      </c>
      <c r="AL938" s="73" t="str">
        <f>IF(ISNA(MATCH($N938,[1]data!$A:$A,0)),"",INDEX([1]data!V:V,MATCH($N938,[1]data!$A:$A,0)))</f>
        <v/>
      </c>
      <c r="AM938" s="38" t="str">
        <f>IF(ISNA(MATCH($N938,data!$A:$A,0)),"",INDEX(data!B:B,MATCH($N938,data!$A:$A,0)))</f>
        <v/>
      </c>
      <c r="AN938" s="38" t="str">
        <f>IF(ISNA(MATCH($N938,data!$A:$A,0)),"",INDEX(data!C:C,MATCH($N938,data!$A:$A,0)))</f>
        <v/>
      </c>
      <c r="AO938" s="38" t="str">
        <f>IF(ISNA(MATCH($N938,data!$A:$A,0)),"",INDEX(data!D:D,MATCH($N938,data!$A:$A,0)))</f>
        <v/>
      </c>
      <c r="AP938" s="38" t="str">
        <f>IF(ISNA(MATCH($N938,data!$A:$A,0)),"",INDEX(data!E:E,MATCH($N938,data!$A:$A,0)))</f>
        <v/>
      </c>
      <c r="AQ938" s="38" t="str">
        <f>IF(ISNA(MATCH($N938,data!$A:$A,0)),"",INDEX(data!F:F,MATCH($N938,data!$A:$A,0)))</f>
        <v/>
      </c>
      <c r="AR938" s="38" t="str">
        <f>IF(ISNA(MATCH($N938,data!$A:$A,0)),"",INDEX(data!G:G,MATCH($N938,data!$A:$A,0)))</f>
        <v/>
      </c>
      <c r="AS938" s="38" t="str">
        <f>IF(ISNA(MATCH($N938,data!$A:$A,0)),"",INDEX(data!H:H,MATCH($N938,data!$A:$A,0)))</f>
        <v/>
      </c>
      <c r="AT938" s="38" t="str">
        <f>IF(ISNA(MATCH($N938,data!$A:$A,0)),"",INDEX(data!I:I,MATCH($N938,data!$A:$A,0)))</f>
        <v/>
      </c>
      <c r="AU938" s="38" t="str">
        <f>IF(ISNA(MATCH($N938,[1]data!$A:$A,0)),"",INDEX([1]data!L:L,MATCH($N938,[1]data!$A:$A,0)))</f>
        <v/>
      </c>
      <c r="AV938" s="38" t="str">
        <f>IF(ISNA(MATCH($N938,[1]data!$A:$A,0)),"",INDEX([1]data!M:M,MATCH($N938,[1]data!$A:$A,0)))</f>
        <v/>
      </c>
      <c r="AW938" s="38" t="str">
        <f>IF(ISNA(MATCH($N938,data!$A:$A,0)),"",INDEX(data!J:J,MATCH($N938,data!$A:$A,0)))</f>
        <v/>
      </c>
      <c r="AX938" s="38" t="str">
        <f>IF(ISNA(MATCH($N938,data!$A:$A,0)),"",INDEX(data!K:K,MATCH($N938,data!$A:$A,0)))</f>
        <v/>
      </c>
      <c r="AY938" s="38" t="str">
        <f>IF(ISNA(MATCH($N938,data!$A:$A,0)),"",INDEX(data!O:O,MATCH($N938,data!$A:$A,0)))</f>
        <v/>
      </c>
      <c r="AZ938" s="38" t="str">
        <f>IF(ISNA(MATCH($N938,data!$A:$A,0)),"",INDEX(data!N:N,MATCH($N938,data!$A:$A,0)))</f>
        <v/>
      </c>
      <c r="BA938" s="38" t="str">
        <f>IF(ISNA(MATCH($N938,data!$A:$A,0)),"",INDEX(data!P:P,MATCH($N938,data!$A:$A,0)))</f>
        <v/>
      </c>
      <c r="BB938" s="38" t="str">
        <f>IF(ISNA(MATCH($N938,data!$A:$A,0)),"",INDEX(data!Q:Q,MATCH($N938,data!$A:$A,0)))</f>
        <v/>
      </c>
      <c r="BC938" s="38" t="str">
        <f>IF(ISNA(MATCH($N938,data!$A:$A,0)),"",INDEX(data!R:R,MATCH($N938,data!$A:$A,0)))</f>
        <v/>
      </c>
      <c r="BD938" s="38" t="str">
        <f>IF(ISNA(MATCH($N938,[1]data!$A:$A,0)),"",INDEX([1]data!U:U,MATCH($N938,[1]data!$A:$A,0)))</f>
        <v/>
      </c>
      <c r="BE938" s="61" t="e">
        <f>IF(COUNTIF([1]data!A:A,[1]!Table1[[#This Row],[UPC]])&lt;2,"","DUP")</f>
        <v>#VALUE!</v>
      </c>
      <c r="BF938" s="38" t="str">
        <f>IF(ISNA(MATCH($N938,data!$A:$A,0)),"",INDEX(data!W:W,MATCH($N938,data!$A:$A,0)))</f>
        <v/>
      </c>
    </row>
    <row r="939" spans="1:58">
      <c r="A939" s="35"/>
      <c r="B939" s="35"/>
      <c r="C939" s="35"/>
      <c r="D939" s="35"/>
      <c r="E939" s="67"/>
      <c r="F939" s="67"/>
      <c r="G939" s="36"/>
      <c r="H939" s="29"/>
      <c r="I939" s="78" t="str">
        <f t="shared" si="24"/>
        <v/>
      </c>
      <c r="J939" s="29"/>
      <c r="K939" s="29"/>
      <c r="L939" s="33"/>
      <c r="M939" s="33"/>
      <c r="N939" s="60"/>
      <c r="O939" s="71"/>
      <c r="P939" s="71"/>
      <c r="Q939" s="33"/>
      <c r="R939" s="31"/>
      <c r="S939" s="31"/>
      <c r="T939" s="59"/>
      <c r="U939" s="59"/>
      <c r="V939" s="59"/>
      <c r="W939" s="57">
        <f t="shared" si="25"/>
        <v>0</v>
      </c>
      <c r="X939" s="126" t="str">
        <f>IF(Table1[[#This Row],[Shipping Weight Pounds]]&gt;150,"See LTL Form","No")</f>
        <v>No</v>
      </c>
      <c r="Y939" s="28"/>
      <c r="Z939" s="33"/>
      <c r="AA939" s="34"/>
      <c r="AB939" s="30"/>
      <c r="AC939" s="30"/>
      <c r="AD939" s="32"/>
      <c r="AE939" s="32"/>
      <c r="AF939" s="2"/>
      <c r="AG939" s="2"/>
      <c r="AH939" s="2"/>
      <c r="AI939" s="2"/>
      <c r="AK939" s="73" t="str">
        <f>IF(ISNA(MATCH($N939,[1]data!$A:$A,0)),"",INDEX([1]data!S:S,MATCH($N939,[1]data!$A:$A,0)))</f>
        <v/>
      </c>
      <c r="AL939" s="73" t="str">
        <f>IF(ISNA(MATCH($N939,[1]data!$A:$A,0)),"",INDEX([1]data!V:V,MATCH($N939,[1]data!$A:$A,0)))</f>
        <v/>
      </c>
      <c r="AM939" s="38" t="str">
        <f>IF(ISNA(MATCH($N939,data!$A:$A,0)),"",INDEX(data!B:B,MATCH($N939,data!$A:$A,0)))</f>
        <v/>
      </c>
      <c r="AN939" s="38" t="str">
        <f>IF(ISNA(MATCH($N939,data!$A:$A,0)),"",INDEX(data!C:C,MATCH($N939,data!$A:$A,0)))</f>
        <v/>
      </c>
      <c r="AO939" s="38" t="str">
        <f>IF(ISNA(MATCH($N939,data!$A:$A,0)),"",INDEX(data!D:D,MATCH($N939,data!$A:$A,0)))</f>
        <v/>
      </c>
      <c r="AP939" s="38" t="str">
        <f>IF(ISNA(MATCH($N939,data!$A:$A,0)),"",INDEX(data!E:E,MATCH($N939,data!$A:$A,0)))</f>
        <v/>
      </c>
      <c r="AQ939" s="38" t="str">
        <f>IF(ISNA(MATCH($N939,data!$A:$A,0)),"",INDEX(data!F:F,MATCH($N939,data!$A:$A,0)))</f>
        <v/>
      </c>
      <c r="AR939" s="38" t="str">
        <f>IF(ISNA(MATCH($N939,data!$A:$A,0)),"",INDEX(data!G:G,MATCH($N939,data!$A:$A,0)))</f>
        <v/>
      </c>
      <c r="AS939" s="38" t="str">
        <f>IF(ISNA(MATCH($N939,data!$A:$A,0)),"",INDEX(data!H:H,MATCH($N939,data!$A:$A,0)))</f>
        <v/>
      </c>
      <c r="AT939" s="38" t="str">
        <f>IF(ISNA(MATCH($N939,data!$A:$A,0)),"",INDEX(data!I:I,MATCH($N939,data!$A:$A,0)))</f>
        <v/>
      </c>
      <c r="AU939" s="38" t="str">
        <f>IF(ISNA(MATCH($N939,[1]data!$A:$A,0)),"",INDEX([1]data!L:L,MATCH($N939,[1]data!$A:$A,0)))</f>
        <v/>
      </c>
      <c r="AV939" s="38" t="str">
        <f>IF(ISNA(MATCH($N939,[1]data!$A:$A,0)),"",INDEX([1]data!M:M,MATCH($N939,[1]data!$A:$A,0)))</f>
        <v/>
      </c>
      <c r="AW939" s="38" t="str">
        <f>IF(ISNA(MATCH($N939,data!$A:$A,0)),"",INDEX(data!J:J,MATCH($N939,data!$A:$A,0)))</f>
        <v/>
      </c>
      <c r="AX939" s="38" t="str">
        <f>IF(ISNA(MATCH($N939,data!$A:$A,0)),"",INDEX(data!K:K,MATCH($N939,data!$A:$A,0)))</f>
        <v/>
      </c>
      <c r="AY939" s="38" t="str">
        <f>IF(ISNA(MATCH($N939,data!$A:$A,0)),"",INDEX(data!O:O,MATCH($N939,data!$A:$A,0)))</f>
        <v/>
      </c>
      <c r="AZ939" s="38" t="str">
        <f>IF(ISNA(MATCH($N939,data!$A:$A,0)),"",INDEX(data!N:N,MATCH($N939,data!$A:$A,0)))</f>
        <v/>
      </c>
      <c r="BA939" s="38" t="str">
        <f>IF(ISNA(MATCH($N939,data!$A:$A,0)),"",INDEX(data!P:P,MATCH($N939,data!$A:$A,0)))</f>
        <v/>
      </c>
      <c r="BB939" s="38" t="str">
        <f>IF(ISNA(MATCH($N939,data!$A:$A,0)),"",INDEX(data!Q:Q,MATCH($N939,data!$A:$A,0)))</f>
        <v/>
      </c>
      <c r="BC939" s="38" t="str">
        <f>IF(ISNA(MATCH($N939,data!$A:$A,0)),"",INDEX(data!R:R,MATCH($N939,data!$A:$A,0)))</f>
        <v/>
      </c>
      <c r="BD939" s="38" t="str">
        <f>IF(ISNA(MATCH($N939,[1]data!$A:$A,0)),"",INDEX([1]data!U:U,MATCH($N939,[1]data!$A:$A,0)))</f>
        <v/>
      </c>
      <c r="BE939" s="61" t="e">
        <f>IF(COUNTIF([1]data!A:A,[1]!Table1[[#This Row],[UPC]])&lt;2,"","DUP")</f>
        <v>#VALUE!</v>
      </c>
      <c r="BF939" s="38" t="str">
        <f>IF(ISNA(MATCH($N939,data!$A:$A,0)),"",INDEX(data!W:W,MATCH($N939,data!$A:$A,0)))</f>
        <v/>
      </c>
    </row>
    <row r="940" spans="1:58">
      <c r="A940" s="35"/>
      <c r="B940" s="35"/>
      <c r="C940" s="35"/>
      <c r="D940" s="35"/>
      <c r="E940" s="67"/>
      <c r="F940" s="67"/>
      <c r="G940" s="36"/>
      <c r="H940" s="29"/>
      <c r="I940" s="78" t="str">
        <f t="shared" si="24"/>
        <v/>
      </c>
      <c r="J940" s="29"/>
      <c r="K940" s="29"/>
      <c r="L940" s="33"/>
      <c r="M940" s="33"/>
      <c r="N940" s="60"/>
      <c r="O940" s="71"/>
      <c r="P940" s="71"/>
      <c r="Q940" s="33"/>
      <c r="R940" s="31"/>
      <c r="S940" s="31"/>
      <c r="T940" s="59"/>
      <c r="U940" s="59"/>
      <c r="V940" s="59"/>
      <c r="W940" s="57">
        <f t="shared" si="25"/>
        <v>0</v>
      </c>
      <c r="X940" s="126" t="str">
        <f>IF(Table1[[#This Row],[Shipping Weight Pounds]]&gt;150,"See LTL Form","No")</f>
        <v>No</v>
      </c>
      <c r="Y940" s="28"/>
      <c r="Z940" s="33"/>
      <c r="AA940" s="34"/>
      <c r="AB940" s="30"/>
      <c r="AC940" s="30"/>
      <c r="AD940" s="32"/>
      <c r="AE940" s="32"/>
      <c r="AF940" s="2"/>
      <c r="AG940" s="2"/>
      <c r="AH940" s="2"/>
      <c r="AI940" s="2"/>
      <c r="AK940" s="73" t="str">
        <f>IF(ISNA(MATCH($N940,[1]data!$A:$A,0)),"",INDEX([1]data!S:S,MATCH($N940,[1]data!$A:$A,0)))</f>
        <v/>
      </c>
      <c r="AL940" s="73" t="str">
        <f>IF(ISNA(MATCH($N940,[1]data!$A:$A,0)),"",INDEX([1]data!V:V,MATCH($N940,[1]data!$A:$A,0)))</f>
        <v/>
      </c>
      <c r="AM940" s="38" t="str">
        <f>IF(ISNA(MATCH($N940,data!$A:$A,0)),"",INDEX(data!B:B,MATCH($N940,data!$A:$A,0)))</f>
        <v/>
      </c>
      <c r="AN940" s="38" t="str">
        <f>IF(ISNA(MATCH($N940,data!$A:$A,0)),"",INDEX(data!C:C,MATCH($N940,data!$A:$A,0)))</f>
        <v/>
      </c>
      <c r="AO940" s="38" t="str">
        <f>IF(ISNA(MATCH($N940,data!$A:$A,0)),"",INDEX(data!D:D,MATCH($N940,data!$A:$A,0)))</f>
        <v/>
      </c>
      <c r="AP940" s="38" t="str">
        <f>IF(ISNA(MATCH($N940,data!$A:$A,0)),"",INDEX(data!E:E,MATCH($N940,data!$A:$A,0)))</f>
        <v/>
      </c>
      <c r="AQ940" s="38" t="str">
        <f>IF(ISNA(MATCH($N940,data!$A:$A,0)),"",INDEX(data!F:F,MATCH($N940,data!$A:$A,0)))</f>
        <v/>
      </c>
      <c r="AR940" s="38" t="str">
        <f>IF(ISNA(MATCH($N940,data!$A:$A,0)),"",INDEX(data!G:G,MATCH($N940,data!$A:$A,0)))</f>
        <v/>
      </c>
      <c r="AS940" s="38" t="str">
        <f>IF(ISNA(MATCH($N940,data!$A:$A,0)),"",INDEX(data!H:H,MATCH($N940,data!$A:$A,0)))</f>
        <v/>
      </c>
      <c r="AT940" s="38" t="str">
        <f>IF(ISNA(MATCH($N940,data!$A:$A,0)),"",INDEX(data!I:I,MATCH($N940,data!$A:$A,0)))</f>
        <v/>
      </c>
      <c r="AU940" s="38" t="str">
        <f>IF(ISNA(MATCH($N940,[1]data!$A:$A,0)),"",INDEX([1]data!L:L,MATCH($N940,[1]data!$A:$A,0)))</f>
        <v/>
      </c>
      <c r="AV940" s="38" t="str">
        <f>IF(ISNA(MATCH($N940,[1]data!$A:$A,0)),"",INDEX([1]data!M:M,MATCH($N940,[1]data!$A:$A,0)))</f>
        <v/>
      </c>
      <c r="AW940" s="38" t="str">
        <f>IF(ISNA(MATCH($N940,data!$A:$A,0)),"",INDEX(data!J:J,MATCH($N940,data!$A:$A,0)))</f>
        <v/>
      </c>
      <c r="AX940" s="38" t="str">
        <f>IF(ISNA(MATCH($N940,data!$A:$A,0)),"",INDEX(data!K:K,MATCH($N940,data!$A:$A,0)))</f>
        <v/>
      </c>
      <c r="AY940" s="38" t="str">
        <f>IF(ISNA(MATCH($N940,data!$A:$A,0)),"",INDEX(data!O:O,MATCH($N940,data!$A:$A,0)))</f>
        <v/>
      </c>
      <c r="AZ940" s="38" t="str">
        <f>IF(ISNA(MATCH($N940,data!$A:$A,0)),"",INDEX(data!N:N,MATCH($N940,data!$A:$A,0)))</f>
        <v/>
      </c>
      <c r="BA940" s="38" t="str">
        <f>IF(ISNA(MATCH($N940,data!$A:$A,0)),"",INDEX(data!P:P,MATCH($N940,data!$A:$A,0)))</f>
        <v/>
      </c>
      <c r="BB940" s="38" t="str">
        <f>IF(ISNA(MATCH($N940,data!$A:$A,0)),"",INDEX(data!Q:Q,MATCH($N940,data!$A:$A,0)))</f>
        <v/>
      </c>
      <c r="BC940" s="38" t="str">
        <f>IF(ISNA(MATCH($N940,data!$A:$A,0)),"",INDEX(data!R:R,MATCH($N940,data!$A:$A,0)))</f>
        <v/>
      </c>
      <c r="BD940" s="38" t="str">
        <f>IF(ISNA(MATCH($N940,[1]data!$A:$A,0)),"",INDEX([1]data!U:U,MATCH($N940,[1]data!$A:$A,0)))</f>
        <v/>
      </c>
      <c r="BE940" s="61" t="e">
        <f>IF(COUNTIF([1]data!A:A,[1]!Table1[[#This Row],[UPC]])&lt;2,"","DUP")</f>
        <v>#VALUE!</v>
      </c>
      <c r="BF940" s="38" t="str">
        <f>IF(ISNA(MATCH($N940,data!$A:$A,0)),"",INDEX(data!W:W,MATCH($N940,data!$A:$A,0)))</f>
        <v/>
      </c>
    </row>
    <row r="941" spans="1:58">
      <c r="A941" s="35"/>
      <c r="B941" s="35"/>
      <c r="C941" s="35"/>
      <c r="D941" s="35"/>
      <c r="E941" s="67"/>
      <c r="F941" s="67"/>
      <c r="G941" s="36"/>
      <c r="H941" s="29"/>
      <c r="I941" s="78" t="str">
        <f t="shared" si="24"/>
        <v/>
      </c>
      <c r="J941" s="29"/>
      <c r="K941" s="29"/>
      <c r="L941" s="33"/>
      <c r="M941" s="33"/>
      <c r="N941" s="60"/>
      <c r="O941" s="71"/>
      <c r="P941" s="71"/>
      <c r="Q941" s="33"/>
      <c r="R941" s="31"/>
      <c r="S941" s="31"/>
      <c r="T941" s="59"/>
      <c r="U941" s="59"/>
      <c r="V941" s="59"/>
      <c r="W941" s="57">
        <f t="shared" si="25"/>
        <v>0</v>
      </c>
      <c r="X941" s="126" t="str">
        <f>IF(Table1[[#This Row],[Shipping Weight Pounds]]&gt;150,"See LTL Form","No")</f>
        <v>No</v>
      </c>
      <c r="Y941" s="28"/>
      <c r="Z941" s="33"/>
      <c r="AA941" s="34"/>
      <c r="AB941" s="30"/>
      <c r="AC941" s="30"/>
      <c r="AD941" s="32"/>
      <c r="AE941" s="32"/>
      <c r="AF941" s="2"/>
      <c r="AG941" s="2"/>
      <c r="AH941" s="2"/>
      <c r="AI941" s="2"/>
      <c r="AK941" s="73" t="str">
        <f>IF(ISNA(MATCH($N941,[1]data!$A:$A,0)),"",INDEX([1]data!S:S,MATCH($N941,[1]data!$A:$A,0)))</f>
        <v/>
      </c>
      <c r="AL941" s="73" t="str">
        <f>IF(ISNA(MATCH($N941,[1]data!$A:$A,0)),"",INDEX([1]data!V:V,MATCH($N941,[1]data!$A:$A,0)))</f>
        <v/>
      </c>
      <c r="AM941" s="38" t="str">
        <f>IF(ISNA(MATCH($N941,data!$A:$A,0)),"",INDEX(data!B:B,MATCH($N941,data!$A:$A,0)))</f>
        <v/>
      </c>
      <c r="AN941" s="38" t="str">
        <f>IF(ISNA(MATCH($N941,data!$A:$A,0)),"",INDEX(data!C:C,MATCH($N941,data!$A:$A,0)))</f>
        <v/>
      </c>
      <c r="AO941" s="38" t="str">
        <f>IF(ISNA(MATCH($N941,data!$A:$A,0)),"",INDEX(data!D:D,MATCH($N941,data!$A:$A,0)))</f>
        <v/>
      </c>
      <c r="AP941" s="38" t="str">
        <f>IF(ISNA(MATCH($N941,data!$A:$A,0)),"",INDEX(data!E:E,MATCH($N941,data!$A:$A,0)))</f>
        <v/>
      </c>
      <c r="AQ941" s="38" t="str">
        <f>IF(ISNA(MATCH($N941,data!$A:$A,0)),"",INDEX(data!F:F,MATCH($N941,data!$A:$A,0)))</f>
        <v/>
      </c>
      <c r="AR941" s="38" t="str">
        <f>IF(ISNA(MATCH($N941,data!$A:$A,0)),"",INDEX(data!G:G,MATCH($N941,data!$A:$A,0)))</f>
        <v/>
      </c>
      <c r="AS941" s="38" t="str">
        <f>IF(ISNA(MATCH($N941,data!$A:$A,0)),"",INDEX(data!H:H,MATCH($N941,data!$A:$A,0)))</f>
        <v/>
      </c>
      <c r="AT941" s="38" t="str">
        <f>IF(ISNA(MATCH($N941,data!$A:$A,0)),"",INDEX(data!I:I,MATCH($N941,data!$A:$A,0)))</f>
        <v/>
      </c>
      <c r="AU941" s="38" t="str">
        <f>IF(ISNA(MATCH($N941,[1]data!$A:$A,0)),"",INDEX([1]data!L:L,MATCH($N941,[1]data!$A:$A,0)))</f>
        <v/>
      </c>
      <c r="AV941" s="38" t="str">
        <f>IF(ISNA(MATCH($N941,[1]data!$A:$A,0)),"",INDEX([1]data!M:M,MATCH($N941,[1]data!$A:$A,0)))</f>
        <v/>
      </c>
      <c r="AW941" s="38" t="str">
        <f>IF(ISNA(MATCH($N941,data!$A:$A,0)),"",INDEX(data!J:J,MATCH($N941,data!$A:$A,0)))</f>
        <v/>
      </c>
      <c r="AX941" s="38" t="str">
        <f>IF(ISNA(MATCH($N941,data!$A:$A,0)),"",INDEX(data!K:K,MATCH($N941,data!$A:$A,0)))</f>
        <v/>
      </c>
      <c r="AY941" s="38" t="str">
        <f>IF(ISNA(MATCH($N941,data!$A:$A,0)),"",INDEX(data!O:O,MATCH($N941,data!$A:$A,0)))</f>
        <v/>
      </c>
      <c r="AZ941" s="38" t="str">
        <f>IF(ISNA(MATCH($N941,data!$A:$A,0)),"",INDEX(data!N:N,MATCH($N941,data!$A:$A,0)))</f>
        <v/>
      </c>
      <c r="BA941" s="38" t="str">
        <f>IF(ISNA(MATCH($N941,data!$A:$A,0)),"",INDEX(data!P:P,MATCH($N941,data!$A:$A,0)))</f>
        <v/>
      </c>
      <c r="BB941" s="38" t="str">
        <f>IF(ISNA(MATCH($N941,data!$A:$A,0)),"",INDEX(data!Q:Q,MATCH($N941,data!$A:$A,0)))</f>
        <v/>
      </c>
      <c r="BC941" s="38" t="str">
        <f>IF(ISNA(MATCH($N941,data!$A:$A,0)),"",INDEX(data!R:R,MATCH($N941,data!$A:$A,0)))</f>
        <v/>
      </c>
      <c r="BD941" s="38" t="str">
        <f>IF(ISNA(MATCH($N941,[1]data!$A:$A,0)),"",INDEX([1]data!U:U,MATCH($N941,[1]data!$A:$A,0)))</f>
        <v/>
      </c>
      <c r="BE941" s="61" t="e">
        <f>IF(COUNTIF([1]data!A:A,[1]!Table1[[#This Row],[UPC]])&lt;2,"","DUP")</f>
        <v>#VALUE!</v>
      </c>
      <c r="BF941" s="38" t="str">
        <f>IF(ISNA(MATCH($N941,data!$A:$A,0)),"",INDEX(data!W:W,MATCH($N941,data!$A:$A,0)))</f>
        <v/>
      </c>
    </row>
    <row r="942" spans="1:58">
      <c r="A942" s="35"/>
      <c r="B942" s="35"/>
      <c r="C942" s="35"/>
      <c r="D942" s="35"/>
      <c r="E942" s="67"/>
      <c r="F942" s="67"/>
      <c r="G942" s="36"/>
      <c r="H942" s="29"/>
      <c r="I942" s="78" t="str">
        <f t="shared" si="24"/>
        <v/>
      </c>
      <c r="J942" s="29"/>
      <c r="K942" s="29"/>
      <c r="L942" s="33"/>
      <c r="M942" s="33"/>
      <c r="N942" s="60"/>
      <c r="O942" s="71"/>
      <c r="P942" s="71"/>
      <c r="Q942" s="33"/>
      <c r="R942" s="31"/>
      <c r="S942" s="31"/>
      <c r="T942" s="59"/>
      <c r="U942" s="59"/>
      <c r="V942" s="59"/>
      <c r="W942" s="57">
        <f t="shared" si="25"/>
        <v>0</v>
      </c>
      <c r="X942" s="126" t="str">
        <f>IF(Table1[[#This Row],[Shipping Weight Pounds]]&gt;150,"See LTL Form","No")</f>
        <v>No</v>
      </c>
      <c r="Y942" s="28"/>
      <c r="Z942" s="33"/>
      <c r="AA942" s="34"/>
      <c r="AB942" s="30"/>
      <c r="AC942" s="30"/>
      <c r="AD942" s="32"/>
      <c r="AE942" s="32"/>
      <c r="AF942" s="2"/>
      <c r="AG942" s="2"/>
      <c r="AH942" s="2"/>
      <c r="AI942" s="2"/>
      <c r="AK942" s="73" t="str">
        <f>IF(ISNA(MATCH($N942,[1]data!$A:$A,0)),"",INDEX([1]data!S:S,MATCH($N942,[1]data!$A:$A,0)))</f>
        <v/>
      </c>
      <c r="AL942" s="73" t="str">
        <f>IF(ISNA(MATCH($N942,[1]data!$A:$A,0)),"",INDEX([1]data!V:V,MATCH($N942,[1]data!$A:$A,0)))</f>
        <v/>
      </c>
      <c r="AM942" s="38" t="str">
        <f>IF(ISNA(MATCH($N942,data!$A:$A,0)),"",INDEX(data!B:B,MATCH($N942,data!$A:$A,0)))</f>
        <v/>
      </c>
      <c r="AN942" s="38" t="str">
        <f>IF(ISNA(MATCH($N942,data!$A:$A,0)),"",INDEX(data!C:C,MATCH($N942,data!$A:$A,0)))</f>
        <v/>
      </c>
      <c r="AO942" s="38" t="str">
        <f>IF(ISNA(MATCH($N942,data!$A:$A,0)),"",INDEX(data!D:D,MATCH($N942,data!$A:$A,0)))</f>
        <v/>
      </c>
      <c r="AP942" s="38" t="str">
        <f>IF(ISNA(MATCH($N942,data!$A:$A,0)),"",INDEX(data!E:E,MATCH($N942,data!$A:$A,0)))</f>
        <v/>
      </c>
      <c r="AQ942" s="38" t="str">
        <f>IF(ISNA(MATCH($N942,data!$A:$A,0)),"",INDEX(data!F:F,MATCH($N942,data!$A:$A,0)))</f>
        <v/>
      </c>
      <c r="AR942" s="38" t="str">
        <f>IF(ISNA(MATCH($N942,data!$A:$A,0)),"",INDEX(data!G:G,MATCH($N942,data!$A:$A,0)))</f>
        <v/>
      </c>
      <c r="AS942" s="38" t="str">
        <f>IF(ISNA(MATCH($N942,data!$A:$A,0)),"",INDEX(data!H:H,MATCH($N942,data!$A:$A,0)))</f>
        <v/>
      </c>
      <c r="AT942" s="38" t="str">
        <f>IF(ISNA(MATCH($N942,data!$A:$A,0)),"",INDEX(data!I:I,MATCH($N942,data!$A:$A,0)))</f>
        <v/>
      </c>
      <c r="AU942" s="38" t="str">
        <f>IF(ISNA(MATCH($N942,[1]data!$A:$A,0)),"",INDEX([1]data!L:L,MATCH($N942,[1]data!$A:$A,0)))</f>
        <v/>
      </c>
      <c r="AV942" s="38" t="str">
        <f>IF(ISNA(MATCH($N942,[1]data!$A:$A,0)),"",INDEX([1]data!M:M,MATCH($N942,[1]data!$A:$A,0)))</f>
        <v/>
      </c>
      <c r="AW942" s="38" t="str">
        <f>IF(ISNA(MATCH($N942,data!$A:$A,0)),"",INDEX(data!J:J,MATCH($N942,data!$A:$A,0)))</f>
        <v/>
      </c>
      <c r="AX942" s="38" t="str">
        <f>IF(ISNA(MATCH($N942,data!$A:$A,0)),"",INDEX(data!K:K,MATCH($N942,data!$A:$A,0)))</f>
        <v/>
      </c>
      <c r="AY942" s="38" t="str">
        <f>IF(ISNA(MATCH($N942,data!$A:$A,0)),"",INDEX(data!O:O,MATCH($N942,data!$A:$A,0)))</f>
        <v/>
      </c>
      <c r="AZ942" s="38" t="str">
        <f>IF(ISNA(MATCH($N942,data!$A:$A,0)),"",INDEX(data!N:N,MATCH($N942,data!$A:$A,0)))</f>
        <v/>
      </c>
      <c r="BA942" s="38" t="str">
        <f>IF(ISNA(MATCH($N942,data!$A:$A,0)),"",INDEX(data!P:P,MATCH($N942,data!$A:$A,0)))</f>
        <v/>
      </c>
      <c r="BB942" s="38" t="str">
        <f>IF(ISNA(MATCH($N942,data!$A:$A,0)),"",INDEX(data!Q:Q,MATCH($N942,data!$A:$A,0)))</f>
        <v/>
      </c>
      <c r="BC942" s="38" t="str">
        <f>IF(ISNA(MATCH($N942,data!$A:$A,0)),"",INDEX(data!R:R,MATCH($N942,data!$A:$A,0)))</f>
        <v/>
      </c>
      <c r="BD942" s="38" t="str">
        <f>IF(ISNA(MATCH($N942,[1]data!$A:$A,0)),"",INDEX([1]data!U:U,MATCH($N942,[1]data!$A:$A,0)))</f>
        <v/>
      </c>
      <c r="BE942" s="61" t="e">
        <f>IF(COUNTIF([1]data!A:A,[1]!Table1[[#This Row],[UPC]])&lt;2,"","DUP")</f>
        <v>#VALUE!</v>
      </c>
      <c r="BF942" s="38" t="str">
        <f>IF(ISNA(MATCH($N942,data!$A:$A,0)),"",INDEX(data!W:W,MATCH($N942,data!$A:$A,0)))</f>
        <v/>
      </c>
    </row>
    <row r="943" spans="1:58">
      <c r="A943" s="35"/>
      <c r="B943" s="35"/>
      <c r="C943" s="35"/>
      <c r="D943" s="35"/>
      <c r="E943" s="67"/>
      <c r="F943" s="67"/>
      <c r="G943" s="36"/>
      <c r="H943" s="29"/>
      <c r="I943" s="78" t="str">
        <f t="shared" si="24"/>
        <v/>
      </c>
      <c r="J943" s="29"/>
      <c r="K943" s="29"/>
      <c r="L943" s="33"/>
      <c r="M943" s="33"/>
      <c r="N943" s="60"/>
      <c r="O943" s="71"/>
      <c r="P943" s="71"/>
      <c r="Q943" s="33"/>
      <c r="R943" s="31"/>
      <c r="S943" s="31"/>
      <c r="T943" s="59"/>
      <c r="U943" s="59"/>
      <c r="V943" s="59"/>
      <c r="W943" s="57">
        <f t="shared" si="25"/>
        <v>0</v>
      </c>
      <c r="X943" s="126" t="str">
        <f>IF(Table1[[#This Row],[Shipping Weight Pounds]]&gt;150,"See LTL Form","No")</f>
        <v>No</v>
      </c>
      <c r="Y943" s="28"/>
      <c r="Z943" s="33"/>
      <c r="AA943" s="34"/>
      <c r="AB943" s="30"/>
      <c r="AC943" s="30"/>
      <c r="AD943" s="32"/>
      <c r="AE943" s="32"/>
      <c r="AF943" s="2"/>
      <c r="AG943" s="2"/>
      <c r="AH943" s="2"/>
      <c r="AI943" s="2"/>
      <c r="AK943" s="73" t="str">
        <f>IF(ISNA(MATCH($N943,[1]data!$A:$A,0)),"",INDEX([1]data!S:S,MATCH($N943,[1]data!$A:$A,0)))</f>
        <v/>
      </c>
      <c r="AL943" s="73" t="str">
        <f>IF(ISNA(MATCH($N943,[1]data!$A:$A,0)),"",INDEX([1]data!V:V,MATCH($N943,[1]data!$A:$A,0)))</f>
        <v/>
      </c>
      <c r="AM943" s="38" t="str">
        <f>IF(ISNA(MATCH($N943,data!$A:$A,0)),"",INDEX(data!B:B,MATCH($N943,data!$A:$A,0)))</f>
        <v/>
      </c>
      <c r="AN943" s="38" t="str">
        <f>IF(ISNA(MATCH($N943,data!$A:$A,0)),"",INDEX(data!C:C,MATCH($N943,data!$A:$A,0)))</f>
        <v/>
      </c>
      <c r="AO943" s="38" t="str">
        <f>IF(ISNA(MATCH($N943,data!$A:$A,0)),"",INDEX(data!D:D,MATCH($N943,data!$A:$A,0)))</f>
        <v/>
      </c>
      <c r="AP943" s="38" t="str">
        <f>IF(ISNA(MATCH($N943,data!$A:$A,0)),"",INDEX(data!E:E,MATCH($N943,data!$A:$A,0)))</f>
        <v/>
      </c>
      <c r="AQ943" s="38" t="str">
        <f>IF(ISNA(MATCH($N943,data!$A:$A,0)),"",INDEX(data!F:F,MATCH($N943,data!$A:$A,0)))</f>
        <v/>
      </c>
      <c r="AR943" s="38" t="str">
        <f>IF(ISNA(MATCH($N943,data!$A:$A,0)),"",INDEX(data!G:G,MATCH($N943,data!$A:$A,0)))</f>
        <v/>
      </c>
      <c r="AS943" s="38" t="str">
        <f>IF(ISNA(MATCH($N943,data!$A:$A,0)),"",INDEX(data!H:H,MATCH($N943,data!$A:$A,0)))</f>
        <v/>
      </c>
      <c r="AT943" s="38" t="str">
        <f>IF(ISNA(MATCH($N943,data!$A:$A,0)),"",INDEX(data!I:I,MATCH($N943,data!$A:$A,0)))</f>
        <v/>
      </c>
      <c r="AU943" s="38" t="str">
        <f>IF(ISNA(MATCH($N943,[1]data!$A:$A,0)),"",INDEX([1]data!L:L,MATCH($N943,[1]data!$A:$A,0)))</f>
        <v/>
      </c>
      <c r="AV943" s="38" t="str">
        <f>IF(ISNA(MATCH($N943,[1]data!$A:$A,0)),"",INDEX([1]data!M:M,MATCH($N943,[1]data!$A:$A,0)))</f>
        <v/>
      </c>
      <c r="AW943" s="38" t="str">
        <f>IF(ISNA(MATCH($N943,data!$A:$A,0)),"",INDEX(data!J:J,MATCH($N943,data!$A:$A,0)))</f>
        <v/>
      </c>
      <c r="AX943" s="38" t="str">
        <f>IF(ISNA(MATCH($N943,data!$A:$A,0)),"",INDEX(data!K:K,MATCH($N943,data!$A:$A,0)))</f>
        <v/>
      </c>
      <c r="AY943" s="38" t="str">
        <f>IF(ISNA(MATCH($N943,data!$A:$A,0)),"",INDEX(data!O:O,MATCH($N943,data!$A:$A,0)))</f>
        <v/>
      </c>
      <c r="AZ943" s="38" t="str">
        <f>IF(ISNA(MATCH($N943,data!$A:$A,0)),"",INDEX(data!N:N,MATCH($N943,data!$A:$A,0)))</f>
        <v/>
      </c>
      <c r="BA943" s="38" t="str">
        <f>IF(ISNA(MATCH($N943,data!$A:$A,0)),"",INDEX(data!P:P,MATCH($N943,data!$A:$A,0)))</f>
        <v/>
      </c>
      <c r="BB943" s="38" t="str">
        <f>IF(ISNA(MATCH($N943,data!$A:$A,0)),"",INDEX(data!Q:Q,MATCH($N943,data!$A:$A,0)))</f>
        <v/>
      </c>
      <c r="BC943" s="38" t="str">
        <f>IF(ISNA(MATCH($N943,data!$A:$A,0)),"",INDEX(data!R:R,MATCH($N943,data!$A:$A,0)))</f>
        <v/>
      </c>
      <c r="BD943" s="38" t="str">
        <f>IF(ISNA(MATCH($N943,[1]data!$A:$A,0)),"",INDEX([1]data!U:U,MATCH($N943,[1]data!$A:$A,0)))</f>
        <v/>
      </c>
      <c r="BE943" s="61" t="e">
        <f>IF(COUNTIF([1]data!A:A,[1]!Table1[[#This Row],[UPC]])&lt;2,"","DUP")</f>
        <v>#VALUE!</v>
      </c>
      <c r="BF943" s="38" t="str">
        <f>IF(ISNA(MATCH($N943,data!$A:$A,0)),"",INDEX(data!W:W,MATCH($N943,data!$A:$A,0)))</f>
        <v/>
      </c>
    </row>
    <row r="944" spans="1:58">
      <c r="A944" s="35"/>
      <c r="B944" s="35"/>
      <c r="C944" s="35"/>
      <c r="D944" s="35"/>
      <c r="E944" s="67"/>
      <c r="F944" s="67"/>
      <c r="G944" s="36"/>
      <c r="H944" s="29"/>
      <c r="I944" s="78" t="str">
        <f t="shared" si="24"/>
        <v/>
      </c>
      <c r="J944" s="29"/>
      <c r="K944" s="29"/>
      <c r="L944" s="33"/>
      <c r="M944" s="33"/>
      <c r="N944" s="60"/>
      <c r="O944" s="71"/>
      <c r="P944" s="71"/>
      <c r="Q944" s="33"/>
      <c r="R944" s="31"/>
      <c r="S944" s="31"/>
      <c r="T944" s="59"/>
      <c r="U944" s="59"/>
      <c r="V944" s="59"/>
      <c r="W944" s="57">
        <f t="shared" si="25"/>
        <v>0</v>
      </c>
      <c r="X944" s="126" t="str">
        <f>IF(Table1[[#This Row],[Shipping Weight Pounds]]&gt;150,"See LTL Form","No")</f>
        <v>No</v>
      </c>
      <c r="Y944" s="28"/>
      <c r="Z944" s="33"/>
      <c r="AA944" s="34"/>
      <c r="AB944" s="30"/>
      <c r="AC944" s="30"/>
      <c r="AD944" s="32"/>
      <c r="AE944" s="32"/>
      <c r="AF944" s="2"/>
      <c r="AG944" s="2"/>
      <c r="AH944" s="2"/>
      <c r="AI944" s="2"/>
      <c r="AK944" s="73" t="str">
        <f>IF(ISNA(MATCH($N944,[1]data!$A:$A,0)),"",INDEX([1]data!S:S,MATCH($N944,[1]data!$A:$A,0)))</f>
        <v/>
      </c>
      <c r="AL944" s="73" t="str">
        <f>IF(ISNA(MATCH($N944,[1]data!$A:$A,0)),"",INDEX([1]data!V:V,MATCH($N944,[1]data!$A:$A,0)))</f>
        <v/>
      </c>
      <c r="AM944" s="38" t="str">
        <f>IF(ISNA(MATCH($N944,data!$A:$A,0)),"",INDEX(data!B:B,MATCH($N944,data!$A:$A,0)))</f>
        <v/>
      </c>
      <c r="AN944" s="38" t="str">
        <f>IF(ISNA(MATCH($N944,data!$A:$A,0)),"",INDEX(data!C:C,MATCH($N944,data!$A:$A,0)))</f>
        <v/>
      </c>
      <c r="AO944" s="38" t="str">
        <f>IF(ISNA(MATCH($N944,data!$A:$A,0)),"",INDEX(data!D:D,MATCH($N944,data!$A:$A,0)))</f>
        <v/>
      </c>
      <c r="AP944" s="38" t="str">
        <f>IF(ISNA(MATCH($N944,data!$A:$A,0)),"",INDEX(data!E:E,MATCH($N944,data!$A:$A,0)))</f>
        <v/>
      </c>
      <c r="AQ944" s="38" t="str">
        <f>IF(ISNA(MATCH($N944,data!$A:$A,0)),"",INDEX(data!F:F,MATCH($N944,data!$A:$A,0)))</f>
        <v/>
      </c>
      <c r="AR944" s="38" t="str">
        <f>IF(ISNA(MATCH($N944,data!$A:$A,0)),"",INDEX(data!G:G,MATCH($N944,data!$A:$A,0)))</f>
        <v/>
      </c>
      <c r="AS944" s="38" t="str">
        <f>IF(ISNA(MATCH($N944,data!$A:$A,0)),"",INDEX(data!H:H,MATCH($N944,data!$A:$A,0)))</f>
        <v/>
      </c>
      <c r="AT944" s="38" t="str">
        <f>IF(ISNA(MATCH($N944,data!$A:$A,0)),"",INDEX(data!I:I,MATCH($N944,data!$A:$A,0)))</f>
        <v/>
      </c>
      <c r="AU944" s="38" t="str">
        <f>IF(ISNA(MATCH($N944,[1]data!$A:$A,0)),"",INDEX([1]data!L:L,MATCH($N944,[1]data!$A:$A,0)))</f>
        <v/>
      </c>
      <c r="AV944" s="38" t="str">
        <f>IF(ISNA(MATCH($N944,[1]data!$A:$A,0)),"",INDEX([1]data!M:M,MATCH($N944,[1]data!$A:$A,0)))</f>
        <v/>
      </c>
      <c r="AW944" s="38" t="str">
        <f>IF(ISNA(MATCH($N944,data!$A:$A,0)),"",INDEX(data!J:J,MATCH($N944,data!$A:$A,0)))</f>
        <v/>
      </c>
      <c r="AX944" s="38" t="str">
        <f>IF(ISNA(MATCH($N944,data!$A:$A,0)),"",INDEX(data!K:K,MATCH($N944,data!$A:$A,0)))</f>
        <v/>
      </c>
      <c r="AY944" s="38" t="str">
        <f>IF(ISNA(MATCH($N944,data!$A:$A,0)),"",INDEX(data!O:O,MATCH($N944,data!$A:$A,0)))</f>
        <v/>
      </c>
      <c r="AZ944" s="38" t="str">
        <f>IF(ISNA(MATCH($N944,data!$A:$A,0)),"",INDEX(data!N:N,MATCH($N944,data!$A:$A,0)))</f>
        <v/>
      </c>
      <c r="BA944" s="38" t="str">
        <f>IF(ISNA(MATCH($N944,data!$A:$A,0)),"",INDEX(data!P:P,MATCH($N944,data!$A:$A,0)))</f>
        <v/>
      </c>
      <c r="BB944" s="38" t="str">
        <f>IF(ISNA(MATCH($N944,data!$A:$A,0)),"",INDEX(data!Q:Q,MATCH($N944,data!$A:$A,0)))</f>
        <v/>
      </c>
      <c r="BC944" s="38" t="str">
        <f>IF(ISNA(MATCH($N944,data!$A:$A,0)),"",INDEX(data!R:R,MATCH($N944,data!$A:$A,0)))</f>
        <v/>
      </c>
      <c r="BD944" s="38" t="str">
        <f>IF(ISNA(MATCH($N944,[1]data!$A:$A,0)),"",INDEX([1]data!U:U,MATCH($N944,[1]data!$A:$A,0)))</f>
        <v/>
      </c>
      <c r="BE944" s="61" t="e">
        <f>IF(COUNTIF([1]data!A:A,[1]!Table1[[#This Row],[UPC]])&lt;2,"","DUP")</f>
        <v>#VALUE!</v>
      </c>
      <c r="BF944" s="38" t="str">
        <f>IF(ISNA(MATCH($N944,data!$A:$A,0)),"",INDEX(data!W:W,MATCH($N944,data!$A:$A,0)))</f>
        <v/>
      </c>
    </row>
    <row r="945" spans="1:58">
      <c r="A945" s="35"/>
      <c r="B945" s="35"/>
      <c r="C945" s="35"/>
      <c r="D945" s="35"/>
      <c r="E945" s="67"/>
      <c r="F945" s="67"/>
      <c r="G945" s="36"/>
      <c r="H945" s="29"/>
      <c r="I945" s="78" t="str">
        <f t="shared" si="24"/>
        <v/>
      </c>
      <c r="J945" s="29"/>
      <c r="K945" s="29"/>
      <c r="L945" s="33"/>
      <c r="M945" s="33"/>
      <c r="N945" s="60"/>
      <c r="O945" s="71"/>
      <c r="P945" s="71"/>
      <c r="Q945" s="33"/>
      <c r="R945" s="31"/>
      <c r="S945" s="31"/>
      <c r="T945" s="59"/>
      <c r="U945" s="59"/>
      <c r="V945" s="59"/>
      <c r="W945" s="57">
        <f t="shared" si="25"/>
        <v>0</v>
      </c>
      <c r="X945" s="126" t="str">
        <f>IF(Table1[[#This Row],[Shipping Weight Pounds]]&gt;150,"See LTL Form","No")</f>
        <v>No</v>
      </c>
      <c r="Y945" s="28"/>
      <c r="Z945" s="33"/>
      <c r="AA945" s="34"/>
      <c r="AB945" s="30"/>
      <c r="AC945" s="30"/>
      <c r="AD945" s="32"/>
      <c r="AE945" s="32"/>
      <c r="AF945" s="2"/>
      <c r="AG945" s="2"/>
      <c r="AH945" s="2"/>
      <c r="AI945" s="2"/>
      <c r="AK945" s="73" t="str">
        <f>IF(ISNA(MATCH($N945,[1]data!$A:$A,0)),"",INDEX([1]data!S:S,MATCH($N945,[1]data!$A:$A,0)))</f>
        <v/>
      </c>
      <c r="AL945" s="73" t="str">
        <f>IF(ISNA(MATCH($N945,[1]data!$A:$A,0)),"",INDEX([1]data!V:V,MATCH($N945,[1]data!$A:$A,0)))</f>
        <v/>
      </c>
      <c r="AM945" s="38" t="str">
        <f>IF(ISNA(MATCH($N945,data!$A:$A,0)),"",INDEX(data!B:B,MATCH($N945,data!$A:$A,0)))</f>
        <v/>
      </c>
      <c r="AN945" s="38" t="str">
        <f>IF(ISNA(MATCH($N945,data!$A:$A,0)),"",INDEX(data!C:C,MATCH($N945,data!$A:$A,0)))</f>
        <v/>
      </c>
      <c r="AO945" s="38" t="str">
        <f>IF(ISNA(MATCH($N945,data!$A:$A,0)),"",INDEX(data!D:D,MATCH($N945,data!$A:$A,0)))</f>
        <v/>
      </c>
      <c r="AP945" s="38" t="str">
        <f>IF(ISNA(MATCH($N945,data!$A:$A,0)),"",INDEX(data!E:E,MATCH($N945,data!$A:$A,0)))</f>
        <v/>
      </c>
      <c r="AQ945" s="38" t="str">
        <f>IF(ISNA(MATCH($N945,data!$A:$A,0)),"",INDEX(data!F:F,MATCH($N945,data!$A:$A,0)))</f>
        <v/>
      </c>
      <c r="AR945" s="38" t="str">
        <f>IF(ISNA(MATCH($N945,data!$A:$A,0)),"",INDEX(data!G:G,MATCH($N945,data!$A:$A,0)))</f>
        <v/>
      </c>
      <c r="AS945" s="38" t="str">
        <f>IF(ISNA(MATCH($N945,data!$A:$A,0)),"",INDEX(data!H:H,MATCH($N945,data!$A:$A,0)))</f>
        <v/>
      </c>
      <c r="AT945" s="38" t="str">
        <f>IF(ISNA(MATCH($N945,data!$A:$A,0)),"",INDEX(data!I:I,MATCH($N945,data!$A:$A,0)))</f>
        <v/>
      </c>
      <c r="AU945" s="38" t="str">
        <f>IF(ISNA(MATCH($N945,[1]data!$A:$A,0)),"",INDEX([1]data!L:L,MATCH($N945,[1]data!$A:$A,0)))</f>
        <v/>
      </c>
      <c r="AV945" s="38" t="str">
        <f>IF(ISNA(MATCH($N945,[1]data!$A:$A,0)),"",INDEX([1]data!M:M,MATCH($N945,[1]data!$A:$A,0)))</f>
        <v/>
      </c>
      <c r="AW945" s="38" t="str">
        <f>IF(ISNA(MATCH($N945,data!$A:$A,0)),"",INDEX(data!J:J,MATCH($N945,data!$A:$A,0)))</f>
        <v/>
      </c>
      <c r="AX945" s="38" t="str">
        <f>IF(ISNA(MATCH($N945,data!$A:$A,0)),"",INDEX(data!K:K,MATCH($N945,data!$A:$A,0)))</f>
        <v/>
      </c>
      <c r="AY945" s="38" t="str">
        <f>IF(ISNA(MATCH($N945,data!$A:$A,0)),"",INDEX(data!O:O,MATCH($N945,data!$A:$A,0)))</f>
        <v/>
      </c>
      <c r="AZ945" s="38" t="str">
        <f>IF(ISNA(MATCH($N945,data!$A:$A,0)),"",INDEX(data!N:N,MATCH($N945,data!$A:$A,0)))</f>
        <v/>
      </c>
      <c r="BA945" s="38" t="str">
        <f>IF(ISNA(MATCH($N945,data!$A:$A,0)),"",INDEX(data!P:P,MATCH($N945,data!$A:$A,0)))</f>
        <v/>
      </c>
      <c r="BB945" s="38" t="str">
        <f>IF(ISNA(MATCH($N945,data!$A:$A,0)),"",INDEX(data!Q:Q,MATCH($N945,data!$A:$A,0)))</f>
        <v/>
      </c>
      <c r="BC945" s="38" t="str">
        <f>IF(ISNA(MATCH($N945,data!$A:$A,0)),"",INDEX(data!R:R,MATCH($N945,data!$A:$A,0)))</f>
        <v/>
      </c>
      <c r="BD945" s="38" t="str">
        <f>IF(ISNA(MATCH($N945,[1]data!$A:$A,0)),"",INDEX([1]data!U:U,MATCH($N945,[1]data!$A:$A,0)))</f>
        <v/>
      </c>
      <c r="BE945" s="61" t="e">
        <f>IF(COUNTIF([1]data!A:A,[1]!Table1[[#This Row],[UPC]])&lt;2,"","DUP")</f>
        <v>#VALUE!</v>
      </c>
      <c r="BF945" s="38" t="str">
        <f>IF(ISNA(MATCH($N945,data!$A:$A,0)),"",INDEX(data!W:W,MATCH($N945,data!$A:$A,0)))</f>
        <v/>
      </c>
    </row>
    <row r="946" spans="1:58">
      <c r="A946" s="35"/>
      <c r="B946" s="35"/>
      <c r="C946" s="35"/>
      <c r="D946" s="35"/>
      <c r="E946" s="67"/>
      <c r="F946" s="67"/>
      <c r="G946" s="36"/>
      <c r="H946" s="29"/>
      <c r="I946" s="78" t="str">
        <f t="shared" si="24"/>
        <v/>
      </c>
      <c r="J946" s="29"/>
      <c r="K946" s="29"/>
      <c r="L946" s="33"/>
      <c r="M946" s="33"/>
      <c r="N946" s="60"/>
      <c r="O946" s="71"/>
      <c r="P946" s="71"/>
      <c r="Q946" s="33"/>
      <c r="R946" s="31"/>
      <c r="S946" s="31"/>
      <c r="T946" s="59"/>
      <c r="U946" s="59"/>
      <c r="V946" s="59"/>
      <c r="W946" s="57">
        <f t="shared" si="25"/>
        <v>0</v>
      </c>
      <c r="X946" s="126" t="str">
        <f>IF(Table1[[#This Row],[Shipping Weight Pounds]]&gt;150,"See LTL Form","No")</f>
        <v>No</v>
      </c>
      <c r="Y946" s="28"/>
      <c r="Z946" s="33"/>
      <c r="AA946" s="34"/>
      <c r="AB946" s="30"/>
      <c r="AC946" s="30"/>
      <c r="AD946" s="32"/>
      <c r="AE946" s="32"/>
      <c r="AF946" s="2"/>
      <c r="AG946" s="2"/>
      <c r="AH946" s="2"/>
      <c r="AI946" s="2"/>
      <c r="AK946" s="73" t="str">
        <f>IF(ISNA(MATCH($N946,[1]data!$A:$A,0)),"",INDEX([1]data!S:S,MATCH($N946,[1]data!$A:$A,0)))</f>
        <v/>
      </c>
      <c r="AL946" s="73" t="str">
        <f>IF(ISNA(MATCH($N946,[1]data!$A:$A,0)),"",INDEX([1]data!V:V,MATCH($N946,[1]data!$A:$A,0)))</f>
        <v/>
      </c>
      <c r="AM946" s="38" t="str">
        <f>IF(ISNA(MATCH($N946,data!$A:$A,0)),"",INDEX(data!B:B,MATCH($N946,data!$A:$A,0)))</f>
        <v/>
      </c>
      <c r="AN946" s="38" t="str">
        <f>IF(ISNA(MATCH($N946,data!$A:$A,0)),"",INDEX(data!C:C,MATCH($N946,data!$A:$A,0)))</f>
        <v/>
      </c>
      <c r="AO946" s="38" t="str">
        <f>IF(ISNA(MATCH($N946,data!$A:$A,0)),"",INDEX(data!D:D,MATCH($N946,data!$A:$A,0)))</f>
        <v/>
      </c>
      <c r="AP946" s="38" t="str">
        <f>IF(ISNA(MATCH($N946,data!$A:$A,0)),"",INDEX(data!E:E,MATCH($N946,data!$A:$A,0)))</f>
        <v/>
      </c>
      <c r="AQ946" s="38" t="str">
        <f>IF(ISNA(MATCH($N946,data!$A:$A,0)),"",INDEX(data!F:F,MATCH($N946,data!$A:$A,0)))</f>
        <v/>
      </c>
      <c r="AR946" s="38" t="str">
        <f>IF(ISNA(MATCH($N946,data!$A:$A,0)),"",INDEX(data!G:G,MATCH($N946,data!$A:$A,0)))</f>
        <v/>
      </c>
      <c r="AS946" s="38" t="str">
        <f>IF(ISNA(MATCH($N946,data!$A:$A,0)),"",INDEX(data!H:H,MATCH($N946,data!$A:$A,0)))</f>
        <v/>
      </c>
      <c r="AT946" s="38" t="str">
        <f>IF(ISNA(MATCH($N946,data!$A:$A,0)),"",INDEX(data!I:I,MATCH($N946,data!$A:$A,0)))</f>
        <v/>
      </c>
      <c r="AU946" s="38" t="str">
        <f>IF(ISNA(MATCH($N946,[1]data!$A:$A,0)),"",INDEX([1]data!L:L,MATCH($N946,[1]data!$A:$A,0)))</f>
        <v/>
      </c>
      <c r="AV946" s="38" t="str">
        <f>IF(ISNA(MATCH($N946,[1]data!$A:$A,0)),"",INDEX([1]data!M:M,MATCH($N946,[1]data!$A:$A,0)))</f>
        <v/>
      </c>
      <c r="AW946" s="38" t="str">
        <f>IF(ISNA(MATCH($N946,data!$A:$A,0)),"",INDEX(data!J:J,MATCH($N946,data!$A:$A,0)))</f>
        <v/>
      </c>
      <c r="AX946" s="38" t="str">
        <f>IF(ISNA(MATCH($N946,data!$A:$A,0)),"",INDEX(data!K:K,MATCH($N946,data!$A:$A,0)))</f>
        <v/>
      </c>
      <c r="AY946" s="38" t="str">
        <f>IF(ISNA(MATCH($N946,data!$A:$A,0)),"",INDEX(data!O:O,MATCH($N946,data!$A:$A,0)))</f>
        <v/>
      </c>
      <c r="AZ946" s="38" t="str">
        <f>IF(ISNA(MATCH($N946,data!$A:$A,0)),"",INDEX(data!N:N,MATCH($N946,data!$A:$A,0)))</f>
        <v/>
      </c>
      <c r="BA946" s="38" t="str">
        <f>IF(ISNA(MATCH($N946,data!$A:$A,0)),"",INDEX(data!P:P,MATCH($N946,data!$A:$A,0)))</f>
        <v/>
      </c>
      <c r="BB946" s="38" t="str">
        <f>IF(ISNA(MATCH($N946,data!$A:$A,0)),"",INDEX(data!Q:Q,MATCH($N946,data!$A:$A,0)))</f>
        <v/>
      </c>
      <c r="BC946" s="38" t="str">
        <f>IF(ISNA(MATCH($N946,data!$A:$A,0)),"",INDEX(data!R:R,MATCH($N946,data!$A:$A,0)))</f>
        <v/>
      </c>
      <c r="BD946" s="38" t="str">
        <f>IF(ISNA(MATCH($N946,[1]data!$A:$A,0)),"",INDEX([1]data!U:U,MATCH($N946,[1]data!$A:$A,0)))</f>
        <v/>
      </c>
      <c r="BE946" s="61" t="e">
        <f>IF(COUNTIF([1]data!A:A,[1]!Table1[[#This Row],[UPC]])&lt;2,"","DUP")</f>
        <v>#VALUE!</v>
      </c>
      <c r="BF946" s="38" t="str">
        <f>IF(ISNA(MATCH($N946,data!$A:$A,0)),"",INDEX(data!W:W,MATCH($N946,data!$A:$A,0)))</f>
        <v/>
      </c>
    </row>
    <row r="947" spans="1:58">
      <c r="A947" s="35"/>
      <c r="B947" s="35"/>
      <c r="C947" s="35"/>
      <c r="D947" s="35"/>
      <c r="E947" s="67"/>
      <c r="F947" s="67"/>
      <c r="G947" s="36"/>
      <c r="H947" s="29"/>
      <c r="I947" s="79" t="str">
        <f t="shared" si="24"/>
        <v/>
      </c>
      <c r="J947" s="29"/>
      <c r="K947" s="29"/>
      <c r="L947" s="33"/>
      <c r="M947" s="33"/>
      <c r="N947" s="60"/>
      <c r="O947" s="71"/>
      <c r="P947" s="71"/>
      <c r="Q947" s="33"/>
      <c r="R947" s="31"/>
      <c r="S947" s="31"/>
      <c r="T947" s="59"/>
      <c r="U947" s="59"/>
      <c r="V947" s="59"/>
      <c r="W947" s="57">
        <f t="shared" si="25"/>
        <v>0</v>
      </c>
      <c r="X947" s="126" t="str">
        <f>IF(Table1[[#This Row],[Shipping Weight Pounds]]&gt;150,"See LTL Form","No")</f>
        <v>No</v>
      </c>
      <c r="Y947" s="28"/>
      <c r="Z947" s="33"/>
      <c r="AA947" s="34"/>
      <c r="AB947" s="30"/>
      <c r="AC947" s="30"/>
      <c r="AD947" s="32"/>
      <c r="AE947" s="32"/>
      <c r="AF947" s="2"/>
      <c r="AG947" s="2"/>
      <c r="AH947" s="76"/>
      <c r="AI947" s="76"/>
      <c r="AK947" s="73" t="str">
        <f>IF(ISNA(MATCH($N947,[1]data!$A:$A,0)),"",INDEX([1]data!S:S,MATCH($N947,[1]data!$A:$A,0)))</f>
        <v/>
      </c>
      <c r="AL947" s="73" t="str">
        <f>IF(ISNA(MATCH($N947,[1]data!$A:$A,0)),"",INDEX([1]data!V:V,MATCH($N947,[1]data!$A:$A,0)))</f>
        <v/>
      </c>
      <c r="AM947" s="38" t="str">
        <f>IF(ISNA(MATCH($N947,data!$A:$A,0)),"",INDEX(data!B:B,MATCH($N947,data!$A:$A,0)))</f>
        <v/>
      </c>
      <c r="AN947" s="38" t="str">
        <f>IF(ISNA(MATCH($N947,data!$A:$A,0)),"",INDEX(data!C:C,MATCH($N947,data!$A:$A,0)))</f>
        <v/>
      </c>
      <c r="AO947" s="38" t="str">
        <f>IF(ISNA(MATCH($N947,data!$A:$A,0)),"",INDEX(data!D:D,MATCH($N947,data!$A:$A,0)))</f>
        <v/>
      </c>
      <c r="AP947" s="38" t="str">
        <f>IF(ISNA(MATCH($N947,data!$A:$A,0)),"",INDEX(data!E:E,MATCH($N947,data!$A:$A,0)))</f>
        <v/>
      </c>
      <c r="AQ947" s="38" t="str">
        <f>IF(ISNA(MATCH($N947,data!$A:$A,0)),"",INDEX(data!F:F,MATCH($N947,data!$A:$A,0)))</f>
        <v/>
      </c>
      <c r="AR947" s="38" t="str">
        <f>IF(ISNA(MATCH($N947,data!$A:$A,0)),"",INDEX(data!G:G,MATCH($N947,data!$A:$A,0)))</f>
        <v/>
      </c>
      <c r="AS947" s="38" t="str">
        <f>IF(ISNA(MATCH($N947,data!$A:$A,0)),"",INDEX(data!H:H,MATCH($N947,data!$A:$A,0)))</f>
        <v/>
      </c>
      <c r="AT947" s="38" t="str">
        <f>IF(ISNA(MATCH($N947,data!$A:$A,0)),"",INDEX(data!I:I,MATCH($N947,data!$A:$A,0)))</f>
        <v/>
      </c>
      <c r="AU947" s="38" t="str">
        <f>IF(ISNA(MATCH($N947,[1]data!$A:$A,0)),"",INDEX([1]data!L:L,MATCH($N947,[1]data!$A:$A,0)))</f>
        <v/>
      </c>
      <c r="AV947" s="38" t="str">
        <f>IF(ISNA(MATCH($N947,[1]data!$A:$A,0)),"",INDEX([1]data!M:M,MATCH($N947,[1]data!$A:$A,0)))</f>
        <v/>
      </c>
      <c r="AW947" s="38" t="str">
        <f>IF(ISNA(MATCH($N947,data!$A:$A,0)),"",INDEX(data!J:J,MATCH($N947,data!$A:$A,0)))</f>
        <v/>
      </c>
      <c r="AX947" s="38" t="str">
        <f>IF(ISNA(MATCH($N947,data!$A:$A,0)),"",INDEX(data!K:K,MATCH($N947,data!$A:$A,0)))</f>
        <v/>
      </c>
      <c r="AY947" s="38" t="str">
        <f>IF(ISNA(MATCH($N947,data!$A:$A,0)),"",INDEX(data!O:O,MATCH($N947,data!$A:$A,0)))</f>
        <v/>
      </c>
      <c r="AZ947" s="38" t="str">
        <f>IF(ISNA(MATCH($N947,data!$A:$A,0)),"",INDEX(data!N:N,MATCH($N947,data!$A:$A,0)))</f>
        <v/>
      </c>
      <c r="BA947" s="38" t="str">
        <f>IF(ISNA(MATCH($N947,data!$A:$A,0)),"",INDEX(data!P:P,MATCH($N947,data!$A:$A,0)))</f>
        <v/>
      </c>
      <c r="BB947" s="38" t="str">
        <f>IF(ISNA(MATCH($N947,data!$A:$A,0)),"",INDEX(data!Q:Q,MATCH($N947,data!$A:$A,0)))</f>
        <v/>
      </c>
      <c r="BC947" s="38" t="str">
        <f>IF(ISNA(MATCH($N947,data!$A:$A,0)),"",INDEX(data!R:R,MATCH($N947,data!$A:$A,0)))</f>
        <v/>
      </c>
      <c r="BD947" s="38" t="str">
        <f>IF(ISNA(MATCH($N947,[1]data!$A:$A,0)),"",INDEX([1]data!U:U,MATCH($N947,[1]data!$A:$A,0)))</f>
        <v/>
      </c>
      <c r="BE947" s="61" t="e">
        <f>IF(COUNTIF([1]data!A:A,[1]!Table1[[#This Row],[UPC]])&lt;2,"","DUP")</f>
        <v>#VALUE!</v>
      </c>
      <c r="BF947" s="38" t="str">
        <f>IF(ISNA(MATCH($N947,data!$A:$A,0)),"",INDEX(data!W:W,MATCH($N947,data!$A:$A,0)))</f>
        <v/>
      </c>
    </row>
    <row r="948" spans="1:58">
      <c r="A948" s="35"/>
      <c r="B948" s="35"/>
      <c r="C948" s="35"/>
      <c r="D948" s="35"/>
      <c r="E948" s="67"/>
      <c r="F948" s="67"/>
      <c r="G948" s="36"/>
      <c r="H948" s="29"/>
      <c r="I948" s="79" t="str">
        <f t="shared" si="24"/>
        <v/>
      </c>
      <c r="J948" s="29"/>
      <c r="K948" s="29"/>
      <c r="L948" s="33"/>
      <c r="M948" s="33"/>
      <c r="N948" s="60"/>
      <c r="O948" s="71"/>
      <c r="P948" s="71"/>
      <c r="Q948" s="33"/>
      <c r="R948" s="31"/>
      <c r="S948" s="31"/>
      <c r="T948" s="59"/>
      <c r="U948" s="59"/>
      <c r="V948" s="59"/>
      <c r="W948" s="57">
        <f t="shared" si="25"/>
        <v>0</v>
      </c>
      <c r="X948" s="126" t="str">
        <f>IF(Table1[[#This Row],[Shipping Weight Pounds]]&gt;150,"See LTL Form","No")</f>
        <v>No</v>
      </c>
      <c r="Y948" s="28"/>
      <c r="Z948" s="33"/>
      <c r="AA948" s="34"/>
      <c r="AB948" s="30"/>
      <c r="AC948" s="30"/>
      <c r="AD948" s="32"/>
      <c r="AE948" s="32"/>
      <c r="AF948" s="2"/>
      <c r="AG948" s="2"/>
      <c r="AH948" s="2"/>
      <c r="AI948" s="76"/>
      <c r="AK948" s="73" t="str">
        <f>IF(ISNA(MATCH($N948,[1]data!$A:$A,0)),"",INDEX([1]data!S:S,MATCH($N948,[1]data!$A:$A,0)))</f>
        <v/>
      </c>
      <c r="AL948" s="73" t="str">
        <f>IF(ISNA(MATCH($N948,[1]data!$A:$A,0)),"",INDEX([1]data!V:V,MATCH($N948,[1]data!$A:$A,0)))</f>
        <v/>
      </c>
      <c r="AM948" s="38" t="str">
        <f>IF(ISNA(MATCH($N948,data!$A:$A,0)),"",INDEX(data!B:B,MATCH($N948,data!$A:$A,0)))</f>
        <v/>
      </c>
      <c r="AN948" s="38" t="str">
        <f>IF(ISNA(MATCH($N948,data!$A:$A,0)),"",INDEX(data!C:C,MATCH($N948,data!$A:$A,0)))</f>
        <v/>
      </c>
      <c r="AO948" s="38" t="str">
        <f>IF(ISNA(MATCH($N948,data!$A:$A,0)),"",INDEX(data!D:D,MATCH($N948,data!$A:$A,0)))</f>
        <v/>
      </c>
      <c r="AP948" s="38" t="str">
        <f>IF(ISNA(MATCH($N948,data!$A:$A,0)),"",INDEX(data!E:E,MATCH($N948,data!$A:$A,0)))</f>
        <v/>
      </c>
      <c r="AQ948" s="38" t="str">
        <f>IF(ISNA(MATCH($N948,data!$A:$A,0)),"",INDEX(data!F:F,MATCH($N948,data!$A:$A,0)))</f>
        <v/>
      </c>
      <c r="AR948" s="38" t="str">
        <f>IF(ISNA(MATCH($N948,data!$A:$A,0)),"",INDEX(data!G:G,MATCH($N948,data!$A:$A,0)))</f>
        <v/>
      </c>
      <c r="AS948" s="38" t="str">
        <f>IF(ISNA(MATCH($N948,data!$A:$A,0)),"",INDEX(data!H:H,MATCH($N948,data!$A:$A,0)))</f>
        <v/>
      </c>
      <c r="AT948" s="38" t="str">
        <f>IF(ISNA(MATCH($N948,data!$A:$A,0)),"",INDEX(data!I:I,MATCH($N948,data!$A:$A,0)))</f>
        <v/>
      </c>
      <c r="AU948" s="38" t="str">
        <f>IF(ISNA(MATCH($N948,[1]data!$A:$A,0)),"",INDEX([1]data!L:L,MATCH($N948,[1]data!$A:$A,0)))</f>
        <v/>
      </c>
      <c r="AV948" s="38" t="str">
        <f>IF(ISNA(MATCH($N948,[1]data!$A:$A,0)),"",INDEX([1]data!M:M,MATCH($N948,[1]data!$A:$A,0)))</f>
        <v/>
      </c>
      <c r="AW948" s="38" t="str">
        <f>IF(ISNA(MATCH($N948,data!$A:$A,0)),"",INDEX(data!J:J,MATCH($N948,data!$A:$A,0)))</f>
        <v/>
      </c>
      <c r="AX948" s="38" t="str">
        <f>IF(ISNA(MATCH($N948,data!$A:$A,0)),"",INDEX(data!K:K,MATCH($N948,data!$A:$A,0)))</f>
        <v/>
      </c>
      <c r="AY948" s="38" t="str">
        <f>IF(ISNA(MATCH($N948,data!$A:$A,0)),"",INDEX(data!O:O,MATCH($N948,data!$A:$A,0)))</f>
        <v/>
      </c>
      <c r="AZ948" s="38" t="str">
        <f>IF(ISNA(MATCH($N948,data!$A:$A,0)),"",INDEX(data!N:N,MATCH($N948,data!$A:$A,0)))</f>
        <v/>
      </c>
      <c r="BA948" s="38" t="str">
        <f>IF(ISNA(MATCH($N948,data!$A:$A,0)),"",INDEX(data!P:P,MATCH($N948,data!$A:$A,0)))</f>
        <v/>
      </c>
      <c r="BB948" s="38" t="str">
        <f>IF(ISNA(MATCH($N948,data!$A:$A,0)),"",INDEX(data!Q:Q,MATCH($N948,data!$A:$A,0)))</f>
        <v/>
      </c>
      <c r="BC948" s="38" t="str">
        <f>IF(ISNA(MATCH($N948,data!$A:$A,0)),"",INDEX(data!R:R,MATCH($N948,data!$A:$A,0)))</f>
        <v/>
      </c>
      <c r="BD948" s="38" t="str">
        <f>IF(ISNA(MATCH($N948,[1]data!$A:$A,0)),"",INDEX([1]data!U:U,MATCH($N948,[1]data!$A:$A,0)))</f>
        <v/>
      </c>
      <c r="BE948" s="61" t="e">
        <f>IF(COUNTIF([1]data!A:A,[1]!Table1[[#This Row],[UPC]])&lt;2,"","DUP")</f>
        <v>#VALUE!</v>
      </c>
      <c r="BF948" s="38" t="str">
        <f>IF(ISNA(MATCH($N948,data!$A:$A,0)),"",INDEX(data!W:W,MATCH($N948,data!$A:$A,0)))</f>
        <v/>
      </c>
    </row>
    <row r="949" spans="1:58">
      <c r="A949" s="35"/>
      <c r="B949" s="35"/>
      <c r="C949" s="35"/>
      <c r="D949" s="35"/>
      <c r="E949" s="67"/>
      <c r="F949" s="67"/>
      <c r="G949" s="36"/>
      <c r="H949" s="29"/>
      <c r="I949" s="79" t="str">
        <f t="shared" si="24"/>
        <v/>
      </c>
      <c r="J949" s="29"/>
      <c r="K949" s="29"/>
      <c r="L949" s="33"/>
      <c r="M949" s="33"/>
      <c r="N949" s="60"/>
      <c r="O949" s="71"/>
      <c r="P949" s="71"/>
      <c r="Q949" s="33"/>
      <c r="R949" s="31"/>
      <c r="S949" s="31"/>
      <c r="T949" s="59"/>
      <c r="U949" s="59"/>
      <c r="V949" s="59"/>
      <c r="W949" s="57">
        <f t="shared" si="25"/>
        <v>0</v>
      </c>
      <c r="X949" s="126" t="str">
        <f>IF(Table1[[#This Row],[Shipping Weight Pounds]]&gt;150,"See LTL Form","No")</f>
        <v>No</v>
      </c>
      <c r="Y949" s="28"/>
      <c r="Z949" s="33"/>
      <c r="AA949" s="34"/>
      <c r="AB949" s="30"/>
      <c r="AC949" s="30"/>
      <c r="AD949" s="32"/>
      <c r="AE949" s="32"/>
      <c r="AF949" s="2"/>
      <c r="AG949" s="2"/>
      <c r="AH949" s="2"/>
      <c r="AI949" s="2"/>
      <c r="AK949" s="73" t="str">
        <f>IF(ISNA(MATCH($N949,[1]data!$A:$A,0)),"",INDEX([1]data!S:S,MATCH($N949,[1]data!$A:$A,0)))</f>
        <v/>
      </c>
      <c r="AL949" s="73" t="str">
        <f>IF(ISNA(MATCH($N949,[1]data!$A:$A,0)),"",INDEX([1]data!V:V,MATCH($N949,[1]data!$A:$A,0)))</f>
        <v/>
      </c>
      <c r="AM949" s="38" t="str">
        <f>IF(ISNA(MATCH($N949,data!$A:$A,0)),"",INDEX(data!B:B,MATCH($N949,data!$A:$A,0)))</f>
        <v/>
      </c>
      <c r="AN949" s="38" t="str">
        <f>IF(ISNA(MATCH($N949,data!$A:$A,0)),"",INDEX(data!C:C,MATCH($N949,data!$A:$A,0)))</f>
        <v/>
      </c>
      <c r="AO949" s="38" t="str">
        <f>IF(ISNA(MATCH($N949,data!$A:$A,0)),"",INDEX(data!D:D,MATCH($N949,data!$A:$A,0)))</f>
        <v/>
      </c>
      <c r="AP949" s="38" t="str">
        <f>IF(ISNA(MATCH($N949,data!$A:$A,0)),"",INDEX(data!E:E,MATCH($N949,data!$A:$A,0)))</f>
        <v/>
      </c>
      <c r="AQ949" s="38" t="str">
        <f>IF(ISNA(MATCH($N949,data!$A:$A,0)),"",INDEX(data!F:F,MATCH($N949,data!$A:$A,0)))</f>
        <v/>
      </c>
      <c r="AR949" s="38" t="str">
        <f>IF(ISNA(MATCH($N949,data!$A:$A,0)),"",INDEX(data!G:G,MATCH($N949,data!$A:$A,0)))</f>
        <v/>
      </c>
      <c r="AS949" s="38" t="str">
        <f>IF(ISNA(MATCH($N949,data!$A:$A,0)),"",INDEX(data!H:H,MATCH($N949,data!$A:$A,0)))</f>
        <v/>
      </c>
      <c r="AT949" s="38" t="str">
        <f>IF(ISNA(MATCH($N949,data!$A:$A,0)),"",INDEX(data!I:I,MATCH($N949,data!$A:$A,0)))</f>
        <v/>
      </c>
      <c r="AU949" s="38" t="str">
        <f>IF(ISNA(MATCH($N949,[1]data!$A:$A,0)),"",INDEX([1]data!L:L,MATCH($N949,[1]data!$A:$A,0)))</f>
        <v/>
      </c>
      <c r="AV949" s="38" t="str">
        <f>IF(ISNA(MATCH($N949,[1]data!$A:$A,0)),"",INDEX([1]data!M:M,MATCH($N949,[1]data!$A:$A,0)))</f>
        <v/>
      </c>
      <c r="AW949" s="38" t="str">
        <f>IF(ISNA(MATCH($N949,data!$A:$A,0)),"",INDEX(data!J:J,MATCH($N949,data!$A:$A,0)))</f>
        <v/>
      </c>
      <c r="AX949" s="38" t="str">
        <f>IF(ISNA(MATCH($N949,data!$A:$A,0)),"",INDEX(data!K:K,MATCH($N949,data!$A:$A,0)))</f>
        <v/>
      </c>
      <c r="AY949" s="38" t="str">
        <f>IF(ISNA(MATCH($N949,data!$A:$A,0)),"",INDEX(data!O:O,MATCH($N949,data!$A:$A,0)))</f>
        <v/>
      </c>
      <c r="AZ949" s="38" t="str">
        <f>IF(ISNA(MATCH($N949,data!$A:$A,0)),"",INDEX(data!N:N,MATCH($N949,data!$A:$A,0)))</f>
        <v/>
      </c>
      <c r="BA949" s="38" t="str">
        <f>IF(ISNA(MATCH($N949,data!$A:$A,0)),"",INDEX(data!P:P,MATCH($N949,data!$A:$A,0)))</f>
        <v/>
      </c>
      <c r="BB949" s="38" t="str">
        <f>IF(ISNA(MATCH($N949,data!$A:$A,0)),"",INDEX(data!Q:Q,MATCH($N949,data!$A:$A,0)))</f>
        <v/>
      </c>
      <c r="BC949" s="38" t="str">
        <f>IF(ISNA(MATCH($N949,data!$A:$A,0)),"",INDEX(data!R:R,MATCH($N949,data!$A:$A,0)))</f>
        <v/>
      </c>
      <c r="BD949" s="38" t="str">
        <f>IF(ISNA(MATCH($N949,[1]data!$A:$A,0)),"",INDEX([1]data!U:U,MATCH($N949,[1]data!$A:$A,0)))</f>
        <v/>
      </c>
      <c r="BE949" s="61" t="e">
        <f>IF(COUNTIF([1]data!A:A,[1]!Table1[[#This Row],[UPC]])&lt;2,"","DUP")</f>
        <v>#VALUE!</v>
      </c>
      <c r="BF949" s="38" t="str">
        <f>IF(ISNA(MATCH($N949,data!$A:$A,0)),"",INDEX(data!W:W,MATCH($N949,data!$A:$A,0)))</f>
        <v/>
      </c>
    </row>
    <row r="950" spans="1:58">
      <c r="A950" s="35"/>
      <c r="B950" s="35"/>
      <c r="C950" s="35"/>
      <c r="D950" s="35"/>
      <c r="E950" s="67"/>
      <c r="F950" s="67"/>
      <c r="G950" s="36"/>
      <c r="H950" s="29"/>
      <c r="I950" s="79" t="str">
        <f t="shared" si="24"/>
        <v/>
      </c>
      <c r="J950" s="29"/>
      <c r="K950" s="29"/>
      <c r="L950" s="33"/>
      <c r="M950" s="33"/>
      <c r="N950" s="60"/>
      <c r="O950" s="71"/>
      <c r="P950" s="71"/>
      <c r="Q950" s="33"/>
      <c r="R950" s="31"/>
      <c r="S950" s="31"/>
      <c r="T950" s="59"/>
      <c r="U950" s="59"/>
      <c r="V950" s="59"/>
      <c r="W950" s="57">
        <f t="shared" si="25"/>
        <v>0</v>
      </c>
      <c r="X950" s="126" t="str">
        <f>IF(Table1[[#This Row],[Shipping Weight Pounds]]&gt;150,"See LTL Form","No")</f>
        <v>No</v>
      </c>
      <c r="Y950" s="28"/>
      <c r="Z950" s="33"/>
      <c r="AA950" s="34"/>
      <c r="AB950" s="30"/>
      <c r="AC950" s="30"/>
      <c r="AD950" s="32"/>
      <c r="AE950" s="32"/>
      <c r="AF950" s="2"/>
      <c r="AG950" s="2"/>
      <c r="AH950" s="2"/>
      <c r="AI950" s="2"/>
      <c r="AK950" s="73" t="str">
        <f>IF(ISNA(MATCH($N950,[1]data!$A:$A,0)),"",INDEX([1]data!S:S,MATCH($N950,[1]data!$A:$A,0)))</f>
        <v/>
      </c>
      <c r="AL950" s="73" t="str">
        <f>IF(ISNA(MATCH($N950,[1]data!$A:$A,0)),"",INDEX([1]data!V:V,MATCH($N950,[1]data!$A:$A,0)))</f>
        <v/>
      </c>
      <c r="AM950" s="38" t="str">
        <f>IF(ISNA(MATCH($N950,data!$A:$A,0)),"",INDEX(data!B:B,MATCH($N950,data!$A:$A,0)))</f>
        <v/>
      </c>
      <c r="AN950" s="38" t="str">
        <f>IF(ISNA(MATCH($N950,data!$A:$A,0)),"",INDEX(data!C:C,MATCH($N950,data!$A:$A,0)))</f>
        <v/>
      </c>
      <c r="AO950" s="38" t="str">
        <f>IF(ISNA(MATCH($N950,data!$A:$A,0)),"",INDEX(data!D:D,MATCH($N950,data!$A:$A,0)))</f>
        <v/>
      </c>
      <c r="AP950" s="38" t="str">
        <f>IF(ISNA(MATCH($N950,data!$A:$A,0)),"",INDEX(data!E:E,MATCH($N950,data!$A:$A,0)))</f>
        <v/>
      </c>
      <c r="AQ950" s="38" t="str">
        <f>IF(ISNA(MATCH($N950,data!$A:$A,0)),"",INDEX(data!F:F,MATCH($N950,data!$A:$A,0)))</f>
        <v/>
      </c>
      <c r="AR950" s="38" t="str">
        <f>IF(ISNA(MATCH($N950,data!$A:$A,0)),"",INDEX(data!G:G,MATCH($N950,data!$A:$A,0)))</f>
        <v/>
      </c>
      <c r="AS950" s="38" t="str">
        <f>IF(ISNA(MATCH($N950,data!$A:$A,0)),"",INDEX(data!H:H,MATCH($N950,data!$A:$A,0)))</f>
        <v/>
      </c>
      <c r="AT950" s="38" t="str">
        <f>IF(ISNA(MATCH($N950,data!$A:$A,0)),"",INDEX(data!I:I,MATCH($N950,data!$A:$A,0)))</f>
        <v/>
      </c>
      <c r="AU950" s="38" t="str">
        <f>IF(ISNA(MATCH($N950,[1]data!$A:$A,0)),"",INDEX([1]data!L:L,MATCH($N950,[1]data!$A:$A,0)))</f>
        <v/>
      </c>
      <c r="AV950" s="38" t="str">
        <f>IF(ISNA(MATCH($N950,[1]data!$A:$A,0)),"",INDEX([1]data!M:M,MATCH($N950,[1]data!$A:$A,0)))</f>
        <v/>
      </c>
      <c r="AW950" s="38" t="str">
        <f>IF(ISNA(MATCH($N950,data!$A:$A,0)),"",INDEX(data!J:J,MATCH($N950,data!$A:$A,0)))</f>
        <v/>
      </c>
      <c r="AX950" s="38" t="str">
        <f>IF(ISNA(MATCH($N950,data!$A:$A,0)),"",INDEX(data!K:K,MATCH($N950,data!$A:$A,0)))</f>
        <v/>
      </c>
      <c r="AY950" s="38" t="str">
        <f>IF(ISNA(MATCH($N950,data!$A:$A,0)),"",INDEX(data!O:O,MATCH($N950,data!$A:$A,0)))</f>
        <v/>
      </c>
      <c r="AZ950" s="38" t="str">
        <f>IF(ISNA(MATCH($N950,data!$A:$A,0)),"",INDEX(data!N:N,MATCH($N950,data!$A:$A,0)))</f>
        <v/>
      </c>
      <c r="BA950" s="38" t="str">
        <f>IF(ISNA(MATCH($N950,data!$A:$A,0)),"",INDEX(data!P:P,MATCH($N950,data!$A:$A,0)))</f>
        <v/>
      </c>
      <c r="BB950" s="38" t="str">
        <f>IF(ISNA(MATCH($N950,data!$A:$A,0)),"",INDEX(data!Q:Q,MATCH($N950,data!$A:$A,0)))</f>
        <v/>
      </c>
      <c r="BC950" s="38" t="str">
        <f>IF(ISNA(MATCH($N950,data!$A:$A,0)),"",INDEX(data!R:R,MATCH($N950,data!$A:$A,0)))</f>
        <v/>
      </c>
      <c r="BD950" s="38" t="str">
        <f>IF(ISNA(MATCH($N950,[1]data!$A:$A,0)),"",INDEX([1]data!U:U,MATCH($N950,[1]data!$A:$A,0)))</f>
        <v/>
      </c>
      <c r="BE950" s="61" t="e">
        <f>IF(COUNTIF([1]data!A:A,[1]!Table1[[#This Row],[UPC]])&lt;2,"","DUP")</f>
        <v>#VALUE!</v>
      </c>
      <c r="BF950" s="38" t="str">
        <f>IF(ISNA(MATCH($N950,data!$A:$A,0)),"",INDEX(data!W:W,MATCH($N950,data!$A:$A,0)))</f>
        <v/>
      </c>
    </row>
    <row r="951" spans="1:58">
      <c r="A951" s="35"/>
      <c r="B951" s="35"/>
      <c r="C951" s="35"/>
      <c r="D951" s="35"/>
      <c r="E951" s="67"/>
      <c r="F951" s="67"/>
      <c r="G951" s="36"/>
      <c r="H951" s="29"/>
      <c r="I951" s="79" t="str">
        <f t="shared" si="24"/>
        <v/>
      </c>
      <c r="J951" s="29"/>
      <c r="K951" s="29"/>
      <c r="L951" s="33"/>
      <c r="M951" s="33"/>
      <c r="N951" s="60"/>
      <c r="O951" s="71"/>
      <c r="P951" s="71"/>
      <c r="Q951" s="33"/>
      <c r="R951" s="31"/>
      <c r="S951" s="31"/>
      <c r="T951" s="59"/>
      <c r="U951" s="59"/>
      <c r="V951" s="59"/>
      <c r="W951" s="57">
        <f t="shared" si="25"/>
        <v>0</v>
      </c>
      <c r="X951" s="126" t="str">
        <f>IF(Table1[[#This Row],[Shipping Weight Pounds]]&gt;150,"See LTL Form","No")</f>
        <v>No</v>
      </c>
      <c r="Y951" s="28"/>
      <c r="Z951" s="33"/>
      <c r="AA951" s="34"/>
      <c r="AB951" s="30"/>
      <c r="AC951" s="30"/>
      <c r="AD951" s="32"/>
      <c r="AE951" s="32"/>
      <c r="AF951" s="2"/>
      <c r="AG951" s="2"/>
      <c r="AH951" s="2"/>
      <c r="AI951" s="2"/>
      <c r="AK951" s="73" t="str">
        <f>IF(ISNA(MATCH($N951,[1]data!$A:$A,0)),"",INDEX([1]data!S:S,MATCH($N951,[1]data!$A:$A,0)))</f>
        <v/>
      </c>
      <c r="AL951" s="73" t="str">
        <f>IF(ISNA(MATCH($N951,[1]data!$A:$A,0)),"",INDEX([1]data!V:V,MATCH($N951,[1]data!$A:$A,0)))</f>
        <v/>
      </c>
      <c r="AM951" s="38" t="str">
        <f>IF(ISNA(MATCH($N951,data!$A:$A,0)),"",INDEX(data!B:B,MATCH($N951,data!$A:$A,0)))</f>
        <v/>
      </c>
      <c r="AN951" s="38" t="str">
        <f>IF(ISNA(MATCH($N951,data!$A:$A,0)),"",INDEX(data!C:C,MATCH($N951,data!$A:$A,0)))</f>
        <v/>
      </c>
      <c r="AO951" s="38" t="str">
        <f>IF(ISNA(MATCH($N951,data!$A:$A,0)),"",INDEX(data!D:D,MATCH($N951,data!$A:$A,0)))</f>
        <v/>
      </c>
      <c r="AP951" s="38" t="str">
        <f>IF(ISNA(MATCH($N951,data!$A:$A,0)),"",INDEX(data!E:E,MATCH($N951,data!$A:$A,0)))</f>
        <v/>
      </c>
      <c r="AQ951" s="38" t="str">
        <f>IF(ISNA(MATCH($N951,data!$A:$A,0)),"",INDEX(data!F:F,MATCH($N951,data!$A:$A,0)))</f>
        <v/>
      </c>
      <c r="AR951" s="38" t="str">
        <f>IF(ISNA(MATCH($N951,data!$A:$A,0)),"",INDEX(data!G:G,MATCH($N951,data!$A:$A,0)))</f>
        <v/>
      </c>
      <c r="AS951" s="38" t="str">
        <f>IF(ISNA(MATCH($N951,data!$A:$A,0)),"",INDEX(data!H:H,MATCH($N951,data!$A:$A,0)))</f>
        <v/>
      </c>
      <c r="AT951" s="38" t="str">
        <f>IF(ISNA(MATCH($N951,data!$A:$A,0)),"",INDEX(data!I:I,MATCH($N951,data!$A:$A,0)))</f>
        <v/>
      </c>
      <c r="AU951" s="38" t="str">
        <f>IF(ISNA(MATCH($N951,[1]data!$A:$A,0)),"",INDEX([1]data!L:L,MATCH($N951,[1]data!$A:$A,0)))</f>
        <v/>
      </c>
      <c r="AV951" s="38" t="str">
        <f>IF(ISNA(MATCH($N951,[1]data!$A:$A,0)),"",INDEX([1]data!M:M,MATCH($N951,[1]data!$A:$A,0)))</f>
        <v/>
      </c>
      <c r="AW951" s="38" t="str">
        <f>IF(ISNA(MATCH($N951,data!$A:$A,0)),"",INDEX(data!J:J,MATCH($N951,data!$A:$A,0)))</f>
        <v/>
      </c>
      <c r="AX951" s="38" t="str">
        <f>IF(ISNA(MATCH($N951,data!$A:$A,0)),"",INDEX(data!K:K,MATCH($N951,data!$A:$A,0)))</f>
        <v/>
      </c>
      <c r="AY951" s="38" t="str">
        <f>IF(ISNA(MATCH($N951,data!$A:$A,0)),"",INDEX(data!O:O,MATCH($N951,data!$A:$A,0)))</f>
        <v/>
      </c>
      <c r="AZ951" s="38" t="str">
        <f>IF(ISNA(MATCH($N951,data!$A:$A,0)),"",INDEX(data!N:N,MATCH($N951,data!$A:$A,0)))</f>
        <v/>
      </c>
      <c r="BA951" s="38" t="str">
        <f>IF(ISNA(MATCH($N951,data!$A:$A,0)),"",INDEX(data!P:P,MATCH($N951,data!$A:$A,0)))</f>
        <v/>
      </c>
      <c r="BB951" s="38" t="str">
        <f>IF(ISNA(MATCH($N951,data!$A:$A,0)),"",INDEX(data!Q:Q,MATCH($N951,data!$A:$A,0)))</f>
        <v/>
      </c>
      <c r="BC951" s="38" t="str">
        <f>IF(ISNA(MATCH($N951,data!$A:$A,0)),"",INDEX(data!R:R,MATCH($N951,data!$A:$A,0)))</f>
        <v/>
      </c>
      <c r="BD951" s="38" t="str">
        <f>IF(ISNA(MATCH($N951,[1]data!$A:$A,0)),"",INDEX([1]data!U:U,MATCH($N951,[1]data!$A:$A,0)))</f>
        <v/>
      </c>
      <c r="BE951" s="61" t="e">
        <f>IF(COUNTIF([1]data!A:A,[1]!Table1[[#This Row],[UPC]])&lt;2,"","DUP")</f>
        <v>#VALUE!</v>
      </c>
      <c r="BF951" s="38" t="str">
        <f>IF(ISNA(MATCH($N951,data!$A:$A,0)),"",INDEX(data!W:W,MATCH($N951,data!$A:$A,0)))</f>
        <v/>
      </c>
    </row>
    <row r="952" spans="1:58">
      <c r="A952" s="35"/>
      <c r="B952" s="35"/>
      <c r="C952" s="35"/>
      <c r="D952" s="35"/>
      <c r="E952" s="67"/>
      <c r="F952" s="67"/>
      <c r="G952" s="36"/>
      <c r="H952" s="29"/>
      <c r="I952" s="79" t="str">
        <f t="shared" si="24"/>
        <v/>
      </c>
      <c r="J952" s="29"/>
      <c r="K952" s="29"/>
      <c r="L952" s="33"/>
      <c r="M952" s="33"/>
      <c r="N952" s="60"/>
      <c r="O952" s="71"/>
      <c r="P952" s="71"/>
      <c r="Q952" s="33"/>
      <c r="R952" s="31"/>
      <c r="S952" s="31"/>
      <c r="T952" s="59"/>
      <c r="U952" s="59"/>
      <c r="V952" s="59"/>
      <c r="W952" s="57">
        <f t="shared" si="25"/>
        <v>0</v>
      </c>
      <c r="X952" s="126" t="str">
        <f>IF(Table1[[#This Row],[Shipping Weight Pounds]]&gt;150,"See LTL Form","No")</f>
        <v>No</v>
      </c>
      <c r="Y952" s="28"/>
      <c r="Z952" s="33"/>
      <c r="AA952" s="34"/>
      <c r="AB952" s="30"/>
      <c r="AC952" s="30"/>
      <c r="AD952" s="32"/>
      <c r="AE952" s="32"/>
      <c r="AF952" s="2"/>
      <c r="AG952" s="2"/>
      <c r="AH952" s="2"/>
      <c r="AI952" s="2"/>
      <c r="AK952" s="73" t="str">
        <f>IF(ISNA(MATCH($N952,[1]data!$A:$A,0)),"",INDEX([1]data!S:S,MATCH($N952,[1]data!$A:$A,0)))</f>
        <v/>
      </c>
      <c r="AL952" s="73" t="str">
        <f>IF(ISNA(MATCH($N952,[1]data!$A:$A,0)),"",INDEX([1]data!V:V,MATCH($N952,[1]data!$A:$A,0)))</f>
        <v/>
      </c>
      <c r="AM952" s="38" t="str">
        <f>IF(ISNA(MATCH($N952,data!$A:$A,0)),"",INDEX(data!B:B,MATCH($N952,data!$A:$A,0)))</f>
        <v/>
      </c>
      <c r="AN952" s="38" t="str">
        <f>IF(ISNA(MATCH($N952,data!$A:$A,0)),"",INDEX(data!C:C,MATCH($N952,data!$A:$A,0)))</f>
        <v/>
      </c>
      <c r="AO952" s="38" t="str">
        <f>IF(ISNA(MATCH($N952,data!$A:$A,0)),"",INDEX(data!D:D,MATCH($N952,data!$A:$A,0)))</f>
        <v/>
      </c>
      <c r="AP952" s="38" t="str">
        <f>IF(ISNA(MATCH($N952,data!$A:$A,0)),"",INDEX(data!E:E,MATCH($N952,data!$A:$A,0)))</f>
        <v/>
      </c>
      <c r="AQ952" s="38" t="str">
        <f>IF(ISNA(MATCH($N952,data!$A:$A,0)),"",INDEX(data!F:F,MATCH($N952,data!$A:$A,0)))</f>
        <v/>
      </c>
      <c r="AR952" s="38" t="str">
        <f>IF(ISNA(MATCH($N952,data!$A:$A,0)),"",INDEX(data!G:G,MATCH($N952,data!$A:$A,0)))</f>
        <v/>
      </c>
      <c r="AS952" s="38" t="str">
        <f>IF(ISNA(MATCH($N952,data!$A:$A,0)),"",INDEX(data!H:H,MATCH($N952,data!$A:$A,0)))</f>
        <v/>
      </c>
      <c r="AT952" s="38" t="str">
        <f>IF(ISNA(MATCH($N952,data!$A:$A,0)),"",INDEX(data!I:I,MATCH($N952,data!$A:$A,0)))</f>
        <v/>
      </c>
      <c r="AU952" s="38" t="str">
        <f>IF(ISNA(MATCH($N952,[1]data!$A:$A,0)),"",INDEX([1]data!L:L,MATCH($N952,[1]data!$A:$A,0)))</f>
        <v/>
      </c>
      <c r="AV952" s="38" t="str">
        <f>IF(ISNA(MATCH($N952,[1]data!$A:$A,0)),"",INDEX([1]data!M:M,MATCH($N952,[1]data!$A:$A,0)))</f>
        <v/>
      </c>
      <c r="AW952" s="38" t="str">
        <f>IF(ISNA(MATCH($N952,data!$A:$A,0)),"",INDEX(data!J:J,MATCH($N952,data!$A:$A,0)))</f>
        <v/>
      </c>
      <c r="AX952" s="38" t="str">
        <f>IF(ISNA(MATCH($N952,data!$A:$A,0)),"",INDEX(data!K:K,MATCH($N952,data!$A:$A,0)))</f>
        <v/>
      </c>
      <c r="AY952" s="38" t="str">
        <f>IF(ISNA(MATCH($N952,data!$A:$A,0)),"",INDEX(data!O:O,MATCH($N952,data!$A:$A,0)))</f>
        <v/>
      </c>
      <c r="AZ952" s="38" t="str">
        <f>IF(ISNA(MATCH($N952,data!$A:$A,0)),"",INDEX(data!N:N,MATCH($N952,data!$A:$A,0)))</f>
        <v/>
      </c>
      <c r="BA952" s="38" t="str">
        <f>IF(ISNA(MATCH($N952,data!$A:$A,0)),"",INDEX(data!P:P,MATCH($N952,data!$A:$A,0)))</f>
        <v/>
      </c>
      <c r="BB952" s="38" t="str">
        <f>IF(ISNA(MATCH($N952,data!$A:$A,0)),"",INDEX(data!Q:Q,MATCH($N952,data!$A:$A,0)))</f>
        <v/>
      </c>
      <c r="BC952" s="38" t="str">
        <f>IF(ISNA(MATCH($N952,data!$A:$A,0)),"",INDEX(data!R:R,MATCH($N952,data!$A:$A,0)))</f>
        <v/>
      </c>
      <c r="BD952" s="38" t="str">
        <f>IF(ISNA(MATCH($N952,[1]data!$A:$A,0)),"",INDEX([1]data!U:U,MATCH($N952,[1]data!$A:$A,0)))</f>
        <v/>
      </c>
      <c r="BE952" s="61" t="e">
        <f>IF(COUNTIF([1]data!A:A,[1]!Table1[[#This Row],[UPC]])&lt;2,"","DUP")</f>
        <v>#VALUE!</v>
      </c>
      <c r="BF952" s="38" t="str">
        <f>IF(ISNA(MATCH($N952,data!$A:$A,0)),"",INDEX(data!W:W,MATCH($N952,data!$A:$A,0)))</f>
        <v/>
      </c>
    </row>
    <row r="953" spans="1:58">
      <c r="A953" s="35"/>
      <c r="B953" s="35"/>
      <c r="C953" s="35"/>
      <c r="D953" s="35"/>
      <c r="E953" s="67"/>
      <c r="F953" s="67"/>
      <c r="G953" s="36"/>
      <c r="H953" s="29"/>
      <c r="I953" s="79" t="str">
        <f t="shared" si="24"/>
        <v/>
      </c>
      <c r="J953" s="29"/>
      <c r="K953" s="29"/>
      <c r="L953" s="33"/>
      <c r="M953" s="33"/>
      <c r="N953" s="60"/>
      <c r="O953" s="71"/>
      <c r="P953" s="71"/>
      <c r="Q953" s="33"/>
      <c r="R953" s="31"/>
      <c r="S953" s="31"/>
      <c r="T953" s="59"/>
      <c r="U953" s="59"/>
      <c r="V953" s="59"/>
      <c r="W953" s="57">
        <f t="shared" si="25"/>
        <v>0</v>
      </c>
      <c r="X953" s="126" t="str">
        <f>IF(Table1[[#This Row],[Shipping Weight Pounds]]&gt;150,"See LTL Form","No")</f>
        <v>No</v>
      </c>
      <c r="Y953" s="28"/>
      <c r="Z953" s="33"/>
      <c r="AA953" s="34"/>
      <c r="AB953" s="30"/>
      <c r="AC953" s="30"/>
      <c r="AD953" s="32"/>
      <c r="AE953" s="32"/>
      <c r="AF953" s="2"/>
      <c r="AG953" s="2"/>
      <c r="AH953" s="2"/>
      <c r="AI953" s="2"/>
      <c r="AK953" s="73" t="str">
        <f>IF(ISNA(MATCH($N953,[1]data!$A:$A,0)),"",INDEX([1]data!S:S,MATCH($N953,[1]data!$A:$A,0)))</f>
        <v/>
      </c>
      <c r="AL953" s="73" t="str">
        <f>IF(ISNA(MATCH($N953,[1]data!$A:$A,0)),"",INDEX([1]data!V:V,MATCH($N953,[1]data!$A:$A,0)))</f>
        <v/>
      </c>
      <c r="AM953" s="38" t="str">
        <f>IF(ISNA(MATCH($N953,data!$A:$A,0)),"",INDEX(data!B:B,MATCH($N953,data!$A:$A,0)))</f>
        <v/>
      </c>
      <c r="AN953" s="38" t="str">
        <f>IF(ISNA(MATCH($N953,data!$A:$A,0)),"",INDEX(data!C:C,MATCH($N953,data!$A:$A,0)))</f>
        <v/>
      </c>
      <c r="AO953" s="38" t="str">
        <f>IF(ISNA(MATCH($N953,data!$A:$A,0)),"",INDEX(data!D:D,MATCH($N953,data!$A:$A,0)))</f>
        <v/>
      </c>
      <c r="AP953" s="38" t="str">
        <f>IF(ISNA(MATCH($N953,data!$A:$A,0)),"",INDEX(data!E:E,MATCH($N953,data!$A:$A,0)))</f>
        <v/>
      </c>
      <c r="AQ953" s="38" t="str">
        <f>IF(ISNA(MATCH($N953,data!$A:$A,0)),"",INDEX(data!F:F,MATCH($N953,data!$A:$A,0)))</f>
        <v/>
      </c>
      <c r="AR953" s="38" t="str">
        <f>IF(ISNA(MATCH($N953,data!$A:$A,0)),"",INDEX(data!G:G,MATCH($N953,data!$A:$A,0)))</f>
        <v/>
      </c>
      <c r="AS953" s="38" t="str">
        <f>IF(ISNA(MATCH($N953,data!$A:$A,0)),"",INDEX(data!H:H,MATCH($N953,data!$A:$A,0)))</f>
        <v/>
      </c>
      <c r="AT953" s="38" t="str">
        <f>IF(ISNA(MATCH($N953,data!$A:$A,0)),"",INDEX(data!I:I,MATCH($N953,data!$A:$A,0)))</f>
        <v/>
      </c>
      <c r="AU953" s="38" t="str">
        <f>IF(ISNA(MATCH($N953,[1]data!$A:$A,0)),"",INDEX([1]data!L:L,MATCH($N953,[1]data!$A:$A,0)))</f>
        <v/>
      </c>
      <c r="AV953" s="38" t="str">
        <f>IF(ISNA(MATCH($N953,[1]data!$A:$A,0)),"",INDEX([1]data!M:M,MATCH($N953,[1]data!$A:$A,0)))</f>
        <v/>
      </c>
      <c r="AW953" s="38" t="str">
        <f>IF(ISNA(MATCH($N953,data!$A:$A,0)),"",INDEX(data!J:J,MATCH($N953,data!$A:$A,0)))</f>
        <v/>
      </c>
      <c r="AX953" s="38" t="str">
        <f>IF(ISNA(MATCH($N953,data!$A:$A,0)),"",INDEX(data!K:K,MATCH($N953,data!$A:$A,0)))</f>
        <v/>
      </c>
      <c r="AY953" s="38" t="str">
        <f>IF(ISNA(MATCH($N953,data!$A:$A,0)),"",INDEX(data!O:O,MATCH($N953,data!$A:$A,0)))</f>
        <v/>
      </c>
      <c r="AZ953" s="38" t="str">
        <f>IF(ISNA(MATCH($N953,data!$A:$A,0)),"",INDEX(data!N:N,MATCH($N953,data!$A:$A,0)))</f>
        <v/>
      </c>
      <c r="BA953" s="38" t="str">
        <f>IF(ISNA(MATCH($N953,data!$A:$A,0)),"",INDEX(data!P:P,MATCH($N953,data!$A:$A,0)))</f>
        <v/>
      </c>
      <c r="BB953" s="38" t="str">
        <f>IF(ISNA(MATCH($N953,data!$A:$A,0)),"",INDEX(data!Q:Q,MATCH($N953,data!$A:$A,0)))</f>
        <v/>
      </c>
      <c r="BC953" s="38" t="str">
        <f>IF(ISNA(MATCH($N953,data!$A:$A,0)),"",INDEX(data!R:R,MATCH($N953,data!$A:$A,0)))</f>
        <v/>
      </c>
      <c r="BD953" s="38" t="str">
        <f>IF(ISNA(MATCH($N953,[1]data!$A:$A,0)),"",INDEX([1]data!U:U,MATCH($N953,[1]data!$A:$A,0)))</f>
        <v/>
      </c>
      <c r="BE953" s="61" t="e">
        <f>IF(COUNTIF([1]data!A:A,[1]!Table1[[#This Row],[UPC]])&lt;2,"","DUP")</f>
        <v>#VALUE!</v>
      </c>
      <c r="BF953" s="38" t="str">
        <f>IF(ISNA(MATCH($N953,data!$A:$A,0)),"",INDEX(data!W:W,MATCH($N953,data!$A:$A,0)))</f>
        <v/>
      </c>
    </row>
    <row r="954" spans="1:58">
      <c r="A954" s="35"/>
      <c r="B954" s="35"/>
      <c r="C954" s="35"/>
      <c r="D954" s="35"/>
      <c r="E954" s="67"/>
      <c r="F954" s="67"/>
      <c r="G954" s="36"/>
      <c r="H954" s="29"/>
      <c r="I954" s="79" t="str">
        <f t="shared" si="24"/>
        <v/>
      </c>
      <c r="J954" s="29"/>
      <c r="K954" s="29"/>
      <c r="L954" s="33"/>
      <c r="M954" s="33"/>
      <c r="N954" s="60"/>
      <c r="O954" s="71"/>
      <c r="P954" s="71"/>
      <c r="Q954" s="33"/>
      <c r="R954" s="31"/>
      <c r="S954" s="31"/>
      <c r="T954" s="59"/>
      <c r="U954" s="59"/>
      <c r="V954" s="59"/>
      <c r="W954" s="57">
        <f t="shared" si="25"/>
        <v>0</v>
      </c>
      <c r="X954" s="126" t="str">
        <f>IF(Table1[[#This Row],[Shipping Weight Pounds]]&gt;150,"See LTL Form","No")</f>
        <v>No</v>
      </c>
      <c r="Y954" s="28"/>
      <c r="Z954" s="33"/>
      <c r="AA954" s="34"/>
      <c r="AB954" s="30"/>
      <c r="AC954" s="30"/>
      <c r="AD954" s="32"/>
      <c r="AE954" s="32"/>
      <c r="AF954" s="2"/>
      <c r="AG954" s="2"/>
      <c r="AH954" s="2"/>
      <c r="AI954" s="76"/>
      <c r="AK954" s="73" t="str">
        <f>IF(ISNA(MATCH($N954,[1]data!$A:$A,0)),"",INDEX([1]data!S:S,MATCH($N954,[1]data!$A:$A,0)))</f>
        <v/>
      </c>
      <c r="AL954" s="73" t="str">
        <f>IF(ISNA(MATCH($N954,[1]data!$A:$A,0)),"",INDEX([1]data!V:V,MATCH($N954,[1]data!$A:$A,0)))</f>
        <v/>
      </c>
      <c r="AM954" s="38" t="str">
        <f>IF(ISNA(MATCH($N954,data!$A:$A,0)),"",INDEX(data!B:B,MATCH($N954,data!$A:$A,0)))</f>
        <v/>
      </c>
      <c r="AN954" s="38" t="str">
        <f>IF(ISNA(MATCH($N954,data!$A:$A,0)),"",INDEX(data!C:C,MATCH($N954,data!$A:$A,0)))</f>
        <v/>
      </c>
      <c r="AO954" s="38" t="str">
        <f>IF(ISNA(MATCH($N954,data!$A:$A,0)),"",INDEX(data!D:D,MATCH($N954,data!$A:$A,0)))</f>
        <v/>
      </c>
      <c r="AP954" s="38" t="str">
        <f>IF(ISNA(MATCH($N954,data!$A:$A,0)),"",INDEX(data!E:E,MATCH($N954,data!$A:$A,0)))</f>
        <v/>
      </c>
      <c r="AQ954" s="38" t="str">
        <f>IF(ISNA(MATCH($N954,data!$A:$A,0)),"",INDEX(data!F:F,MATCH($N954,data!$A:$A,0)))</f>
        <v/>
      </c>
      <c r="AR954" s="38" t="str">
        <f>IF(ISNA(MATCH($N954,data!$A:$A,0)),"",INDEX(data!G:G,MATCH($N954,data!$A:$A,0)))</f>
        <v/>
      </c>
      <c r="AS954" s="38" t="str">
        <f>IF(ISNA(MATCH($N954,data!$A:$A,0)),"",INDEX(data!H:H,MATCH($N954,data!$A:$A,0)))</f>
        <v/>
      </c>
      <c r="AT954" s="38" t="str">
        <f>IF(ISNA(MATCH($N954,data!$A:$A,0)),"",INDEX(data!I:I,MATCH($N954,data!$A:$A,0)))</f>
        <v/>
      </c>
      <c r="AU954" s="38" t="str">
        <f>IF(ISNA(MATCH($N954,[1]data!$A:$A,0)),"",INDEX([1]data!L:L,MATCH($N954,[1]data!$A:$A,0)))</f>
        <v/>
      </c>
      <c r="AV954" s="38" t="str">
        <f>IF(ISNA(MATCH($N954,[1]data!$A:$A,0)),"",INDEX([1]data!M:M,MATCH($N954,[1]data!$A:$A,0)))</f>
        <v/>
      </c>
      <c r="AW954" s="38" t="str">
        <f>IF(ISNA(MATCH($N954,data!$A:$A,0)),"",INDEX(data!J:J,MATCH($N954,data!$A:$A,0)))</f>
        <v/>
      </c>
      <c r="AX954" s="38" t="str">
        <f>IF(ISNA(MATCH($N954,data!$A:$A,0)),"",INDEX(data!K:K,MATCH($N954,data!$A:$A,0)))</f>
        <v/>
      </c>
      <c r="AY954" s="38" t="str">
        <f>IF(ISNA(MATCH($N954,data!$A:$A,0)),"",INDEX(data!O:O,MATCH($N954,data!$A:$A,0)))</f>
        <v/>
      </c>
      <c r="AZ954" s="38" t="str">
        <f>IF(ISNA(MATCH($N954,data!$A:$A,0)),"",INDEX(data!N:N,MATCH($N954,data!$A:$A,0)))</f>
        <v/>
      </c>
      <c r="BA954" s="38" t="str">
        <f>IF(ISNA(MATCH($N954,data!$A:$A,0)),"",INDEX(data!P:P,MATCH($N954,data!$A:$A,0)))</f>
        <v/>
      </c>
      <c r="BB954" s="38" t="str">
        <f>IF(ISNA(MATCH($N954,data!$A:$A,0)),"",INDEX(data!Q:Q,MATCH($N954,data!$A:$A,0)))</f>
        <v/>
      </c>
      <c r="BC954" s="38" t="str">
        <f>IF(ISNA(MATCH($N954,data!$A:$A,0)),"",INDEX(data!R:R,MATCH($N954,data!$A:$A,0)))</f>
        <v/>
      </c>
      <c r="BD954" s="38" t="str">
        <f>IF(ISNA(MATCH($N954,[1]data!$A:$A,0)),"",INDEX([1]data!U:U,MATCH($N954,[1]data!$A:$A,0)))</f>
        <v/>
      </c>
      <c r="BE954" s="61" t="e">
        <f>IF(COUNTIF([1]data!A:A,[1]!Table1[[#This Row],[UPC]])&lt;2,"","DUP")</f>
        <v>#VALUE!</v>
      </c>
      <c r="BF954" s="38" t="str">
        <f>IF(ISNA(MATCH($N954,data!$A:$A,0)),"",INDEX(data!W:W,MATCH($N954,data!$A:$A,0)))</f>
        <v/>
      </c>
    </row>
    <row r="955" spans="1:58">
      <c r="A955" s="35"/>
      <c r="B955" s="35"/>
      <c r="C955" s="35"/>
      <c r="D955" s="35"/>
      <c r="E955" s="67"/>
      <c r="F955" s="67"/>
      <c r="G955" s="36"/>
      <c r="H955" s="29"/>
      <c r="I955" s="79" t="str">
        <f t="shared" si="24"/>
        <v/>
      </c>
      <c r="J955" s="29"/>
      <c r="K955" s="29"/>
      <c r="L955" s="33"/>
      <c r="M955" s="33"/>
      <c r="N955" s="60"/>
      <c r="O955" s="71"/>
      <c r="P955" s="71"/>
      <c r="Q955" s="33"/>
      <c r="R955" s="31"/>
      <c r="S955" s="31"/>
      <c r="T955" s="59"/>
      <c r="U955" s="59"/>
      <c r="V955" s="59"/>
      <c r="W955" s="57">
        <f t="shared" si="25"/>
        <v>0</v>
      </c>
      <c r="X955" s="126" t="str">
        <f>IF(Table1[[#This Row],[Shipping Weight Pounds]]&gt;150,"See LTL Form","No")</f>
        <v>No</v>
      </c>
      <c r="Y955" s="28"/>
      <c r="Z955" s="33"/>
      <c r="AA955" s="34"/>
      <c r="AB955" s="30"/>
      <c r="AC955" s="30"/>
      <c r="AD955" s="32"/>
      <c r="AE955" s="32"/>
      <c r="AF955" s="2"/>
      <c r="AG955" s="2"/>
      <c r="AH955" s="2"/>
      <c r="AI955" s="2"/>
      <c r="AK955" s="73" t="str">
        <f>IF(ISNA(MATCH($N955,[1]data!$A:$A,0)),"",INDEX([1]data!S:S,MATCH($N955,[1]data!$A:$A,0)))</f>
        <v/>
      </c>
      <c r="AL955" s="73" t="str">
        <f>IF(ISNA(MATCH($N955,[1]data!$A:$A,0)),"",INDEX([1]data!V:V,MATCH($N955,[1]data!$A:$A,0)))</f>
        <v/>
      </c>
      <c r="AM955" s="38" t="str">
        <f>IF(ISNA(MATCH($N955,data!$A:$A,0)),"",INDEX(data!B:B,MATCH($N955,data!$A:$A,0)))</f>
        <v/>
      </c>
      <c r="AN955" s="38" t="str">
        <f>IF(ISNA(MATCH($N955,data!$A:$A,0)),"",INDEX(data!C:C,MATCH($N955,data!$A:$A,0)))</f>
        <v/>
      </c>
      <c r="AO955" s="38" t="str">
        <f>IF(ISNA(MATCH($N955,data!$A:$A,0)),"",INDEX(data!D:D,MATCH($N955,data!$A:$A,0)))</f>
        <v/>
      </c>
      <c r="AP955" s="38" t="str">
        <f>IF(ISNA(MATCH($N955,data!$A:$A,0)),"",INDEX(data!E:E,MATCH($N955,data!$A:$A,0)))</f>
        <v/>
      </c>
      <c r="AQ955" s="38" t="str">
        <f>IF(ISNA(MATCH($N955,data!$A:$A,0)),"",INDEX(data!F:F,MATCH($N955,data!$A:$A,0)))</f>
        <v/>
      </c>
      <c r="AR955" s="38" t="str">
        <f>IF(ISNA(MATCH($N955,data!$A:$A,0)),"",INDEX(data!G:G,MATCH($N955,data!$A:$A,0)))</f>
        <v/>
      </c>
      <c r="AS955" s="38" t="str">
        <f>IF(ISNA(MATCH($N955,data!$A:$A,0)),"",INDEX(data!H:H,MATCH($N955,data!$A:$A,0)))</f>
        <v/>
      </c>
      <c r="AT955" s="38" t="str">
        <f>IF(ISNA(MATCH($N955,data!$A:$A,0)),"",INDEX(data!I:I,MATCH($N955,data!$A:$A,0)))</f>
        <v/>
      </c>
      <c r="AU955" s="38" t="str">
        <f>IF(ISNA(MATCH($N955,[1]data!$A:$A,0)),"",INDEX([1]data!L:L,MATCH($N955,[1]data!$A:$A,0)))</f>
        <v/>
      </c>
      <c r="AV955" s="38" t="str">
        <f>IF(ISNA(MATCH($N955,[1]data!$A:$A,0)),"",INDEX([1]data!M:M,MATCH($N955,[1]data!$A:$A,0)))</f>
        <v/>
      </c>
      <c r="AW955" s="38" t="str">
        <f>IF(ISNA(MATCH($N955,data!$A:$A,0)),"",INDEX(data!J:J,MATCH($N955,data!$A:$A,0)))</f>
        <v/>
      </c>
      <c r="AX955" s="38" t="str">
        <f>IF(ISNA(MATCH($N955,data!$A:$A,0)),"",INDEX(data!K:K,MATCH($N955,data!$A:$A,0)))</f>
        <v/>
      </c>
      <c r="AY955" s="38" t="str">
        <f>IF(ISNA(MATCH($N955,data!$A:$A,0)),"",INDEX(data!O:O,MATCH($N955,data!$A:$A,0)))</f>
        <v/>
      </c>
      <c r="AZ955" s="38" t="str">
        <f>IF(ISNA(MATCH($N955,data!$A:$A,0)),"",INDEX(data!N:N,MATCH($N955,data!$A:$A,0)))</f>
        <v/>
      </c>
      <c r="BA955" s="38" t="str">
        <f>IF(ISNA(MATCH($N955,data!$A:$A,0)),"",INDEX(data!P:P,MATCH($N955,data!$A:$A,0)))</f>
        <v/>
      </c>
      <c r="BB955" s="38" t="str">
        <f>IF(ISNA(MATCH($N955,data!$A:$A,0)),"",INDEX(data!Q:Q,MATCH($N955,data!$A:$A,0)))</f>
        <v/>
      </c>
      <c r="BC955" s="38" t="str">
        <f>IF(ISNA(MATCH($N955,data!$A:$A,0)),"",INDEX(data!R:R,MATCH($N955,data!$A:$A,0)))</f>
        <v/>
      </c>
      <c r="BD955" s="38" t="str">
        <f>IF(ISNA(MATCH($N955,[1]data!$A:$A,0)),"",INDEX([1]data!U:U,MATCH($N955,[1]data!$A:$A,0)))</f>
        <v/>
      </c>
      <c r="BE955" s="61" t="e">
        <f>IF(COUNTIF([1]data!A:A,[1]!Table1[[#This Row],[UPC]])&lt;2,"","DUP")</f>
        <v>#VALUE!</v>
      </c>
      <c r="BF955" s="38" t="str">
        <f>IF(ISNA(MATCH($N955,data!$A:$A,0)),"",INDEX(data!W:W,MATCH($N955,data!$A:$A,0)))</f>
        <v/>
      </c>
    </row>
    <row r="956" spans="1:58">
      <c r="A956" s="35"/>
      <c r="B956" s="35"/>
      <c r="C956" s="35"/>
      <c r="D956" s="35"/>
      <c r="E956" s="67"/>
      <c r="F956" s="67"/>
      <c r="G956" s="36"/>
      <c r="H956" s="29"/>
      <c r="I956" s="79" t="str">
        <f t="shared" si="24"/>
        <v/>
      </c>
      <c r="J956" s="29"/>
      <c r="K956" s="29"/>
      <c r="L956" s="33"/>
      <c r="M956" s="33"/>
      <c r="N956" s="60"/>
      <c r="O956" s="71"/>
      <c r="P956" s="71"/>
      <c r="Q956" s="33"/>
      <c r="R956" s="31"/>
      <c r="S956" s="31"/>
      <c r="T956" s="59"/>
      <c r="U956" s="59"/>
      <c r="V956" s="59"/>
      <c r="W956" s="57">
        <f t="shared" si="25"/>
        <v>0</v>
      </c>
      <c r="X956" s="126" t="str">
        <f>IF(Table1[[#This Row],[Shipping Weight Pounds]]&gt;150,"See LTL Form","No")</f>
        <v>No</v>
      </c>
      <c r="Y956" s="28"/>
      <c r="Z956" s="33"/>
      <c r="AA956" s="34"/>
      <c r="AB956" s="30"/>
      <c r="AC956" s="30"/>
      <c r="AD956" s="32"/>
      <c r="AE956" s="32"/>
      <c r="AF956" s="2"/>
      <c r="AG956" s="2"/>
      <c r="AH956" s="2"/>
      <c r="AI956" s="76"/>
      <c r="AK956" s="73" t="str">
        <f>IF(ISNA(MATCH($N956,[1]data!$A:$A,0)),"",INDEX([1]data!S:S,MATCH($N956,[1]data!$A:$A,0)))</f>
        <v/>
      </c>
      <c r="AL956" s="73" t="str">
        <f>IF(ISNA(MATCH($N956,[1]data!$A:$A,0)),"",INDEX([1]data!V:V,MATCH($N956,[1]data!$A:$A,0)))</f>
        <v/>
      </c>
      <c r="AM956" s="38" t="str">
        <f>IF(ISNA(MATCH($N956,data!$A:$A,0)),"",INDEX(data!B:B,MATCH($N956,data!$A:$A,0)))</f>
        <v/>
      </c>
      <c r="AN956" s="38" t="str">
        <f>IF(ISNA(MATCH($N956,data!$A:$A,0)),"",INDEX(data!C:C,MATCH($N956,data!$A:$A,0)))</f>
        <v/>
      </c>
      <c r="AO956" s="38" t="str">
        <f>IF(ISNA(MATCH($N956,data!$A:$A,0)),"",INDEX(data!D:D,MATCH($N956,data!$A:$A,0)))</f>
        <v/>
      </c>
      <c r="AP956" s="38" t="str">
        <f>IF(ISNA(MATCH($N956,data!$A:$A,0)),"",INDEX(data!E:E,MATCH($N956,data!$A:$A,0)))</f>
        <v/>
      </c>
      <c r="AQ956" s="38" t="str">
        <f>IF(ISNA(MATCH($N956,data!$A:$A,0)),"",INDEX(data!F:F,MATCH($N956,data!$A:$A,0)))</f>
        <v/>
      </c>
      <c r="AR956" s="38" t="str">
        <f>IF(ISNA(MATCH($N956,data!$A:$A,0)),"",INDEX(data!G:G,MATCH($N956,data!$A:$A,0)))</f>
        <v/>
      </c>
      <c r="AS956" s="38" t="str">
        <f>IF(ISNA(MATCH($N956,data!$A:$A,0)),"",INDEX(data!H:H,MATCH($N956,data!$A:$A,0)))</f>
        <v/>
      </c>
      <c r="AT956" s="38" t="str">
        <f>IF(ISNA(MATCH($N956,data!$A:$A,0)),"",INDEX(data!I:I,MATCH($N956,data!$A:$A,0)))</f>
        <v/>
      </c>
      <c r="AU956" s="38" t="str">
        <f>IF(ISNA(MATCH($N956,[1]data!$A:$A,0)),"",INDEX([1]data!L:L,MATCH($N956,[1]data!$A:$A,0)))</f>
        <v/>
      </c>
      <c r="AV956" s="38" t="str">
        <f>IF(ISNA(MATCH($N956,[1]data!$A:$A,0)),"",INDEX([1]data!M:M,MATCH($N956,[1]data!$A:$A,0)))</f>
        <v/>
      </c>
      <c r="AW956" s="38" t="str">
        <f>IF(ISNA(MATCH($N956,data!$A:$A,0)),"",INDEX(data!J:J,MATCH($N956,data!$A:$A,0)))</f>
        <v/>
      </c>
      <c r="AX956" s="38" t="str">
        <f>IF(ISNA(MATCH($N956,data!$A:$A,0)),"",INDEX(data!K:K,MATCH($N956,data!$A:$A,0)))</f>
        <v/>
      </c>
      <c r="AY956" s="38" t="str">
        <f>IF(ISNA(MATCH($N956,data!$A:$A,0)),"",INDEX(data!O:O,MATCH($N956,data!$A:$A,0)))</f>
        <v/>
      </c>
      <c r="AZ956" s="38" t="str">
        <f>IF(ISNA(MATCH($N956,data!$A:$A,0)),"",INDEX(data!N:N,MATCH($N956,data!$A:$A,0)))</f>
        <v/>
      </c>
      <c r="BA956" s="38" t="str">
        <f>IF(ISNA(MATCH($N956,data!$A:$A,0)),"",INDEX(data!P:P,MATCH($N956,data!$A:$A,0)))</f>
        <v/>
      </c>
      <c r="BB956" s="38" t="str">
        <f>IF(ISNA(MATCH($N956,data!$A:$A,0)),"",INDEX(data!Q:Q,MATCH($N956,data!$A:$A,0)))</f>
        <v/>
      </c>
      <c r="BC956" s="38" t="str">
        <f>IF(ISNA(MATCH($N956,data!$A:$A,0)),"",INDEX(data!R:R,MATCH($N956,data!$A:$A,0)))</f>
        <v/>
      </c>
      <c r="BD956" s="38" t="str">
        <f>IF(ISNA(MATCH($N956,[1]data!$A:$A,0)),"",INDEX([1]data!U:U,MATCH($N956,[1]data!$A:$A,0)))</f>
        <v/>
      </c>
      <c r="BE956" s="61" t="e">
        <f>IF(COUNTIF([1]data!A:A,[1]!Table1[[#This Row],[UPC]])&lt;2,"","DUP")</f>
        <v>#VALUE!</v>
      </c>
      <c r="BF956" s="38" t="str">
        <f>IF(ISNA(MATCH($N956,data!$A:$A,0)),"",INDEX(data!W:W,MATCH($N956,data!$A:$A,0)))</f>
        <v/>
      </c>
    </row>
    <row r="957" spans="1:58">
      <c r="A957" s="35"/>
      <c r="B957" s="35"/>
      <c r="C957" s="35"/>
      <c r="D957" s="35"/>
      <c r="E957" s="67"/>
      <c r="F957" s="67"/>
      <c r="G957" s="36"/>
      <c r="H957" s="29"/>
      <c r="I957" s="79" t="str">
        <f t="shared" si="24"/>
        <v/>
      </c>
      <c r="J957" s="29"/>
      <c r="K957" s="29"/>
      <c r="L957" s="33"/>
      <c r="M957" s="33"/>
      <c r="N957" s="60"/>
      <c r="O957" s="71"/>
      <c r="P957" s="71"/>
      <c r="Q957" s="33"/>
      <c r="R957" s="31"/>
      <c r="S957" s="31"/>
      <c r="T957" s="59"/>
      <c r="U957" s="59"/>
      <c r="V957" s="59"/>
      <c r="W957" s="57">
        <f t="shared" si="25"/>
        <v>0</v>
      </c>
      <c r="X957" s="126" t="str">
        <f>IF(Table1[[#This Row],[Shipping Weight Pounds]]&gt;150,"See LTL Form","No")</f>
        <v>No</v>
      </c>
      <c r="Y957" s="28"/>
      <c r="Z957" s="33"/>
      <c r="AA957" s="34"/>
      <c r="AB957" s="30"/>
      <c r="AC957" s="30"/>
      <c r="AD957" s="32"/>
      <c r="AE957" s="32"/>
      <c r="AF957" s="2"/>
      <c r="AG957" s="2"/>
      <c r="AH957" s="2"/>
      <c r="AI957" s="2"/>
      <c r="AK957" s="73" t="str">
        <f>IF(ISNA(MATCH($N957,[1]data!$A:$A,0)),"",INDEX([1]data!S:S,MATCH($N957,[1]data!$A:$A,0)))</f>
        <v/>
      </c>
      <c r="AL957" s="73" t="str">
        <f>IF(ISNA(MATCH($N957,[1]data!$A:$A,0)),"",INDEX([1]data!V:V,MATCH($N957,[1]data!$A:$A,0)))</f>
        <v/>
      </c>
      <c r="AM957" s="38" t="str">
        <f>IF(ISNA(MATCH($N957,data!$A:$A,0)),"",INDEX(data!B:B,MATCH($N957,data!$A:$A,0)))</f>
        <v/>
      </c>
      <c r="AN957" s="38" t="str">
        <f>IF(ISNA(MATCH($N957,data!$A:$A,0)),"",INDEX(data!C:C,MATCH($N957,data!$A:$A,0)))</f>
        <v/>
      </c>
      <c r="AO957" s="38" t="str">
        <f>IF(ISNA(MATCH($N957,data!$A:$A,0)),"",INDEX(data!D:D,MATCH($N957,data!$A:$A,0)))</f>
        <v/>
      </c>
      <c r="AP957" s="38" t="str">
        <f>IF(ISNA(MATCH($N957,data!$A:$A,0)),"",INDEX(data!E:E,MATCH($N957,data!$A:$A,0)))</f>
        <v/>
      </c>
      <c r="AQ957" s="38" t="str">
        <f>IF(ISNA(MATCH($N957,data!$A:$A,0)),"",INDEX(data!F:F,MATCH($N957,data!$A:$A,0)))</f>
        <v/>
      </c>
      <c r="AR957" s="38" t="str">
        <f>IF(ISNA(MATCH($N957,data!$A:$A,0)),"",INDEX(data!G:G,MATCH($N957,data!$A:$A,0)))</f>
        <v/>
      </c>
      <c r="AS957" s="38" t="str">
        <f>IF(ISNA(MATCH($N957,data!$A:$A,0)),"",INDEX(data!H:H,MATCH($N957,data!$A:$A,0)))</f>
        <v/>
      </c>
      <c r="AT957" s="38" t="str">
        <f>IF(ISNA(MATCH($N957,data!$A:$A,0)),"",INDEX(data!I:I,MATCH($N957,data!$A:$A,0)))</f>
        <v/>
      </c>
      <c r="AU957" s="38" t="str">
        <f>IF(ISNA(MATCH($N957,[1]data!$A:$A,0)),"",INDEX([1]data!L:L,MATCH($N957,[1]data!$A:$A,0)))</f>
        <v/>
      </c>
      <c r="AV957" s="38" t="str">
        <f>IF(ISNA(MATCH($N957,[1]data!$A:$A,0)),"",INDEX([1]data!M:M,MATCH($N957,[1]data!$A:$A,0)))</f>
        <v/>
      </c>
      <c r="AW957" s="38" t="str">
        <f>IF(ISNA(MATCH($N957,data!$A:$A,0)),"",INDEX(data!J:J,MATCH($N957,data!$A:$A,0)))</f>
        <v/>
      </c>
      <c r="AX957" s="38" t="str">
        <f>IF(ISNA(MATCH($N957,data!$A:$A,0)),"",INDEX(data!K:K,MATCH($N957,data!$A:$A,0)))</f>
        <v/>
      </c>
      <c r="AY957" s="38" t="str">
        <f>IF(ISNA(MATCH($N957,data!$A:$A,0)),"",INDEX(data!O:O,MATCH($N957,data!$A:$A,0)))</f>
        <v/>
      </c>
      <c r="AZ957" s="38" t="str">
        <f>IF(ISNA(MATCH($N957,data!$A:$A,0)),"",INDEX(data!N:N,MATCH($N957,data!$A:$A,0)))</f>
        <v/>
      </c>
      <c r="BA957" s="38" t="str">
        <f>IF(ISNA(MATCH($N957,data!$A:$A,0)),"",INDEX(data!P:P,MATCH($N957,data!$A:$A,0)))</f>
        <v/>
      </c>
      <c r="BB957" s="38" t="str">
        <f>IF(ISNA(MATCH($N957,data!$A:$A,0)),"",INDEX(data!Q:Q,MATCH($N957,data!$A:$A,0)))</f>
        <v/>
      </c>
      <c r="BC957" s="38" t="str">
        <f>IF(ISNA(MATCH($N957,data!$A:$A,0)),"",INDEX(data!R:R,MATCH($N957,data!$A:$A,0)))</f>
        <v/>
      </c>
      <c r="BD957" s="38" t="str">
        <f>IF(ISNA(MATCH($N957,[1]data!$A:$A,0)),"",INDEX([1]data!U:U,MATCH($N957,[1]data!$A:$A,0)))</f>
        <v/>
      </c>
      <c r="BE957" s="61" t="e">
        <f>IF(COUNTIF([1]data!A:A,[1]!Table1[[#This Row],[UPC]])&lt;2,"","DUP")</f>
        <v>#VALUE!</v>
      </c>
      <c r="BF957" s="38" t="str">
        <f>IF(ISNA(MATCH($N957,data!$A:$A,0)),"",INDEX(data!W:W,MATCH($N957,data!$A:$A,0)))</f>
        <v/>
      </c>
    </row>
    <row r="958" spans="1:58">
      <c r="A958" s="35"/>
      <c r="B958" s="35"/>
      <c r="C958" s="35"/>
      <c r="D958" s="35"/>
      <c r="E958" s="67"/>
      <c r="F958" s="67"/>
      <c r="G958" s="36"/>
      <c r="H958" s="29"/>
      <c r="I958" s="79" t="str">
        <f t="shared" si="24"/>
        <v/>
      </c>
      <c r="J958" s="29"/>
      <c r="K958" s="29"/>
      <c r="L958" s="33"/>
      <c r="M958" s="33"/>
      <c r="N958" s="60"/>
      <c r="O958" s="71"/>
      <c r="P958" s="71"/>
      <c r="Q958" s="33"/>
      <c r="R958" s="31"/>
      <c r="S958" s="31"/>
      <c r="T958" s="59"/>
      <c r="U958" s="59"/>
      <c r="V958" s="59"/>
      <c r="W958" s="57">
        <f t="shared" si="25"/>
        <v>0</v>
      </c>
      <c r="X958" s="126" t="str">
        <f>IF(Table1[[#This Row],[Shipping Weight Pounds]]&gt;150,"See LTL Form","No")</f>
        <v>No</v>
      </c>
      <c r="Y958" s="28"/>
      <c r="Z958" s="33"/>
      <c r="AA958" s="34"/>
      <c r="AB958" s="30"/>
      <c r="AC958" s="30"/>
      <c r="AD958" s="32"/>
      <c r="AE958" s="32"/>
      <c r="AF958" s="2"/>
      <c r="AG958" s="2"/>
      <c r="AH958" s="2"/>
      <c r="AI958" s="2"/>
      <c r="AK958" s="73" t="str">
        <f>IF(ISNA(MATCH($N958,[1]data!$A:$A,0)),"",INDEX([1]data!S:S,MATCH($N958,[1]data!$A:$A,0)))</f>
        <v/>
      </c>
      <c r="AL958" s="73" t="str">
        <f>IF(ISNA(MATCH($N958,[1]data!$A:$A,0)),"",INDEX([1]data!V:V,MATCH($N958,[1]data!$A:$A,0)))</f>
        <v/>
      </c>
      <c r="AM958" s="38" t="str">
        <f>IF(ISNA(MATCH($N958,data!$A:$A,0)),"",INDEX(data!B:B,MATCH($N958,data!$A:$A,0)))</f>
        <v/>
      </c>
      <c r="AN958" s="38" t="str">
        <f>IF(ISNA(MATCH($N958,data!$A:$A,0)),"",INDEX(data!C:C,MATCH($N958,data!$A:$A,0)))</f>
        <v/>
      </c>
      <c r="AO958" s="38" t="str">
        <f>IF(ISNA(MATCH($N958,data!$A:$A,0)),"",INDEX(data!D:D,MATCH($N958,data!$A:$A,0)))</f>
        <v/>
      </c>
      <c r="AP958" s="38" t="str">
        <f>IF(ISNA(MATCH($N958,data!$A:$A,0)),"",INDEX(data!E:E,MATCH($N958,data!$A:$A,0)))</f>
        <v/>
      </c>
      <c r="AQ958" s="38" t="str">
        <f>IF(ISNA(MATCH($N958,data!$A:$A,0)),"",INDEX(data!F:F,MATCH($N958,data!$A:$A,0)))</f>
        <v/>
      </c>
      <c r="AR958" s="38" t="str">
        <f>IF(ISNA(MATCH($N958,data!$A:$A,0)),"",INDEX(data!G:G,MATCH($N958,data!$A:$A,0)))</f>
        <v/>
      </c>
      <c r="AS958" s="38" t="str">
        <f>IF(ISNA(MATCH($N958,data!$A:$A,0)),"",INDEX(data!H:H,MATCH($N958,data!$A:$A,0)))</f>
        <v/>
      </c>
      <c r="AT958" s="38" t="str">
        <f>IF(ISNA(MATCH($N958,data!$A:$A,0)),"",INDEX(data!I:I,MATCH($N958,data!$A:$A,0)))</f>
        <v/>
      </c>
      <c r="AU958" s="38" t="str">
        <f>IF(ISNA(MATCH($N958,[1]data!$A:$A,0)),"",INDEX([1]data!L:L,MATCH($N958,[1]data!$A:$A,0)))</f>
        <v/>
      </c>
      <c r="AV958" s="38" t="str">
        <f>IF(ISNA(MATCH($N958,[1]data!$A:$A,0)),"",INDEX([1]data!M:M,MATCH($N958,[1]data!$A:$A,0)))</f>
        <v/>
      </c>
      <c r="AW958" s="38" t="str">
        <f>IF(ISNA(MATCH($N958,data!$A:$A,0)),"",INDEX(data!J:J,MATCH($N958,data!$A:$A,0)))</f>
        <v/>
      </c>
      <c r="AX958" s="38" t="str">
        <f>IF(ISNA(MATCH($N958,data!$A:$A,0)),"",INDEX(data!K:K,MATCH($N958,data!$A:$A,0)))</f>
        <v/>
      </c>
      <c r="AY958" s="38" t="str">
        <f>IF(ISNA(MATCH($N958,data!$A:$A,0)),"",INDEX(data!O:O,MATCH($N958,data!$A:$A,0)))</f>
        <v/>
      </c>
      <c r="AZ958" s="38" t="str">
        <f>IF(ISNA(MATCH($N958,data!$A:$A,0)),"",INDEX(data!N:N,MATCH($N958,data!$A:$A,0)))</f>
        <v/>
      </c>
      <c r="BA958" s="38" t="str">
        <f>IF(ISNA(MATCH($N958,data!$A:$A,0)),"",INDEX(data!P:P,MATCH($N958,data!$A:$A,0)))</f>
        <v/>
      </c>
      <c r="BB958" s="38" t="str">
        <f>IF(ISNA(MATCH($N958,data!$A:$A,0)),"",INDEX(data!Q:Q,MATCH($N958,data!$A:$A,0)))</f>
        <v/>
      </c>
      <c r="BC958" s="38" t="str">
        <f>IF(ISNA(MATCH($N958,data!$A:$A,0)),"",INDEX(data!R:R,MATCH($N958,data!$A:$A,0)))</f>
        <v/>
      </c>
      <c r="BD958" s="38" t="str">
        <f>IF(ISNA(MATCH($N958,[1]data!$A:$A,0)),"",INDEX([1]data!U:U,MATCH($N958,[1]data!$A:$A,0)))</f>
        <v/>
      </c>
      <c r="BE958" s="61" t="e">
        <f>IF(COUNTIF([1]data!A:A,[1]!Table1[[#This Row],[UPC]])&lt;2,"","DUP")</f>
        <v>#VALUE!</v>
      </c>
      <c r="BF958" s="38" t="str">
        <f>IF(ISNA(MATCH($N958,data!$A:$A,0)),"",INDEX(data!W:W,MATCH($N958,data!$A:$A,0)))</f>
        <v/>
      </c>
    </row>
    <row r="959" spans="1:58">
      <c r="A959" s="35"/>
      <c r="B959" s="35"/>
      <c r="C959" s="35"/>
      <c r="D959" s="35"/>
      <c r="E959" s="67"/>
      <c r="F959" s="67"/>
      <c r="G959" s="36"/>
      <c r="H959" s="29"/>
      <c r="I959" s="79" t="str">
        <f t="shared" si="24"/>
        <v/>
      </c>
      <c r="J959" s="29"/>
      <c r="K959" s="29"/>
      <c r="L959" s="33"/>
      <c r="M959" s="33"/>
      <c r="N959" s="60"/>
      <c r="O959" s="71"/>
      <c r="P959" s="71"/>
      <c r="Q959" s="33"/>
      <c r="R959" s="31"/>
      <c r="S959" s="31"/>
      <c r="T959" s="59"/>
      <c r="U959" s="59"/>
      <c r="V959" s="59"/>
      <c r="W959" s="57">
        <f t="shared" si="25"/>
        <v>0</v>
      </c>
      <c r="X959" s="126" t="str">
        <f>IF(Table1[[#This Row],[Shipping Weight Pounds]]&gt;150,"See LTL Form","No")</f>
        <v>No</v>
      </c>
      <c r="Y959" s="28"/>
      <c r="Z959" s="33"/>
      <c r="AA959" s="34"/>
      <c r="AB959" s="30"/>
      <c r="AC959" s="30"/>
      <c r="AD959" s="32"/>
      <c r="AE959" s="32"/>
      <c r="AF959" s="2"/>
      <c r="AG959" s="2"/>
      <c r="AH959" s="2"/>
      <c r="AI959" s="2"/>
      <c r="AK959" s="73" t="str">
        <f>IF(ISNA(MATCH($N959,[1]data!$A:$A,0)),"",INDEX([1]data!S:S,MATCH($N959,[1]data!$A:$A,0)))</f>
        <v/>
      </c>
      <c r="AL959" s="73" t="str">
        <f>IF(ISNA(MATCH($N959,[1]data!$A:$A,0)),"",INDEX([1]data!V:V,MATCH($N959,[1]data!$A:$A,0)))</f>
        <v/>
      </c>
      <c r="AM959" s="38" t="str">
        <f>IF(ISNA(MATCH($N959,data!$A:$A,0)),"",INDEX(data!B:B,MATCH($N959,data!$A:$A,0)))</f>
        <v/>
      </c>
      <c r="AN959" s="38" t="str">
        <f>IF(ISNA(MATCH($N959,data!$A:$A,0)),"",INDEX(data!C:C,MATCH($N959,data!$A:$A,0)))</f>
        <v/>
      </c>
      <c r="AO959" s="38" t="str">
        <f>IF(ISNA(MATCH($N959,data!$A:$A,0)),"",INDEX(data!D:D,MATCH($N959,data!$A:$A,0)))</f>
        <v/>
      </c>
      <c r="AP959" s="38" t="str">
        <f>IF(ISNA(MATCH($N959,data!$A:$A,0)),"",INDEX(data!E:E,MATCH($N959,data!$A:$A,0)))</f>
        <v/>
      </c>
      <c r="AQ959" s="38" t="str">
        <f>IF(ISNA(MATCH($N959,data!$A:$A,0)),"",INDEX(data!F:F,MATCH($N959,data!$A:$A,0)))</f>
        <v/>
      </c>
      <c r="AR959" s="38" t="str">
        <f>IF(ISNA(MATCH($N959,data!$A:$A,0)),"",INDEX(data!G:G,MATCH($N959,data!$A:$A,0)))</f>
        <v/>
      </c>
      <c r="AS959" s="38" t="str">
        <f>IF(ISNA(MATCH($N959,data!$A:$A,0)),"",INDEX(data!H:H,MATCH($N959,data!$A:$A,0)))</f>
        <v/>
      </c>
      <c r="AT959" s="38" t="str">
        <f>IF(ISNA(MATCH($N959,data!$A:$A,0)),"",INDEX(data!I:I,MATCH($N959,data!$A:$A,0)))</f>
        <v/>
      </c>
      <c r="AU959" s="38" t="str">
        <f>IF(ISNA(MATCH($N959,[1]data!$A:$A,0)),"",INDEX([1]data!L:L,MATCH($N959,[1]data!$A:$A,0)))</f>
        <v/>
      </c>
      <c r="AV959" s="38" t="str">
        <f>IF(ISNA(MATCH($N959,[1]data!$A:$A,0)),"",INDEX([1]data!M:M,MATCH($N959,[1]data!$A:$A,0)))</f>
        <v/>
      </c>
      <c r="AW959" s="38" t="str">
        <f>IF(ISNA(MATCH($N959,data!$A:$A,0)),"",INDEX(data!J:J,MATCH($N959,data!$A:$A,0)))</f>
        <v/>
      </c>
      <c r="AX959" s="38" t="str">
        <f>IF(ISNA(MATCH($N959,data!$A:$A,0)),"",INDEX(data!K:K,MATCH($N959,data!$A:$A,0)))</f>
        <v/>
      </c>
      <c r="AY959" s="38" t="str">
        <f>IF(ISNA(MATCH($N959,data!$A:$A,0)),"",INDEX(data!O:O,MATCH($N959,data!$A:$A,0)))</f>
        <v/>
      </c>
      <c r="AZ959" s="38" t="str">
        <f>IF(ISNA(MATCH($N959,data!$A:$A,0)),"",INDEX(data!N:N,MATCH($N959,data!$A:$A,0)))</f>
        <v/>
      </c>
      <c r="BA959" s="38" t="str">
        <f>IF(ISNA(MATCH($N959,data!$A:$A,0)),"",INDEX(data!P:P,MATCH($N959,data!$A:$A,0)))</f>
        <v/>
      </c>
      <c r="BB959" s="38" t="str">
        <f>IF(ISNA(MATCH($N959,data!$A:$A,0)),"",INDEX(data!Q:Q,MATCH($N959,data!$A:$A,0)))</f>
        <v/>
      </c>
      <c r="BC959" s="38" t="str">
        <f>IF(ISNA(MATCH($N959,data!$A:$A,0)),"",INDEX(data!R:R,MATCH($N959,data!$A:$A,0)))</f>
        <v/>
      </c>
      <c r="BD959" s="38" t="str">
        <f>IF(ISNA(MATCH($N959,[1]data!$A:$A,0)),"",INDEX([1]data!U:U,MATCH($N959,[1]data!$A:$A,0)))</f>
        <v/>
      </c>
      <c r="BE959" s="61" t="e">
        <f>IF(COUNTIF([1]data!A:A,[1]!Table1[[#This Row],[UPC]])&lt;2,"","DUP")</f>
        <v>#VALUE!</v>
      </c>
      <c r="BF959" s="38" t="str">
        <f>IF(ISNA(MATCH($N959,data!$A:$A,0)),"",INDEX(data!W:W,MATCH($N959,data!$A:$A,0)))</f>
        <v/>
      </c>
    </row>
    <row r="960" spans="1:58">
      <c r="A960" s="35"/>
      <c r="B960" s="35"/>
      <c r="C960" s="35"/>
      <c r="D960" s="35"/>
      <c r="E960" s="67"/>
      <c r="F960" s="67"/>
      <c r="G960" s="36"/>
      <c r="H960" s="29"/>
      <c r="I960" s="79" t="str">
        <f t="shared" si="24"/>
        <v/>
      </c>
      <c r="J960" s="29"/>
      <c r="K960" s="29"/>
      <c r="L960" s="33"/>
      <c r="M960" s="33"/>
      <c r="N960" s="60"/>
      <c r="O960" s="71"/>
      <c r="P960" s="71"/>
      <c r="Q960" s="33"/>
      <c r="R960" s="31"/>
      <c r="S960" s="31"/>
      <c r="T960" s="59"/>
      <c r="U960" s="59"/>
      <c r="V960" s="59"/>
      <c r="W960" s="57">
        <f t="shared" si="25"/>
        <v>0</v>
      </c>
      <c r="X960" s="126" t="str">
        <f>IF(Table1[[#This Row],[Shipping Weight Pounds]]&gt;150,"See LTL Form","No")</f>
        <v>No</v>
      </c>
      <c r="Y960" s="28"/>
      <c r="Z960" s="33"/>
      <c r="AA960" s="34"/>
      <c r="AB960" s="30"/>
      <c r="AC960" s="30"/>
      <c r="AD960" s="32"/>
      <c r="AE960" s="32"/>
      <c r="AF960" s="2"/>
      <c r="AG960" s="2"/>
      <c r="AH960" s="2"/>
      <c r="AI960" s="2"/>
      <c r="AK960" s="73" t="str">
        <f>IF(ISNA(MATCH($N960,[1]data!$A:$A,0)),"",INDEX([1]data!S:S,MATCH($N960,[1]data!$A:$A,0)))</f>
        <v/>
      </c>
      <c r="AL960" s="73" t="str">
        <f>IF(ISNA(MATCH($N960,[1]data!$A:$A,0)),"",INDEX([1]data!V:V,MATCH($N960,[1]data!$A:$A,0)))</f>
        <v/>
      </c>
      <c r="AM960" s="38" t="str">
        <f>IF(ISNA(MATCH($N960,data!$A:$A,0)),"",INDEX(data!B:B,MATCH($N960,data!$A:$A,0)))</f>
        <v/>
      </c>
      <c r="AN960" s="38" t="str">
        <f>IF(ISNA(MATCH($N960,data!$A:$A,0)),"",INDEX(data!C:C,MATCH($N960,data!$A:$A,0)))</f>
        <v/>
      </c>
      <c r="AO960" s="38" t="str">
        <f>IF(ISNA(MATCH($N960,data!$A:$A,0)),"",INDEX(data!D:D,MATCH($N960,data!$A:$A,0)))</f>
        <v/>
      </c>
      <c r="AP960" s="38" t="str">
        <f>IF(ISNA(MATCH($N960,data!$A:$A,0)),"",INDEX(data!E:E,MATCH($N960,data!$A:$A,0)))</f>
        <v/>
      </c>
      <c r="AQ960" s="38" t="str">
        <f>IF(ISNA(MATCH($N960,data!$A:$A,0)),"",INDEX(data!F:F,MATCH($N960,data!$A:$A,0)))</f>
        <v/>
      </c>
      <c r="AR960" s="38" t="str">
        <f>IF(ISNA(MATCH($N960,data!$A:$A,0)),"",INDEX(data!G:G,MATCH($N960,data!$A:$A,0)))</f>
        <v/>
      </c>
      <c r="AS960" s="38" t="str">
        <f>IF(ISNA(MATCH($N960,data!$A:$A,0)),"",INDEX(data!H:H,MATCH($N960,data!$A:$A,0)))</f>
        <v/>
      </c>
      <c r="AT960" s="38" t="str">
        <f>IF(ISNA(MATCH($N960,data!$A:$A,0)),"",INDEX(data!I:I,MATCH($N960,data!$A:$A,0)))</f>
        <v/>
      </c>
      <c r="AU960" s="38" t="str">
        <f>IF(ISNA(MATCH($N960,[1]data!$A:$A,0)),"",INDEX([1]data!L:L,MATCH($N960,[1]data!$A:$A,0)))</f>
        <v/>
      </c>
      <c r="AV960" s="38" t="str">
        <f>IF(ISNA(MATCH($N960,[1]data!$A:$A,0)),"",INDEX([1]data!M:M,MATCH($N960,[1]data!$A:$A,0)))</f>
        <v/>
      </c>
      <c r="AW960" s="38" t="str">
        <f>IF(ISNA(MATCH($N960,data!$A:$A,0)),"",INDEX(data!J:J,MATCH($N960,data!$A:$A,0)))</f>
        <v/>
      </c>
      <c r="AX960" s="38" t="str">
        <f>IF(ISNA(MATCH($N960,data!$A:$A,0)),"",INDEX(data!K:K,MATCH($N960,data!$A:$A,0)))</f>
        <v/>
      </c>
      <c r="AY960" s="38" t="str">
        <f>IF(ISNA(MATCH($N960,data!$A:$A,0)),"",INDEX(data!O:O,MATCH($N960,data!$A:$A,0)))</f>
        <v/>
      </c>
      <c r="AZ960" s="38" t="str">
        <f>IF(ISNA(MATCH($N960,data!$A:$A,0)),"",INDEX(data!N:N,MATCH($N960,data!$A:$A,0)))</f>
        <v/>
      </c>
      <c r="BA960" s="38" t="str">
        <f>IF(ISNA(MATCH($N960,data!$A:$A,0)),"",INDEX(data!P:P,MATCH($N960,data!$A:$A,0)))</f>
        <v/>
      </c>
      <c r="BB960" s="38" t="str">
        <f>IF(ISNA(MATCH($N960,data!$A:$A,0)),"",INDEX(data!Q:Q,MATCH($N960,data!$A:$A,0)))</f>
        <v/>
      </c>
      <c r="BC960" s="38" t="str">
        <f>IF(ISNA(MATCH($N960,data!$A:$A,0)),"",INDEX(data!R:R,MATCH($N960,data!$A:$A,0)))</f>
        <v/>
      </c>
      <c r="BD960" s="38" t="str">
        <f>IF(ISNA(MATCH($N960,[1]data!$A:$A,0)),"",INDEX([1]data!U:U,MATCH($N960,[1]data!$A:$A,0)))</f>
        <v/>
      </c>
      <c r="BE960" s="61" t="e">
        <f>IF(COUNTIF([1]data!A:A,[1]!Table1[[#This Row],[UPC]])&lt;2,"","DUP")</f>
        <v>#VALUE!</v>
      </c>
      <c r="BF960" s="38" t="str">
        <f>IF(ISNA(MATCH($N960,data!$A:$A,0)),"",INDEX(data!W:W,MATCH($N960,data!$A:$A,0)))</f>
        <v/>
      </c>
    </row>
    <row r="961" spans="1:58">
      <c r="A961" s="35"/>
      <c r="B961" s="35"/>
      <c r="C961" s="35"/>
      <c r="D961" s="35"/>
      <c r="E961" s="67"/>
      <c r="F961" s="67"/>
      <c r="G961" s="36"/>
      <c r="H961" s="29"/>
      <c r="I961" s="79" t="str">
        <f t="shared" si="24"/>
        <v/>
      </c>
      <c r="J961" s="29"/>
      <c r="K961" s="29"/>
      <c r="L961" s="33"/>
      <c r="M961" s="33"/>
      <c r="N961" s="60"/>
      <c r="O961" s="71"/>
      <c r="P961" s="71"/>
      <c r="Q961" s="33"/>
      <c r="R961" s="31"/>
      <c r="S961" s="31"/>
      <c r="T961" s="59"/>
      <c r="U961" s="59"/>
      <c r="V961" s="59"/>
      <c r="W961" s="57">
        <f t="shared" si="25"/>
        <v>0</v>
      </c>
      <c r="X961" s="126" t="str">
        <f>IF(Table1[[#This Row],[Shipping Weight Pounds]]&gt;150,"See LTL Form","No")</f>
        <v>No</v>
      </c>
      <c r="Y961" s="28"/>
      <c r="Z961" s="33"/>
      <c r="AA961" s="34"/>
      <c r="AB961" s="30"/>
      <c r="AC961" s="30"/>
      <c r="AD961" s="32"/>
      <c r="AE961" s="32"/>
      <c r="AF961" s="2"/>
      <c r="AG961" s="2"/>
      <c r="AH961" s="2"/>
      <c r="AI961" s="2"/>
      <c r="AK961" s="73" t="str">
        <f>IF(ISNA(MATCH($N961,[1]data!$A:$A,0)),"",INDEX([1]data!S:S,MATCH($N961,[1]data!$A:$A,0)))</f>
        <v/>
      </c>
      <c r="AL961" s="73" t="str">
        <f>IF(ISNA(MATCH($N961,[1]data!$A:$A,0)),"",INDEX([1]data!V:V,MATCH($N961,[1]data!$A:$A,0)))</f>
        <v/>
      </c>
      <c r="AM961" s="38" t="str">
        <f>IF(ISNA(MATCH($N961,data!$A:$A,0)),"",INDEX(data!B:B,MATCH($N961,data!$A:$A,0)))</f>
        <v/>
      </c>
      <c r="AN961" s="38" t="str">
        <f>IF(ISNA(MATCH($N961,data!$A:$A,0)),"",INDEX(data!C:C,MATCH($N961,data!$A:$A,0)))</f>
        <v/>
      </c>
      <c r="AO961" s="38" t="str">
        <f>IF(ISNA(MATCH($N961,data!$A:$A,0)),"",INDEX(data!D:D,MATCH($N961,data!$A:$A,0)))</f>
        <v/>
      </c>
      <c r="AP961" s="38" t="str">
        <f>IF(ISNA(MATCH($N961,data!$A:$A,0)),"",INDEX(data!E:E,MATCH($N961,data!$A:$A,0)))</f>
        <v/>
      </c>
      <c r="AQ961" s="38" t="str">
        <f>IF(ISNA(MATCH($N961,data!$A:$A,0)),"",INDEX(data!F:F,MATCH($N961,data!$A:$A,0)))</f>
        <v/>
      </c>
      <c r="AR961" s="38" t="str">
        <f>IF(ISNA(MATCH($N961,data!$A:$A,0)),"",INDEX(data!G:G,MATCH($N961,data!$A:$A,0)))</f>
        <v/>
      </c>
      <c r="AS961" s="38" t="str">
        <f>IF(ISNA(MATCH($N961,data!$A:$A,0)),"",INDEX(data!H:H,MATCH($N961,data!$A:$A,0)))</f>
        <v/>
      </c>
      <c r="AT961" s="38" t="str">
        <f>IF(ISNA(MATCH($N961,data!$A:$A,0)),"",INDEX(data!I:I,MATCH($N961,data!$A:$A,0)))</f>
        <v/>
      </c>
      <c r="AU961" s="38" t="str">
        <f>IF(ISNA(MATCH($N961,[1]data!$A:$A,0)),"",INDEX([1]data!L:L,MATCH($N961,[1]data!$A:$A,0)))</f>
        <v/>
      </c>
      <c r="AV961" s="38" t="str">
        <f>IF(ISNA(MATCH($N961,[1]data!$A:$A,0)),"",INDEX([1]data!M:M,MATCH($N961,[1]data!$A:$A,0)))</f>
        <v/>
      </c>
      <c r="AW961" s="38" t="str">
        <f>IF(ISNA(MATCH($N961,data!$A:$A,0)),"",INDEX(data!J:J,MATCH($N961,data!$A:$A,0)))</f>
        <v/>
      </c>
      <c r="AX961" s="38" t="str">
        <f>IF(ISNA(MATCH($N961,data!$A:$A,0)),"",INDEX(data!K:K,MATCH($N961,data!$A:$A,0)))</f>
        <v/>
      </c>
      <c r="AY961" s="38" t="str">
        <f>IF(ISNA(MATCH($N961,data!$A:$A,0)),"",INDEX(data!O:O,MATCH($N961,data!$A:$A,0)))</f>
        <v/>
      </c>
      <c r="AZ961" s="38" t="str">
        <f>IF(ISNA(MATCH($N961,data!$A:$A,0)),"",INDEX(data!N:N,MATCH($N961,data!$A:$A,0)))</f>
        <v/>
      </c>
      <c r="BA961" s="38" t="str">
        <f>IF(ISNA(MATCH($N961,data!$A:$A,0)),"",INDEX(data!P:P,MATCH($N961,data!$A:$A,0)))</f>
        <v/>
      </c>
      <c r="BB961" s="38" t="str">
        <f>IF(ISNA(MATCH($N961,data!$A:$A,0)),"",INDEX(data!Q:Q,MATCH($N961,data!$A:$A,0)))</f>
        <v/>
      </c>
      <c r="BC961" s="38" t="str">
        <f>IF(ISNA(MATCH($N961,data!$A:$A,0)),"",INDEX(data!R:R,MATCH($N961,data!$A:$A,0)))</f>
        <v/>
      </c>
      <c r="BD961" s="38" t="str">
        <f>IF(ISNA(MATCH($N961,[1]data!$A:$A,0)),"",INDEX([1]data!U:U,MATCH($N961,[1]data!$A:$A,0)))</f>
        <v/>
      </c>
      <c r="BE961" s="61" t="e">
        <f>IF(COUNTIF([1]data!A:A,[1]!Table1[[#This Row],[UPC]])&lt;2,"","DUP")</f>
        <v>#VALUE!</v>
      </c>
      <c r="BF961" s="38" t="str">
        <f>IF(ISNA(MATCH($N961,data!$A:$A,0)),"",INDEX(data!W:W,MATCH($N961,data!$A:$A,0)))</f>
        <v/>
      </c>
    </row>
    <row r="962" spans="1:58">
      <c r="A962" s="35"/>
      <c r="B962" s="35"/>
      <c r="C962" s="35"/>
      <c r="D962" s="35"/>
      <c r="E962" s="67"/>
      <c r="F962" s="67"/>
      <c r="G962" s="36"/>
      <c r="H962" s="29"/>
      <c r="I962" s="79" t="str">
        <f t="shared" si="24"/>
        <v/>
      </c>
      <c r="J962" s="29"/>
      <c r="K962" s="29"/>
      <c r="L962" s="33"/>
      <c r="M962" s="33"/>
      <c r="N962" s="60"/>
      <c r="O962" s="71"/>
      <c r="P962" s="71"/>
      <c r="Q962" s="33"/>
      <c r="R962" s="31"/>
      <c r="S962" s="31"/>
      <c r="T962" s="59"/>
      <c r="U962" s="59"/>
      <c r="V962" s="59"/>
      <c r="W962" s="57">
        <f t="shared" si="25"/>
        <v>0</v>
      </c>
      <c r="X962" s="126" t="str">
        <f>IF(Table1[[#This Row],[Shipping Weight Pounds]]&gt;150,"See LTL Form","No")</f>
        <v>No</v>
      </c>
      <c r="Y962" s="28"/>
      <c r="Z962" s="33"/>
      <c r="AA962" s="34"/>
      <c r="AB962" s="30"/>
      <c r="AC962" s="30"/>
      <c r="AD962" s="32"/>
      <c r="AE962" s="32"/>
      <c r="AF962" s="2"/>
      <c r="AG962" s="2"/>
      <c r="AH962" s="2"/>
      <c r="AI962" s="2"/>
      <c r="AK962" s="73" t="str">
        <f>IF(ISNA(MATCH($N962,[1]data!$A:$A,0)),"",INDEX([1]data!S:S,MATCH($N962,[1]data!$A:$A,0)))</f>
        <v/>
      </c>
      <c r="AL962" s="73" t="str">
        <f>IF(ISNA(MATCH($N962,[1]data!$A:$A,0)),"",INDEX([1]data!V:V,MATCH($N962,[1]data!$A:$A,0)))</f>
        <v/>
      </c>
      <c r="AM962" s="38" t="str">
        <f>IF(ISNA(MATCH($N962,data!$A:$A,0)),"",INDEX(data!B:B,MATCH($N962,data!$A:$A,0)))</f>
        <v/>
      </c>
      <c r="AN962" s="38" t="str">
        <f>IF(ISNA(MATCH($N962,data!$A:$A,0)),"",INDEX(data!C:C,MATCH($N962,data!$A:$A,0)))</f>
        <v/>
      </c>
      <c r="AO962" s="38" t="str">
        <f>IF(ISNA(MATCH($N962,data!$A:$A,0)),"",INDEX(data!D:D,MATCH($N962,data!$A:$A,0)))</f>
        <v/>
      </c>
      <c r="AP962" s="38" t="str">
        <f>IF(ISNA(MATCH($N962,data!$A:$A,0)),"",INDEX(data!E:E,MATCH($N962,data!$A:$A,0)))</f>
        <v/>
      </c>
      <c r="AQ962" s="38" t="str">
        <f>IF(ISNA(MATCH($N962,data!$A:$A,0)),"",INDEX(data!F:F,MATCH($N962,data!$A:$A,0)))</f>
        <v/>
      </c>
      <c r="AR962" s="38" t="str">
        <f>IF(ISNA(MATCH($N962,data!$A:$A,0)),"",INDEX(data!G:G,MATCH($N962,data!$A:$A,0)))</f>
        <v/>
      </c>
      <c r="AS962" s="38" t="str">
        <f>IF(ISNA(MATCH($N962,data!$A:$A,0)),"",INDEX(data!H:H,MATCH($N962,data!$A:$A,0)))</f>
        <v/>
      </c>
      <c r="AT962" s="38" t="str">
        <f>IF(ISNA(MATCH($N962,data!$A:$A,0)),"",INDEX(data!I:I,MATCH($N962,data!$A:$A,0)))</f>
        <v/>
      </c>
      <c r="AU962" s="38" t="str">
        <f>IF(ISNA(MATCH($N962,[1]data!$A:$A,0)),"",INDEX([1]data!L:L,MATCH($N962,[1]data!$A:$A,0)))</f>
        <v/>
      </c>
      <c r="AV962" s="38" t="str">
        <f>IF(ISNA(MATCH($N962,[1]data!$A:$A,0)),"",INDEX([1]data!M:M,MATCH($N962,[1]data!$A:$A,0)))</f>
        <v/>
      </c>
      <c r="AW962" s="38" t="str">
        <f>IF(ISNA(MATCH($N962,data!$A:$A,0)),"",INDEX(data!J:J,MATCH($N962,data!$A:$A,0)))</f>
        <v/>
      </c>
      <c r="AX962" s="38" t="str">
        <f>IF(ISNA(MATCH($N962,data!$A:$A,0)),"",INDEX(data!K:K,MATCH($N962,data!$A:$A,0)))</f>
        <v/>
      </c>
      <c r="AY962" s="38" t="str">
        <f>IF(ISNA(MATCH($N962,data!$A:$A,0)),"",INDEX(data!O:O,MATCH($N962,data!$A:$A,0)))</f>
        <v/>
      </c>
      <c r="AZ962" s="38" t="str">
        <f>IF(ISNA(MATCH($N962,data!$A:$A,0)),"",INDEX(data!N:N,MATCH($N962,data!$A:$A,0)))</f>
        <v/>
      </c>
      <c r="BA962" s="38" t="str">
        <f>IF(ISNA(MATCH($N962,data!$A:$A,0)),"",INDEX(data!P:P,MATCH($N962,data!$A:$A,0)))</f>
        <v/>
      </c>
      <c r="BB962" s="38" t="str">
        <f>IF(ISNA(MATCH($N962,data!$A:$A,0)),"",INDEX(data!Q:Q,MATCH($N962,data!$A:$A,0)))</f>
        <v/>
      </c>
      <c r="BC962" s="38" t="str">
        <f>IF(ISNA(MATCH($N962,data!$A:$A,0)),"",INDEX(data!R:R,MATCH($N962,data!$A:$A,0)))</f>
        <v/>
      </c>
      <c r="BD962" s="38" t="str">
        <f>IF(ISNA(MATCH($N962,[1]data!$A:$A,0)),"",INDEX([1]data!U:U,MATCH($N962,[1]data!$A:$A,0)))</f>
        <v/>
      </c>
      <c r="BE962" s="61" t="e">
        <f>IF(COUNTIF([1]data!A:A,[1]!Table1[[#This Row],[UPC]])&lt;2,"","DUP")</f>
        <v>#VALUE!</v>
      </c>
      <c r="BF962" s="38" t="str">
        <f>IF(ISNA(MATCH($N962,data!$A:$A,0)),"",INDEX(data!W:W,MATCH($N962,data!$A:$A,0)))</f>
        <v/>
      </c>
    </row>
    <row r="963" spans="1:58">
      <c r="A963" s="35"/>
      <c r="B963" s="35"/>
      <c r="C963" s="35"/>
      <c r="D963" s="35"/>
      <c r="E963" s="67"/>
      <c r="F963" s="67"/>
      <c r="G963" s="36"/>
      <c r="H963" s="29"/>
      <c r="I963" s="79" t="str">
        <f t="shared" si="24"/>
        <v/>
      </c>
      <c r="J963" s="29"/>
      <c r="K963" s="29"/>
      <c r="L963" s="33"/>
      <c r="M963" s="33"/>
      <c r="N963" s="60"/>
      <c r="O963" s="71"/>
      <c r="P963" s="71"/>
      <c r="Q963" s="33"/>
      <c r="R963" s="31"/>
      <c r="S963" s="31"/>
      <c r="T963" s="59"/>
      <c r="U963" s="59"/>
      <c r="V963" s="59"/>
      <c r="W963" s="57">
        <f t="shared" si="25"/>
        <v>0</v>
      </c>
      <c r="X963" s="126" t="str">
        <f>IF(Table1[[#This Row],[Shipping Weight Pounds]]&gt;150,"See LTL Form","No")</f>
        <v>No</v>
      </c>
      <c r="Y963" s="28"/>
      <c r="Z963" s="33"/>
      <c r="AA963" s="34"/>
      <c r="AB963" s="30"/>
      <c r="AC963" s="30"/>
      <c r="AD963" s="32"/>
      <c r="AE963" s="32"/>
      <c r="AF963" s="2"/>
      <c r="AG963" s="2"/>
      <c r="AH963" s="2"/>
      <c r="AI963" s="2"/>
      <c r="AK963" s="73" t="str">
        <f>IF(ISNA(MATCH($N963,[1]data!$A:$A,0)),"",INDEX([1]data!S:S,MATCH($N963,[1]data!$A:$A,0)))</f>
        <v/>
      </c>
      <c r="AL963" s="73" t="str">
        <f>IF(ISNA(MATCH($N963,[1]data!$A:$A,0)),"",INDEX([1]data!V:V,MATCH($N963,[1]data!$A:$A,0)))</f>
        <v/>
      </c>
      <c r="AM963" s="38" t="str">
        <f>IF(ISNA(MATCH($N963,data!$A:$A,0)),"",INDEX(data!B:B,MATCH($N963,data!$A:$A,0)))</f>
        <v/>
      </c>
      <c r="AN963" s="38" t="str">
        <f>IF(ISNA(MATCH($N963,data!$A:$A,0)),"",INDEX(data!C:C,MATCH($N963,data!$A:$A,0)))</f>
        <v/>
      </c>
      <c r="AO963" s="38" t="str">
        <f>IF(ISNA(MATCH($N963,data!$A:$A,0)),"",INDEX(data!D:D,MATCH($N963,data!$A:$A,0)))</f>
        <v/>
      </c>
      <c r="AP963" s="38" t="str">
        <f>IF(ISNA(MATCH($N963,data!$A:$A,0)),"",INDEX(data!E:E,MATCH($N963,data!$A:$A,0)))</f>
        <v/>
      </c>
      <c r="AQ963" s="38" t="str">
        <f>IF(ISNA(MATCH($N963,data!$A:$A,0)),"",INDEX(data!F:F,MATCH($N963,data!$A:$A,0)))</f>
        <v/>
      </c>
      <c r="AR963" s="38" t="str">
        <f>IF(ISNA(MATCH($N963,data!$A:$A,0)),"",INDEX(data!G:G,MATCH($N963,data!$A:$A,0)))</f>
        <v/>
      </c>
      <c r="AS963" s="38" t="str">
        <f>IF(ISNA(MATCH($N963,data!$A:$A,0)),"",INDEX(data!H:H,MATCH($N963,data!$A:$A,0)))</f>
        <v/>
      </c>
      <c r="AT963" s="38" t="str">
        <f>IF(ISNA(MATCH($N963,data!$A:$A,0)),"",INDEX(data!I:I,MATCH($N963,data!$A:$A,0)))</f>
        <v/>
      </c>
      <c r="AU963" s="38" t="str">
        <f>IF(ISNA(MATCH($N963,[1]data!$A:$A,0)),"",INDEX([1]data!L:L,MATCH($N963,[1]data!$A:$A,0)))</f>
        <v/>
      </c>
      <c r="AV963" s="38" t="str">
        <f>IF(ISNA(MATCH($N963,[1]data!$A:$A,0)),"",INDEX([1]data!M:M,MATCH($N963,[1]data!$A:$A,0)))</f>
        <v/>
      </c>
      <c r="AW963" s="38" t="str">
        <f>IF(ISNA(MATCH($N963,data!$A:$A,0)),"",INDEX(data!J:J,MATCH($N963,data!$A:$A,0)))</f>
        <v/>
      </c>
      <c r="AX963" s="38" t="str">
        <f>IF(ISNA(MATCH($N963,data!$A:$A,0)),"",INDEX(data!K:K,MATCH($N963,data!$A:$A,0)))</f>
        <v/>
      </c>
      <c r="AY963" s="38" t="str">
        <f>IF(ISNA(MATCH($N963,data!$A:$A,0)),"",INDEX(data!O:O,MATCH($N963,data!$A:$A,0)))</f>
        <v/>
      </c>
      <c r="AZ963" s="38" t="str">
        <f>IF(ISNA(MATCH($N963,data!$A:$A,0)),"",INDEX(data!N:N,MATCH($N963,data!$A:$A,0)))</f>
        <v/>
      </c>
      <c r="BA963" s="38" t="str">
        <f>IF(ISNA(MATCH($N963,data!$A:$A,0)),"",INDEX(data!P:P,MATCH($N963,data!$A:$A,0)))</f>
        <v/>
      </c>
      <c r="BB963" s="38" t="str">
        <f>IF(ISNA(MATCH($N963,data!$A:$A,0)),"",INDEX(data!Q:Q,MATCH($N963,data!$A:$A,0)))</f>
        <v/>
      </c>
      <c r="BC963" s="38" t="str">
        <f>IF(ISNA(MATCH($N963,data!$A:$A,0)),"",INDEX(data!R:R,MATCH($N963,data!$A:$A,0)))</f>
        <v/>
      </c>
      <c r="BD963" s="38" t="str">
        <f>IF(ISNA(MATCH($N963,[1]data!$A:$A,0)),"",INDEX([1]data!U:U,MATCH($N963,[1]data!$A:$A,0)))</f>
        <v/>
      </c>
      <c r="BE963" s="61" t="e">
        <f>IF(COUNTIF([1]data!A:A,[1]!Table1[[#This Row],[UPC]])&lt;2,"","DUP")</f>
        <v>#VALUE!</v>
      </c>
      <c r="BF963" s="38" t="str">
        <f>IF(ISNA(MATCH($N963,data!$A:$A,0)),"",INDEX(data!W:W,MATCH($N963,data!$A:$A,0)))</f>
        <v/>
      </c>
    </row>
    <row r="964" spans="1:58">
      <c r="A964" s="35"/>
      <c r="B964" s="35"/>
      <c r="C964" s="35"/>
      <c r="D964" s="35"/>
      <c r="E964" s="67"/>
      <c r="F964" s="67"/>
      <c r="G964" s="36"/>
      <c r="H964" s="29"/>
      <c r="I964" s="79" t="str">
        <f t="shared" si="24"/>
        <v/>
      </c>
      <c r="J964" s="29"/>
      <c r="K964" s="29"/>
      <c r="L964" s="33"/>
      <c r="M964" s="33"/>
      <c r="N964" s="60"/>
      <c r="O964" s="71"/>
      <c r="P964" s="71"/>
      <c r="Q964" s="33"/>
      <c r="R964" s="31"/>
      <c r="S964" s="31"/>
      <c r="T964" s="59"/>
      <c r="U964" s="59"/>
      <c r="V964" s="59"/>
      <c r="W964" s="57">
        <f t="shared" si="25"/>
        <v>0</v>
      </c>
      <c r="X964" s="126" t="str">
        <f>IF(Table1[[#This Row],[Shipping Weight Pounds]]&gt;150,"See LTL Form","No")</f>
        <v>No</v>
      </c>
      <c r="Y964" s="28"/>
      <c r="Z964" s="33"/>
      <c r="AA964" s="34"/>
      <c r="AB964" s="30"/>
      <c r="AC964" s="30"/>
      <c r="AD964" s="32"/>
      <c r="AE964" s="32"/>
      <c r="AF964" s="2"/>
      <c r="AG964" s="2"/>
      <c r="AH964" s="2"/>
      <c r="AI964" s="2"/>
      <c r="AK964" s="73" t="str">
        <f>IF(ISNA(MATCH($N964,[1]data!$A:$A,0)),"",INDEX([1]data!S:S,MATCH($N964,[1]data!$A:$A,0)))</f>
        <v/>
      </c>
      <c r="AL964" s="73" t="str">
        <f>IF(ISNA(MATCH($N964,[1]data!$A:$A,0)),"",INDEX([1]data!V:V,MATCH($N964,[1]data!$A:$A,0)))</f>
        <v/>
      </c>
      <c r="AM964" s="38" t="str">
        <f>IF(ISNA(MATCH($N964,data!$A:$A,0)),"",INDEX(data!B:B,MATCH($N964,data!$A:$A,0)))</f>
        <v/>
      </c>
      <c r="AN964" s="38" t="str">
        <f>IF(ISNA(MATCH($N964,data!$A:$A,0)),"",INDEX(data!C:C,MATCH($N964,data!$A:$A,0)))</f>
        <v/>
      </c>
      <c r="AO964" s="38" t="str">
        <f>IF(ISNA(MATCH($N964,data!$A:$A,0)),"",INDEX(data!D:D,MATCH($N964,data!$A:$A,0)))</f>
        <v/>
      </c>
      <c r="AP964" s="38" t="str">
        <f>IF(ISNA(MATCH($N964,data!$A:$A,0)),"",INDEX(data!E:E,MATCH($N964,data!$A:$A,0)))</f>
        <v/>
      </c>
      <c r="AQ964" s="38" t="str">
        <f>IF(ISNA(MATCH($N964,data!$A:$A,0)),"",INDEX(data!F:F,MATCH($N964,data!$A:$A,0)))</f>
        <v/>
      </c>
      <c r="AR964" s="38" t="str">
        <f>IF(ISNA(MATCH($N964,data!$A:$A,0)),"",INDEX(data!G:G,MATCH($N964,data!$A:$A,0)))</f>
        <v/>
      </c>
      <c r="AS964" s="38" t="str">
        <f>IF(ISNA(MATCH($N964,data!$A:$A,0)),"",INDEX(data!H:H,MATCH($N964,data!$A:$A,0)))</f>
        <v/>
      </c>
      <c r="AT964" s="38" t="str">
        <f>IF(ISNA(MATCH($N964,data!$A:$A,0)),"",INDEX(data!I:I,MATCH($N964,data!$A:$A,0)))</f>
        <v/>
      </c>
      <c r="AU964" s="38" t="str">
        <f>IF(ISNA(MATCH($N964,[1]data!$A:$A,0)),"",INDEX([1]data!L:L,MATCH($N964,[1]data!$A:$A,0)))</f>
        <v/>
      </c>
      <c r="AV964" s="38" t="str">
        <f>IF(ISNA(MATCH($N964,[1]data!$A:$A,0)),"",INDEX([1]data!M:M,MATCH($N964,[1]data!$A:$A,0)))</f>
        <v/>
      </c>
      <c r="AW964" s="38" t="str">
        <f>IF(ISNA(MATCH($N964,data!$A:$A,0)),"",INDEX(data!J:J,MATCH($N964,data!$A:$A,0)))</f>
        <v/>
      </c>
      <c r="AX964" s="38" t="str">
        <f>IF(ISNA(MATCH($N964,data!$A:$A,0)),"",INDEX(data!K:K,MATCH($N964,data!$A:$A,0)))</f>
        <v/>
      </c>
      <c r="AY964" s="38" t="str">
        <f>IF(ISNA(MATCH($N964,data!$A:$A,0)),"",INDEX(data!O:O,MATCH($N964,data!$A:$A,0)))</f>
        <v/>
      </c>
      <c r="AZ964" s="38" t="str">
        <f>IF(ISNA(MATCH($N964,data!$A:$A,0)),"",INDEX(data!N:N,MATCH($N964,data!$A:$A,0)))</f>
        <v/>
      </c>
      <c r="BA964" s="38" t="str">
        <f>IF(ISNA(MATCH($N964,data!$A:$A,0)),"",INDEX(data!P:P,MATCH($N964,data!$A:$A,0)))</f>
        <v/>
      </c>
      <c r="BB964" s="38" t="str">
        <f>IF(ISNA(MATCH($N964,data!$A:$A,0)),"",INDEX(data!Q:Q,MATCH($N964,data!$A:$A,0)))</f>
        <v/>
      </c>
      <c r="BC964" s="38" t="str">
        <f>IF(ISNA(MATCH($N964,data!$A:$A,0)),"",INDEX(data!R:R,MATCH($N964,data!$A:$A,0)))</f>
        <v/>
      </c>
      <c r="BD964" s="38" t="str">
        <f>IF(ISNA(MATCH($N964,[1]data!$A:$A,0)),"",INDEX([1]data!U:U,MATCH($N964,[1]data!$A:$A,0)))</f>
        <v/>
      </c>
      <c r="BE964" s="61" t="e">
        <f>IF(COUNTIF([1]data!A:A,[1]!Table1[[#This Row],[UPC]])&lt;2,"","DUP")</f>
        <v>#VALUE!</v>
      </c>
      <c r="BF964" s="38" t="str">
        <f>IF(ISNA(MATCH($N964,data!$A:$A,0)),"",INDEX(data!W:W,MATCH($N964,data!$A:$A,0)))</f>
        <v/>
      </c>
    </row>
    <row r="965" spans="1:58">
      <c r="A965" s="35"/>
      <c r="B965" s="35"/>
      <c r="C965" s="35"/>
      <c r="D965" s="35"/>
      <c r="E965" s="67"/>
      <c r="F965" s="67"/>
      <c r="G965" s="36"/>
      <c r="H965" s="29"/>
      <c r="I965" s="79" t="str">
        <f t="shared" si="24"/>
        <v/>
      </c>
      <c r="J965" s="29"/>
      <c r="K965" s="29"/>
      <c r="L965" s="33"/>
      <c r="M965" s="33"/>
      <c r="N965" s="60"/>
      <c r="O965" s="71"/>
      <c r="P965" s="71"/>
      <c r="Q965" s="33"/>
      <c r="R965" s="31"/>
      <c r="S965" s="31"/>
      <c r="T965" s="59"/>
      <c r="U965" s="59"/>
      <c r="V965" s="59"/>
      <c r="W965" s="57">
        <f t="shared" si="25"/>
        <v>0</v>
      </c>
      <c r="X965" s="126" t="str">
        <f>IF(Table1[[#This Row],[Shipping Weight Pounds]]&gt;150,"See LTL Form","No")</f>
        <v>No</v>
      </c>
      <c r="Y965" s="28"/>
      <c r="Z965" s="33"/>
      <c r="AA965" s="34"/>
      <c r="AB965" s="30"/>
      <c r="AC965" s="30"/>
      <c r="AD965" s="32"/>
      <c r="AE965" s="32"/>
      <c r="AF965" s="2"/>
      <c r="AG965" s="2"/>
      <c r="AH965" s="2"/>
      <c r="AI965" s="2"/>
      <c r="AK965" s="73" t="str">
        <f>IF(ISNA(MATCH($N965,[1]data!$A:$A,0)),"",INDEX([1]data!S:S,MATCH($N965,[1]data!$A:$A,0)))</f>
        <v/>
      </c>
      <c r="AL965" s="73" t="str">
        <f>IF(ISNA(MATCH($N965,[1]data!$A:$A,0)),"",INDEX([1]data!V:V,MATCH($N965,[1]data!$A:$A,0)))</f>
        <v/>
      </c>
      <c r="AM965" s="38" t="str">
        <f>IF(ISNA(MATCH($N965,data!$A:$A,0)),"",INDEX(data!B:B,MATCH($N965,data!$A:$A,0)))</f>
        <v/>
      </c>
      <c r="AN965" s="38" t="str">
        <f>IF(ISNA(MATCH($N965,data!$A:$A,0)),"",INDEX(data!C:C,MATCH($N965,data!$A:$A,0)))</f>
        <v/>
      </c>
      <c r="AO965" s="38" t="str">
        <f>IF(ISNA(MATCH($N965,data!$A:$A,0)),"",INDEX(data!D:D,MATCH($N965,data!$A:$A,0)))</f>
        <v/>
      </c>
      <c r="AP965" s="38" t="str">
        <f>IF(ISNA(MATCH($N965,data!$A:$A,0)),"",INDEX(data!E:E,MATCH($N965,data!$A:$A,0)))</f>
        <v/>
      </c>
      <c r="AQ965" s="38" t="str">
        <f>IF(ISNA(MATCH($N965,data!$A:$A,0)),"",INDEX(data!F:F,MATCH($N965,data!$A:$A,0)))</f>
        <v/>
      </c>
      <c r="AR965" s="38" t="str">
        <f>IF(ISNA(MATCH($N965,data!$A:$A,0)),"",INDEX(data!G:G,MATCH($N965,data!$A:$A,0)))</f>
        <v/>
      </c>
      <c r="AS965" s="38" t="str">
        <f>IF(ISNA(MATCH($N965,data!$A:$A,0)),"",INDEX(data!H:H,MATCH($N965,data!$A:$A,0)))</f>
        <v/>
      </c>
      <c r="AT965" s="38" t="str">
        <f>IF(ISNA(MATCH($N965,data!$A:$A,0)),"",INDEX(data!I:I,MATCH($N965,data!$A:$A,0)))</f>
        <v/>
      </c>
      <c r="AU965" s="38" t="str">
        <f>IF(ISNA(MATCH($N965,[1]data!$A:$A,0)),"",INDEX([1]data!L:L,MATCH($N965,[1]data!$A:$A,0)))</f>
        <v/>
      </c>
      <c r="AV965" s="38" t="str">
        <f>IF(ISNA(MATCH($N965,[1]data!$A:$A,0)),"",INDEX([1]data!M:M,MATCH($N965,[1]data!$A:$A,0)))</f>
        <v/>
      </c>
      <c r="AW965" s="38" t="str">
        <f>IF(ISNA(MATCH($N965,data!$A:$A,0)),"",INDEX(data!J:J,MATCH($N965,data!$A:$A,0)))</f>
        <v/>
      </c>
      <c r="AX965" s="38" t="str">
        <f>IF(ISNA(MATCH($N965,data!$A:$A,0)),"",INDEX(data!K:K,MATCH($N965,data!$A:$A,0)))</f>
        <v/>
      </c>
      <c r="AY965" s="38" t="str">
        <f>IF(ISNA(MATCH($N965,data!$A:$A,0)),"",INDEX(data!O:O,MATCH($N965,data!$A:$A,0)))</f>
        <v/>
      </c>
      <c r="AZ965" s="38" t="str">
        <f>IF(ISNA(MATCH($N965,data!$A:$A,0)),"",INDEX(data!N:N,MATCH($N965,data!$A:$A,0)))</f>
        <v/>
      </c>
      <c r="BA965" s="38" t="str">
        <f>IF(ISNA(MATCH($N965,data!$A:$A,0)),"",INDEX(data!P:P,MATCH($N965,data!$A:$A,0)))</f>
        <v/>
      </c>
      <c r="BB965" s="38" t="str">
        <f>IF(ISNA(MATCH($N965,data!$A:$A,0)),"",INDEX(data!Q:Q,MATCH($N965,data!$A:$A,0)))</f>
        <v/>
      </c>
      <c r="BC965" s="38" t="str">
        <f>IF(ISNA(MATCH($N965,data!$A:$A,0)),"",INDEX(data!R:R,MATCH($N965,data!$A:$A,0)))</f>
        <v/>
      </c>
      <c r="BD965" s="38" t="str">
        <f>IF(ISNA(MATCH($N965,[1]data!$A:$A,0)),"",INDEX([1]data!U:U,MATCH($N965,[1]data!$A:$A,0)))</f>
        <v/>
      </c>
      <c r="BE965" s="61" t="e">
        <f>IF(COUNTIF([1]data!A:A,[1]!Table1[[#This Row],[UPC]])&lt;2,"","DUP")</f>
        <v>#VALUE!</v>
      </c>
      <c r="BF965" s="38" t="str">
        <f>IF(ISNA(MATCH($N965,data!$A:$A,0)),"",INDEX(data!W:W,MATCH($N965,data!$A:$A,0)))</f>
        <v/>
      </c>
    </row>
    <row r="966" spans="1:58">
      <c r="A966" s="35"/>
      <c r="B966" s="35"/>
      <c r="C966" s="35"/>
      <c r="D966" s="35"/>
      <c r="E966" s="67"/>
      <c r="F966" s="67"/>
      <c r="G966" s="36"/>
      <c r="H966" s="29"/>
      <c r="I966" s="79" t="str">
        <f t="shared" si="24"/>
        <v/>
      </c>
      <c r="J966" s="29"/>
      <c r="K966" s="29"/>
      <c r="L966" s="33"/>
      <c r="M966" s="33"/>
      <c r="N966" s="60"/>
      <c r="O966" s="71"/>
      <c r="P966" s="71"/>
      <c r="Q966" s="33"/>
      <c r="R966" s="31"/>
      <c r="S966" s="31"/>
      <c r="T966" s="59"/>
      <c r="U966" s="59"/>
      <c r="V966" s="59"/>
      <c r="W966" s="57">
        <f t="shared" si="25"/>
        <v>0</v>
      </c>
      <c r="X966" s="126" t="str">
        <f>IF(Table1[[#This Row],[Shipping Weight Pounds]]&gt;150,"See LTL Form","No")</f>
        <v>No</v>
      </c>
      <c r="Y966" s="28"/>
      <c r="Z966" s="33"/>
      <c r="AA966" s="34"/>
      <c r="AB966" s="30"/>
      <c r="AC966" s="30"/>
      <c r="AD966" s="32"/>
      <c r="AE966" s="32"/>
      <c r="AF966" s="2"/>
      <c r="AG966" s="2"/>
      <c r="AH966" s="2"/>
      <c r="AI966" s="2"/>
      <c r="AK966" s="73" t="str">
        <f>IF(ISNA(MATCH($N966,[1]data!$A:$A,0)),"",INDEX([1]data!S:S,MATCH($N966,[1]data!$A:$A,0)))</f>
        <v/>
      </c>
      <c r="AL966" s="73" t="str">
        <f>IF(ISNA(MATCH($N966,[1]data!$A:$A,0)),"",INDEX([1]data!V:V,MATCH($N966,[1]data!$A:$A,0)))</f>
        <v/>
      </c>
      <c r="AM966" s="38" t="str">
        <f>IF(ISNA(MATCH($N966,data!$A:$A,0)),"",INDEX(data!B:B,MATCH($N966,data!$A:$A,0)))</f>
        <v/>
      </c>
      <c r="AN966" s="38" t="str">
        <f>IF(ISNA(MATCH($N966,data!$A:$A,0)),"",INDEX(data!C:C,MATCH($N966,data!$A:$A,0)))</f>
        <v/>
      </c>
      <c r="AO966" s="38" t="str">
        <f>IF(ISNA(MATCH($N966,data!$A:$A,0)),"",INDEX(data!D:D,MATCH($N966,data!$A:$A,0)))</f>
        <v/>
      </c>
      <c r="AP966" s="38" t="str">
        <f>IF(ISNA(MATCH($N966,data!$A:$A,0)),"",INDEX(data!E:E,MATCH($N966,data!$A:$A,0)))</f>
        <v/>
      </c>
      <c r="AQ966" s="38" t="str">
        <f>IF(ISNA(MATCH($N966,data!$A:$A,0)),"",INDEX(data!F:F,MATCH($N966,data!$A:$A,0)))</f>
        <v/>
      </c>
      <c r="AR966" s="38" t="str">
        <f>IF(ISNA(MATCH($N966,data!$A:$A,0)),"",INDEX(data!G:G,MATCH($N966,data!$A:$A,0)))</f>
        <v/>
      </c>
      <c r="AS966" s="38" t="str">
        <f>IF(ISNA(MATCH($N966,data!$A:$A,0)),"",INDEX(data!H:H,MATCH($N966,data!$A:$A,0)))</f>
        <v/>
      </c>
      <c r="AT966" s="38" t="str">
        <f>IF(ISNA(MATCH($N966,data!$A:$A,0)),"",INDEX(data!I:I,MATCH($N966,data!$A:$A,0)))</f>
        <v/>
      </c>
      <c r="AU966" s="38" t="str">
        <f>IF(ISNA(MATCH($N966,[1]data!$A:$A,0)),"",INDEX([1]data!L:L,MATCH($N966,[1]data!$A:$A,0)))</f>
        <v/>
      </c>
      <c r="AV966" s="38" t="str">
        <f>IF(ISNA(MATCH($N966,[1]data!$A:$A,0)),"",INDEX([1]data!M:M,MATCH($N966,[1]data!$A:$A,0)))</f>
        <v/>
      </c>
      <c r="AW966" s="38" t="str">
        <f>IF(ISNA(MATCH($N966,data!$A:$A,0)),"",INDEX(data!J:J,MATCH($N966,data!$A:$A,0)))</f>
        <v/>
      </c>
      <c r="AX966" s="38" t="str">
        <f>IF(ISNA(MATCH($N966,data!$A:$A,0)),"",INDEX(data!K:K,MATCH($N966,data!$A:$A,0)))</f>
        <v/>
      </c>
      <c r="AY966" s="38" t="str">
        <f>IF(ISNA(MATCH($N966,data!$A:$A,0)),"",INDEX(data!O:O,MATCH($N966,data!$A:$A,0)))</f>
        <v/>
      </c>
      <c r="AZ966" s="38" t="str">
        <f>IF(ISNA(MATCH($N966,data!$A:$A,0)),"",INDEX(data!N:N,MATCH($N966,data!$A:$A,0)))</f>
        <v/>
      </c>
      <c r="BA966" s="38" t="str">
        <f>IF(ISNA(MATCH($N966,data!$A:$A,0)),"",INDEX(data!P:P,MATCH($N966,data!$A:$A,0)))</f>
        <v/>
      </c>
      <c r="BB966" s="38" t="str">
        <f>IF(ISNA(MATCH($N966,data!$A:$A,0)),"",INDEX(data!Q:Q,MATCH($N966,data!$A:$A,0)))</f>
        <v/>
      </c>
      <c r="BC966" s="38" t="str">
        <f>IF(ISNA(MATCH($N966,data!$A:$A,0)),"",INDEX(data!R:R,MATCH($N966,data!$A:$A,0)))</f>
        <v/>
      </c>
      <c r="BD966" s="38" t="str">
        <f>IF(ISNA(MATCH($N966,[1]data!$A:$A,0)),"",INDEX([1]data!U:U,MATCH($N966,[1]data!$A:$A,0)))</f>
        <v/>
      </c>
      <c r="BE966" s="61" t="e">
        <f>IF(COUNTIF([1]data!A:A,[1]!Table1[[#This Row],[UPC]])&lt;2,"","DUP")</f>
        <v>#VALUE!</v>
      </c>
      <c r="BF966" s="38" t="str">
        <f>IF(ISNA(MATCH($N966,data!$A:$A,0)),"",INDEX(data!W:W,MATCH($N966,data!$A:$A,0)))</f>
        <v/>
      </c>
    </row>
    <row r="967" spans="1:58">
      <c r="A967" s="35"/>
      <c r="B967" s="35"/>
      <c r="C967" s="35"/>
      <c r="D967" s="35"/>
      <c r="E967" s="67"/>
      <c r="F967" s="67"/>
      <c r="G967" s="36"/>
      <c r="H967" s="29"/>
      <c r="I967" s="79" t="str">
        <f t="shared" si="24"/>
        <v/>
      </c>
      <c r="J967" s="29"/>
      <c r="K967" s="29"/>
      <c r="L967" s="33"/>
      <c r="M967" s="33"/>
      <c r="N967" s="60"/>
      <c r="O967" s="71"/>
      <c r="P967" s="71"/>
      <c r="Q967" s="33"/>
      <c r="R967" s="31"/>
      <c r="S967" s="31"/>
      <c r="T967" s="59"/>
      <c r="U967" s="59"/>
      <c r="V967" s="59"/>
      <c r="W967" s="57">
        <f t="shared" si="25"/>
        <v>0</v>
      </c>
      <c r="X967" s="126" t="str">
        <f>IF(Table1[[#This Row],[Shipping Weight Pounds]]&gt;150,"See LTL Form","No")</f>
        <v>No</v>
      </c>
      <c r="Y967" s="28"/>
      <c r="Z967" s="33"/>
      <c r="AA967" s="34"/>
      <c r="AB967" s="30"/>
      <c r="AC967" s="30"/>
      <c r="AD967" s="32"/>
      <c r="AE967" s="32"/>
      <c r="AF967" s="2"/>
      <c r="AG967" s="2"/>
      <c r="AH967" s="2"/>
      <c r="AI967" s="2"/>
      <c r="AK967" s="73" t="str">
        <f>IF(ISNA(MATCH($N967,[1]data!$A:$A,0)),"",INDEX([1]data!S:S,MATCH($N967,[1]data!$A:$A,0)))</f>
        <v/>
      </c>
      <c r="AL967" s="73" t="str">
        <f>IF(ISNA(MATCH($N967,[1]data!$A:$A,0)),"",INDEX([1]data!V:V,MATCH($N967,[1]data!$A:$A,0)))</f>
        <v/>
      </c>
      <c r="AM967" s="38" t="str">
        <f>IF(ISNA(MATCH($N967,data!$A:$A,0)),"",INDEX(data!B:B,MATCH($N967,data!$A:$A,0)))</f>
        <v/>
      </c>
      <c r="AN967" s="38" t="str">
        <f>IF(ISNA(MATCH($N967,data!$A:$A,0)),"",INDEX(data!C:C,MATCH($N967,data!$A:$A,0)))</f>
        <v/>
      </c>
      <c r="AO967" s="38" t="str">
        <f>IF(ISNA(MATCH($N967,data!$A:$A,0)),"",INDEX(data!D:D,MATCH($N967,data!$A:$A,0)))</f>
        <v/>
      </c>
      <c r="AP967" s="38" t="str">
        <f>IF(ISNA(MATCH($N967,data!$A:$A,0)),"",INDEX(data!E:E,MATCH($N967,data!$A:$A,0)))</f>
        <v/>
      </c>
      <c r="AQ967" s="38" t="str">
        <f>IF(ISNA(MATCH($N967,data!$A:$A,0)),"",INDEX(data!F:F,MATCH($N967,data!$A:$A,0)))</f>
        <v/>
      </c>
      <c r="AR967" s="38" t="str">
        <f>IF(ISNA(MATCH($N967,data!$A:$A,0)),"",INDEX(data!G:G,MATCH($N967,data!$A:$A,0)))</f>
        <v/>
      </c>
      <c r="AS967" s="38" t="str">
        <f>IF(ISNA(MATCH($N967,data!$A:$A,0)),"",INDEX(data!H:H,MATCH($N967,data!$A:$A,0)))</f>
        <v/>
      </c>
      <c r="AT967" s="38" t="str">
        <f>IF(ISNA(MATCH($N967,data!$A:$A,0)),"",INDEX(data!I:I,MATCH($N967,data!$A:$A,0)))</f>
        <v/>
      </c>
      <c r="AU967" s="38" t="str">
        <f>IF(ISNA(MATCH($N967,[1]data!$A:$A,0)),"",INDEX([1]data!L:L,MATCH($N967,[1]data!$A:$A,0)))</f>
        <v/>
      </c>
      <c r="AV967" s="38" t="str">
        <f>IF(ISNA(MATCH($N967,[1]data!$A:$A,0)),"",INDEX([1]data!M:M,MATCH($N967,[1]data!$A:$A,0)))</f>
        <v/>
      </c>
      <c r="AW967" s="38" t="str">
        <f>IF(ISNA(MATCH($N967,data!$A:$A,0)),"",INDEX(data!J:J,MATCH($N967,data!$A:$A,0)))</f>
        <v/>
      </c>
      <c r="AX967" s="38" t="str">
        <f>IF(ISNA(MATCH($N967,data!$A:$A,0)),"",INDEX(data!K:K,MATCH($N967,data!$A:$A,0)))</f>
        <v/>
      </c>
      <c r="AY967" s="38" t="str">
        <f>IF(ISNA(MATCH($N967,data!$A:$A,0)),"",INDEX(data!O:O,MATCH($N967,data!$A:$A,0)))</f>
        <v/>
      </c>
      <c r="AZ967" s="38" t="str">
        <f>IF(ISNA(MATCH($N967,data!$A:$A,0)),"",INDEX(data!N:N,MATCH($N967,data!$A:$A,0)))</f>
        <v/>
      </c>
      <c r="BA967" s="38" t="str">
        <f>IF(ISNA(MATCH($N967,data!$A:$A,0)),"",INDEX(data!P:P,MATCH($N967,data!$A:$A,0)))</f>
        <v/>
      </c>
      <c r="BB967" s="38" t="str">
        <f>IF(ISNA(MATCH($N967,data!$A:$A,0)),"",INDEX(data!Q:Q,MATCH($N967,data!$A:$A,0)))</f>
        <v/>
      </c>
      <c r="BC967" s="38" t="str">
        <f>IF(ISNA(MATCH($N967,data!$A:$A,0)),"",INDEX(data!R:R,MATCH($N967,data!$A:$A,0)))</f>
        <v/>
      </c>
      <c r="BD967" s="38" t="str">
        <f>IF(ISNA(MATCH($N967,[1]data!$A:$A,0)),"",INDEX([1]data!U:U,MATCH($N967,[1]data!$A:$A,0)))</f>
        <v/>
      </c>
      <c r="BE967" s="61" t="e">
        <f>IF(COUNTIF([1]data!A:A,[1]!Table1[[#This Row],[UPC]])&lt;2,"","DUP")</f>
        <v>#VALUE!</v>
      </c>
      <c r="BF967" s="38" t="str">
        <f>IF(ISNA(MATCH($N967,data!$A:$A,0)),"",INDEX(data!W:W,MATCH($N967,data!$A:$A,0)))</f>
        <v/>
      </c>
    </row>
    <row r="968" spans="1:58">
      <c r="A968" s="35"/>
      <c r="B968" s="35"/>
      <c r="C968" s="35"/>
      <c r="D968" s="35"/>
      <c r="E968" s="67"/>
      <c r="F968" s="67"/>
      <c r="G968" s="36"/>
      <c r="H968" s="29"/>
      <c r="I968" s="79" t="str">
        <f t="shared" ref="I968:I977" si="26">IF(H968&lt;&gt;0,(H968-G968)/H968,"")</f>
        <v/>
      </c>
      <c r="J968" s="29"/>
      <c r="K968" s="29"/>
      <c r="L968" s="33"/>
      <c r="M968" s="33"/>
      <c r="N968" s="60"/>
      <c r="O968" s="71"/>
      <c r="P968" s="71"/>
      <c r="Q968" s="33"/>
      <c r="R968" s="31"/>
      <c r="S968" s="31"/>
      <c r="T968" s="59"/>
      <c r="U968" s="59"/>
      <c r="V968" s="59"/>
      <c r="W968" s="57">
        <f t="shared" ref="W968:W977" si="27">IF(ISERR(Q968*R968*S968),"",(Q968*R968*S968))</f>
        <v>0</v>
      </c>
      <c r="X968" s="126" t="str">
        <f>IF(Table1[[#This Row],[Shipping Weight Pounds]]&gt;150,"See LTL Form","No")</f>
        <v>No</v>
      </c>
      <c r="Y968" s="28"/>
      <c r="Z968" s="33"/>
      <c r="AA968" s="34"/>
      <c r="AB968" s="30"/>
      <c r="AC968" s="30"/>
      <c r="AD968" s="32"/>
      <c r="AE968" s="32"/>
      <c r="AF968" s="2"/>
      <c r="AG968" s="2"/>
      <c r="AH968" s="2"/>
      <c r="AI968" s="2"/>
      <c r="AK968" s="73" t="str">
        <f>IF(ISNA(MATCH($N968,[1]data!$A:$A,0)),"",INDEX([1]data!S:S,MATCH($N968,[1]data!$A:$A,0)))</f>
        <v/>
      </c>
      <c r="AL968" s="73" t="str">
        <f>IF(ISNA(MATCH($N968,[1]data!$A:$A,0)),"",INDEX([1]data!V:V,MATCH($N968,[1]data!$A:$A,0)))</f>
        <v/>
      </c>
      <c r="AM968" s="38" t="str">
        <f>IF(ISNA(MATCH($N968,data!$A:$A,0)),"",INDEX(data!B:B,MATCH($N968,data!$A:$A,0)))</f>
        <v/>
      </c>
      <c r="AN968" s="38" t="str">
        <f>IF(ISNA(MATCH($N968,data!$A:$A,0)),"",INDEX(data!C:C,MATCH($N968,data!$A:$A,0)))</f>
        <v/>
      </c>
      <c r="AO968" s="38" t="str">
        <f>IF(ISNA(MATCH($N968,data!$A:$A,0)),"",INDEX(data!D:D,MATCH($N968,data!$A:$A,0)))</f>
        <v/>
      </c>
      <c r="AP968" s="38" t="str">
        <f>IF(ISNA(MATCH($N968,data!$A:$A,0)),"",INDEX(data!E:E,MATCH($N968,data!$A:$A,0)))</f>
        <v/>
      </c>
      <c r="AQ968" s="38" t="str">
        <f>IF(ISNA(MATCH($N968,data!$A:$A,0)),"",INDEX(data!F:F,MATCH($N968,data!$A:$A,0)))</f>
        <v/>
      </c>
      <c r="AR968" s="38" t="str">
        <f>IF(ISNA(MATCH($N968,data!$A:$A,0)),"",INDEX(data!G:G,MATCH($N968,data!$A:$A,0)))</f>
        <v/>
      </c>
      <c r="AS968" s="38" t="str">
        <f>IF(ISNA(MATCH($N968,data!$A:$A,0)),"",INDEX(data!H:H,MATCH($N968,data!$A:$A,0)))</f>
        <v/>
      </c>
      <c r="AT968" s="38" t="str">
        <f>IF(ISNA(MATCH($N968,data!$A:$A,0)),"",INDEX(data!I:I,MATCH($N968,data!$A:$A,0)))</f>
        <v/>
      </c>
      <c r="AU968" s="38" t="str">
        <f>IF(ISNA(MATCH($N968,[1]data!$A:$A,0)),"",INDEX([1]data!L:L,MATCH($N968,[1]data!$A:$A,0)))</f>
        <v/>
      </c>
      <c r="AV968" s="38" t="str">
        <f>IF(ISNA(MATCH($N968,[1]data!$A:$A,0)),"",INDEX([1]data!M:M,MATCH($N968,[1]data!$A:$A,0)))</f>
        <v/>
      </c>
      <c r="AW968" s="38" t="str">
        <f>IF(ISNA(MATCH($N968,data!$A:$A,0)),"",INDEX(data!J:J,MATCH($N968,data!$A:$A,0)))</f>
        <v/>
      </c>
      <c r="AX968" s="38" t="str">
        <f>IF(ISNA(MATCH($N968,data!$A:$A,0)),"",INDEX(data!K:K,MATCH($N968,data!$A:$A,0)))</f>
        <v/>
      </c>
      <c r="AY968" s="38" t="str">
        <f>IF(ISNA(MATCH($N968,data!$A:$A,0)),"",INDEX(data!O:O,MATCH($N968,data!$A:$A,0)))</f>
        <v/>
      </c>
      <c r="AZ968" s="38" t="str">
        <f>IF(ISNA(MATCH($N968,data!$A:$A,0)),"",INDEX(data!N:N,MATCH($N968,data!$A:$A,0)))</f>
        <v/>
      </c>
      <c r="BA968" s="38" t="str">
        <f>IF(ISNA(MATCH($N968,data!$A:$A,0)),"",INDEX(data!P:P,MATCH($N968,data!$A:$A,0)))</f>
        <v/>
      </c>
      <c r="BB968" s="38" t="str">
        <f>IF(ISNA(MATCH($N968,data!$A:$A,0)),"",INDEX(data!Q:Q,MATCH($N968,data!$A:$A,0)))</f>
        <v/>
      </c>
      <c r="BC968" s="38" t="str">
        <f>IF(ISNA(MATCH($N968,data!$A:$A,0)),"",INDEX(data!R:R,MATCH($N968,data!$A:$A,0)))</f>
        <v/>
      </c>
      <c r="BD968" s="38" t="str">
        <f>IF(ISNA(MATCH($N968,[1]data!$A:$A,0)),"",INDEX([1]data!U:U,MATCH($N968,[1]data!$A:$A,0)))</f>
        <v/>
      </c>
      <c r="BE968" s="61" t="e">
        <f>IF(COUNTIF([1]data!A:A,[1]!Table1[[#This Row],[UPC]])&lt;2,"","DUP")</f>
        <v>#VALUE!</v>
      </c>
      <c r="BF968" s="38" t="str">
        <f>IF(ISNA(MATCH($N968,data!$A:$A,0)),"",INDEX(data!W:W,MATCH($N968,data!$A:$A,0)))</f>
        <v/>
      </c>
    </row>
    <row r="969" spans="1:58">
      <c r="A969" s="35"/>
      <c r="B969" s="35"/>
      <c r="C969" s="35"/>
      <c r="D969" s="35"/>
      <c r="E969" s="67"/>
      <c r="F969" s="67"/>
      <c r="G969" s="36"/>
      <c r="H969" s="29"/>
      <c r="I969" s="79" t="str">
        <f t="shared" si="26"/>
        <v/>
      </c>
      <c r="J969" s="29"/>
      <c r="K969" s="29"/>
      <c r="L969" s="33"/>
      <c r="M969" s="33"/>
      <c r="N969" s="60"/>
      <c r="O969" s="71"/>
      <c r="P969" s="71"/>
      <c r="Q969" s="33"/>
      <c r="R969" s="31"/>
      <c r="S969" s="31"/>
      <c r="T969" s="59"/>
      <c r="U969" s="59"/>
      <c r="V969" s="59"/>
      <c r="W969" s="57">
        <f t="shared" si="27"/>
        <v>0</v>
      </c>
      <c r="X969" s="126" t="str">
        <f>IF(Table1[[#This Row],[Shipping Weight Pounds]]&gt;150,"See LTL Form","No")</f>
        <v>No</v>
      </c>
      <c r="Y969" s="28"/>
      <c r="Z969" s="33"/>
      <c r="AA969" s="34"/>
      <c r="AB969" s="30"/>
      <c r="AC969" s="30"/>
      <c r="AD969" s="32"/>
      <c r="AE969" s="32"/>
      <c r="AF969" s="2"/>
      <c r="AG969" s="2"/>
      <c r="AH969" s="2"/>
      <c r="AI969" s="2"/>
      <c r="AK969" s="73" t="str">
        <f>IF(ISNA(MATCH($N969,[1]data!$A:$A,0)),"",INDEX([1]data!S:S,MATCH($N969,[1]data!$A:$A,0)))</f>
        <v/>
      </c>
      <c r="AL969" s="73" t="str">
        <f>IF(ISNA(MATCH($N969,[1]data!$A:$A,0)),"",INDEX([1]data!V:V,MATCH($N969,[1]data!$A:$A,0)))</f>
        <v/>
      </c>
      <c r="AM969" s="38" t="str">
        <f>IF(ISNA(MATCH($N969,data!$A:$A,0)),"",INDEX(data!B:B,MATCH($N969,data!$A:$A,0)))</f>
        <v/>
      </c>
      <c r="AN969" s="38" t="str">
        <f>IF(ISNA(MATCH($N969,data!$A:$A,0)),"",INDEX(data!C:C,MATCH($N969,data!$A:$A,0)))</f>
        <v/>
      </c>
      <c r="AO969" s="38" t="str">
        <f>IF(ISNA(MATCH($N969,data!$A:$A,0)),"",INDEX(data!D:D,MATCH($N969,data!$A:$A,0)))</f>
        <v/>
      </c>
      <c r="AP969" s="38" t="str">
        <f>IF(ISNA(MATCH($N969,data!$A:$A,0)),"",INDEX(data!E:E,MATCH($N969,data!$A:$A,0)))</f>
        <v/>
      </c>
      <c r="AQ969" s="38" t="str">
        <f>IF(ISNA(MATCH($N969,data!$A:$A,0)),"",INDEX(data!F:F,MATCH($N969,data!$A:$A,0)))</f>
        <v/>
      </c>
      <c r="AR969" s="38" t="str">
        <f>IF(ISNA(MATCH($N969,data!$A:$A,0)),"",INDEX(data!G:G,MATCH($N969,data!$A:$A,0)))</f>
        <v/>
      </c>
      <c r="AS969" s="38" t="str">
        <f>IF(ISNA(MATCH($N969,data!$A:$A,0)),"",INDEX(data!H:H,MATCH($N969,data!$A:$A,0)))</f>
        <v/>
      </c>
      <c r="AT969" s="38" t="str">
        <f>IF(ISNA(MATCH($N969,data!$A:$A,0)),"",INDEX(data!I:I,MATCH($N969,data!$A:$A,0)))</f>
        <v/>
      </c>
      <c r="AU969" s="38" t="str">
        <f>IF(ISNA(MATCH($N969,[1]data!$A:$A,0)),"",INDEX([1]data!L:L,MATCH($N969,[1]data!$A:$A,0)))</f>
        <v/>
      </c>
      <c r="AV969" s="38" t="str">
        <f>IF(ISNA(MATCH($N969,[1]data!$A:$A,0)),"",INDEX([1]data!M:M,MATCH($N969,[1]data!$A:$A,0)))</f>
        <v/>
      </c>
      <c r="AW969" s="38" t="str">
        <f>IF(ISNA(MATCH($N969,data!$A:$A,0)),"",INDEX(data!J:J,MATCH($N969,data!$A:$A,0)))</f>
        <v/>
      </c>
      <c r="AX969" s="38" t="str">
        <f>IF(ISNA(MATCH($N969,data!$A:$A,0)),"",INDEX(data!K:K,MATCH($N969,data!$A:$A,0)))</f>
        <v/>
      </c>
      <c r="AY969" s="38" t="str">
        <f>IF(ISNA(MATCH($N969,data!$A:$A,0)),"",INDEX(data!O:O,MATCH($N969,data!$A:$A,0)))</f>
        <v/>
      </c>
      <c r="AZ969" s="38" t="str">
        <f>IF(ISNA(MATCH($N969,data!$A:$A,0)),"",INDEX(data!N:N,MATCH($N969,data!$A:$A,0)))</f>
        <v/>
      </c>
      <c r="BA969" s="38" t="str">
        <f>IF(ISNA(MATCH($N969,data!$A:$A,0)),"",INDEX(data!P:P,MATCH($N969,data!$A:$A,0)))</f>
        <v/>
      </c>
      <c r="BB969" s="38" t="str">
        <f>IF(ISNA(MATCH($N969,data!$A:$A,0)),"",INDEX(data!Q:Q,MATCH($N969,data!$A:$A,0)))</f>
        <v/>
      </c>
      <c r="BC969" s="38" t="str">
        <f>IF(ISNA(MATCH($N969,data!$A:$A,0)),"",INDEX(data!R:R,MATCH($N969,data!$A:$A,0)))</f>
        <v/>
      </c>
      <c r="BD969" s="38" t="str">
        <f>IF(ISNA(MATCH($N969,[1]data!$A:$A,0)),"",INDEX([1]data!U:U,MATCH($N969,[1]data!$A:$A,0)))</f>
        <v/>
      </c>
      <c r="BE969" s="61" t="e">
        <f>IF(COUNTIF([1]data!A:A,[1]!Table1[[#This Row],[UPC]])&lt;2,"","DUP")</f>
        <v>#VALUE!</v>
      </c>
      <c r="BF969" s="38" t="str">
        <f>IF(ISNA(MATCH($N969,data!$A:$A,0)),"",INDEX(data!W:W,MATCH($N969,data!$A:$A,0)))</f>
        <v/>
      </c>
    </row>
    <row r="970" spans="1:58">
      <c r="A970" s="35"/>
      <c r="B970" s="35"/>
      <c r="C970" s="35"/>
      <c r="D970" s="35"/>
      <c r="E970" s="67"/>
      <c r="F970" s="67"/>
      <c r="G970" s="36"/>
      <c r="H970" s="29"/>
      <c r="I970" s="79" t="str">
        <f t="shared" si="26"/>
        <v/>
      </c>
      <c r="J970" s="29"/>
      <c r="K970" s="29"/>
      <c r="L970" s="33"/>
      <c r="M970" s="33"/>
      <c r="N970" s="60"/>
      <c r="O970" s="71"/>
      <c r="P970" s="71"/>
      <c r="Q970" s="33"/>
      <c r="R970" s="31"/>
      <c r="S970" s="31"/>
      <c r="T970" s="59"/>
      <c r="U970" s="59"/>
      <c r="V970" s="59"/>
      <c r="W970" s="57">
        <f t="shared" si="27"/>
        <v>0</v>
      </c>
      <c r="X970" s="126" t="str">
        <f>IF(Table1[[#This Row],[Shipping Weight Pounds]]&gt;150,"See LTL Form","No")</f>
        <v>No</v>
      </c>
      <c r="Y970" s="28"/>
      <c r="Z970" s="33"/>
      <c r="AA970" s="34"/>
      <c r="AB970" s="30"/>
      <c r="AC970" s="30"/>
      <c r="AD970" s="32"/>
      <c r="AE970" s="32"/>
      <c r="AF970" s="2"/>
      <c r="AG970" s="2"/>
      <c r="AH970" s="2"/>
      <c r="AI970" s="2"/>
      <c r="AK970" s="73" t="str">
        <f>IF(ISNA(MATCH($N970,[1]data!$A:$A,0)),"",INDEX([1]data!S:S,MATCH($N970,[1]data!$A:$A,0)))</f>
        <v/>
      </c>
      <c r="AL970" s="73" t="str">
        <f>IF(ISNA(MATCH($N970,[1]data!$A:$A,0)),"",INDEX([1]data!V:V,MATCH($N970,[1]data!$A:$A,0)))</f>
        <v/>
      </c>
      <c r="AM970" s="38" t="str">
        <f>IF(ISNA(MATCH($N970,data!$A:$A,0)),"",INDEX(data!B:B,MATCH($N970,data!$A:$A,0)))</f>
        <v/>
      </c>
      <c r="AN970" s="38" t="str">
        <f>IF(ISNA(MATCH($N970,data!$A:$A,0)),"",INDEX(data!C:C,MATCH($N970,data!$A:$A,0)))</f>
        <v/>
      </c>
      <c r="AO970" s="38" t="str">
        <f>IF(ISNA(MATCH($N970,data!$A:$A,0)),"",INDEX(data!D:D,MATCH($N970,data!$A:$A,0)))</f>
        <v/>
      </c>
      <c r="AP970" s="38" t="str">
        <f>IF(ISNA(MATCH($N970,data!$A:$A,0)),"",INDEX(data!E:E,MATCH($N970,data!$A:$A,0)))</f>
        <v/>
      </c>
      <c r="AQ970" s="38" t="str">
        <f>IF(ISNA(MATCH($N970,data!$A:$A,0)),"",INDEX(data!F:F,MATCH($N970,data!$A:$A,0)))</f>
        <v/>
      </c>
      <c r="AR970" s="38" t="str">
        <f>IF(ISNA(MATCH($N970,data!$A:$A,0)),"",INDEX(data!G:G,MATCH($N970,data!$A:$A,0)))</f>
        <v/>
      </c>
      <c r="AS970" s="38" t="str">
        <f>IF(ISNA(MATCH($N970,data!$A:$A,0)),"",INDEX(data!H:H,MATCH($N970,data!$A:$A,0)))</f>
        <v/>
      </c>
      <c r="AT970" s="38" t="str">
        <f>IF(ISNA(MATCH($N970,data!$A:$A,0)),"",INDEX(data!I:I,MATCH($N970,data!$A:$A,0)))</f>
        <v/>
      </c>
      <c r="AU970" s="38" t="str">
        <f>IF(ISNA(MATCH($N970,[1]data!$A:$A,0)),"",INDEX([1]data!L:L,MATCH($N970,[1]data!$A:$A,0)))</f>
        <v/>
      </c>
      <c r="AV970" s="38" t="str">
        <f>IF(ISNA(MATCH($N970,[1]data!$A:$A,0)),"",INDEX([1]data!M:M,MATCH($N970,[1]data!$A:$A,0)))</f>
        <v/>
      </c>
      <c r="AW970" s="38" t="str">
        <f>IF(ISNA(MATCH($N970,data!$A:$A,0)),"",INDEX(data!J:J,MATCH($N970,data!$A:$A,0)))</f>
        <v/>
      </c>
      <c r="AX970" s="38" t="str">
        <f>IF(ISNA(MATCH($N970,data!$A:$A,0)),"",INDEX(data!K:K,MATCH($N970,data!$A:$A,0)))</f>
        <v/>
      </c>
      <c r="AY970" s="38" t="str">
        <f>IF(ISNA(MATCH($N970,data!$A:$A,0)),"",INDEX(data!O:O,MATCH($N970,data!$A:$A,0)))</f>
        <v/>
      </c>
      <c r="AZ970" s="38" t="str">
        <f>IF(ISNA(MATCH($N970,data!$A:$A,0)),"",INDEX(data!N:N,MATCH($N970,data!$A:$A,0)))</f>
        <v/>
      </c>
      <c r="BA970" s="38" t="str">
        <f>IF(ISNA(MATCH($N970,data!$A:$A,0)),"",INDEX(data!P:P,MATCH($N970,data!$A:$A,0)))</f>
        <v/>
      </c>
      <c r="BB970" s="38" t="str">
        <f>IF(ISNA(MATCH($N970,data!$A:$A,0)),"",INDEX(data!Q:Q,MATCH($N970,data!$A:$A,0)))</f>
        <v/>
      </c>
      <c r="BC970" s="38" t="str">
        <f>IF(ISNA(MATCH($N970,data!$A:$A,0)),"",INDEX(data!R:R,MATCH($N970,data!$A:$A,0)))</f>
        <v/>
      </c>
      <c r="BD970" s="38" t="str">
        <f>IF(ISNA(MATCH($N970,[1]data!$A:$A,0)),"",INDEX([1]data!U:U,MATCH($N970,[1]data!$A:$A,0)))</f>
        <v/>
      </c>
      <c r="BE970" s="61" t="e">
        <f>IF(COUNTIF([1]data!A:A,[1]!Table1[[#This Row],[UPC]])&lt;2,"","DUP")</f>
        <v>#VALUE!</v>
      </c>
      <c r="BF970" s="38" t="str">
        <f>IF(ISNA(MATCH($N970,data!$A:$A,0)),"",INDEX(data!W:W,MATCH($N970,data!$A:$A,0)))</f>
        <v/>
      </c>
    </row>
    <row r="971" spans="1:58">
      <c r="A971" s="35"/>
      <c r="B971" s="35"/>
      <c r="C971" s="35"/>
      <c r="D971" s="35"/>
      <c r="E971" s="67"/>
      <c r="F971" s="67"/>
      <c r="G971" s="36"/>
      <c r="H971" s="29"/>
      <c r="I971" s="79" t="str">
        <f t="shared" si="26"/>
        <v/>
      </c>
      <c r="J971" s="29"/>
      <c r="K971" s="29"/>
      <c r="L971" s="33"/>
      <c r="M971" s="33"/>
      <c r="N971" s="60"/>
      <c r="O971" s="71"/>
      <c r="P971" s="71"/>
      <c r="Q971" s="33"/>
      <c r="R971" s="31"/>
      <c r="S971" s="31"/>
      <c r="T971" s="59"/>
      <c r="U971" s="59"/>
      <c r="V971" s="59"/>
      <c r="W971" s="57">
        <f t="shared" si="27"/>
        <v>0</v>
      </c>
      <c r="X971" s="126" t="str">
        <f>IF(Table1[[#This Row],[Shipping Weight Pounds]]&gt;150,"See LTL Form","No")</f>
        <v>No</v>
      </c>
      <c r="Y971" s="28"/>
      <c r="Z971" s="33"/>
      <c r="AA971" s="34"/>
      <c r="AB971" s="30"/>
      <c r="AC971" s="30"/>
      <c r="AD971" s="32"/>
      <c r="AE971" s="32"/>
      <c r="AF971" s="2"/>
      <c r="AG971" s="2"/>
      <c r="AH971" s="2"/>
      <c r="AI971" s="2"/>
      <c r="AK971" s="73" t="str">
        <f>IF(ISNA(MATCH($N971,[1]data!$A:$A,0)),"",INDEX([1]data!S:S,MATCH($N971,[1]data!$A:$A,0)))</f>
        <v/>
      </c>
      <c r="AL971" s="73" t="str">
        <f>IF(ISNA(MATCH($N971,[1]data!$A:$A,0)),"",INDEX([1]data!V:V,MATCH($N971,[1]data!$A:$A,0)))</f>
        <v/>
      </c>
      <c r="AM971" s="38" t="str">
        <f>IF(ISNA(MATCH($N971,data!$A:$A,0)),"",INDEX(data!B:B,MATCH($N971,data!$A:$A,0)))</f>
        <v/>
      </c>
      <c r="AN971" s="38" t="str">
        <f>IF(ISNA(MATCH($N971,data!$A:$A,0)),"",INDEX(data!C:C,MATCH($N971,data!$A:$A,0)))</f>
        <v/>
      </c>
      <c r="AO971" s="38" t="str">
        <f>IF(ISNA(MATCH($N971,data!$A:$A,0)),"",INDEX(data!D:D,MATCH($N971,data!$A:$A,0)))</f>
        <v/>
      </c>
      <c r="AP971" s="38" t="str">
        <f>IF(ISNA(MATCH($N971,data!$A:$A,0)),"",INDEX(data!E:E,MATCH($N971,data!$A:$A,0)))</f>
        <v/>
      </c>
      <c r="AQ971" s="38" t="str">
        <f>IF(ISNA(MATCH($N971,data!$A:$A,0)),"",INDEX(data!F:F,MATCH($N971,data!$A:$A,0)))</f>
        <v/>
      </c>
      <c r="AR971" s="38" t="str">
        <f>IF(ISNA(MATCH($N971,data!$A:$A,0)),"",INDEX(data!G:G,MATCH($N971,data!$A:$A,0)))</f>
        <v/>
      </c>
      <c r="AS971" s="38" t="str">
        <f>IF(ISNA(MATCH($N971,data!$A:$A,0)),"",INDEX(data!H:H,MATCH($N971,data!$A:$A,0)))</f>
        <v/>
      </c>
      <c r="AT971" s="38" t="str">
        <f>IF(ISNA(MATCH($N971,data!$A:$A,0)),"",INDEX(data!I:I,MATCH($N971,data!$A:$A,0)))</f>
        <v/>
      </c>
      <c r="AU971" s="38" t="str">
        <f>IF(ISNA(MATCH($N971,[1]data!$A:$A,0)),"",INDEX([1]data!L:L,MATCH($N971,[1]data!$A:$A,0)))</f>
        <v/>
      </c>
      <c r="AV971" s="38" t="str">
        <f>IF(ISNA(MATCH($N971,[1]data!$A:$A,0)),"",INDEX([1]data!M:M,MATCH($N971,[1]data!$A:$A,0)))</f>
        <v/>
      </c>
      <c r="AW971" s="38" t="str">
        <f>IF(ISNA(MATCH($N971,data!$A:$A,0)),"",INDEX(data!J:J,MATCH($N971,data!$A:$A,0)))</f>
        <v/>
      </c>
      <c r="AX971" s="38" t="str">
        <f>IF(ISNA(MATCH($N971,data!$A:$A,0)),"",INDEX(data!K:K,MATCH($N971,data!$A:$A,0)))</f>
        <v/>
      </c>
      <c r="AY971" s="38" t="str">
        <f>IF(ISNA(MATCH($N971,data!$A:$A,0)),"",INDEX(data!O:O,MATCH($N971,data!$A:$A,0)))</f>
        <v/>
      </c>
      <c r="AZ971" s="38" t="str">
        <f>IF(ISNA(MATCH($N971,data!$A:$A,0)),"",INDEX(data!N:N,MATCH($N971,data!$A:$A,0)))</f>
        <v/>
      </c>
      <c r="BA971" s="38" t="str">
        <f>IF(ISNA(MATCH($N971,data!$A:$A,0)),"",INDEX(data!P:P,MATCH($N971,data!$A:$A,0)))</f>
        <v/>
      </c>
      <c r="BB971" s="38" t="str">
        <f>IF(ISNA(MATCH($N971,data!$A:$A,0)),"",INDEX(data!Q:Q,MATCH($N971,data!$A:$A,0)))</f>
        <v/>
      </c>
      <c r="BC971" s="38" t="str">
        <f>IF(ISNA(MATCH($N971,data!$A:$A,0)),"",INDEX(data!R:R,MATCH($N971,data!$A:$A,0)))</f>
        <v/>
      </c>
      <c r="BD971" s="38" t="str">
        <f>IF(ISNA(MATCH($N971,[1]data!$A:$A,0)),"",INDEX([1]data!U:U,MATCH($N971,[1]data!$A:$A,0)))</f>
        <v/>
      </c>
      <c r="BE971" s="61" t="e">
        <f>IF(COUNTIF([1]data!A:A,[1]!Table1[[#This Row],[UPC]])&lt;2,"","DUP")</f>
        <v>#VALUE!</v>
      </c>
      <c r="BF971" s="38" t="str">
        <f>IF(ISNA(MATCH($N971,data!$A:$A,0)),"",INDEX(data!W:W,MATCH($N971,data!$A:$A,0)))</f>
        <v/>
      </c>
    </row>
    <row r="972" spans="1:58">
      <c r="A972" s="35"/>
      <c r="B972" s="35"/>
      <c r="C972" s="35"/>
      <c r="D972" s="35"/>
      <c r="E972" s="67"/>
      <c r="F972" s="67"/>
      <c r="G972" s="36"/>
      <c r="H972" s="29"/>
      <c r="I972" s="79" t="str">
        <f t="shared" si="26"/>
        <v/>
      </c>
      <c r="J972" s="29"/>
      <c r="K972" s="29"/>
      <c r="L972" s="33"/>
      <c r="M972" s="33"/>
      <c r="N972" s="60"/>
      <c r="O972" s="71"/>
      <c r="P972" s="71"/>
      <c r="Q972" s="33"/>
      <c r="R972" s="31"/>
      <c r="S972" s="31"/>
      <c r="T972" s="59"/>
      <c r="U972" s="59"/>
      <c r="V972" s="59"/>
      <c r="W972" s="57">
        <f t="shared" si="27"/>
        <v>0</v>
      </c>
      <c r="X972" s="126" t="str">
        <f>IF(Table1[[#This Row],[Shipping Weight Pounds]]&gt;150,"See LTL Form","No")</f>
        <v>No</v>
      </c>
      <c r="Y972" s="28"/>
      <c r="Z972" s="33"/>
      <c r="AA972" s="34"/>
      <c r="AB972" s="30"/>
      <c r="AC972" s="30"/>
      <c r="AD972" s="32"/>
      <c r="AE972" s="32"/>
      <c r="AF972" s="2"/>
      <c r="AG972" s="2"/>
      <c r="AH972" s="2"/>
      <c r="AI972" s="2"/>
      <c r="AK972" s="73" t="str">
        <f>IF(ISNA(MATCH($N972,[1]data!$A:$A,0)),"",INDEX([1]data!S:S,MATCH($N972,[1]data!$A:$A,0)))</f>
        <v/>
      </c>
      <c r="AL972" s="73" t="str">
        <f>IF(ISNA(MATCH($N972,[1]data!$A:$A,0)),"",INDEX([1]data!V:V,MATCH($N972,[1]data!$A:$A,0)))</f>
        <v/>
      </c>
      <c r="AM972" s="38" t="str">
        <f>IF(ISNA(MATCH($N972,data!$A:$A,0)),"",INDEX(data!B:B,MATCH($N972,data!$A:$A,0)))</f>
        <v/>
      </c>
      <c r="AN972" s="38" t="str">
        <f>IF(ISNA(MATCH($N972,data!$A:$A,0)),"",INDEX(data!C:C,MATCH($N972,data!$A:$A,0)))</f>
        <v/>
      </c>
      <c r="AO972" s="38" t="str">
        <f>IF(ISNA(MATCH($N972,data!$A:$A,0)),"",INDEX(data!D:D,MATCH($N972,data!$A:$A,0)))</f>
        <v/>
      </c>
      <c r="AP972" s="38" t="str">
        <f>IF(ISNA(MATCH($N972,data!$A:$A,0)),"",INDEX(data!E:E,MATCH($N972,data!$A:$A,0)))</f>
        <v/>
      </c>
      <c r="AQ972" s="38" t="str">
        <f>IF(ISNA(MATCH($N972,data!$A:$A,0)),"",INDEX(data!F:F,MATCH($N972,data!$A:$A,0)))</f>
        <v/>
      </c>
      <c r="AR972" s="38" t="str">
        <f>IF(ISNA(MATCH($N972,data!$A:$A,0)),"",INDEX(data!G:G,MATCH($N972,data!$A:$A,0)))</f>
        <v/>
      </c>
      <c r="AS972" s="38" t="str">
        <f>IF(ISNA(MATCH($N972,data!$A:$A,0)),"",INDEX(data!H:H,MATCH($N972,data!$A:$A,0)))</f>
        <v/>
      </c>
      <c r="AT972" s="38" t="str">
        <f>IF(ISNA(MATCH($N972,data!$A:$A,0)),"",INDEX(data!I:I,MATCH($N972,data!$A:$A,0)))</f>
        <v/>
      </c>
      <c r="AU972" s="38" t="str">
        <f>IF(ISNA(MATCH($N972,[1]data!$A:$A,0)),"",INDEX([1]data!L:L,MATCH($N972,[1]data!$A:$A,0)))</f>
        <v/>
      </c>
      <c r="AV972" s="38" t="str">
        <f>IF(ISNA(MATCH($N972,[1]data!$A:$A,0)),"",INDEX([1]data!M:M,MATCH($N972,[1]data!$A:$A,0)))</f>
        <v/>
      </c>
      <c r="AW972" s="38" t="str">
        <f>IF(ISNA(MATCH($N972,data!$A:$A,0)),"",INDEX(data!J:J,MATCH($N972,data!$A:$A,0)))</f>
        <v/>
      </c>
      <c r="AX972" s="38" t="str">
        <f>IF(ISNA(MATCH($N972,data!$A:$A,0)),"",INDEX(data!K:K,MATCH($N972,data!$A:$A,0)))</f>
        <v/>
      </c>
      <c r="AY972" s="38" t="str">
        <f>IF(ISNA(MATCH($N972,data!$A:$A,0)),"",INDEX(data!O:O,MATCH($N972,data!$A:$A,0)))</f>
        <v/>
      </c>
      <c r="AZ972" s="38" t="str">
        <f>IF(ISNA(MATCH($N972,data!$A:$A,0)),"",INDEX(data!N:N,MATCH($N972,data!$A:$A,0)))</f>
        <v/>
      </c>
      <c r="BA972" s="38" t="str">
        <f>IF(ISNA(MATCH($N972,data!$A:$A,0)),"",INDEX(data!P:P,MATCH($N972,data!$A:$A,0)))</f>
        <v/>
      </c>
      <c r="BB972" s="38" t="str">
        <f>IF(ISNA(MATCH($N972,data!$A:$A,0)),"",INDEX(data!Q:Q,MATCH($N972,data!$A:$A,0)))</f>
        <v/>
      </c>
      <c r="BC972" s="38" t="str">
        <f>IF(ISNA(MATCH($N972,data!$A:$A,0)),"",INDEX(data!R:R,MATCH($N972,data!$A:$A,0)))</f>
        <v/>
      </c>
      <c r="BD972" s="38" t="str">
        <f>IF(ISNA(MATCH($N972,[1]data!$A:$A,0)),"",INDEX([1]data!U:U,MATCH($N972,[1]data!$A:$A,0)))</f>
        <v/>
      </c>
      <c r="BE972" s="61" t="e">
        <f>IF(COUNTIF([1]data!A:A,[1]!Table1[[#This Row],[UPC]])&lt;2,"","DUP")</f>
        <v>#VALUE!</v>
      </c>
      <c r="BF972" s="38" t="str">
        <f>IF(ISNA(MATCH($N972,data!$A:$A,0)),"",INDEX(data!W:W,MATCH($N972,data!$A:$A,0)))</f>
        <v/>
      </c>
    </row>
    <row r="973" spans="1:58">
      <c r="A973" s="35"/>
      <c r="B973" s="35"/>
      <c r="C973" s="35"/>
      <c r="D973" s="35"/>
      <c r="E973" s="67"/>
      <c r="F973" s="67"/>
      <c r="G973" s="36"/>
      <c r="H973" s="29"/>
      <c r="I973" s="79" t="str">
        <f t="shared" si="26"/>
        <v/>
      </c>
      <c r="J973" s="29"/>
      <c r="K973" s="29"/>
      <c r="L973" s="33"/>
      <c r="M973" s="33"/>
      <c r="N973" s="60"/>
      <c r="O973" s="71"/>
      <c r="P973" s="71"/>
      <c r="Q973" s="33"/>
      <c r="R973" s="31"/>
      <c r="S973" s="31"/>
      <c r="T973" s="59"/>
      <c r="U973" s="59"/>
      <c r="V973" s="59"/>
      <c r="W973" s="57">
        <f t="shared" si="27"/>
        <v>0</v>
      </c>
      <c r="X973" s="126" t="str">
        <f>IF(Table1[[#This Row],[Shipping Weight Pounds]]&gt;150,"See LTL Form","No")</f>
        <v>No</v>
      </c>
      <c r="Y973" s="28"/>
      <c r="Z973" s="33"/>
      <c r="AA973" s="34"/>
      <c r="AB973" s="30"/>
      <c r="AC973" s="30"/>
      <c r="AD973" s="32"/>
      <c r="AE973" s="32"/>
      <c r="AF973" s="2"/>
      <c r="AG973" s="2"/>
      <c r="AH973" s="2"/>
      <c r="AI973" s="2"/>
      <c r="AK973" s="73" t="str">
        <f>IF(ISNA(MATCH($N973,[1]data!$A:$A,0)),"",INDEX([1]data!S:S,MATCH($N973,[1]data!$A:$A,0)))</f>
        <v/>
      </c>
      <c r="AL973" s="73" t="str">
        <f>IF(ISNA(MATCH($N973,[1]data!$A:$A,0)),"",INDEX([1]data!V:V,MATCH($N973,[1]data!$A:$A,0)))</f>
        <v/>
      </c>
      <c r="AM973" s="38" t="str">
        <f>IF(ISNA(MATCH($N973,data!$A:$A,0)),"",INDEX(data!B:B,MATCH($N973,data!$A:$A,0)))</f>
        <v/>
      </c>
      <c r="AN973" s="38" t="str">
        <f>IF(ISNA(MATCH($N973,data!$A:$A,0)),"",INDEX(data!C:C,MATCH($N973,data!$A:$A,0)))</f>
        <v/>
      </c>
      <c r="AO973" s="38" t="str">
        <f>IF(ISNA(MATCH($N973,data!$A:$A,0)),"",INDEX(data!D:D,MATCH($N973,data!$A:$A,0)))</f>
        <v/>
      </c>
      <c r="AP973" s="38" t="str">
        <f>IF(ISNA(MATCH($N973,data!$A:$A,0)),"",INDEX(data!E:E,MATCH($N973,data!$A:$A,0)))</f>
        <v/>
      </c>
      <c r="AQ973" s="38" t="str">
        <f>IF(ISNA(MATCH($N973,data!$A:$A,0)),"",INDEX(data!F:F,MATCH($N973,data!$A:$A,0)))</f>
        <v/>
      </c>
      <c r="AR973" s="38" t="str">
        <f>IF(ISNA(MATCH($N973,data!$A:$A,0)),"",INDEX(data!G:G,MATCH($N973,data!$A:$A,0)))</f>
        <v/>
      </c>
      <c r="AS973" s="38" t="str">
        <f>IF(ISNA(MATCH($N973,data!$A:$A,0)),"",INDEX(data!H:H,MATCH($N973,data!$A:$A,0)))</f>
        <v/>
      </c>
      <c r="AT973" s="38" t="str">
        <f>IF(ISNA(MATCH($N973,data!$A:$A,0)),"",INDEX(data!I:I,MATCH($N973,data!$A:$A,0)))</f>
        <v/>
      </c>
      <c r="AU973" s="38" t="str">
        <f>IF(ISNA(MATCH($N973,[1]data!$A:$A,0)),"",INDEX([1]data!L:L,MATCH($N973,[1]data!$A:$A,0)))</f>
        <v/>
      </c>
      <c r="AV973" s="38" t="str">
        <f>IF(ISNA(MATCH($N973,[1]data!$A:$A,0)),"",INDEX([1]data!M:M,MATCH($N973,[1]data!$A:$A,0)))</f>
        <v/>
      </c>
      <c r="AW973" s="38" t="str">
        <f>IF(ISNA(MATCH($N973,data!$A:$A,0)),"",INDEX(data!J:J,MATCH($N973,data!$A:$A,0)))</f>
        <v/>
      </c>
      <c r="AX973" s="38" t="str">
        <f>IF(ISNA(MATCH($N973,data!$A:$A,0)),"",INDEX(data!K:K,MATCH($N973,data!$A:$A,0)))</f>
        <v/>
      </c>
      <c r="AY973" s="38" t="str">
        <f>IF(ISNA(MATCH($N973,data!$A:$A,0)),"",INDEX(data!O:O,MATCH($N973,data!$A:$A,0)))</f>
        <v/>
      </c>
      <c r="AZ973" s="38" t="str">
        <f>IF(ISNA(MATCH($N973,data!$A:$A,0)),"",INDEX(data!N:N,MATCH($N973,data!$A:$A,0)))</f>
        <v/>
      </c>
      <c r="BA973" s="38" t="str">
        <f>IF(ISNA(MATCH($N973,data!$A:$A,0)),"",INDEX(data!P:P,MATCH($N973,data!$A:$A,0)))</f>
        <v/>
      </c>
      <c r="BB973" s="38" t="str">
        <f>IF(ISNA(MATCH($N973,data!$A:$A,0)),"",INDEX(data!Q:Q,MATCH($N973,data!$A:$A,0)))</f>
        <v/>
      </c>
      <c r="BC973" s="38" t="str">
        <f>IF(ISNA(MATCH($N973,data!$A:$A,0)),"",INDEX(data!R:R,MATCH($N973,data!$A:$A,0)))</f>
        <v/>
      </c>
      <c r="BD973" s="38" t="str">
        <f>IF(ISNA(MATCH($N973,[1]data!$A:$A,0)),"",INDEX([1]data!U:U,MATCH($N973,[1]data!$A:$A,0)))</f>
        <v/>
      </c>
      <c r="BE973" s="61" t="e">
        <f>IF(COUNTIF([1]data!A:A,[1]!Table1[[#This Row],[UPC]])&lt;2,"","DUP")</f>
        <v>#VALUE!</v>
      </c>
      <c r="BF973" s="38" t="str">
        <f>IF(ISNA(MATCH($N973,data!$A:$A,0)),"",INDEX(data!W:W,MATCH($N973,data!$A:$A,0)))</f>
        <v/>
      </c>
    </row>
    <row r="974" spans="1:58">
      <c r="A974" s="35"/>
      <c r="B974" s="35"/>
      <c r="C974" s="35"/>
      <c r="D974" s="35"/>
      <c r="E974" s="67"/>
      <c r="F974" s="67"/>
      <c r="G974" s="36"/>
      <c r="H974" s="29"/>
      <c r="I974" s="79" t="str">
        <f t="shared" si="26"/>
        <v/>
      </c>
      <c r="J974" s="29"/>
      <c r="K974" s="29"/>
      <c r="L974" s="33"/>
      <c r="M974" s="33"/>
      <c r="N974" s="60"/>
      <c r="O974" s="71"/>
      <c r="P974" s="71"/>
      <c r="Q974" s="33"/>
      <c r="R974" s="31"/>
      <c r="S974" s="31"/>
      <c r="T974" s="59"/>
      <c r="U974" s="59"/>
      <c r="V974" s="59"/>
      <c r="W974" s="57">
        <f t="shared" si="27"/>
        <v>0</v>
      </c>
      <c r="X974" s="126" t="str">
        <f>IF(Table1[[#This Row],[Shipping Weight Pounds]]&gt;150,"See LTL Form","No")</f>
        <v>No</v>
      </c>
      <c r="Y974" s="28"/>
      <c r="Z974" s="33"/>
      <c r="AA974" s="34"/>
      <c r="AB974" s="30"/>
      <c r="AC974" s="30"/>
      <c r="AD974" s="32"/>
      <c r="AE974" s="32"/>
      <c r="AF974" s="2"/>
      <c r="AG974" s="2"/>
      <c r="AH974" s="2"/>
      <c r="AI974" s="2"/>
      <c r="AK974" s="73" t="str">
        <f>IF(ISNA(MATCH($N974,[1]data!$A:$A,0)),"",INDEX([1]data!S:S,MATCH($N974,[1]data!$A:$A,0)))</f>
        <v/>
      </c>
      <c r="AL974" s="73" t="str">
        <f>IF(ISNA(MATCH($N974,[1]data!$A:$A,0)),"",INDEX([1]data!V:V,MATCH($N974,[1]data!$A:$A,0)))</f>
        <v/>
      </c>
      <c r="AM974" s="38" t="str">
        <f>IF(ISNA(MATCH($N974,data!$A:$A,0)),"",INDEX(data!B:B,MATCH($N974,data!$A:$A,0)))</f>
        <v/>
      </c>
      <c r="AN974" s="38" t="str">
        <f>IF(ISNA(MATCH($N974,data!$A:$A,0)),"",INDEX(data!C:C,MATCH($N974,data!$A:$A,0)))</f>
        <v/>
      </c>
      <c r="AO974" s="38" t="str">
        <f>IF(ISNA(MATCH($N974,data!$A:$A,0)),"",INDEX(data!D:D,MATCH($N974,data!$A:$A,0)))</f>
        <v/>
      </c>
      <c r="AP974" s="38" t="str">
        <f>IF(ISNA(MATCH($N974,data!$A:$A,0)),"",INDEX(data!E:E,MATCH($N974,data!$A:$A,0)))</f>
        <v/>
      </c>
      <c r="AQ974" s="38" t="str">
        <f>IF(ISNA(MATCH($N974,data!$A:$A,0)),"",INDEX(data!F:F,MATCH($N974,data!$A:$A,0)))</f>
        <v/>
      </c>
      <c r="AR974" s="38" t="str">
        <f>IF(ISNA(MATCH($N974,data!$A:$A,0)),"",INDEX(data!G:G,MATCH($N974,data!$A:$A,0)))</f>
        <v/>
      </c>
      <c r="AS974" s="38" t="str">
        <f>IF(ISNA(MATCH($N974,data!$A:$A,0)),"",INDEX(data!H:H,MATCH($N974,data!$A:$A,0)))</f>
        <v/>
      </c>
      <c r="AT974" s="38" t="str">
        <f>IF(ISNA(MATCH($N974,data!$A:$A,0)),"",INDEX(data!I:I,MATCH($N974,data!$A:$A,0)))</f>
        <v/>
      </c>
      <c r="AU974" s="38" t="str">
        <f>IF(ISNA(MATCH($N974,[1]data!$A:$A,0)),"",INDEX([1]data!L:L,MATCH($N974,[1]data!$A:$A,0)))</f>
        <v/>
      </c>
      <c r="AV974" s="38" t="str">
        <f>IF(ISNA(MATCH($N974,[1]data!$A:$A,0)),"",INDEX([1]data!M:M,MATCH($N974,[1]data!$A:$A,0)))</f>
        <v/>
      </c>
      <c r="AW974" s="38" t="str">
        <f>IF(ISNA(MATCH($N974,data!$A:$A,0)),"",INDEX(data!J:J,MATCH($N974,data!$A:$A,0)))</f>
        <v/>
      </c>
      <c r="AX974" s="38" t="str">
        <f>IF(ISNA(MATCH($N974,data!$A:$A,0)),"",INDEX(data!K:K,MATCH($N974,data!$A:$A,0)))</f>
        <v/>
      </c>
      <c r="AY974" s="38" t="str">
        <f>IF(ISNA(MATCH($N974,data!$A:$A,0)),"",INDEX(data!O:O,MATCH($N974,data!$A:$A,0)))</f>
        <v/>
      </c>
      <c r="AZ974" s="38" t="str">
        <f>IF(ISNA(MATCH($N974,data!$A:$A,0)),"",INDEX(data!N:N,MATCH($N974,data!$A:$A,0)))</f>
        <v/>
      </c>
      <c r="BA974" s="38" t="str">
        <f>IF(ISNA(MATCH($N974,data!$A:$A,0)),"",INDEX(data!P:P,MATCH($N974,data!$A:$A,0)))</f>
        <v/>
      </c>
      <c r="BB974" s="38" t="str">
        <f>IF(ISNA(MATCH($N974,data!$A:$A,0)),"",INDEX(data!Q:Q,MATCH($N974,data!$A:$A,0)))</f>
        <v/>
      </c>
      <c r="BC974" s="38" t="str">
        <f>IF(ISNA(MATCH($N974,data!$A:$A,0)),"",INDEX(data!R:R,MATCH($N974,data!$A:$A,0)))</f>
        <v/>
      </c>
      <c r="BD974" s="38" t="str">
        <f>IF(ISNA(MATCH($N974,[1]data!$A:$A,0)),"",INDEX([1]data!U:U,MATCH($N974,[1]data!$A:$A,0)))</f>
        <v/>
      </c>
      <c r="BE974" s="61" t="e">
        <f>IF(COUNTIF([1]data!A:A,[1]!Table1[[#This Row],[UPC]])&lt;2,"","DUP")</f>
        <v>#VALUE!</v>
      </c>
      <c r="BF974" s="38" t="str">
        <f>IF(ISNA(MATCH($N974,data!$A:$A,0)),"",INDEX(data!W:W,MATCH($N974,data!$A:$A,0)))</f>
        <v/>
      </c>
    </row>
    <row r="975" spans="1:58">
      <c r="A975" s="35"/>
      <c r="B975" s="35"/>
      <c r="C975" s="35"/>
      <c r="D975" s="35"/>
      <c r="E975" s="67"/>
      <c r="F975" s="67"/>
      <c r="G975" s="36"/>
      <c r="H975" s="29"/>
      <c r="I975" s="79" t="str">
        <f t="shared" si="26"/>
        <v/>
      </c>
      <c r="J975" s="29"/>
      <c r="K975" s="29"/>
      <c r="L975" s="33"/>
      <c r="M975" s="33"/>
      <c r="N975" s="60"/>
      <c r="O975" s="71"/>
      <c r="P975" s="71"/>
      <c r="Q975" s="33"/>
      <c r="R975" s="31"/>
      <c r="S975" s="31"/>
      <c r="T975" s="59"/>
      <c r="U975" s="59"/>
      <c r="V975" s="59"/>
      <c r="W975" s="57">
        <f t="shared" si="27"/>
        <v>0</v>
      </c>
      <c r="X975" s="126" t="str">
        <f>IF(Table1[[#This Row],[Shipping Weight Pounds]]&gt;150,"See LTL Form","No")</f>
        <v>No</v>
      </c>
      <c r="Y975" s="28"/>
      <c r="Z975" s="33"/>
      <c r="AA975" s="34"/>
      <c r="AB975" s="30"/>
      <c r="AC975" s="30"/>
      <c r="AD975" s="32"/>
      <c r="AE975" s="32"/>
      <c r="AF975" s="2"/>
      <c r="AG975" s="2"/>
      <c r="AH975" s="2"/>
      <c r="AI975" s="2"/>
      <c r="AK975" s="73" t="str">
        <f>IF(ISNA(MATCH($N975,[1]data!$A:$A,0)),"",INDEX([1]data!S:S,MATCH($N975,[1]data!$A:$A,0)))</f>
        <v/>
      </c>
      <c r="AL975" s="73" t="str">
        <f>IF(ISNA(MATCH($N975,[1]data!$A:$A,0)),"",INDEX([1]data!V:V,MATCH($N975,[1]data!$A:$A,0)))</f>
        <v/>
      </c>
      <c r="AM975" s="38" t="str">
        <f>IF(ISNA(MATCH($N975,data!$A:$A,0)),"",INDEX(data!B:B,MATCH($N975,data!$A:$A,0)))</f>
        <v/>
      </c>
      <c r="AN975" s="38" t="str">
        <f>IF(ISNA(MATCH($N975,data!$A:$A,0)),"",INDEX(data!C:C,MATCH($N975,data!$A:$A,0)))</f>
        <v/>
      </c>
      <c r="AO975" s="38" t="str">
        <f>IF(ISNA(MATCH($N975,data!$A:$A,0)),"",INDEX(data!D:D,MATCH($N975,data!$A:$A,0)))</f>
        <v/>
      </c>
      <c r="AP975" s="38" t="str">
        <f>IF(ISNA(MATCH($N975,data!$A:$A,0)),"",INDEX(data!E:E,MATCH($N975,data!$A:$A,0)))</f>
        <v/>
      </c>
      <c r="AQ975" s="38" t="str">
        <f>IF(ISNA(MATCH($N975,data!$A:$A,0)),"",INDEX(data!F:F,MATCH($N975,data!$A:$A,0)))</f>
        <v/>
      </c>
      <c r="AR975" s="38" t="str">
        <f>IF(ISNA(MATCH($N975,data!$A:$A,0)),"",INDEX(data!G:G,MATCH($N975,data!$A:$A,0)))</f>
        <v/>
      </c>
      <c r="AS975" s="38" t="str">
        <f>IF(ISNA(MATCH($N975,data!$A:$A,0)),"",INDEX(data!H:H,MATCH($N975,data!$A:$A,0)))</f>
        <v/>
      </c>
      <c r="AT975" s="38" t="str">
        <f>IF(ISNA(MATCH($N975,data!$A:$A,0)),"",INDEX(data!I:I,MATCH($N975,data!$A:$A,0)))</f>
        <v/>
      </c>
      <c r="AU975" s="38" t="str">
        <f>IF(ISNA(MATCH($N975,[1]data!$A:$A,0)),"",INDEX([1]data!L:L,MATCH($N975,[1]data!$A:$A,0)))</f>
        <v/>
      </c>
      <c r="AV975" s="38" t="str">
        <f>IF(ISNA(MATCH($N975,[1]data!$A:$A,0)),"",INDEX([1]data!M:M,MATCH($N975,[1]data!$A:$A,0)))</f>
        <v/>
      </c>
      <c r="AW975" s="38" t="str">
        <f>IF(ISNA(MATCH($N975,data!$A:$A,0)),"",INDEX(data!J:J,MATCH($N975,data!$A:$A,0)))</f>
        <v/>
      </c>
      <c r="AX975" s="38" t="str">
        <f>IF(ISNA(MATCH($N975,data!$A:$A,0)),"",INDEX(data!K:K,MATCH($N975,data!$A:$A,0)))</f>
        <v/>
      </c>
      <c r="AY975" s="38" t="str">
        <f>IF(ISNA(MATCH($N975,data!$A:$A,0)),"",INDEX(data!O:O,MATCH($N975,data!$A:$A,0)))</f>
        <v/>
      </c>
      <c r="AZ975" s="38" t="str">
        <f>IF(ISNA(MATCH($N975,data!$A:$A,0)),"",INDEX(data!N:N,MATCH($N975,data!$A:$A,0)))</f>
        <v/>
      </c>
      <c r="BA975" s="38" t="str">
        <f>IF(ISNA(MATCH($N975,data!$A:$A,0)),"",INDEX(data!P:P,MATCH($N975,data!$A:$A,0)))</f>
        <v/>
      </c>
      <c r="BB975" s="38" t="str">
        <f>IF(ISNA(MATCH($N975,data!$A:$A,0)),"",INDEX(data!Q:Q,MATCH($N975,data!$A:$A,0)))</f>
        <v/>
      </c>
      <c r="BC975" s="38" t="str">
        <f>IF(ISNA(MATCH($N975,data!$A:$A,0)),"",INDEX(data!R:R,MATCH($N975,data!$A:$A,0)))</f>
        <v/>
      </c>
      <c r="BD975" s="38" t="str">
        <f>IF(ISNA(MATCH($N975,[1]data!$A:$A,0)),"",INDEX([1]data!U:U,MATCH($N975,[1]data!$A:$A,0)))</f>
        <v/>
      </c>
      <c r="BE975" s="61" t="e">
        <f>IF(COUNTIF([1]data!A:A,[1]!Table1[[#This Row],[UPC]])&lt;2,"","DUP")</f>
        <v>#VALUE!</v>
      </c>
      <c r="BF975" s="38" t="str">
        <f>IF(ISNA(MATCH($N975,data!$A:$A,0)),"",INDEX(data!W:W,MATCH($N975,data!$A:$A,0)))</f>
        <v/>
      </c>
    </row>
    <row r="976" spans="1:58">
      <c r="A976" s="35"/>
      <c r="B976" s="35"/>
      <c r="C976" s="35"/>
      <c r="D976" s="35"/>
      <c r="E976" s="67"/>
      <c r="F976" s="67"/>
      <c r="G976" s="36"/>
      <c r="H976" s="29"/>
      <c r="I976" s="79" t="str">
        <f t="shared" si="26"/>
        <v/>
      </c>
      <c r="J976" s="29"/>
      <c r="K976" s="29"/>
      <c r="L976" s="33"/>
      <c r="M976" s="33"/>
      <c r="N976" s="60"/>
      <c r="O976" s="71"/>
      <c r="P976" s="71"/>
      <c r="Q976" s="33"/>
      <c r="R976" s="31"/>
      <c r="S976" s="31"/>
      <c r="T976" s="59"/>
      <c r="U976" s="59"/>
      <c r="V976" s="59"/>
      <c r="W976" s="57">
        <f t="shared" si="27"/>
        <v>0</v>
      </c>
      <c r="X976" s="126" t="str">
        <f>IF(Table1[[#This Row],[Shipping Weight Pounds]]&gt;150,"See LTL Form","No")</f>
        <v>No</v>
      </c>
      <c r="Y976" s="28"/>
      <c r="Z976" s="33"/>
      <c r="AA976" s="34"/>
      <c r="AB976" s="30"/>
      <c r="AC976" s="30"/>
      <c r="AD976" s="32"/>
      <c r="AE976" s="32"/>
      <c r="AF976" s="2"/>
      <c r="AG976" s="2"/>
      <c r="AH976" s="2"/>
      <c r="AI976" s="2"/>
      <c r="AK976" s="73" t="str">
        <f>IF(ISNA(MATCH($N976,[1]data!$A:$A,0)),"",INDEX([1]data!S:S,MATCH($N976,[1]data!$A:$A,0)))</f>
        <v/>
      </c>
      <c r="AL976" s="73" t="str">
        <f>IF(ISNA(MATCH($N976,[1]data!$A:$A,0)),"",INDEX([1]data!V:V,MATCH($N976,[1]data!$A:$A,0)))</f>
        <v/>
      </c>
      <c r="AM976" s="38" t="str">
        <f>IF(ISNA(MATCH($N976,data!$A:$A,0)),"",INDEX(data!B:B,MATCH($N976,data!$A:$A,0)))</f>
        <v/>
      </c>
      <c r="AN976" s="38" t="str">
        <f>IF(ISNA(MATCH($N976,data!$A:$A,0)),"",INDEX(data!C:C,MATCH($N976,data!$A:$A,0)))</f>
        <v/>
      </c>
      <c r="AO976" s="38" t="str">
        <f>IF(ISNA(MATCH($N976,data!$A:$A,0)),"",INDEX(data!D:D,MATCH($N976,data!$A:$A,0)))</f>
        <v/>
      </c>
      <c r="AP976" s="38" t="str">
        <f>IF(ISNA(MATCH($N976,data!$A:$A,0)),"",INDEX(data!E:E,MATCH($N976,data!$A:$A,0)))</f>
        <v/>
      </c>
      <c r="AQ976" s="38" t="str">
        <f>IF(ISNA(MATCH($N976,data!$A:$A,0)),"",INDEX(data!F:F,MATCH($N976,data!$A:$A,0)))</f>
        <v/>
      </c>
      <c r="AR976" s="38" t="str">
        <f>IF(ISNA(MATCH($N976,data!$A:$A,0)),"",INDEX(data!G:G,MATCH($N976,data!$A:$A,0)))</f>
        <v/>
      </c>
      <c r="AS976" s="38" t="str">
        <f>IF(ISNA(MATCH($N976,data!$A:$A,0)),"",INDEX(data!H:H,MATCH($N976,data!$A:$A,0)))</f>
        <v/>
      </c>
      <c r="AT976" s="38" t="str">
        <f>IF(ISNA(MATCH($N976,data!$A:$A,0)),"",INDEX(data!I:I,MATCH($N976,data!$A:$A,0)))</f>
        <v/>
      </c>
      <c r="AU976" s="38" t="str">
        <f>IF(ISNA(MATCH($N976,[1]data!$A:$A,0)),"",INDEX([1]data!L:L,MATCH($N976,[1]data!$A:$A,0)))</f>
        <v/>
      </c>
      <c r="AV976" s="38" t="str">
        <f>IF(ISNA(MATCH($N976,[1]data!$A:$A,0)),"",INDEX([1]data!M:M,MATCH($N976,[1]data!$A:$A,0)))</f>
        <v/>
      </c>
      <c r="AW976" s="38" t="str">
        <f>IF(ISNA(MATCH($N976,data!$A:$A,0)),"",INDEX(data!J:J,MATCH($N976,data!$A:$A,0)))</f>
        <v/>
      </c>
      <c r="AX976" s="38" t="str">
        <f>IF(ISNA(MATCH($N976,data!$A:$A,0)),"",INDEX(data!K:K,MATCH($N976,data!$A:$A,0)))</f>
        <v/>
      </c>
      <c r="AY976" s="38" t="str">
        <f>IF(ISNA(MATCH($N976,data!$A:$A,0)),"",INDEX(data!O:O,MATCH($N976,data!$A:$A,0)))</f>
        <v/>
      </c>
      <c r="AZ976" s="38" t="str">
        <f>IF(ISNA(MATCH($N976,data!$A:$A,0)),"",INDEX(data!N:N,MATCH($N976,data!$A:$A,0)))</f>
        <v/>
      </c>
      <c r="BA976" s="38" t="str">
        <f>IF(ISNA(MATCH($N976,data!$A:$A,0)),"",INDEX(data!P:P,MATCH($N976,data!$A:$A,0)))</f>
        <v/>
      </c>
      <c r="BB976" s="38" t="str">
        <f>IF(ISNA(MATCH($N976,data!$A:$A,0)),"",INDEX(data!Q:Q,MATCH($N976,data!$A:$A,0)))</f>
        <v/>
      </c>
      <c r="BC976" s="38" t="str">
        <f>IF(ISNA(MATCH($N976,data!$A:$A,0)),"",INDEX(data!R:R,MATCH($N976,data!$A:$A,0)))</f>
        <v/>
      </c>
      <c r="BD976" s="38" t="str">
        <f>IF(ISNA(MATCH($N976,[1]data!$A:$A,0)),"",INDEX([1]data!U:U,MATCH($N976,[1]data!$A:$A,0)))</f>
        <v/>
      </c>
      <c r="BE976" s="61" t="e">
        <f>IF(COUNTIF([1]data!A:A,[1]!Table1[[#This Row],[UPC]])&lt;2,"","DUP")</f>
        <v>#VALUE!</v>
      </c>
      <c r="BF976" s="38" t="str">
        <f>IF(ISNA(MATCH($N976,data!$A:$A,0)),"",INDEX(data!W:W,MATCH($N976,data!$A:$A,0)))</f>
        <v/>
      </c>
    </row>
    <row r="977" spans="1:58">
      <c r="A977" s="46"/>
      <c r="B977" s="56"/>
      <c r="C977" s="56"/>
      <c r="D977" s="47"/>
      <c r="E977" s="68"/>
      <c r="F977" s="68"/>
      <c r="G977" s="48"/>
      <c r="H977" s="48"/>
      <c r="I977" s="80" t="str">
        <f t="shared" si="26"/>
        <v/>
      </c>
      <c r="J977" s="48"/>
      <c r="K977" s="29"/>
      <c r="L977" s="47"/>
      <c r="M977" s="47"/>
      <c r="N977" s="60"/>
      <c r="O977" s="49"/>
      <c r="P977" s="49"/>
      <c r="Q977" s="47"/>
      <c r="R977" s="47"/>
      <c r="S977" s="47"/>
      <c r="T977" s="49"/>
      <c r="U977" s="49"/>
      <c r="V977" s="49"/>
      <c r="W977" s="57">
        <f t="shared" si="27"/>
        <v>0</v>
      </c>
      <c r="X977" s="126" t="str">
        <f>IF(Table1[[#This Row],[Shipping Weight Pounds]]&gt;150,"See LTL Form","No")</f>
        <v>No</v>
      </c>
      <c r="Y977" s="28"/>
      <c r="Z977" s="47"/>
      <c r="AA977" s="47"/>
      <c r="AB977" s="47"/>
      <c r="AC977" s="47"/>
      <c r="AD977" s="47"/>
      <c r="AE977" s="47"/>
      <c r="AF977" s="50"/>
      <c r="AG977" s="2"/>
      <c r="AH977" s="50"/>
      <c r="AI977" s="2"/>
      <c r="AK977" s="74" t="str">
        <f>IF(ISNA(MATCH($N977,[1]data!$A:$A,0)),"",INDEX([1]data!S:S,MATCH($N977,[1]data!$A:$A,0)))</f>
        <v/>
      </c>
      <c r="AL977" s="74" t="str">
        <f>IF(ISNA(MATCH($N977,[1]data!$A:$A,0)),"",INDEX([1]data!V:V,MATCH($N977,[1]data!$A:$A,0)))</f>
        <v/>
      </c>
      <c r="AM977" s="38" t="str">
        <f>IF(ISNA(MATCH($N977,data!$A:$A,0)),"",INDEX(data!B:B,MATCH($N977,data!$A:$A,0)))</f>
        <v/>
      </c>
      <c r="AN977" s="38" t="str">
        <f>IF(ISNA(MATCH($N977,data!$A:$A,0)),"",INDEX(data!C:C,MATCH($N977,data!$A:$A,0)))</f>
        <v/>
      </c>
      <c r="AO977" s="38" t="str">
        <f>IF(ISNA(MATCH($N977,data!$A:$A,0)),"",INDEX(data!D:D,MATCH($N977,data!$A:$A,0)))</f>
        <v/>
      </c>
      <c r="AP977" s="38" t="str">
        <f>IF(ISNA(MATCH($N977,data!$A:$A,0)),"",INDEX(data!E:E,MATCH($N977,data!$A:$A,0)))</f>
        <v/>
      </c>
      <c r="AQ977" s="38" t="str">
        <f>IF(ISNA(MATCH($N977,data!$A:$A,0)),"",INDEX(data!F:F,MATCH($N977,data!$A:$A,0)))</f>
        <v/>
      </c>
      <c r="AR977" s="38" t="str">
        <f>IF(ISNA(MATCH($N977,data!$A:$A,0)),"",INDEX(data!G:G,MATCH($N977,data!$A:$A,0)))</f>
        <v/>
      </c>
      <c r="AS977" s="38" t="str">
        <f>IF(ISNA(MATCH($N977,data!$A:$A,0)),"",INDEX(data!H:H,MATCH($N977,data!$A:$A,0)))</f>
        <v/>
      </c>
      <c r="AT977" s="38" t="str">
        <f>IF(ISNA(MATCH($N977,data!$A:$A,0)),"",INDEX(data!I:I,MATCH($N977,data!$A:$A,0)))</f>
        <v/>
      </c>
      <c r="AU977" s="38" t="str">
        <f>IF(ISNA(MATCH($N977,[1]data!$A:$A,0)),"",INDEX([1]data!L:L,MATCH($N977,[1]data!$A:$A,0)))</f>
        <v/>
      </c>
      <c r="AV977" s="38" t="str">
        <f>IF(ISNA(MATCH($N977,[1]data!$A:$A,0)),"",INDEX([1]data!M:M,MATCH($N977,[1]data!$A:$A,0)))</f>
        <v/>
      </c>
      <c r="AW977" s="38" t="str">
        <f>IF(ISNA(MATCH($N977,data!$A:$A,0)),"",INDEX(data!J:J,MATCH($N977,data!$A:$A,0)))</f>
        <v/>
      </c>
      <c r="AX977" s="38" t="str">
        <f>IF(ISNA(MATCH($N977,data!$A:$A,0)),"",INDEX(data!K:K,MATCH($N977,data!$A:$A,0)))</f>
        <v/>
      </c>
      <c r="AY977" s="38" t="str">
        <f>IF(ISNA(MATCH($N977,data!$A:$A,0)),"",INDEX(data!O:O,MATCH($N977,data!$A:$A,0)))</f>
        <v/>
      </c>
      <c r="AZ977" s="38" t="str">
        <f>IF(ISNA(MATCH($N977,data!$A:$A,0)),"",INDEX(data!N:N,MATCH($N977,data!$A:$A,0)))</f>
        <v/>
      </c>
      <c r="BA977" s="38" t="str">
        <f>IF(ISNA(MATCH($N977,data!$A:$A,0)),"",INDEX(data!P:P,MATCH($N977,data!$A:$A,0)))</f>
        <v/>
      </c>
      <c r="BB977" s="38" t="str">
        <f>IF(ISNA(MATCH($N977,data!$A:$A,0)),"",INDEX(data!Q:Q,MATCH($N977,data!$A:$A,0)))</f>
        <v/>
      </c>
      <c r="BC977" s="38" t="str">
        <f>IF(ISNA(MATCH($N977,data!$A:$A,0)),"",INDEX(data!R:R,MATCH($N977,data!$A:$A,0)))</f>
        <v/>
      </c>
      <c r="BD977" s="38" t="str">
        <f>IF(ISNA(MATCH($N977,[1]data!$A:$A,0)),"",INDEX([1]data!U:U,MATCH($N977,[1]data!$A:$A,0)))</f>
        <v/>
      </c>
      <c r="BE977" s="62" t="e">
        <f>IF(COUNTIF([1]data!A:A,[1]!Table1[[#This Row],[UPC]])&lt;2,"","DUP")</f>
        <v>#VALUE!</v>
      </c>
      <c r="BF977" s="38" t="str">
        <f>IF(ISNA(MATCH($N977,data!$A:$A,0)),"",INDEX(data!W:W,MATCH($N977,data!$A:$A,0)))</f>
        <v/>
      </c>
    </row>
    <row r="978" spans="1:58" ht="12.75" customHeight="1">
      <c r="A978" s="147" t="s">
        <v>191</v>
      </c>
      <c r="B978" s="147"/>
      <c r="C978" s="147"/>
      <c r="D978" s="147"/>
      <c r="E978" s="147"/>
      <c r="F978" s="147"/>
      <c r="G978" s="147"/>
      <c r="H978" s="147"/>
      <c r="I978" s="147" t="s">
        <v>191</v>
      </c>
      <c r="J978" s="147"/>
      <c r="K978" s="147"/>
      <c r="L978" s="147"/>
      <c r="M978" s="147"/>
      <c r="N978" s="147"/>
      <c r="O978" s="147"/>
      <c r="P978" s="147"/>
      <c r="Q978" s="147"/>
      <c r="R978" s="147" t="s">
        <v>188</v>
      </c>
      <c r="S978" s="147"/>
      <c r="T978" s="147"/>
      <c r="U978" s="147"/>
      <c r="V978" s="147"/>
      <c r="W978" s="147"/>
      <c r="X978" s="147"/>
      <c r="Y978" s="147"/>
      <c r="Z978" s="147"/>
      <c r="AA978" s="147" t="s">
        <v>188</v>
      </c>
      <c r="AB978" s="147"/>
      <c r="AC978" s="147"/>
      <c r="AD978" s="147"/>
      <c r="AE978" s="147"/>
      <c r="AF978" s="147"/>
      <c r="AG978" s="147"/>
      <c r="AH978" s="147"/>
      <c r="AI978" s="147"/>
    </row>
    <row r="979" spans="1:58" ht="12.75" customHeight="1">
      <c r="A979" s="147"/>
      <c r="B979" s="147"/>
      <c r="C979" s="147"/>
      <c r="D979" s="147"/>
      <c r="E979" s="147"/>
      <c r="F979" s="147"/>
      <c r="G979" s="147"/>
      <c r="H979" s="147"/>
      <c r="I979" s="147"/>
      <c r="J979" s="147"/>
      <c r="K979" s="147"/>
      <c r="L979" s="147"/>
      <c r="M979" s="147"/>
      <c r="N979" s="147"/>
      <c r="O979" s="147"/>
      <c r="P979" s="147"/>
      <c r="Q979" s="147"/>
      <c r="R979" s="147"/>
      <c r="S979" s="147"/>
      <c r="T979" s="147"/>
      <c r="U979" s="147"/>
      <c r="V979" s="147"/>
      <c r="W979" s="147"/>
      <c r="X979" s="147"/>
      <c r="Y979" s="147"/>
      <c r="Z979" s="147"/>
      <c r="AA979" s="147"/>
      <c r="AB979" s="147"/>
      <c r="AC979" s="147"/>
      <c r="AD979" s="147"/>
      <c r="AE979" s="147"/>
      <c r="AF979" s="147"/>
      <c r="AG979" s="147"/>
      <c r="AH979" s="147"/>
      <c r="AI979" s="147"/>
    </row>
    <row r="980" spans="1:58" ht="12.75" customHeight="1">
      <c r="A980" s="147"/>
      <c r="B980" s="147"/>
      <c r="C980" s="147"/>
      <c r="D980" s="147"/>
      <c r="E980" s="147"/>
      <c r="F980" s="147"/>
      <c r="G980" s="147"/>
      <c r="H980" s="147"/>
      <c r="I980" s="147"/>
      <c r="J980" s="147"/>
      <c r="K980" s="147"/>
      <c r="L980" s="147"/>
      <c r="M980" s="147"/>
      <c r="N980" s="147"/>
      <c r="O980" s="147"/>
      <c r="P980" s="147"/>
      <c r="Q980" s="147"/>
      <c r="R980" s="147"/>
      <c r="S980" s="147"/>
      <c r="T980" s="147"/>
      <c r="U980" s="147"/>
      <c r="V980" s="147"/>
      <c r="W980" s="147"/>
      <c r="X980" s="147"/>
      <c r="Y980" s="147"/>
      <c r="Z980" s="147"/>
      <c r="AA980" s="147"/>
      <c r="AB980" s="147"/>
      <c r="AC980" s="147"/>
      <c r="AD980" s="147"/>
      <c r="AE980" s="147"/>
      <c r="AF980" s="147"/>
      <c r="AG980" s="147"/>
      <c r="AH980" s="147"/>
      <c r="AI980" s="147"/>
    </row>
    <row r="981" spans="1:58" ht="12.75" customHeight="1">
      <c r="A981" s="147"/>
      <c r="B981" s="147"/>
      <c r="C981" s="147"/>
      <c r="D981" s="147"/>
      <c r="E981" s="147"/>
      <c r="F981" s="147"/>
      <c r="G981" s="147"/>
      <c r="H981" s="147"/>
      <c r="I981" s="147"/>
      <c r="J981" s="147"/>
      <c r="K981" s="147"/>
      <c r="L981" s="147"/>
      <c r="M981" s="147"/>
      <c r="N981" s="147"/>
      <c r="O981" s="147"/>
      <c r="P981" s="147"/>
      <c r="Q981" s="147"/>
      <c r="R981" s="147"/>
      <c r="S981" s="147"/>
      <c r="T981" s="147"/>
      <c r="U981" s="147"/>
      <c r="V981" s="147"/>
      <c r="W981" s="147"/>
      <c r="X981" s="147"/>
      <c r="Y981" s="147"/>
      <c r="Z981" s="147"/>
      <c r="AA981" s="147"/>
      <c r="AB981" s="147"/>
      <c r="AC981" s="147"/>
      <c r="AD981" s="147"/>
      <c r="AE981" s="147"/>
      <c r="AF981" s="147"/>
      <c r="AG981" s="147"/>
      <c r="AH981" s="147"/>
      <c r="AI981" s="147"/>
    </row>
    <row r="982" spans="1:58" ht="12.75" customHeight="1">
      <c r="A982" s="147"/>
      <c r="B982" s="147"/>
      <c r="C982" s="147"/>
      <c r="D982" s="147"/>
      <c r="E982" s="147"/>
      <c r="F982" s="147"/>
      <c r="G982" s="147"/>
      <c r="H982" s="147"/>
      <c r="I982" s="147"/>
      <c r="J982" s="147"/>
      <c r="K982" s="147"/>
      <c r="L982" s="147"/>
      <c r="M982" s="147"/>
      <c r="N982" s="147"/>
      <c r="O982" s="147"/>
      <c r="P982" s="147"/>
      <c r="Q982" s="147"/>
      <c r="R982" s="147"/>
      <c r="S982" s="147"/>
      <c r="T982" s="147"/>
      <c r="U982" s="147"/>
      <c r="V982" s="147"/>
      <c r="W982" s="147"/>
      <c r="X982" s="147"/>
      <c r="Y982" s="147"/>
      <c r="Z982" s="147"/>
      <c r="AA982" s="147"/>
      <c r="AB982" s="147"/>
      <c r="AC982" s="147"/>
      <c r="AD982" s="147"/>
      <c r="AE982" s="147"/>
      <c r="AF982" s="147"/>
      <c r="AG982" s="147"/>
      <c r="AH982" s="147"/>
      <c r="AI982" s="147"/>
    </row>
    <row r="983" spans="1:58" ht="12.75" customHeight="1">
      <c r="A983" s="147"/>
      <c r="B983" s="147"/>
      <c r="C983" s="147"/>
      <c r="D983" s="147"/>
      <c r="E983" s="147"/>
      <c r="F983" s="147"/>
      <c r="G983" s="147"/>
      <c r="H983" s="147"/>
      <c r="I983" s="147"/>
      <c r="J983" s="147"/>
      <c r="K983" s="147"/>
      <c r="L983" s="147"/>
      <c r="M983" s="147"/>
      <c r="N983" s="147"/>
      <c r="O983" s="147"/>
      <c r="P983" s="147"/>
      <c r="Q983" s="147"/>
      <c r="R983" s="147"/>
      <c r="S983" s="147"/>
      <c r="T983" s="147"/>
      <c r="U983" s="147"/>
      <c r="V983" s="147"/>
      <c r="W983" s="147"/>
      <c r="X983" s="147"/>
      <c r="Y983" s="147"/>
      <c r="Z983" s="147"/>
      <c r="AA983" s="147"/>
      <c r="AB983" s="147"/>
      <c r="AC983" s="147"/>
      <c r="AD983" s="147"/>
      <c r="AE983" s="147"/>
      <c r="AF983" s="147"/>
      <c r="AG983" s="147"/>
      <c r="AH983" s="147"/>
      <c r="AI983" s="147"/>
    </row>
    <row r="984" spans="1:58" ht="12.75" customHeight="1">
      <c r="A984" s="147"/>
      <c r="B984" s="147"/>
      <c r="C984" s="147"/>
      <c r="D984" s="147"/>
      <c r="E984" s="147"/>
      <c r="F984" s="147"/>
      <c r="G984" s="147"/>
      <c r="H984" s="147"/>
      <c r="I984" s="147"/>
      <c r="J984" s="147"/>
      <c r="K984" s="147"/>
      <c r="L984" s="147"/>
      <c r="M984" s="147"/>
      <c r="N984" s="147"/>
      <c r="O984" s="147"/>
      <c r="P984" s="147"/>
      <c r="Q984" s="147"/>
      <c r="R984" s="147"/>
      <c r="S984" s="147"/>
      <c r="T984" s="147"/>
      <c r="U984" s="147"/>
      <c r="V984" s="147"/>
      <c r="W984" s="147"/>
      <c r="X984" s="147"/>
      <c r="Y984" s="147"/>
      <c r="Z984" s="147"/>
      <c r="AA984" s="147"/>
      <c r="AB984" s="147"/>
      <c r="AC984" s="147"/>
      <c r="AD984" s="147"/>
      <c r="AE984" s="147"/>
      <c r="AF984" s="147"/>
      <c r="AG984" s="147"/>
      <c r="AH984" s="147"/>
      <c r="AI984" s="147"/>
    </row>
    <row r="985" spans="1:58" ht="12.75" customHeight="1">
      <c r="A985" s="147"/>
      <c r="B985" s="147"/>
      <c r="C985" s="147"/>
      <c r="D985" s="147"/>
      <c r="E985" s="147"/>
      <c r="F985" s="147"/>
      <c r="G985" s="147"/>
      <c r="H985" s="147"/>
      <c r="I985" s="147"/>
      <c r="J985" s="147"/>
      <c r="K985" s="147"/>
      <c r="L985" s="147"/>
      <c r="M985" s="147"/>
      <c r="N985" s="147"/>
      <c r="O985" s="147"/>
      <c r="P985" s="147"/>
      <c r="Q985" s="147"/>
      <c r="R985" s="147"/>
      <c r="S985" s="147"/>
      <c r="T985" s="147"/>
      <c r="U985" s="147"/>
      <c r="V985" s="147"/>
      <c r="W985" s="147"/>
      <c r="X985" s="147"/>
      <c r="Y985" s="147"/>
      <c r="Z985" s="147"/>
      <c r="AA985" s="147"/>
      <c r="AB985" s="147"/>
      <c r="AC985" s="147"/>
      <c r="AD985" s="147"/>
      <c r="AE985" s="147"/>
      <c r="AF985" s="147"/>
      <c r="AG985" s="147"/>
      <c r="AH985" s="147"/>
      <c r="AI985" s="147"/>
    </row>
    <row r="986" spans="1:58" ht="12.75" customHeight="1">
      <c r="A986" s="147"/>
      <c r="B986" s="147"/>
      <c r="C986" s="147"/>
      <c r="D986" s="147"/>
      <c r="E986" s="147"/>
      <c r="F986" s="147"/>
      <c r="G986" s="147"/>
      <c r="H986" s="147"/>
      <c r="I986" s="147"/>
      <c r="J986" s="147"/>
      <c r="K986" s="147"/>
      <c r="L986" s="147"/>
      <c r="M986" s="147"/>
      <c r="N986" s="147"/>
      <c r="O986" s="147"/>
      <c r="P986" s="147"/>
      <c r="Q986" s="147"/>
      <c r="R986" s="147"/>
      <c r="S986" s="147"/>
      <c r="T986" s="147"/>
      <c r="U986" s="147"/>
      <c r="V986" s="147"/>
      <c r="W986" s="147"/>
      <c r="X986" s="147"/>
      <c r="Y986" s="147"/>
      <c r="Z986" s="147"/>
      <c r="AA986" s="147"/>
      <c r="AB986" s="147"/>
      <c r="AC986" s="147"/>
      <c r="AD986" s="147"/>
      <c r="AE986" s="147"/>
      <c r="AF986" s="147"/>
      <c r="AG986" s="147"/>
      <c r="AH986" s="147"/>
      <c r="AI986" s="147"/>
    </row>
  </sheetData>
  <sheetProtection formatCells="0" formatColumns="0" formatRows="0" deleteColumns="0"/>
  <mergeCells count="5">
    <mergeCell ref="Q4:T5"/>
    <mergeCell ref="A978:H986"/>
    <mergeCell ref="I978:Q986"/>
    <mergeCell ref="R978:Z986"/>
    <mergeCell ref="AA978:AI986"/>
  </mergeCells>
  <phoneticPr fontId="25" type="noConversion"/>
  <conditionalFormatting sqref="T8:V977">
    <cfRule type="cellIs" dxfId="121" priority="108" operator="greaterThan">
      <formula>150</formula>
    </cfRule>
  </conditionalFormatting>
  <conditionalFormatting sqref="AU178:AU977">
    <cfRule type="cellIs" priority="124" stopIfTrue="1" operator="equal">
      <formula>""</formula>
    </cfRule>
    <cfRule type="cellIs" dxfId="120" priority="125" operator="notEqual">
      <formula>$G178</formula>
    </cfRule>
  </conditionalFormatting>
  <conditionalFormatting sqref="BD178:BE977 AV178:AV977">
    <cfRule type="cellIs" priority="128" stopIfTrue="1" operator="equal">
      <formula>""</formula>
    </cfRule>
    <cfRule type="cellIs" dxfId="119" priority="129" operator="notEqual">
      <formula>$H178</formula>
    </cfRule>
  </conditionalFormatting>
  <conditionalFormatting sqref="W8:W977">
    <cfRule type="cellIs" dxfId="118" priority="109" operator="between">
      <formula>5184</formula>
      <formula>999999</formula>
    </cfRule>
    <cfRule type="cellIs" dxfId="117" priority="110" operator="greaterThan">
      <formula>999999</formula>
    </cfRule>
  </conditionalFormatting>
  <conditionalFormatting sqref="X178:X977">
    <cfRule type="expression" dxfId="116" priority="105">
      <formula>IF($T178&gt;150,1,0)</formula>
    </cfRule>
  </conditionalFormatting>
  <conditionalFormatting sqref="AU8:AU177">
    <cfRule type="cellIs" priority="5" stopIfTrue="1" operator="equal">
      <formula>""</formula>
    </cfRule>
    <cfRule type="cellIs" dxfId="115" priority="6" operator="notEqual">
      <formula>$G8</formula>
    </cfRule>
  </conditionalFormatting>
  <conditionalFormatting sqref="BD8:BE177 AV8:AV177">
    <cfRule type="cellIs" priority="7" stopIfTrue="1" operator="equal">
      <formula>""</formula>
    </cfRule>
    <cfRule type="cellIs" dxfId="114" priority="8" operator="notEqual">
      <formula>$H8</formula>
    </cfRule>
  </conditionalFormatting>
  <conditionalFormatting sqref="X8:X177">
    <cfRule type="expression" dxfId="113" priority="1">
      <formula>IF($T8&gt;150,1,0)</formula>
    </cfRule>
  </conditionalFormatting>
  <pageMargins left="0.7" right="0.7" top="0.75" bottom="0.75" header="0.3" footer="0.3"/>
  <pageSetup paperSize="17" scale="25" fitToHeight="5" orientation="landscape" r:id="rId1"/>
  <ignoredErrors>
    <ignoredError sqref="AM190:AT977 AW190:BC977" calculatedColumn="1"/>
  </ignoredErrors>
  <drawing r:id="rId2"/>
  <legacyDrawing r:id="rId3"/>
  <mc:AlternateContent>
    <mc:Choice Requires="x14">
      <controls>
        <mc:AlternateContent>
          <mc:Choice Requires="x14">
            <control shapeId="7221" r:id="rId4" name="Button 53">
              <controlPr defaultSize="0" print="0" autoFill="0" autoPict="0" macro="[0]!Main">
                <anchor moveWithCells="1" sizeWithCells="1">
                  <from>
                    <xdr:col>36</xdr:col>
                    <xdr:colOff>0</xdr:colOff>
                    <xdr:row>0</xdr:row>
                    <xdr:rowOff>66675</xdr:rowOff>
                  </from>
                  <to>
                    <xdr:col>37</xdr:col>
                    <xdr:colOff>0</xdr:colOff>
                    <xdr:row>2</xdr:row>
                    <xdr:rowOff>104775</xdr:rowOff>
                  </to>
                </anchor>
              </controlPr>
            </control>
          </mc:Choice>
        </mc:AlternateContent>
        <mc:AlternateContent>
          <mc:Choice Requires="x14">
            <control shapeId="7222" r:id="rId5" name="Button 54">
              <controlPr defaultSize="0" print="0" autoFill="0" autoPict="0" macro="[0]!deletedata">
                <anchor moveWithCells="1" sizeWithCells="1">
                  <from>
                    <xdr:col>38</xdr:col>
                    <xdr:colOff>371475</xdr:colOff>
                    <xdr:row>0</xdr:row>
                    <xdr:rowOff>66675</xdr:rowOff>
                  </from>
                  <to>
                    <xdr:col>39</xdr:col>
                    <xdr:colOff>390525</xdr:colOff>
                    <xdr:row>2</xdr:row>
                    <xdr:rowOff>104775</xdr:rowOff>
                  </to>
                </anchor>
              </controlPr>
            </control>
          </mc:Choice>
        </mc:AlternateContent>
      </controls>
    </mc:Choice>
  </mc:AlternateContent>
  <tableParts count="2">
    <tablePart r:id="rId6"/>
    <tablePart r:id="rId7"/>
  </tableParts>
  <extLst>
    <ext uri="{CCE6A557-97BC-4b89-ADB6-D9C93CAAB3DF}">
      <x14:dataValidations xmlns:xm="http://schemas.microsoft.com/office/excel/2006/main" count="3">
        <x14:dataValidation type="list" allowBlank="1" showInputMessage="1" showErrorMessage="1">
          <x14:formula1>
            <xm:f>Validation!$A$1:$A$2</xm:f>
          </x14:formula1>
          <xm:sqref>O8:P977 AF8:AF977 Y8:Y977</xm:sqref>
        </x14:dataValidation>
        <x14:dataValidation type="list" allowBlank="1" showInputMessage="1" showErrorMessage="1">
          <x14:formula1>
            <xm:f>Validation!$B$1:$B$3</xm:f>
          </x14:formula1>
          <xm:sqref>AG8:AG977</xm:sqref>
        </x14:dataValidation>
        <x14:dataValidation type="list" allowBlank="1" showInputMessage="1" showErrorMessage="1">
          <x14:formula1>
            <xm:f>Validation!$D$1:$D$11</xm:f>
          </x14:formula1>
          <xm:sqref>K8:K977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0000"/>
  </sheetPr>
  <dimension ref="A1:Z975"/>
  <sheetViews>
    <sheetView workbookViewId="0">
      <selection sqref="A1:Q1"/>
    </sheetView>
  </sheetViews>
  <sheetFormatPr defaultRowHeight="12.75"/>
  <cols>
    <col min="1" max="1" customWidth="true" width="28.140625" collapsed="false"/>
    <col min="2" max="2" customWidth="true" style="17" width="35.0" collapsed="false"/>
    <col min="3" max="4" customWidth="true" width="8.28515625" collapsed="false"/>
    <col min="6" max="7" customWidth="true" width="7.0" collapsed="false"/>
    <col min="8" max="8" bestFit="true" customWidth="true" width="7.28515625" collapsed="false"/>
    <col min="9" max="9" customWidth="true" width="10.85546875" collapsed="false"/>
    <col min="10" max="10" bestFit="true" customWidth="true" width="5.42578125" collapsed="false"/>
    <col min="11" max="11" bestFit="true" customWidth="true" width="5.7109375" collapsed="false"/>
    <col min="12" max="12" bestFit="true" customWidth="true" width="7.7109375" collapsed="false"/>
    <col min="13" max="13" bestFit="true" customWidth="true" width="8.28515625" collapsed="false"/>
    <col min="14" max="14" bestFit="true" customWidth="true" width="10.42578125" collapsed="false"/>
    <col min="15" max="15" customWidth="true" width="9.28515625" collapsed="false"/>
    <col min="16" max="17" customWidth="true" width="10.42578125" collapsed="false"/>
  </cols>
  <sheetData>
    <row r="1" spans="1:26" ht="18.75">
      <c r="A1" s="148" t="s">
        <v>101</v>
      </c>
      <c r="B1" s="148"/>
      <c r="C1" s="148"/>
      <c r="D1" s="148"/>
      <c r="E1" s="148"/>
      <c r="F1" s="148"/>
      <c r="G1" s="148"/>
      <c r="H1" s="148"/>
      <c r="I1" s="148"/>
      <c r="J1" s="148"/>
      <c r="K1" s="148"/>
      <c r="L1" s="148"/>
      <c r="M1" s="148"/>
      <c r="N1" s="148"/>
      <c r="O1" s="148"/>
      <c r="P1" s="148"/>
      <c r="Q1" s="148"/>
    </row>
    <row r="2" spans="1:26">
      <c r="A2" s="22" t="s">
        <v>185</v>
      </c>
    </row>
    <row r="3" spans="1:26" s="101" customFormat="1" ht="38.25">
      <c r="A3" s="100" t="s">
        <v>90</v>
      </c>
      <c r="B3" s="100" t="s">
        <v>91</v>
      </c>
      <c r="C3" s="100" t="s">
        <v>149</v>
      </c>
      <c r="D3" s="100" t="s">
        <v>150</v>
      </c>
      <c r="E3" s="100" t="s">
        <v>151</v>
      </c>
      <c r="F3" s="100" t="s">
        <v>92</v>
      </c>
      <c r="G3" s="100" t="s">
        <v>93</v>
      </c>
      <c r="H3" s="100" t="s">
        <v>94</v>
      </c>
      <c r="I3" s="100" t="s">
        <v>95</v>
      </c>
      <c r="J3" s="100" t="s">
        <v>96</v>
      </c>
      <c r="K3" s="100" t="s">
        <v>97</v>
      </c>
      <c r="L3" s="100" t="s">
        <v>98</v>
      </c>
      <c r="M3" s="100" t="s">
        <v>99</v>
      </c>
      <c r="N3" s="100" t="s">
        <v>131</v>
      </c>
      <c r="O3" s="100" t="s">
        <v>132</v>
      </c>
      <c r="P3" s="100" t="s">
        <v>133</v>
      </c>
      <c r="Q3" s="100" t="s">
        <v>134</v>
      </c>
      <c r="R3" s="100" t="s">
        <v>135</v>
      </c>
      <c r="S3" s="100" t="s">
        <v>136</v>
      </c>
      <c r="T3" s="100" t="s">
        <v>100</v>
      </c>
      <c r="U3" s="100" t="s">
        <v>152</v>
      </c>
      <c r="V3" s="100" t="s">
        <v>153</v>
      </c>
      <c r="W3" s="100" t="s">
        <v>154</v>
      </c>
      <c r="X3" s="100" t="s">
        <v>155</v>
      </c>
      <c r="Y3" s="100" t="s">
        <v>156</v>
      </c>
      <c r="Z3" s="100" t="s">
        <v>157</v>
      </c>
    </row>
    <row r="4" spans="1:26">
      <c r="A4" s="70" t="str">
        <f>IF('Item Setup Form'!$AF8="Yes",'Item Setup Form'!$E8,"")</f>
        <v/>
      </c>
      <c r="B4" s="70" t="str">
        <f>IF('Item Setup Form'!$AF8="Yes",'Item Setup Form'!D8,"")</f>
        <v/>
      </c>
      <c r="C4" s="81" t="str">
        <f>IF('Item Setup Form'!$AF8="Yes",'Item Setup Form'!L8,"")</f>
        <v/>
      </c>
      <c r="D4" s="81" t="str">
        <f>IF('Item Setup Form'!$AF8="Yes",'Item Setup Form'!M8,"")</f>
        <v/>
      </c>
      <c r="E4" s="70"/>
      <c r="F4" s="70" t="str">
        <f>IF('Item Setup Form'!$AF8="Yes",'Item Setup Form'!G8,"")</f>
        <v/>
      </c>
      <c r="G4" s="70" t="str">
        <f>IF('Item Setup Form'!$AF8="Yes",'Item Setup Form'!H8,"")</f>
        <v/>
      </c>
      <c r="H4" s="70" t="str">
        <f>IF('Item Setup Form'!$AF8="Yes",'Item Setup Form'!V8,"")</f>
        <v/>
      </c>
      <c r="I4" s="70"/>
      <c r="J4" s="70" t="str">
        <f>IF('Item Setup Form'!$AF8="Yes",'Item Setup Form'!U8,"")</f>
        <v/>
      </c>
      <c r="K4" s="70" t="str">
        <f>IF('Item Setup Form'!$AF8="Yes",'Item Setup Form'!V8,"")</f>
        <v/>
      </c>
      <c r="L4" s="70"/>
      <c r="M4" s="70" t="str">
        <f>IF('Item Setup Form'!$AF8="Yes",'Item Setup Form'!A8,"")</f>
        <v/>
      </c>
      <c r="N4" s="70"/>
      <c r="O4" s="70"/>
      <c r="P4" s="70"/>
      <c r="Q4" s="70"/>
      <c r="R4" s="70"/>
      <c r="S4" s="70"/>
      <c r="T4" s="70"/>
      <c r="U4" s="70"/>
      <c r="V4" s="70"/>
      <c r="W4" s="70"/>
      <c r="X4" s="70"/>
      <c r="Y4" s="70"/>
      <c r="Z4" s="70"/>
    </row>
    <row r="5" spans="1:26">
      <c r="A5" s="70" t="str">
        <f>IF('Item Setup Form'!$AF9="Yes",'Item Setup Form'!$E9,"")</f>
        <v/>
      </c>
      <c r="B5" s="70" t="str">
        <f>IF('Item Setup Form'!$AF9="Yes",'Item Setup Form'!D9,"")</f>
        <v/>
      </c>
      <c r="C5" s="81" t="str">
        <f>IF('Item Setup Form'!$AF9="Yes",'Item Setup Form'!L9,"")</f>
        <v/>
      </c>
      <c r="D5" s="81" t="str">
        <f>IF('Item Setup Form'!$AF9="Yes",'Item Setup Form'!M9,"")</f>
        <v/>
      </c>
      <c r="E5" s="70"/>
      <c r="F5" s="70" t="str">
        <f>IF('Item Setup Form'!$AF9="Yes",'Item Setup Form'!G9,"")</f>
        <v/>
      </c>
      <c r="G5" s="70" t="str">
        <f>IF('Item Setup Form'!$AF9="Yes",'Item Setup Form'!H9,"")</f>
        <v/>
      </c>
      <c r="H5" s="70" t="str">
        <f>IF('Item Setup Form'!$AF9="Yes",'Item Setup Form'!V9,"")</f>
        <v/>
      </c>
      <c r="I5" s="70"/>
      <c r="J5" s="70" t="str">
        <f>IF('Item Setup Form'!$AF9="Yes",'Item Setup Form'!U9,"")</f>
        <v/>
      </c>
      <c r="K5" s="70" t="str">
        <f>IF('Item Setup Form'!$AF9="Yes",'Item Setup Form'!V9,"")</f>
        <v/>
      </c>
      <c r="L5" s="70"/>
      <c r="M5" s="70" t="str">
        <f>IF('Item Setup Form'!$AF9="Yes",'Item Setup Form'!A9,"")</f>
        <v/>
      </c>
      <c r="N5" s="70"/>
      <c r="O5" s="70"/>
      <c r="P5" s="70"/>
      <c r="Q5" s="70"/>
      <c r="R5" s="70"/>
      <c r="S5" s="70"/>
      <c r="T5" s="70"/>
      <c r="U5" s="70"/>
      <c r="V5" s="70"/>
      <c r="W5" s="70"/>
      <c r="X5" s="70"/>
      <c r="Y5" s="70"/>
      <c r="Z5" s="70"/>
    </row>
    <row r="6" spans="1:26">
      <c r="A6" s="70" t="str">
        <f>IF('Item Setup Form'!$AF10="Yes",'Item Setup Form'!$E10,"")</f>
        <v/>
      </c>
      <c r="B6" s="70" t="str">
        <f>IF('Item Setup Form'!$AF10="Yes",'Item Setup Form'!D10,"")</f>
        <v/>
      </c>
      <c r="C6" s="81" t="str">
        <f>IF('Item Setup Form'!$AF10="Yes",'Item Setup Form'!L10,"")</f>
        <v/>
      </c>
      <c r="D6" s="81" t="str">
        <f>IF('Item Setup Form'!$AF10="Yes",'Item Setup Form'!M10,"")</f>
        <v/>
      </c>
      <c r="E6" s="70"/>
      <c r="F6" s="70" t="str">
        <f>IF('Item Setup Form'!$AF10="Yes",'Item Setup Form'!G10,"")</f>
        <v/>
      </c>
      <c r="G6" s="70" t="str">
        <f>IF('Item Setup Form'!$AF10="Yes",'Item Setup Form'!H10,"")</f>
        <v/>
      </c>
      <c r="H6" s="70" t="str">
        <f>IF('Item Setup Form'!$AF10="Yes",'Item Setup Form'!V10,"")</f>
        <v/>
      </c>
      <c r="I6" s="70"/>
      <c r="J6" s="70" t="str">
        <f>IF('Item Setup Form'!$AF10="Yes",'Item Setup Form'!U10,"")</f>
        <v/>
      </c>
      <c r="K6" s="70" t="str">
        <f>IF('Item Setup Form'!$AF10="Yes",'Item Setup Form'!V10,"")</f>
        <v/>
      </c>
      <c r="L6" s="70"/>
      <c r="M6" s="70" t="str">
        <f>IF('Item Setup Form'!$AF10="Yes",'Item Setup Form'!A10,"")</f>
        <v/>
      </c>
      <c r="N6" s="70"/>
      <c r="O6" s="70"/>
      <c r="P6" s="70"/>
      <c r="Q6" s="70"/>
      <c r="R6" s="70"/>
      <c r="S6" s="70"/>
      <c r="T6" s="70"/>
      <c r="U6" s="70"/>
      <c r="V6" s="70"/>
      <c r="W6" s="70"/>
      <c r="X6" s="70"/>
      <c r="Y6" s="70"/>
      <c r="Z6" s="70"/>
    </row>
    <row r="7" spans="1:26">
      <c r="A7" s="70" t="str">
        <f>IF('Item Setup Form'!$AF11="Yes",'Item Setup Form'!$E11,"")</f>
        <v/>
      </c>
      <c r="B7" s="70" t="str">
        <f>IF('Item Setup Form'!$AF11="Yes",'Item Setup Form'!D11,"")</f>
        <v/>
      </c>
      <c r="C7" s="81" t="str">
        <f>IF('Item Setup Form'!$AF11="Yes",'Item Setup Form'!L11,"")</f>
        <v/>
      </c>
      <c r="D7" s="81" t="str">
        <f>IF('Item Setup Form'!$AF11="Yes",'Item Setup Form'!M11,"")</f>
        <v/>
      </c>
      <c r="E7" s="70"/>
      <c r="F7" s="70" t="str">
        <f>IF('Item Setup Form'!$AF11="Yes",'Item Setup Form'!G11,"")</f>
        <v/>
      </c>
      <c r="G7" s="70" t="str">
        <f>IF('Item Setup Form'!$AF11="Yes",'Item Setup Form'!H11,"")</f>
        <v/>
      </c>
      <c r="H7" s="70" t="str">
        <f>IF('Item Setup Form'!$AF11="Yes",'Item Setup Form'!V11,"")</f>
        <v/>
      </c>
      <c r="I7" s="70"/>
      <c r="J7" s="70" t="str">
        <f>IF('Item Setup Form'!$AF11="Yes",'Item Setup Form'!U11,"")</f>
        <v/>
      </c>
      <c r="K7" s="70" t="str">
        <f>IF('Item Setup Form'!$AF11="Yes",'Item Setup Form'!V11,"")</f>
        <v/>
      </c>
      <c r="L7" s="70"/>
      <c r="M7" s="70" t="str">
        <f>IF('Item Setup Form'!$AF11="Yes",'Item Setup Form'!A11,"")</f>
        <v/>
      </c>
      <c r="N7" s="70"/>
      <c r="O7" s="70"/>
      <c r="P7" s="70"/>
      <c r="Q7" s="70"/>
      <c r="R7" s="70"/>
      <c r="S7" s="70"/>
      <c r="T7" s="70"/>
      <c r="U7" s="70"/>
      <c r="V7" s="70"/>
      <c r="W7" s="70"/>
      <c r="X7" s="70"/>
      <c r="Y7" s="70"/>
      <c r="Z7" s="70"/>
    </row>
    <row r="8" spans="1:26">
      <c r="A8" s="70" t="str">
        <f>IF('Item Setup Form'!$AF12="Yes",'Item Setup Form'!$E12,"")</f>
        <v/>
      </c>
      <c r="B8" s="70" t="str">
        <f>IF('Item Setup Form'!$AF12="Yes",'Item Setup Form'!D12,"")</f>
        <v/>
      </c>
      <c r="C8" s="81" t="str">
        <f>IF('Item Setup Form'!$AF12="Yes",'Item Setup Form'!L12,"")</f>
        <v/>
      </c>
      <c r="D8" s="81" t="str">
        <f>IF('Item Setup Form'!$AF12="Yes",'Item Setup Form'!M12,"")</f>
        <v/>
      </c>
      <c r="E8" s="70"/>
      <c r="F8" s="70" t="str">
        <f>IF('Item Setup Form'!$AF12="Yes",'Item Setup Form'!G12,"")</f>
        <v/>
      </c>
      <c r="G8" s="70" t="str">
        <f>IF('Item Setup Form'!$AF12="Yes",'Item Setup Form'!H12,"")</f>
        <v/>
      </c>
      <c r="H8" s="70" t="str">
        <f>IF('Item Setup Form'!$AF12="Yes",'Item Setup Form'!V12,"")</f>
        <v/>
      </c>
      <c r="I8" s="70"/>
      <c r="J8" s="70" t="str">
        <f>IF('Item Setup Form'!$AF12="Yes",'Item Setup Form'!U12,"")</f>
        <v/>
      </c>
      <c r="K8" s="70" t="str">
        <f>IF('Item Setup Form'!$AF12="Yes",'Item Setup Form'!V12,"")</f>
        <v/>
      </c>
      <c r="L8" s="70"/>
      <c r="M8" s="70" t="str">
        <f>IF('Item Setup Form'!$AF12="Yes",'Item Setup Form'!A12,"")</f>
        <v/>
      </c>
      <c r="N8" s="70"/>
      <c r="O8" s="70"/>
      <c r="P8" s="70"/>
      <c r="Q8" s="70"/>
      <c r="R8" s="70"/>
      <c r="S8" s="70"/>
      <c r="T8" s="70"/>
      <c r="U8" s="70"/>
      <c r="V8" s="70"/>
      <c r="W8" s="70"/>
      <c r="X8" s="70"/>
      <c r="Y8" s="70"/>
      <c r="Z8" s="70"/>
    </row>
    <row r="9" spans="1:26">
      <c r="A9" s="70" t="str">
        <f>IF('Item Setup Form'!$AF13="Yes",'Item Setup Form'!$E13,"")</f>
        <v/>
      </c>
      <c r="B9" s="70" t="str">
        <f>IF('Item Setup Form'!$AF13="Yes",'Item Setup Form'!D13,"")</f>
        <v/>
      </c>
      <c r="C9" s="81" t="str">
        <f>IF('Item Setup Form'!$AF13="Yes",'Item Setup Form'!L13,"")</f>
        <v/>
      </c>
      <c r="D9" s="81" t="str">
        <f>IF('Item Setup Form'!$AF13="Yes",'Item Setup Form'!M13,"")</f>
        <v/>
      </c>
      <c r="E9" s="70"/>
      <c r="F9" s="70" t="str">
        <f>IF('Item Setup Form'!$AF13="Yes",'Item Setup Form'!G13,"")</f>
        <v/>
      </c>
      <c r="G9" s="70" t="str">
        <f>IF('Item Setup Form'!$AF13="Yes",'Item Setup Form'!H13,"")</f>
        <v/>
      </c>
      <c r="H9" s="70" t="str">
        <f>IF('Item Setup Form'!$AF13="Yes",'Item Setup Form'!V13,"")</f>
        <v/>
      </c>
      <c r="I9" s="70"/>
      <c r="J9" s="70" t="str">
        <f>IF('Item Setup Form'!$AF13="Yes",'Item Setup Form'!U13,"")</f>
        <v/>
      </c>
      <c r="K9" s="70" t="str">
        <f>IF('Item Setup Form'!$AF13="Yes",'Item Setup Form'!V13,"")</f>
        <v/>
      </c>
      <c r="L9" s="70"/>
      <c r="M9" s="70" t="str">
        <f>IF('Item Setup Form'!$AF13="Yes",'Item Setup Form'!A13,"")</f>
        <v/>
      </c>
      <c r="N9" s="70"/>
      <c r="O9" s="70"/>
      <c r="P9" s="70"/>
      <c r="Q9" s="70"/>
      <c r="R9" s="70"/>
      <c r="S9" s="70"/>
      <c r="T9" s="70"/>
      <c r="U9" s="70"/>
      <c r="V9" s="70"/>
      <c r="W9" s="70"/>
      <c r="X9" s="70"/>
      <c r="Y9" s="70"/>
      <c r="Z9" s="70"/>
    </row>
    <row r="10" spans="1:26">
      <c r="A10" s="70" t="str">
        <f>IF('Item Setup Form'!$AF14="Yes",'Item Setup Form'!$E14,"")</f>
        <v/>
      </c>
      <c r="B10" s="70" t="str">
        <f>IF('Item Setup Form'!$AF14="Yes",'Item Setup Form'!D14,"")</f>
        <v/>
      </c>
      <c r="C10" s="81" t="str">
        <f>IF('Item Setup Form'!$AF14="Yes",'Item Setup Form'!L14,"")</f>
        <v/>
      </c>
      <c r="D10" s="81" t="str">
        <f>IF('Item Setup Form'!$AF14="Yes",'Item Setup Form'!M14,"")</f>
        <v/>
      </c>
      <c r="E10" s="70"/>
      <c r="F10" s="70" t="str">
        <f>IF('Item Setup Form'!$AF14="Yes",'Item Setup Form'!G14,"")</f>
        <v/>
      </c>
      <c r="G10" s="70" t="str">
        <f>IF('Item Setup Form'!$AF14="Yes",'Item Setup Form'!H14,"")</f>
        <v/>
      </c>
      <c r="H10" s="70" t="str">
        <f>IF('Item Setup Form'!$AF14="Yes",'Item Setup Form'!V14,"")</f>
        <v/>
      </c>
      <c r="I10" s="70"/>
      <c r="J10" s="70" t="str">
        <f>IF('Item Setup Form'!$AF14="Yes",'Item Setup Form'!U14,"")</f>
        <v/>
      </c>
      <c r="K10" s="70" t="str">
        <f>IF('Item Setup Form'!$AF14="Yes",'Item Setup Form'!V14,"")</f>
        <v/>
      </c>
      <c r="L10" s="70"/>
      <c r="M10" s="70" t="str">
        <f>IF('Item Setup Form'!$AF14="Yes",'Item Setup Form'!A14,"")</f>
        <v/>
      </c>
      <c r="N10" s="70"/>
      <c r="O10" s="70"/>
      <c r="P10" s="70"/>
      <c r="Q10" s="70"/>
      <c r="R10" s="70"/>
      <c r="S10" s="70"/>
      <c r="T10" s="70"/>
      <c r="U10" s="70"/>
      <c r="V10" s="70"/>
      <c r="W10" s="70"/>
      <c r="X10" s="70"/>
      <c r="Y10" s="70"/>
      <c r="Z10" s="70"/>
    </row>
    <row r="11" spans="1:26">
      <c r="A11" s="70" t="str">
        <f>IF('Item Setup Form'!$AF15="Yes",'Item Setup Form'!$E15,"")</f>
        <v/>
      </c>
      <c r="B11" s="70" t="str">
        <f>IF('Item Setup Form'!$AF15="Yes",'Item Setup Form'!D15,"")</f>
        <v/>
      </c>
      <c r="C11" s="81" t="str">
        <f>IF('Item Setup Form'!$AF15="Yes",'Item Setup Form'!L15,"")</f>
        <v/>
      </c>
      <c r="D11" s="81" t="str">
        <f>IF('Item Setup Form'!$AF15="Yes",'Item Setup Form'!M15,"")</f>
        <v/>
      </c>
      <c r="E11" s="70"/>
      <c r="F11" s="70" t="str">
        <f>IF('Item Setup Form'!$AF15="Yes",'Item Setup Form'!G15,"")</f>
        <v/>
      </c>
      <c r="G11" s="70" t="str">
        <f>IF('Item Setup Form'!$AF15="Yes",'Item Setup Form'!H15,"")</f>
        <v/>
      </c>
      <c r="H11" s="70" t="str">
        <f>IF('Item Setup Form'!$AF15="Yes",'Item Setup Form'!V15,"")</f>
        <v/>
      </c>
      <c r="I11" s="70"/>
      <c r="J11" s="70" t="str">
        <f>IF('Item Setup Form'!$AF15="Yes",'Item Setup Form'!U15,"")</f>
        <v/>
      </c>
      <c r="K11" s="70" t="str">
        <f>IF('Item Setup Form'!$AF15="Yes",'Item Setup Form'!V15,"")</f>
        <v/>
      </c>
      <c r="L11" s="70"/>
      <c r="M11" s="70" t="str">
        <f>IF('Item Setup Form'!$AF15="Yes",'Item Setup Form'!A15,"")</f>
        <v/>
      </c>
      <c r="N11" s="70"/>
      <c r="O11" s="70"/>
      <c r="P11" s="70"/>
      <c r="Q11" s="70"/>
      <c r="R11" s="70"/>
      <c r="S11" s="70"/>
      <c r="T11" s="70"/>
      <c r="U11" s="70"/>
      <c r="V11" s="70"/>
      <c r="W11" s="70"/>
      <c r="X11" s="70"/>
      <c r="Y11" s="70"/>
      <c r="Z11" s="70"/>
    </row>
    <row r="12" spans="1:26">
      <c r="A12" s="70" t="str">
        <f>IF('Item Setup Form'!$AF16="Yes",'Item Setup Form'!$E16,"")</f>
        <v/>
      </c>
      <c r="B12" s="70" t="str">
        <f>IF('Item Setup Form'!$AF16="Yes",'Item Setup Form'!D16,"")</f>
        <v/>
      </c>
      <c r="C12" s="81" t="str">
        <f>IF('Item Setup Form'!$AF16="Yes",'Item Setup Form'!L16,"")</f>
        <v/>
      </c>
      <c r="D12" s="81" t="str">
        <f>IF('Item Setup Form'!$AF16="Yes",'Item Setup Form'!M16,"")</f>
        <v/>
      </c>
      <c r="E12" s="70"/>
      <c r="F12" s="70" t="str">
        <f>IF('Item Setup Form'!$AF16="Yes",'Item Setup Form'!G16,"")</f>
        <v/>
      </c>
      <c r="G12" s="70" t="str">
        <f>IF('Item Setup Form'!$AF16="Yes",'Item Setup Form'!H16,"")</f>
        <v/>
      </c>
      <c r="H12" s="70" t="str">
        <f>IF('Item Setup Form'!$AF16="Yes",'Item Setup Form'!V16,"")</f>
        <v/>
      </c>
      <c r="I12" s="70"/>
      <c r="J12" s="70" t="str">
        <f>IF('Item Setup Form'!$AF16="Yes",'Item Setup Form'!U16,"")</f>
        <v/>
      </c>
      <c r="K12" s="70" t="str">
        <f>IF('Item Setup Form'!$AF16="Yes",'Item Setup Form'!V16,"")</f>
        <v/>
      </c>
      <c r="L12" s="70"/>
      <c r="M12" s="70" t="str">
        <f>IF('Item Setup Form'!$AF16="Yes",'Item Setup Form'!A16,"")</f>
        <v/>
      </c>
      <c r="N12" s="70"/>
      <c r="O12" s="70"/>
      <c r="P12" s="70"/>
      <c r="Q12" s="70"/>
      <c r="R12" s="70"/>
      <c r="S12" s="70"/>
      <c r="T12" s="70"/>
      <c r="U12" s="70"/>
      <c r="V12" s="70"/>
      <c r="W12" s="70"/>
      <c r="X12" s="70"/>
      <c r="Y12" s="70"/>
      <c r="Z12" s="70"/>
    </row>
    <row r="13" spans="1:26">
      <c r="A13" s="70" t="str">
        <f>IF('Item Setup Form'!$AF17="Yes",'Item Setup Form'!$E17,"")</f>
        <v/>
      </c>
      <c r="B13" s="70" t="str">
        <f>IF('Item Setup Form'!$AF17="Yes",'Item Setup Form'!D17,"")</f>
        <v/>
      </c>
      <c r="C13" s="81" t="str">
        <f>IF('Item Setup Form'!$AF17="Yes",'Item Setup Form'!L17,"")</f>
        <v/>
      </c>
      <c r="D13" s="81" t="str">
        <f>IF('Item Setup Form'!$AF17="Yes",'Item Setup Form'!M17,"")</f>
        <v/>
      </c>
      <c r="E13" s="70"/>
      <c r="F13" s="70" t="str">
        <f>IF('Item Setup Form'!$AF17="Yes",'Item Setup Form'!G17,"")</f>
        <v/>
      </c>
      <c r="G13" s="70" t="str">
        <f>IF('Item Setup Form'!$AF17="Yes",'Item Setup Form'!H17,"")</f>
        <v/>
      </c>
      <c r="H13" s="70" t="str">
        <f>IF('Item Setup Form'!$AF17="Yes",'Item Setup Form'!V17,"")</f>
        <v/>
      </c>
      <c r="I13" s="70"/>
      <c r="J13" s="70" t="str">
        <f>IF('Item Setup Form'!$AF17="Yes",'Item Setup Form'!U17,"")</f>
        <v/>
      </c>
      <c r="K13" s="70" t="str">
        <f>IF('Item Setup Form'!$AF17="Yes",'Item Setup Form'!V17,"")</f>
        <v/>
      </c>
      <c r="L13" s="70"/>
      <c r="M13" s="70" t="str">
        <f>IF('Item Setup Form'!$AF17="Yes",'Item Setup Form'!A17,"")</f>
        <v/>
      </c>
      <c r="N13" s="70"/>
      <c r="O13" s="70"/>
      <c r="P13" s="70"/>
      <c r="Q13" s="70"/>
      <c r="R13" s="70"/>
      <c r="S13" s="70"/>
      <c r="T13" s="70"/>
      <c r="U13" s="70"/>
      <c r="V13" s="70"/>
      <c r="W13" s="70"/>
      <c r="X13" s="70"/>
      <c r="Y13" s="70"/>
      <c r="Z13" s="70"/>
    </row>
    <row r="14" spans="1:26">
      <c r="A14" s="70" t="str">
        <f>IF('Item Setup Form'!$AF18="Yes",'Item Setup Form'!$E18,"")</f>
        <v/>
      </c>
      <c r="B14" s="70" t="str">
        <f>IF('Item Setup Form'!$AF18="Yes",'Item Setup Form'!D18,"")</f>
        <v/>
      </c>
      <c r="C14" s="81" t="str">
        <f>IF('Item Setup Form'!$AF18="Yes",'Item Setup Form'!L18,"")</f>
        <v/>
      </c>
      <c r="D14" s="81" t="str">
        <f>IF('Item Setup Form'!$AF18="Yes",'Item Setup Form'!M18,"")</f>
        <v/>
      </c>
      <c r="E14" s="70"/>
      <c r="F14" s="70" t="str">
        <f>IF('Item Setup Form'!$AF18="Yes",'Item Setup Form'!G18,"")</f>
        <v/>
      </c>
      <c r="G14" s="70" t="str">
        <f>IF('Item Setup Form'!$AF18="Yes",'Item Setup Form'!H18,"")</f>
        <v/>
      </c>
      <c r="H14" s="70" t="str">
        <f>IF('Item Setup Form'!$AF18="Yes",'Item Setup Form'!V18,"")</f>
        <v/>
      </c>
      <c r="I14" s="70"/>
      <c r="J14" s="70" t="str">
        <f>IF('Item Setup Form'!$AF18="Yes",'Item Setup Form'!U18,"")</f>
        <v/>
      </c>
      <c r="K14" s="70" t="str">
        <f>IF('Item Setup Form'!$AF18="Yes",'Item Setup Form'!V18,"")</f>
        <v/>
      </c>
      <c r="L14" s="70"/>
      <c r="M14" s="70" t="str">
        <f>IF('Item Setup Form'!$AF18="Yes",'Item Setup Form'!A18,"")</f>
        <v/>
      </c>
      <c r="N14" s="70"/>
      <c r="O14" s="70"/>
      <c r="P14" s="70"/>
      <c r="Q14" s="70"/>
      <c r="R14" s="70"/>
      <c r="S14" s="70"/>
      <c r="T14" s="70"/>
      <c r="U14" s="70"/>
      <c r="V14" s="70"/>
      <c r="W14" s="70"/>
      <c r="X14" s="70"/>
      <c r="Y14" s="70"/>
      <c r="Z14" s="70"/>
    </row>
    <row r="15" spans="1:26">
      <c r="A15" s="70" t="str">
        <f>IF('Item Setup Form'!$AF19="Yes",'Item Setup Form'!$E19,"")</f>
        <v/>
      </c>
      <c r="B15" s="70" t="str">
        <f>IF('Item Setup Form'!$AF19="Yes",'Item Setup Form'!D19,"")</f>
        <v/>
      </c>
      <c r="C15" s="81" t="str">
        <f>IF('Item Setup Form'!$AF19="Yes",'Item Setup Form'!L19,"")</f>
        <v/>
      </c>
      <c r="D15" s="81" t="str">
        <f>IF('Item Setup Form'!$AF19="Yes",'Item Setup Form'!M19,"")</f>
        <v/>
      </c>
      <c r="E15" s="70"/>
      <c r="F15" s="70" t="str">
        <f>IF('Item Setup Form'!$AF19="Yes",'Item Setup Form'!G19,"")</f>
        <v/>
      </c>
      <c r="G15" s="70" t="str">
        <f>IF('Item Setup Form'!$AF19="Yes",'Item Setup Form'!H19,"")</f>
        <v/>
      </c>
      <c r="H15" s="70" t="str">
        <f>IF('Item Setup Form'!$AF19="Yes",'Item Setup Form'!V19,"")</f>
        <v/>
      </c>
      <c r="I15" s="70"/>
      <c r="J15" s="70" t="str">
        <f>IF('Item Setup Form'!$AF19="Yes",'Item Setup Form'!U19,"")</f>
        <v/>
      </c>
      <c r="K15" s="70" t="str">
        <f>IF('Item Setup Form'!$AF19="Yes",'Item Setup Form'!V19,"")</f>
        <v/>
      </c>
      <c r="L15" s="70"/>
      <c r="M15" s="70" t="str">
        <f>IF('Item Setup Form'!$AF19="Yes",'Item Setup Form'!A19,"")</f>
        <v/>
      </c>
      <c r="N15" s="70"/>
      <c r="O15" s="70"/>
      <c r="P15" s="70"/>
      <c r="Q15" s="70"/>
      <c r="R15" s="70"/>
      <c r="S15" s="70"/>
      <c r="T15" s="70"/>
      <c r="U15" s="70"/>
      <c r="V15" s="70"/>
      <c r="W15" s="70"/>
      <c r="X15" s="70"/>
      <c r="Y15" s="70"/>
      <c r="Z15" s="70"/>
    </row>
    <row r="16" spans="1:26">
      <c r="A16" s="70" t="str">
        <f>IF('Item Setup Form'!$AF20="Yes",'Item Setup Form'!$E20,"")</f>
        <v/>
      </c>
      <c r="B16" s="70" t="str">
        <f>IF('Item Setup Form'!$AF20="Yes",'Item Setup Form'!D20,"")</f>
        <v/>
      </c>
      <c r="C16" s="81" t="str">
        <f>IF('Item Setup Form'!$AF20="Yes",'Item Setup Form'!L20,"")</f>
        <v/>
      </c>
      <c r="D16" s="81" t="str">
        <f>IF('Item Setup Form'!$AF20="Yes",'Item Setup Form'!M20,"")</f>
        <v/>
      </c>
      <c r="E16" s="70"/>
      <c r="F16" s="70" t="str">
        <f>IF('Item Setup Form'!$AF20="Yes",'Item Setup Form'!G20,"")</f>
        <v/>
      </c>
      <c r="G16" s="70" t="str">
        <f>IF('Item Setup Form'!$AF20="Yes",'Item Setup Form'!H20,"")</f>
        <v/>
      </c>
      <c r="H16" s="70" t="str">
        <f>IF('Item Setup Form'!$AF20="Yes",'Item Setup Form'!V20,"")</f>
        <v/>
      </c>
      <c r="I16" s="70"/>
      <c r="J16" s="70" t="str">
        <f>IF('Item Setup Form'!$AF20="Yes",'Item Setup Form'!U20,"")</f>
        <v/>
      </c>
      <c r="K16" s="70" t="str">
        <f>IF('Item Setup Form'!$AF20="Yes",'Item Setup Form'!V20,"")</f>
        <v/>
      </c>
      <c r="L16" s="70"/>
      <c r="M16" s="70" t="str">
        <f>IF('Item Setup Form'!$AF20="Yes",'Item Setup Form'!A20,"")</f>
        <v/>
      </c>
      <c r="N16" s="70"/>
      <c r="O16" s="70"/>
      <c r="P16" s="70"/>
      <c r="Q16" s="70"/>
      <c r="R16" s="70"/>
      <c r="S16" s="70"/>
      <c r="T16" s="70"/>
      <c r="U16" s="70"/>
      <c r="V16" s="70"/>
      <c r="W16" s="70"/>
      <c r="X16" s="70"/>
      <c r="Y16" s="70"/>
      <c r="Z16" s="70"/>
    </row>
    <row r="17" spans="1:26">
      <c r="A17" s="70" t="str">
        <f>IF('Item Setup Form'!$AF21="Yes",'Item Setup Form'!$E21,"")</f>
        <v/>
      </c>
      <c r="B17" s="70" t="str">
        <f>IF('Item Setup Form'!$AF21="Yes",'Item Setup Form'!D21,"")</f>
        <v/>
      </c>
      <c r="C17" s="81" t="str">
        <f>IF('Item Setup Form'!$AF21="Yes",'Item Setup Form'!L21,"")</f>
        <v/>
      </c>
      <c r="D17" s="81" t="str">
        <f>IF('Item Setup Form'!$AF21="Yes",'Item Setup Form'!M21,"")</f>
        <v/>
      </c>
      <c r="E17" s="70"/>
      <c r="F17" s="70" t="str">
        <f>IF('Item Setup Form'!$AF21="Yes",'Item Setup Form'!G21,"")</f>
        <v/>
      </c>
      <c r="G17" s="70" t="str">
        <f>IF('Item Setup Form'!$AF21="Yes",'Item Setup Form'!H21,"")</f>
        <v/>
      </c>
      <c r="H17" s="70" t="str">
        <f>IF('Item Setup Form'!$AF21="Yes",'Item Setup Form'!V21,"")</f>
        <v/>
      </c>
      <c r="I17" s="70"/>
      <c r="J17" s="70" t="str">
        <f>IF('Item Setup Form'!$AF21="Yes",'Item Setup Form'!U21,"")</f>
        <v/>
      </c>
      <c r="K17" s="70" t="str">
        <f>IF('Item Setup Form'!$AF21="Yes",'Item Setup Form'!V21,"")</f>
        <v/>
      </c>
      <c r="L17" s="70"/>
      <c r="M17" s="70" t="str">
        <f>IF('Item Setup Form'!$AF21="Yes",'Item Setup Form'!A21,"")</f>
        <v/>
      </c>
      <c r="N17" s="70"/>
      <c r="O17" s="70"/>
      <c r="P17" s="70"/>
      <c r="Q17" s="70"/>
      <c r="R17" s="70"/>
      <c r="S17" s="70"/>
      <c r="T17" s="70"/>
      <c r="U17" s="70"/>
      <c r="V17" s="70"/>
      <c r="W17" s="70"/>
      <c r="X17" s="70"/>
      <c r="Y17" s="70"/>
      <c r="Z17" s="70"/>
    </row>
    <row r="18" spans="1:26">
      <c r="A18" s="70" t="str">
        <f>IF('Item Setup Form'!$AF22="Yes",'Item Setup Form'!$E22,"")</f>
        <v/>
      </c>
      <c r="B18" s="70" t="str">
        <f>IF('Item Setup Form'!$AF22="Yes",'Item Setup Form'!D22,"")</f>
        <v/>
      </c>
      <c r="C18" s="81" t="str">
        <f>IF('Item Setup Form'!$AF22="Yes",'Item Setup Form'!L22,"")</f>
        <v/>
      </c>
      <c r="D18" s="81" t="str">
        <f>IF('Item Setup Form'!$AF22="Yes",'Item Setup Form'!M22,"")</f>
        <v/>
      </c>
      <c r="E18" s="70"/>
      <c r="F18" s="70" t="str">
        <f>IF('Item Setup Form'!$AF22="Yes",'Item Setup Form'!G22,"")</f>
        <v/>
      </c>
      <c r="G18" s="70" t="str">
        <f>IF('Item Setup Form'!$AF22="Yes",'Item Setup Form'!H22,"")</f>
        <v/>
      </c>
      <c r="H18" s="70" t="str">
        <f>IF('Item Setup Form'!$AF22="Yes",'Item Setup Form'!V22,"")</f>
        <v/>
      </c>
      <c r="I18" s="70"/>
      <c r="J18" s="70" t="str">
        <f>IF('Item Setup Form'!$AF22="Yes",'Item Setup Form'!U22,"")</f>
        <v/>
      </c>
      <c r="K18" s="70" t="str">
        <f>IF('Item Setup Form'!$AF22="Yes",'Item Setup Form'!V22,"")</f>
        <v/>
      </c>
      <c r="L18" s="70"/>
      <c r="M18" s="70" t="str">
        <f>IF('Item Setup Form'!$AF22="Yes",'Item Setup Form'!A22,"")</f>
        <v/>
      </c>
      <c r="N18" s="70"/>
      <c r="O18" s="70"/>
      <c r="P18" s="70"/>
      <c r="Q18" s="70"/>
      <c r="R18" s="70"/>
      <c r="S18" s="70"/>
      <c r="T18" s="70"/>
      <c r="U18" s="70"/>
      <c r="V18" s="70"/>
      <c r="W18" s="70"/>
      <c r="X18" s="70"/>
      <c r="Y18" s="70"/>
      <c r="Z18" s="70"/>
    </row>
    <row r="19" spans="1:26">
      <c r="A19" s="70" t="str">
        <f>IF('Item Setup Form'!$AF23="Yes",'Item Setup Form'!$E23,"")</f>
        <v/>
      </c>
      <c r="B19" s="70" t="str">
        <f>IF('Item Setup Form'!$AF23="Yes",'Item Setup Form'!D23,"")</f>
        <v/>
      </c>
      <c r="C19" s="81" t="str">
        <f>IF('Item Setup Form'!$AF23="Yes",'Item Setup Form'!L23,"")</f>
        <v/>
      </c>
      <c r="D19" s="81" t="str">
        <f>IF('Item Setup Form'!$AF23="Yes",'Item Setup Form'!M23,"")</f>
        <v/>
      </c>
      <c r="E19" s="70"/>
      <c r="F19" s="70" t="str">
        <f>IF('Item Setup Form'!$AF23="Yes",'Item Setup Form'!G23,"")</f>
        <v/>
      </c>
      <c r="G19" s="70" t="str">
        <f>IF('Item Setup Form'!$AF23="Yes",'Item Setup Form'!H23,"")</f>
        <v/>
      </c>
      <c r="H19" s="70" t="str">
        <f>IF('Item Setup Form'!$AF23="Yes",'Item Setup Form'!V23,"")</f>
        <v/>
      </c>
      <c r="I19" s="70"/>
      <c r="J19" s="70" t="str">
        <f>IF('Item Setup Form'!$AF23="Yes",'Item Setup Form'!U23,"")</f>
        <v/>
      </c>
      <c r="K19" s="70" t="str">
        <f>IF('Item Setup Form'!$AF23="Yes",'Item Setup Form'!V23,"")</f>
        <v/>
      </c>
      <c r="L19" s="70"/>
      <c r="M19" s="70" t="str">
        <f>IF('Item Setup Form'!$AF23="Yes",'Item Setup Form'!A23,"")</f>
        <v/>
      </c>
      <c r="N19" s="70"/>
      <c r="O19" s="70"/>
      <c r="P19" s="70"/>
      <c r="Q19" s="70"/>
      <c r="R19" s="70"/>
      <c r="S19" s="70"/>
      <c r="T19" s="70"/>
      <c r="U19" s="70"/>
      <c r="V19" s="70"/>
      <c r="W19" s="70"/>
      <c r="X19" s="70"/>
      <c r="Y19" s="70"/>
      <c r="Z19" s="70"/>
    </row>
    <row r="20" spans="1:26">
      <c r="A20" s="70" t="str">
        <f>IF('Item Setup Form'!$AF24="Yes",'Item Setup Form'!$E24,"")</f>
        <v/>
      </c>
      <c r="B20" s="70" t="str">
        <f>IF('Item Setup Form'!$AF24="Yes",'Item Setup Form'!D24,"")</f>
        <v/>
      </c>
      <c r="C20" s="81" t="str">
        <f>IF('Item Setup Form'!$AF24="Yes",'Item Setup Form'!L24,"")</f>
        <v/>
      </c>
      <c r="D20" s="81" t="str">
        <f>IF('Item Setup Form'!$AF24="Yes",'Item Setup Form'!M24,"")</f>
        <v/>
      </c>
      <c r="E20" s="70"/>
      <c r="F20" s="70" t="str">
        <f>IF('Item Setup Form'!$AF24="Yes",'Item Setup Form'!G24,"")</f>
        <v/>
      </c>
      <c r="G20" s="70" t="str">
        <f>IF('Item Setup Form'!$AF24="Yes",'Item Setup Form'!H24,"")</f>
        <v/>
      </c>
      <c r="H20" s="70" t="str">
        <f>IF('Item Setup Form'!$AF24="Yes",'Item Setup Form'!V24,"")</f>
        <v/>
      </c>
      <c r="I20" s="70"/>
      <c r="J20" s="70" t="str">
        <f>IF('Item Setup Form'!$AF24="Yes",'Item Setup Form'!U24,"")</f>
        <v/>
      </c>
      <c r="K20" s="70" t="str">
        <f>IF('Item Setup Form'!$AF24="Yes",'Item Setup Form'!V24,"")</f>
        <v/>
      </c>
      <c r="L20" s="70"/>
      <c r="M20" s="70" t="str">
        <f>IF('Item Setup Form'!$AF24="Yes",'Item Setup Form'!A24,"")</f>
        <v/>
      </c>
      <c r="N20" s="70"/>
      <c r="O20" s="70"/>
      <c r="P20" s="70"/>
      <c r="Q20" s="70"/>
      <c r="R20" s="70"/>
      <c r="S20" s="70"/>
      <c r="T20" s="70"/>
      <c r="U20" s="70"/>
      <c r="V20" s="70"/>
      <c r="W20" s="70"/>
      <c r="X20" s="70"/>
      <c r="Y20" s="70"/>
      <c r="Z20" s="70"/>
    </row>
    <row r="21" spans="1:26">
      <c r="A21" s="70" t="str">
        <f>IF('Item Setup Form'!$AF25="Yes",'Item Setup Form'!$E25,"")</f>
        <v/>
      </c>
      <c r="B21" s="70" t="str">
        <f>IF('Item Setup Form'!$AF25="Yes",'Item Setup Form'!D25,"")</f>
        <v/>
      </c>
      <c r="C21" s="81" t="str">
        <f>IF('Item Setup Form'!$AF25="Yes",'Item Setup Form'!L25,"")</f>
        <v/>
      </c>
      <c r="D21" s="81" t="str">
        <f>IF('Item Setup Form'!$AF25="Yes",'Item Setup Form'!M25,"")</f>
        <v/>
      </c>
      <c r="E21" s="70"/>
      <c r="F21" s="70" t="str">
        <f>IF('Item Setup Form'!$AF25="Yes",'Item Setup Form'!G25,"")</f>
        <v/>
      </c>
      <c r="G21" s="70" t="str">
        <f>IF('Item Setup Form'!$AF25="Yes",'Item Setup Form'!H25,"")</f>
        <v/>
      </c>
      <c r="H21" s="70" t="str">
        <f>IF('Item Setup Form'!$AF25="Yes",'Item Setup Form'!V25,"")</f>
        <v/>
      </c>
      <c r="I21" s="70"/>
      <c r="J21" s="70" t="str">
        <f>IF('Item Setup Form'!$AF25="Yes",'Item Setup Form'!U25,"")</f>
        <v/>
      </c>
      <c r="K21" s="70" t="str">
        <f>IF('Item Setup Form'!$AF25="Yes",'Item Setup Form'!V25,"")</f>
        <v/>
      </c>
      <c r="L21" s="70"/>
      <c r="M21" s="70" t="str">
        <f>IF('Item Setup Form'!$AF25="Yes",'Item Setup Form'!A25,"")</f>
        <v/>
      </c>
      <c r="N21" s="70"/>
      <c r="O21" s="70"/>
      <c r="P21" s="70"/>
      <c r="Q21" s="70"/>
      <c r="R21" s="70"/>
      <c r="S21" s="70"/>
      <c r="T21" s="70"/>
      <c r="U21" s="70"/>
      <c r="V21" s="70"/>
      <c r="W21" s="70"/>
      <c r="X21" s="70"/>
      <c r="Y21" s="70"/>
      <c r="Z21" s="70"/>
    </row>
    <row r="22" spans="1:26">
      <c r="A22" s="70" t="str">
        <f>IF('Item Setup Form'!$AF26="Yes",'Item Setup Form'!$E26,"")</f>
        <v/>
      </c>
      <c r="B22" s="70" t="str">
        <f>IF('Item Setup Form'!$AF26="Yes",'Item Setup Form'!D26,"")</f>
        <v/>
      </c>
      <c r="C22" s="81" t="str">
        <f>IF('Item Setup Form'!$AF26="Yes",'Item Setup Form'!L27,"")</f>
        <v/>
      </c>
      <c r="D22" s="81" t="str">
        <f>IF('Item Setup Form'!$AF26="Yes",'Item Setup Form'!M26,"")</f>
        <v/>
      </c>
      <c r="E22" s="70"/>
      <c r="F22" s="70" t="str">
        <f>IF('Item Setup Form'!$AF26="Yes",'Item Setup Form'!G26,"")</f>
        <v/>
      </c>
      <c r="G22" s="70" t="str">
        <f>IF('Item Setup Form'!$AF26="Yes",'Item Setup Form'!H26,"")</f>
        <v/>
      </c>
      <c r="H22" s="70" t="str">
        <f>IF('Item Setup Form'!$AF26="Yes",'Item Setup Form'!V26,"")</f>
        <v/>
      </c>
      <c r="I22" s="70"/>
      <c r="J22" s="70" t="str">
        <f>IF('Item Setup Form'!$AF26="Yes",'Item Setup Form'!U26,"")</f>
        <v/>
      </c>
      <c r="K22" s="70" t="str">
        <f>IF('Item Setup Form'!$AF26="Yes",'Item Setup Form'!V26,"")</f>
        <v/>
      </c>
      <c r="L22" s="70"/>
      <c r="M22" s="70" t="str">
        <f>IF('Item Setup Form'!$AF26="Yes",'Item Setup Form'!A26,"")</f>
        <v/>
      </c>
      <c r="N22" s="70"/>
      <c r="O22" s="70"/>
      <c r="P22" s="70"/>
      <c r="Q22" s="70"/>
      <c r="R22" s="70"/>
      <c r="S22" s="70"/>
      <c r="T22" s="70"/>
      <c r="U22" s="70"/>
      <c r="V22" s="70"/>
      <c r="W22" s="70"/>
      <c r="X22" s="70"/>
      <c r="Y22" s="70"/>
      <c r="Z22" s="70"/>
    </row>
    <row r="23" spans="1:26">
      <c r="A23" s="70" t="str">
        <f>IF('Item Setup Form'!$AF27="Yes",'Item Setup Form'!$E27,"")</f>
        <v/>
      </c>
      <c r="B23" s="70" t="str">
        <f>IF('Item Setup Form'!$AF27="Yes",'Item Setup Form'!D27,"")</f>
        <v/>
      </c>
      <c r="C23" s="81" t="str">
        <f>IF('Item Setup Form'!$AF27="Yes",'Item Setup Form'!#REF!,"")</f>
        <v/>
      </c>
      <c r="D23" s="81" t="str">
        <f>IF('Item Setup Form'!$AF27="Yes",'Item Setup Form'!M27,"")</f>
        <v/>
      </c>
      <c r="E23" s="70"/>
      <c r="F23" s="70" t="str">
        <f>IF('Item Setup Form'!$AF27="Yes",'Item Setup Form'!G27,"")</f>
        <v/>
      </c>
      <c r="G23" s="70" t="str">
        <f>IF('Item Setup Form'!$AF27="Yes",'Item Setup Form'!H27,"")</f>
        <v/>
      </c>
      <c r="H23" s="70" t="str">
        <f>IF('Item Setup Form'!$AF27="Yes",'Item Setup Form'!V27,"")</f>
        <v/>
      </c>
      <c r="I23" s="70"/>
      <c r="J23" s="70" t="str">
        <f>IF('Item Setup Form'!$AF27="Yes",'Item Setup Form'!U27,"")</f>
        <v/>
      </c>
      <c r="K23" s="70" t="str">
        <f>IF('Item Setup Form'!$AF27="Yes",'Item Setup Form'!V27,"")</f>
        <v/>
      </c>
      <c r="L23" s="70"/>
      <c r="M23" s="70" t="str">
        <f>IF('Item Setup Form'!$AF27="Yes",'Item Setup Form'!A27,"")</f>
        <v/>
      </c>
      <c r="N23" s="70"/>
      <c r="O23" s="70"/>
      <c r="P23" s="70"/>
      <c r="Q23" s="70"/>
      <c r="R23" s="70"/>
      <c r="S23" s="70"/>
      <c r="T23" s="70"/>
      <c r="U23" s="70"/>
      <c r="V23" s="70"/>
      <c r="W23" s="70"/>
      <c r="X23" s="70"/>
      <c r="Y23" s="70"/>
      <c r="Z23" s="70"/>
    </row>
    <row r="24" spans="1:26">
      <c r="A24" s="70" t="str">
        <f>IF('Item Setup Form'!$AF28="Yes",'Item Setup Form'!$E28,"")</f>
        <v/>
      </c>
      <c r="B24" s="70" t="str">
        <f>IF('Item Setup Form'!$AF28="Yes",'Item Setup Form'!D28,"")</f>
        <v/>
      </c>
      <c r="C24" s="81" t="str">
        <f>IF('Item Setup Form'!$AF28="Yes",'Item Setup Form'!L28,"")</f>
        <v/>
      </c>
      <c r="D24" s="81" t="str">
        <f>IF('Item Setup Form'!$AF28="Yes",'Item Setup Form'!M28,"")</f>
        <v/>
      </c>
      <c r="E24" s="70"/>
      <c r="F24" s="70" t="str">
        <f>IF('Item Setup Form'!$AF28="Yes",'Item Setup Form'!G28,"")</f>
        <v/>
      </c>
      <c r="G24" s="70" t="str">
        <f>IF('Item Setup Form'!$AF28="Yes",'Item Setup Form'!H28,"")</f>
        <v/>
      </c>
      <c r="H24" s="70" t="str">
        <f>IF('Item Setup Form'!$AF28="Yes",'Item Setup Form'!V28,"")</f>
        <v/>
      </c>
      <c r="I24" s="70"/>
      <c r="J24" s="70" t="str">
        <f>IF('Item Setup Form'!$AF28="Yes",'Item Setup Form'!U28,"")</f>
        <v/>
      </c>
      <c r="K24" s="70" t="str">
        <f>IF('Item Setup Form'!$AF28="Yes",'Item Setup Form'!V28,"")</f>
        <v/>
      </c>
      <c r="L24" s="70"/>
      <c r="M24" s="70" t="str">
        <f>IF('Item Setup Form'!$AF28="Yes",'Item Setup Form'!A28,"")</f>
        <v/>
      </c>
      <c r="N24" s="70"/>
      <c r="O24" s="70"/>
      <c r="P24" s="70"/>
      <c r="Q24" s="70"/>
      <c r="R24" s="70"/>
      <c r="S24" s="70"/>
      <c r="T24" s="70"/>
      <c r="U24" s="70"/>
      <c r="V24" s="70"/>
      <c r="W24" s="70"/>
      <c r="X24" s="70"/>
      <c r="Y24" s="70"/>
      <c r="Z24" s="70"/>
    </row>
    <row r="25" spans="1:26">
      <c r="A25" s="70" t="str">
        <f>IF('Item Setup Form'!$AF29="Yes",'Item Setup Form'!$E29,"")</f>
        <v/>
      </c>
      <c r="B25" s="70" t="str">
        <f>IF('Item Setup Form'!$AF29="Yes",'Item Setup Form'!D29,"")</f>
        <v/>
      </c>
      <c r="C25" s="81" t="str">
        <f>IF('Item Setup Form'!$AF29="Yes",'Item Setup Form'!L29,"")</f>
        <v/>
      </c>
      <c r="D25" s="81" t="str">
        <f>IF('Item Setup Form'!$AF29="Yes",'Item Setup Form'!M29,"")</f>
        <v/>
      </c>
      <c r="E25" s="70"/>
      <c r="F25" s="70" t="str">
        <f>IF('Item Setup Form'!$AF29="Yes",'Item Setup Form'!G29,"")</f>
        <v/>
      </c>
      <c r="G25" s="70" t="str">
        <f>IF('Item Setup Form'!$AF29="Yes",'Item Setup Form'!H29,"")</f>
        <v/>
      </c>
      <c r="H25" s="70" t="str">
        <f>IF('Item Setup Form'!$AF29="Yes",'Item Setup Form'!V29,"")</f>
        <v/>
      </c>
      <c r="I25" s="70"/>
      <c r="J25" s="70" t="str">
        <f>IF('Item Setup Form'!$AF29="Yes",'Item Setup Form'!U29,"")</f>
        <v/>
      </c>
      <c r="K25" s="70" t="str">
        <f>IF('Item Setup Form'!$AF29="Yes",'Item Setup Form'!V29,"")</f>
        <v/>
      </c>
      <c r="L25" s="70"/>
      <c r="M25" s="70" t="str">
        <f>IF('Item Setup Form'!$AF29="Yes",'Item Setup Form'!A29,"")</f>
        <v/>
      </c>
      <c r="N25" s="70"/>
      <c r="O25" s="70"/>
      <c r="P25" s="70"/>
      <c r="Q25" s="70"/>
      <c r="R25" s="70"/>
      <c r="S25" s="70"/>
      <c r="T25" s="70"/>
      <c r="U25" s="70"/>
      <c r="V25" s="70"/>
      <c r="W25" s="70"/>
      <c r="X25" s="70"/>
      <c r="Y25" s="70"/>
      <c r="Z25" s="70"/>
    </row>
    <row r="26" spans="1:26">
      <c r="A26" s="70" t="str">
        <f>IF('Item Setup Form'!$AF30="Yes",'Item Setup Form'!$E30,"")</f>
        <v/>
      </c>
      <c r="B26" s="70" t="str">
        <f>IF('Item Setup Form'!$AF30="Yes",'Item Setup Form'!D30,"")</f>
        <v/>
      </c>
      <c r="C26" s="81" t="str">
        <f>IF('Item Setup Form'!$AF30="Yes",'Item Setup Form'!L30,"")</f>
        <v/>
      </c>
      <c r="D26" s="81" t="str">
        <f>IF('Item Setup Form'!$AF30="Yes",'Item Setup Form'!M30,"")</f>
        <v/>
      </c>
      <c r="E26" s="70"/>
      <c r="F26" s="70" t="str">
        <f>IF('Item Setup Form'!$AF30="Yes",'Item Setup Form'!G30,"")</f>
        <v/>
      </c>
      <c r="G26" s="70" t="str">
        <f>IF('Item Setup Form'!$AF30="Yes",'Item Setup Form'!H30,"")</f>
        <v/>
      </c>
      <c r="H26" s="70" t="str">
        <f>IF('Item Setup Form'!$AF30="Yes",'Item Setup Form'!V30,"")</f>
        <v/>
      </c>
      <c r="I26" s="70"/>
      <c r="J26" s="70" t="str">
        <f>IF('Item Setup Form'!$AF30="Yes",'Item Setup Form'!U30,"")</f>
        <v/>
      </c>
      <c r="K26" s="70" t="str">
        <f>IF('Item Setup Form'!$AF30="Yes",'Item Setup Form'!V30,"")</f>
        <v/>
      </c>
      <c r="L26" s="70"/>
      <c r="M26" s="70" t="str">
        <f>IF('Item Setup Form'!$AF30="Yes",'Item Setup Form'!A30,"")</f>
        <v/>
      </c>
      <c r="N26" s="70"/>
      <c r="O26" s="70"/>
      <c r="P26" s="70"/>
      <c r="Q26" s="70"/>
      <c r="R26" s="70"/>
      <c r="S26" s="70"/>
      <c r="T26" s="70"/>
      <c r="U26" s="70"/>
      <c r="V26" s="70"/>
      <c r="W26" s="70"/>
      <c r="X26" s="70"/>
      <c r="Y26" s="70"/>
      <c r="Z26" s="70"/>
    </row>
    <row r="27" spans="1:26">
      <c r="A27" s="70" t="str">
        <f>IF('Item Setup Form'!$AF31="Yes",'Item Setup Form'!$E31,"")</f>
        <v/>
      </c>
      <c r="B27" s="70" t="str">
        <f>IF('Item Setup Form'!$AF31="Yes",'Item Setup Form'!D31,"")</f>
        <v/>
      </c>
      <c r="C27" s="81" t="str">
        <f>IF('Item Setup Form'!$AF31="Yes",'Item Setup Form'!L31,"")</f>
        <v/>
      </c>
      <c r="D27" s="81" t="str">
        <f>IF('Item Setup Form'!$AF31="Yes",'Item Setup Form'!M31,"")</f>
        <v/>
      </c>
      <c r="E27" s="70"/>
      <c r="F27" s="70" t="str">
        <f>IF('Item Setup Form'!$AF31="Yes",'Item Setup Form'!G31,"")</f>
        <v/>
      </c>
      <c r="G27" s="70" t="str">
        <f>IF('Item Setup Form'!$AF31="Yes",'Item Setup Form'!H31,"")</f>
        <v/>
      </c>
      <c r="H27" s="70" t="str">
        <f>IF('Item Setup Form'!$AF31="Yes",'Item Setup Form'!V31,"")</f>
        <v/>
      </c>
      <c r="I27" s="70"/>
      <c r="J27" s="70" t="str">
        <f>IF('Item Setup Form'!$AF31="Yes",'Item Setup Form'!U31,"")</f>
        <v/>
      </c>
      <c r="K27" s="70" t="str">
        <f>IF('Item Setup Form'!$AF31="Yes",'Item Setup Form'!V31,"")</f>
        <v/>
      </c>
      <c r="L27" s="70"/>
      <c r="M27" s="70" t="str">
        <f>IF('Item Setup Form'!$AF31="Yes",'Item Setup Form'!A31,"")</f>
        <v/>
      </c>
      <c r="N27" s="70"/>
      <c r="O27" s="70"/>
      <c r="P27" s="70"/>
      <c r="Q27" s="70"/>
      <c r="R27" s="70"/>
      <c r="S27" s="70"/>
      <c r="T27" s="70"/>
      <c r="U27" s="70"/>
      <c r="V27" s="70"/>
      <c r="W27" s="70"/>
      <c r="X27" s="70"/>
      <c r="Y27" s="70"/>
      <c r="Z27" s="70"/>
    </row>
    <row r="28" spans="1:26">
      <c r="A28" s="70" t="str">
        <f>IF('Item Setup Form'!$AF32="Yes",'Item Setup Form'!$E32,"")</f>
        <v/>
      </c>
      <c r="B28" s="70" t="str">
        <f>IF('Item Setup Form'!$AF32="Yes",'Item Setup Form'!D32,"")</f>
        <v/>
      </c>
      <c r="C28" s="81" t="str">
        <f>IF('Item Setup Form'!$AF32="Yes",'Item Setup Form'!L32,"")</f>
        <v/>
      </c>
      <c r="D28" s="81" t="str">
        <f>IF('Item Setup Form'!$AF32="Yes",'Item Setup Form'!M32,"")</f>
        <v/>
      </c>
      <c r="E28" s="70"/>
      <c r="F28" s="70" t="str">
        <f>IF('Item Setup Form'!$AF32="Yes",'Item Setup Form'!G32,"")</f>
        <v/>
      </c>
      <c r="G28" s="70" t="str">
        <f>IF('Item Setup Form'!$AF32="Yes",'Item Setup Form'!H32,"")</f>
        <v/>
      </c>
      <c r="H28" s="70" t="str">
        <f>IF('Item Setup Form'!$AF32="Yes",'Item Setup Form'!V32,"")</f>
        <v/>
      </c>
      <c r="I28" s="70"/>
      <c r="J28" s="70" t="str">
        <f>IF('Item Setup Form'!$AF32="Yes",'Item Setup Form'!U32,"")</f>
        <v/>
      </c>
      <c r="K28" s="70" t="str">
        <f>IF('Item Setup Form'!$AF32="Yes",'Item Setup Form'!V32,"")</f>
        <v/>
      </c>
      <c r="L28" s="70"/>
      <c r="M28" s="70" t="str">
        <f>IF('Item Setup Form'!$AF32="Yes",'Item Setup Form'!A32,"")</f>
        <v/>
      </c>
      <c r="N28" s="70"/>
      <c r="O28" s="70"/>
      <c r="P28" s="70"/>
      <c r="Q28" s="70"/>
      <c r="R28" s="70"/>
      <c r="S28" s="70"/>
      <c r="T28" s="70"/>
      <c r="U28" s="70"/>
      <c r="V28" s="70"/>
      <c r="W28" s="70"/>
      <c r="X28" s="70"/>
      <c r="Y28" s="70"/>
      <c r="Z28" s="70"/>
    </row>
    <row r="29" spans="1:26">
      <c r="A29" s="70" t="str">
        <f>IF('Item Setup Form'!$AF33="Yes",'Item Setup Form'!$E33,"")</f>
        <v/>
      </c>
      <c r="B29" s="70" t="str">
        <f>IF('Item Setup Form'!$AF33="Yes",'Item Setup Form'!D33,"")</f>
        <v/>
      </c>
      <c r="C29" s="81" t="str">
        <f>IF('Item Setup Form'!$AF33="Yes",'Item Setup Form'!L33,"")</f>
        <v/>
      </c>
      <c r="D29" s="81" t="str">
        <f>IF('Item Setup Form'!$AF33="Yes",'Item Setup Form'!M33,"")</f>
        <v/>
      </c>
      <c r="E29" s="70"/>
      <c r="F29" s="70" t="str">
        <f>IF('Item Setup Form'!$AF33="Yes",'Item Setup Form'!G33,"")</f>
        <v/>
      </c>
      <c r="G29" s="70" t="str">
        <f>IF('Item Setup Form'!$AF33="Yes",'Item Setup Form'!H33,"")</f>
        <v/>
      </c>
      <c r="H29" s="70" t="str">
        <f>IF('Item Setup Form'!$AF33="Yes",'Item Setup Form'!V33,"")</f>
        <v/>
      </c>
      <c r="I29" s="70"/>
      <c r="J29" s="70" t="str">
        <f>IF('Item Setup Form'!$AF33="Yes",'Item Setup Form'!U33,"")</f>
        <v/>
      </c>
      <c r="K29" s="70" t="str">
        <f>IF('Item Setup Form'!$AF33="Yes",'Item Setup Form'!V33,"")</f>
        <v/>
      </c>
      <c r="L29" s="70"/>
      <c r="M29" s="70" t="str">
        <f>IF('Item Setup Form'!$AF33="Yes",'Item Setup Form'!A33,"")</f>
        <v/>
      </c>
      <c r="N29" s="70"/>
      <c r="O29" s="70"/>
      <c r="P29" s="70"/>
      <c r="Q29" s="70"/>
      <c r="R29" s="70"/>
      <c r="S29" s="70"/>
      <c r="T29" s="70"/>
      <c r="U29" s="70"/>
      <c r="V29" s="70"/>
      <c r="W29" s="70"/>
      <c r="X29" s="70"/>
      <c r="Y29" s="70"/>
      <c r="Z29" s="70"/>
    </row>
    <row r="30" spans="1:26">
      <c r="A30" s="70" t="str">
        <f>IF('Item Setup Form'!$AF34="Yes",'Item Setup Form'!$E34,"")</f>
        <v/>
      </c>
      <c r="B30" s="70" t="str">
        <f>IF('Item Setup Form'!$AF34="Yes",'Item Setup Form'!D34,"")</f>
        <v/>
      </c>
      <c r="C30" s="81" t="str">
        <f>IF('Item Setup Form'!$AF34="Yes",'Item Setup Form'!L34,"")</f>
        <v/>
      </c>
      <c r="D30" s="81" t="str">
        <f>IF('Item Setup Form'!$AF34="Yes",'Item Setup Form'!M34,"")</f>
        <v/>
      </c>
      <c r="E30" s="70"/>
      <c r="F30" s="70" t="str">
        <f>IF('Item Setup Form'!$AF34="Yes",'Item Setup Form'!G34,"")</f>
        <v/>
      </c>
      <c r="G30" s="70" t="str">
        <f>IF('Item Setup Form'!$AF34="Yes",'Item Setup Form'!H34,"")</f>
        <v/>
      </c>
      <c r="H30" s="70" t="str">
        <f>IF('Item Setup Form'!$AF34="Yes",'Item Setup Form'!V34,"")</f>
        <v/>
      </c>
      <c r="I30" s="70"/>
      <c r="J30" s="70" t="str">
        <f>IF('Item Setup Form'!$AF34="Yes",'Item Setup Form'!U34,"")</f>
        <v/>
      </c>
      <c r="K30" s="70" t="str">
        <f>IF('Item Setup Form'!$AF34="Yes",'Item Setup Form'!V34,"")</f>
        <v/>
      </c>
      <c r="L30" s="70"/>
      <c r="M30" s="70" t="str">
        <f>IF('Item Setup Form'!$AF34="Yes",'Item Setup Form'!A34,"")</f>
        <v/>
      </c>
      <c r="N30" s="70"/>
      <c r="O30" s="70"/>
      <c r="P30" s="70"/>
      <c r="Q30" s="70"/>
      <c r="R30" s="70"/>
      <c r="S30" s="70"/>
      <c r="T30" s="70"/>
      <c r="U30" s="70"/>
      <c r="V30" s="70"/>
      <c r="W30" s="70"/>
      <c r="X30" s="70"/>
      <c r="Y30" s="70"/>
      <c r="Z30" s="70"/>
    </row>
    <row r="31" spans="1:26">
      <c r="A31" s="70" t="str">
        <f>IF('Item Setup Form'!$AF35="Yes",'Item Setup Form'!$E35,"")</f>
        <v/>
      </c>
      <c r="B31" s="70" t="str">
        <f>IF('Item Setup Form'!$AF35="Yes",'Item Setup Form'!D35,"")</f>
        <v/>
      </c>
      <c r="C31" s="81" t="str">
        <f>IF('Item Setup Form'!$AF35="Yes",'Item Setup Form'!L35,"")</f>
        <v/>
      </c>
      <c r="D31" s="81" t="str">
        <f>IF('Item Setup Form'!$AF35="Yes",'Item Setup Form'!M35,"")</f>
        <v/>
      </c>
      <c r="E31" s="70"/>
      <c r="F31" s="70" t="str">
        <f>IF('Item Setup Form'!$AF35="Yes",'Item Setup Form'!G35,"")</f>
        <v/>
      </c>
      <c r="G31" s="70" t="str">
        <f>IF('Item Setup Form'!$AF35="Yes",'Item Setup Form'!H35,"")</f>
        <v/>
      </c>
      <c r="H31" s="70" t="str">
        <f>IF('Item Setup Form'!$AF35="Yes",'Item Setup Form'!V35,"")</f>
        <v/>
      </c>
      <c r="I31" s="70"/>
      <c r="J31" s="70" t="str">
        <f>IF('Item Setup Form'!$AF35="Yes",'Item Setup Form'!U35,"")</f>
        <v/>
      </c>
      <c r="K31" s="70" t="str">
        <f>IF('Item Setup Form'!$AF35="Yes",'Item Setup Form'!V35,"")</f>
        <v/>
      </c>
      <c r="L31" s="70"/>
      <c r="M31" s="70" t="str">
        <f>IF('Item Setup Form'!$AF35="Yes",'Item Setup Form'!A35,"")</f>
        <v/>
      </c>
      <c r="N31" s="70"/>
      <c r="O31" s="70"/>
      <c r="P31" s="70"/>
      <c r="Q31" s="70"/>
      <c r="R31" s="70"/>
      <c r="S31" s="70"/>
      <c r="T31" s="70"/>
      <c r="U31" s="70"/>
      <c r="V31" s="70"/>
      <c r="W31" s="70"/>
      <c r="X31" s="70"/>
      <c r="Y31" s="70"/>
      <c r="Z31" s="70"/>
    </row>
    <row r="32" spans="1:26">
      <c r="A32" s="70" t="str">
        <f>IF('Item Setup Form'!$AF36="Yes",'Item Setup Form'!$E36,"")</f>
        <v/>
      </c>
      <c r="B32" s="70" t="str">
        <f>IF('Item Setup Form'!$AF36="Yes",'Item Setup Form'!D36,"")</f>
        <v/>
      </c>
      <c r="C32" s="81" t="str">
        <f>IF('Item Setup Form'!$AF36="Yes",'Item Setup Form'!L36,"")</f>
        <v/>
      </c>
      <c r="D32" s="81" t="str">
        <f>IF('Item Setup Form'!$AF36="Yes",'Item Setup Form'!M36,"")</f>
        <v/>
      </c>
      <c r="E32" s="70"/>
      <c r="F32" s="70" t="str">
        <f>IF('Item Setup Form'!$AF36="Yes",'Item Setup Form'!G36,"")</f>
        <v/>
      </c>
      <c r="G32" s="70" t="str">
        <f>IF('Item Setup Form'!$AF36="Yes",'Item Setup Form'!H36,"")</f>
        <v/>
      </c>
      <c r="H32" s="70" t="str">
        <f>IF('Item Setup Form'!$AF36="Yes",'Item Setup Form'!V36,"")</f>
        <v/>
      </c>
      <c r="I32" s="70"/>
      <c r="J32" s="70" t="str">
        <f>IF('Item Setup Form'!$AF36="Yes",'Item Setup Form'!U36,"")</f>
        <v/>
      </c>
      <c r="K32" s="70" t="str">
        <f>IF('Item Setup Form'!$AF36="Yes",'Item Setup Form'!V36,"")</f>
        <v/>
      </c>
      <c r="L32" s="70"/>
      <c r="M32" s="70" t="str">
        <f>IF('Item Setup Form'!$AF36="Yes",'Item Setup Form'!A36,"")</f>
        <v/>
      </c>
      <c r="N32" s="70"/>
      <c r="O32" s="70"/>
      <c r="P32" s="70"/>
      <c r="Q32" s="70"/>
      <c r="R32" s="70"/>
      <c r="S32" s="70"/>
      <c r="T32" s="70"/>
      <c r="U32" s="70"/>
      <c r="V32" s="70"/>
      <c r="W32" s="70"/>
      <c r="X32" s="70"/>
      <c r="Y32" s="70"/>
      <c r="Z32" s="70"/>
    </row>
    <row r="33" spans="1:26">
      <c r="A33" s="70" t="str">
        <f>IF('Item Setup Form'!$AF37="Yes",'Item Setup Form'!$E37,"")</f>
        <v/>
      </c>
      <c r="B33" s="70" t="str">
        <f>IF('Item Setup Form'!$AF37="Yes",'Item Setup Form'!D37,"")</f>
        <v/>
      </c>
      <c r="C33" s="81" t="str">
        <f>IF('Item Setup Form'!$AF37="Yes",'Item Setup Form'!L37,"")</f>
        <v/>
      </c>
      <c r="D33" s="81" t="str">
        <f>IF('Item Setup Form'!$AF37="Yes",'Item Setup Form'!M37,"")</f>
        <v/>
      </c>
      <c r="E33" s="70"/>
      <c r="F33" s="70" t="str">
        <f>IF('Item Setup Form'!$AF37="Yes",'Item Setup Form'!G37,"")</f>
        <v/>
      </c>
      <c r="G33" s="70" t="str">
        <f>IF('Item Setup Form'!$AF37="Yes",'Item Setup Form'!H37,"")</f>
        <v/>
      </c>
      <c r="H33" s="70" t="str">
        <f>IF('Item Setup Form'!$AF37="Yes",'Item Setup Form'!V37,"")</f>
        <v/>
      </c>
      <c r="I33" s="70"/>
      <c r="J33" s="70" t="str">
        <f>IF('Item Setup Form'!$AF37="Yes",'Item Setup Form'!U37,"")</f>
        <v/>
      </c>
      <c r="K33" s="70" t="str">
        <f>IF('Item Setup Form'!$AF37="Yes",'Item Setup Form'!V37,"")</f>
        <v/>
      </c>
      <c r="L33" s="70"/>
      <c r="M33" s="70" t="str">
        <f>IF('Item Setup Form'!$AF37="Yes",'Item Setup Form'!A37,"")</f>
        <v/>
      </c>
      <c r="N33" s="70"/>
      <c r="O33" s="70"/>
      <c r="P33" s="70"/>
      <c r="Q33" s="70"/>
      <c r="R33" s="70"/>
      <c r="S33" s="70"/>
      <c r="T33" s="70"/>
      <c r="U33" s="70"/>
      <c r="V33" s="70"/>
      <c r="W33" s="70"/>
      <c r="X33" s="70"/>
      <c r="Y33" s="70"/>
      <c r="Z33" s="70"/>
    </row>
    <row r="34" spans="1:26">
      <c r="A34" s="70" t="str">
        <f>IF('Item Setup Form'!$AF38="Yes",'Item Setup Form'!$E38,"")</f>
        <v/>
      </c>
      <c r="B34" s="70" t="str">
        <f>IF('Item Setup Form'!$AF38="Yes",'Item Setup Form'!D38,"")</f>
        <v/>
      </c>
      <c r="C34" s="81" t="str">
        <f>IF('Item Setup Form'!$AF38="Yes",'Item Setup Form'!L38,"")</f>
        <v/>
      </c>
      <c r="D34" s="81" t="str">
        <f>IF('Item Setup Form'!$AF38="Yes",'Item Setup Form'!M38,"")</f>
        <v/>
      </c>
      <c r="E34" s="70"/>
      <c r="F34" s="70" t="str">
        <f>IF('Item Setup Form'!$AF38="Yes",'Item Setup Form'!G38,"")</f>
        <v/>
      </c>
      <c r="G34" s="70" t="str">
        <f>IF('Item Setup Form'!$AF38="Yes",'Item Setup Form'!H38,"")</f>
        <v/>
      </c>
      <c r="H34" s="70" t="str">
        <f>IF('Item Setup Form'!$AF38="Yes",'Item Setup Form'!V38,"")</f>
        <v/>
      </c>
      <c r="I34" s="70"/>
      <c r="J34" s="70" t="str">
        <f>IF('Item Setup Form'!$AF38="Yes",'Item Setup Form'!U38,"")</f>
        <v/>
      </c>
      <c r="K34" s="70" t="str">
        <f>IF('Item Setup Form'!$AF38="Yes",'Item Setup Form'!V38,"")</f>
        <v/>
      </c>
      <c r="L34" s="70"/>
      <c r="M34" s="70" t="str">
        <f>IF('Item Setup Form'!$AF38="Yes",'Item Setup Form'!A38,"")</f>
        <v/>
      </c>
      <c r="N34" s="70"/>
      <c r="O34" s="70"/>
      <c r="P34" s="70"/>
      <c r="Q34" s="70"/>
      <c r="R34" s="70"/>
      <c r="S34" s="70"/>
      <c r="T34" s="70"/>
      <c r="U34" s="70"/>
      <c r="V34" s="70"/>
      <c r="W34" s="70"/>
      <c r="X34" s="70"/>
      <c r="Y34" s="70"/>
      <c r="Z34" s="70"/>
    </row>
    <row r="35" spans="1:26">
      <c r="A35" s="70" t="str">
        <f>IF('Item Setup Form'!$AF39="Yes",'Item Setup Form'!$E39,"")</f>
        <v/>
      </c>
      <c r="B35" s="70" t="str">
        <f>IF('Item Setup Form'!$AF39="Yes",'Item Setup Form'!D39,"")</f>
        <v/>
      </c>
      <c r="C35" s="81" t="str">
        <f>IF('Item Setup Form'!$AF39="Yes",'Item Setup Form'!L39,"")</f>
        <v/>
      </c>
      <c r="D35" s="81" t="str">
        <f>IF('Item Setup Form'!$AF39="Yes",'Item Setup Form'!M39,"")</f>
        <v/>
      </c>
      <c r="E35" s="70"/>
      <c r="F35" s="70" t="str">
        <f>IF('Item Setup Form'!$AF39="Yes",'Item Setup Form'!G39,"")</f>
        <v/>
      </c>
      <c r="G35" s="70" t="str">
        <f>IF('Item Setup Form'!$AF39="Yes",'Item Setup Form'!H39,"")</f>
        <v/>
      </c>
      <c r="H35" s="70" t="str">
        <f>IF('Item Setup Form'!$AF39="Yes",'Item Setup Form'!V39,"")</f>
        <v/>
      </c>
      <c r="I35" s="70"/>
      <c r="J35" s="70" t="str">
        <f>IF('Item Setup Form'!$AF39="Yes",'Item Setup Form'!U39,"")</f>
        <v/>
      </c>
      <c r="K35" s="70" t="str">
        <f>IF('Item Setup Form'!$AF39="Yes",'Item Setup Form'!V39,"")</f>
        <v/>
      </c>
      <c r="L35" s="70"/>
      <c r="M35" s="70" t="str">
        <f>IF('Item Setup Form'!$AF39="Yes",'Item Setup Form'!A39,"")</f>
        <v/>
      </c>
      <c r="N35" s="70"/>
      <c r="O35" s="70"/>
      <c r="P35" s="70"/>
      <c r="Q35" s="70"/>
      <c r="R35" s="70"/>
      <c r="S35" s="70"/>
      <c r="T35" s="70"/>
      <c r="U35" s="70"/>
      <c r="V35" s="70"/>
      <c r="W35" s="70"/>
      <c r="X35" s="70"/>
      <c r="Y35" s="70"/>
      <c r="Z35" s="70"/>
    </row>
    <row r="36" spans="1:26">
      <c r="A36" s="70" t="str">
        <f>IF('Item Setup Form'!$AF40="Yes",'Item Setup Form'!$E40,"")</f>
        <v/>
      </c>
      <c r="B36" s="70" t="str">
        <f>IF('Item Setup Form'!$AF40="Yes",'Item Setup Form'!D40,"")</f>
        <v/>
      </c>
      <c r="C36" s="81" t="str">
        <f>IF('Item Setup Form'!$AF40="Yes",'Item Setup Form'!L40,"")</f>
        <v/>
      </c>
      <c r="D36" s="81" t="str">
        <f>IF('Item Setup Form'!$AF40="Yes",'Item Setup Form'!M40,"")</f>
        <v/>
      </c>
      <c r="E36" s="70"/>
      <c r="F36" s="70" t="str">
        <f>IF('Item Setup Form'!$AF40="Yes",'Item Setup Form'!G40,"")</f>
        <v/>
      </c>
      <c r="G36" s="70" t="str">
        <f>IF('Item Setup Form'!$AF40="Yes",'Item Setup Form'!H40,"")</f>
        <v/>
      </c>
      <c r="H36" s="70" t="str">
        <f>IF('Item Setup Form'!$AF40="Yes",'Item Setup Form'!V40,"")</f>
        <v/>
      </c>
      <c r="I36" s="70"/>
      <c r="J36" s="70" t="str">
        <f>IF('Item Setup Form'!$AF40="Yes",'Item Setup Form'!U40,"")</f>
        <v/>
      </c>
      <c r="K36" s="70" t="str">
        <f>IF('Item Setup Form'!$AF40="Yes",'Item Setup Form'!V40,"")</f>
        <v/>
      </c>
      <c r="L36" s="70"/>
      <c r="M36" s="70" t="str">
        <f>IF('Item Setup Form'!$AF40="Yes",'Item Setup Form'!A40,"")</f>
        <v/>
      </c>
      <c r="N36" s="70"/>
      <c r="O36" s="70"/>
      <c r="P36" s="70"/>
      <c r="Q36" s="70"/>
      <c r="R36" s="70"/>
      <c r="S36" s="70"/>
      <c r="T36" s="70"/>
      <c r="U36" s="70"/>
      <c r="V36" s="70"/>
      <c r="W36" s="70"/>
      <c r="X36" s="70"/>
      <c r="Y36" s="70"/>
      <c r="Z36" s="70"/>
    </row>
    <row r="37" spans="1:26">
      <c r="A37" s="70" t="str">
        <f>IF('Item Setup Form'!$AF41="Yes",'Item Setup Form'!$E41,"")</f>
        <v/>
      </c>
      <c r="B37" s="70" t="str">
        <f>IF('Item Setup Form'!$AF41="Yes",'Item Setup Form'!D41,"")</f>
        <v/>
      </c>
      <c r="C37" s="81" t="str">
        <f>IF('Item Setup Form'!$AF41="Yes",'Item Setup Form'!L41,"")</f>
        <v/>
      </c>
      <c r="D37" s="81" t="str">
        <f>IF('Item Setup Form'!$AF41="Yes",'Item Setup Form'!M41,"")</f>
        <v/>
      </c>
      <c r="E37" s="70"/>
      <c r="F37" s="70" t="str">
        <f>IF('Item Setup Form'!$AF41="Yes",'Item Setup Form'!G41,"")</f>
        <v/>
      </c>
      <c r="G37" s="70" t="str">
        <f>IF('Item Setup Form'!$AF41="Yes",'Item Setup Form'!H41,"")</f>
        <v/>
      </c>
      <c r="H37" s="70" t="str">
        <f>IF('Item Setup Form'!$AF41="Yes",'Item Setup Form'!V41,"")</f>
        <v/>
      </c>
      <c r="I37" s="70"/>
      <c r="J37" s="70" t="str">
        <f>IF('Item Setup Form'!$AF41="Yes",'Item Setup Form'!U41,"")</f>
        <v/>
      </c>
      <c r="K37" s="70" t="str">
        <f>IF('Item Setup Form'!$AF41="Yes",'Item Setup Form'!V41,"")</f>
        <v/>
      </c>
      <c r="L37" s="70"/>
      <c r="M37" s="70" t="str">
        <f>IF('Item Setup Form'!$AF41="Yes",'Item Setup Form'!A41,"")</f>
        <v/>
      </c>
      <c r="N37" s="70"/>
      <c r="O37" s="70"/>
      <c r="P37" s="70"/>
      <c r="Q37" s="70"/>
      <c r="R37" s="70"/>
      <c r="S37" s="70"/>
      <c r="T37" s="70"/>
      <c r="U37" s="70"/>
      <c r="V37" s="70"/>
      <c r="W37" s="70"/>
      <c r="X37" s="70"/>
      <c r="Y37" s="70"/>
      <c r="Z37" s="70"/>
    </row>
    <row r="38" spans="1:26">
      <c r="A38" s="70" t="str">
        <f>IF('Item Setup Form'!$AF42="Yes",'Item Setup Form'!$E42,"")</f>
        <v/>
      </c>
      <c r="B38" s="70" t="str">
        <f>IF('Item Setup Form'!$AF42="Yes",'Item Setup Form'!D42,"")</f>
        <v/>
      </c>
      <c r="C38" s="81" t="str">
        <f>IF('Item Setup Form'!$AF42="Yes",'Item Setup Form'!L42,"")</f>
        <v/>
      </c>
      <c r="D38" s="81" t="str">
        <f>IF('Item Setup Form'!$AF42="Yes",'Item Setup Form'!M42,"")</f>
        <v/>
      </c>
      <c r="E38" s="70"/>
      <c r="F38" s="70" t="str">
        <f>IF('Item Setup Form'!$AF42="Yes",'Item Setup Form'!G42,"")</f>
        <v/>
      </c>
      <c r="G38" s="70" t="str">
        <f>IF('Item Setup Form'!$AF42="Yes",'Item Setup Form'!H42,"")</f>
        <v/>
      </c>
      <c r="H38" s="70" t="str">
        <f>IF('Item Setup Form'!$AF42="Yes",'Item Setup Form'!V42,"")</f>
        <v/>
      </c>
      <c r="I38" s="70"/>
      <c r="J38" s="70" t="str">
        <f>IF('Item Setup Form'!$AF42="Yes",'Item Setup Form'!U42,"")</f>
        <v/>
      </c>
      <c r="K38" s="70" t="str">
        <f>IF('Item Setup Form'!$AF42="Yes",'Item Setup Form'!V42,"")</f>
        <v/>
      </c>
      <c r="L38" s="70"/>
      <c r="M38" s="70" t="str">
        <f>IF('Item Setup Form'!$AF42="Yes",'Item Setup Form'!A42,"")</f>
        <v/>
      </c>
      <c r="N38" s="70"/>
      <c r="O38" s="70"/>
      <c r="P38" s="70"/>
      <c r="Q38" s="70"/>
      <c r="R38" s="70"/>
      <c r="S38" s="70"/>
      <c r="T38" s="70"/>
      <c r="U38" s="70"/>
      <c r="V38" s="70"/>
      <c r="W38" s="70"/>
      <c r="X38" s="70"/>
      <c r="Y38" s="70"/>
      <c r="Z38" s="70"/>
    </row>
    <row r="39" spans="1:26">
      <c r="A39" s="70" t="str">
        <f>IF('Item Setup Form'!$AF43="Yes",'Item Setup Form'!$E43,"")</f>
        <v/>
      </c>
      <c r="B39" s="70" t="str">
        <f>IF('Item Setup Form'!$AF43="Yes",'Item Setup Form'!D43,"")</f>
        <v/>
      </c>
      <c r="C39" s="81" t="str">
        <f>IF('Item Setup Form'!$AF43="Yes",'Item Setup Form'!L43,"")</f>
        <v/>
      </c>
      <c r="D39" s="81" t="str">
        <f>IF('Item Setup Form'!$AF43="Yes",'Item Setup Form'!M43,"")</f>
        <v/>
      </c>
      <c r="E39" s="70"/>
      <c r="F39" s="70" t="str">
        <f>IF('Item Setup Form'!$AF43="Yes",'Item Setup Form'!G43,"")</f>
        <v/>
      </c>
      <c r="G39" s="70" t="str">
        <f>IF('Item Setup Form'!$AF43="Yes",'Item Setup Form'!H43,"")</f>
        <v/>
      </c>
      <c r="H39" s="70" t="str">
        <f>IF('Item Setup Form'!$AF43="Yes",'Item Setup Form'!V43,"")</f>
        <v/>
      </c>
      <c r="I39" s="70"/>
      <c r="J39" s="70" t="str">
        <f>IF('Item Setup Form'!$AF43="Yes",'Item Setup Form'!U43,"")</f>
        <v/>
      </c>
      <c r="K39" s="70" t="str">
        <f>IF('Item Setup Form'!$AF43="Yes",'Item Setup Form'!V43,"")</f>
        <v/>
      </c>
      <c r="L39" s="70"/>
      <c r="M39" s="70" t="str">
        <f>IF('Item Setup Form'!$AF43="Yes",'Item Setup Form'!A43,"")</f>
        <v/>
      </c>
      <c r="N39" s="70"/>
      <c r="O39" s="70"/>
      <c r="P39" s="70"/>
      <c r="Q39" s="70"/>
      <c r="R39" s="70"/>
      <c r="S39" s="70"/>
      <c r="T39" s="70"/>
      <c r="U39" s="70"/>
      <c r="V39" s="70"/>
      <c r="W39" s="70"/>
      <c r="X39" s="70"/>
      <c r="Y39" s="70"/>
      <c r="Z39" s="70"/>
    </row>
    <row r="40" spans="1:26">
      <c r="A40" s="70" t="str">
        <f>IF('Item Setup Form'!$AF44="Yes",'Item Setup Form'!$E44,"")</f>
        <v/>
      </c>
      <c r="B40" s="70" t="str">
        <f>IF('Item Setup Form'!$AF44="Yes",'Item Setup Form'!D44,"")</f>
        <v/>
      </c>
      <c r="C40" s="81" t="str">
        <f>IF('Item Setup Form'!$AF44="Yes",'Item Setup Form'!L44,"")</f>
        <v/>
      </c>
      <c r="D40" s="81" t="str">
        <f>IF('Item Setup Form'!$AF44="Yes",'Item Setup Form'!M44,"")</f>
        <v/>
      </c>
      <c r="E40" s="70"/>
      <c r="F40" s="70" t="str">
        <f>IF('Item Setup Form'!$AF44="Yes",'Item Setup Form'!G44,"")</f>
        <v/>
      </c>
      <c r="G40" s="70" t="str">
        <f>IF('Item Setup Form'!$AF44="Yes",'Item Setup Form'!H44,"")</f>
        <v/>
      </c>
      <c r="H40" s="70" t="str">
        <f>IF('Item Setup Form'!$AF44="Yes",'Item Setup Form'!V44,"")</f>
        <v/>
      </c>
      <c r="I40" s="70"/>
      <c r="J40" s="70" t="str">
        <f>IF('Item Setup Form'!$AF44="Yes",'Item Setup Form'!U44,"")</f>
        <v/>
      </c>
      <c r="K40" s="70" t="str">
        <f>IF('Item Setup Form'!$AF44="Yes",'Item Setup Form'!V44,"")</f>
        <v/>
      </c>
      <c r="L40" s="70"/>
      <c r="M40" s="70" t="str">
        <f>IF('Item Setup Form'!$AF44="Yes",'Item Setup Form'!A44,"")</f>
        <v/>
      </c>
      <c r="N40" s="70"/>
      <c r="O40" s="70"/>
      <c r="P40" s="70"/>
      <c r="Q40" s="70"/>
      <c r="R40" s="70"/>
      <c r="S40" s="70"/>
      <c r="T40" s="70"/>
      <c r="U40" s="70"/>
      <c r="V40" s="70"/>
      <c r="W40" s="70"/>
      <c r="X40" s="70"/>
      <c r="Y40" s="70"/>
      <c r="Z40" s="70"/>
    </row>
    <row r="41" spans="1:26">
      <c r="A41" s="70" t="str">
        <f>IF('Item Setup Form'!$AF45="Yes",'Item Setup Form'!$E45,"")</f>
        <v/>
      </c>
      <c r="B41" s="70" t="str">
        <f>IF('Item Setup Form'!$AF45="Yes",'Item Setup Form'!D45,"")</f>
        <v/>
      </c>
      <c r="C41" s="81" t="str">
        <f>IF('Item Setup Form'!$AF45="Yes",'Item Setup Form'!L45,"")</f>
        <v/>
      </c>
      <c r="D41" s="81" t="str">
        <f>IF('Item Setup Form'!$AF45="Yes",'Item Setup Form'!M45,"")</f>
        <v/>
      </c>
      <c r="E41" s="70"/>
      <c r="F41" s="70" t="str">
        <f>IF('Item Setup Form'!$AF45="Yes",'Item Setup Form'!G45,"")</f>
        <v/>
      </c>
      <c r="G41" s="70" t="str">
        <f>IF('Item Setup Form'!$AF45="Yes",'Item Setup Form'!H45,"")</f>
        <v/>
      </c>
      <c r="H41" s="70" t="str">
        <f>IF('Item Setup Form'!$AF45="Yes",'Item Setup Form'!V45,"")</f>
        <v/>
      </c>
      <c r="I41" s="70"/>
      <c r="J41" s="70" t="str">
        <f>IF('Item Setup Form'!$AF45="Yes",'Item Setup Form'!U45,"")</f>
        <v/>
      </c>
      <c r="K41" s="70" t="str">
        <f>IF('Item Setup Form'!$AF45="Yes",'Item Setup Form'!V45,"")</f>
        <v/>
      </c>
      <c r="L41" s="70"/>
      <c r="M41" s="70" t="str">
        <f>IF('Item Setup Form'!$AF45="Yes",'Item Setup Form'!A45,"")</f>
        <v/>
      </c>
      <c r="N41" s="70"/>
      <c r="O41" s="70"/>
      <c r="P41" s="70"/>
      <c r="Q41" s="70"/>
      <c r="R41" s="70"/>
      <c r="S41" s="70"/>
      <c r="T41" s="70"/>
      <c r="U41" s="70"/>
      <c r="V41" s="70"/>
      <c r="W41" s="70"/>
      <c r="X41" s="70"/>
      <c r="Y41" s="70"/>
      <c r="Z41" s="70"/>
    </row>
    <row r="42" spans="1:26">
      <c r="A42" s="70" t="str">
        <f>IF('Item Setup Form'!$AF46="Yes",'Item Setup Form'!$E46,"")</f>
        <v/>
      </c>
      <c r="B42" s="70" t="str">
        <f>IF('Item Setup Form'!$AF46="Yes",'Item Setup Form'!D46,"")</f>
        <v/>
      </c>
      <c r="C42" s="81" t="str">
        <f>IF('Item Setup Form'!$AF46="Yes",'Item Setup Form'!L46,"")</f>
        <v/>
      </c>
      <c r="D42" s="81" t="str">
        <f>IF('Item Setup Form'!$AF46="Yes",'Item Setup Form'!M46,"")</f>
        <v/>
      </c>
      <c r="E42" s="70"/>
      <c r="F42" s="70" t="str">
        <f>IF('Item Setup Form'!$AF46="Yes",'Item Setup Form'!G46,"")</f>
        <v/>
      </c>
      <c r="G42" s="70" t="str">
        <f>IF('Item Setup Form'!$AF46="Yes",'Item Setup Form'!H46,"")</f>
        <v/>
      </c>
      <c r="H42" s="70" t="str">
        <f>IF('Item Setup Form'!$AF46="Yes",'Item Setup Form'!V46,"")</f>
        <v/>
      </c>
      <c r="I42" s="70"/>
      <c r="J42" s="70" t="str">
        <f>IF('Item Setup Form'!$AF46="Yes",'Item Setup Form'!U46,"")</f>
        <v/>
      </c>
      <c r="K42" s="70" t="str">
        <f>IF('Item Setup Form'!$AF46="Yes",'Item Setup Form'!V46,"")</f>
        <v/>
      </c>
      <c r="L42" s="70"/>
      <c r="M42" s="70" t="str">
        <f>IF('Item Setup Form'!$AF46="Yes",'Item Setup Form'!A46,"")</f>
        <v/>
      </c>
      <c r="N42" s="70"/>
      <c r="O42" s="70"/>
      <c r="P42" s="70"/>
      <c r="Q42" s="70"/>
      <c r="R42" s="70"/>
      <c r="S42" s="70"/>
      <c r="T42" s="70"/>
      <c r="U42" s="70"/>
      <c r="V42" s="70"/>
      <c r="W42" s="70"/>
      <c r="X42" s="70"/>
      <c r="Y42" s="70"/>
      <c r="Z42" s="70"/>
    </row>
    <row r="43" spans="1:26">
      <c r="A43" s="70" t="str">
        <f>IF('Item Setup Form'!$AF47="Yes",'Item Setup Form'!$E47,"")</f>
        <v/>
      </c>
      <c r="B43" s="70" t="str">
        <f>IF('Item Setup Form'!$AF47="Yes",'Item Setup Form'!D47,"")</f>
        <v/>
      </c>
      <c r="C43" s="81" t="str">
        <f>IF('Item Setup Form'!$AF47="Yes",'Item Setup Form'!L47,"")</f>
        <v/>
      </c>
      <c r="D43" s="81" t="str">
        <f>IF('Item Setup Form'!$AF47="Yes",'Item Setup Form'!M47,"")</f>
        <v/>
      </c>
      <c r="E43" s="70"/>
      <c r="F43" s="70" t="str">
        <f>IF('Item Setup Form'!$AF47="Yes",'Item Setup Form'!G47,"")</f>
        <v/>
      </c>
      <c r="G43" s="70" t="str">
        <f>IF('Item Setup Form'!$AF47="Yes",'Item Setup Form'!H47,"")</f>
        <v/>
      </c>
      <c r="H43" s="70" t="str">
        <f>IF('Item Setup Form'!$AF47="Yes",'Item Setup Form'!V47,"")</f>
        <v/>
      </c>
      <c r="I43" s="70"/>
      <c r="J43" s="70" t="str">
        <f>IF('Item Setup Form'!$AF47="Yes",'Item Setup Form'!U47,"")</f>
        <v/>
      </c>
      <c r="K43" s="70" t="str">
        <f>IF('Item Setup Form'!$AF47="Yes",'Item Setup Form'!V47,"")</f>
        <v/>
      </c>
      <c r="L43" s="70"/>
      <c r="M43" s="70" t="str">
        <f>IF('Item Setup Form'!$AF47="Yes",'Item Setup Form'!A47,"")</f>
        <v/>
      </c>
      <c r="N43" s="70"/>
      <c r="O43" s="70"/>
      <c r="P43" s="70"/>
      <c r="Q43" s="70"/>
      <c r="R43" s="70"/>
      <c r="S43" s="70"/>
      <c r="T43" s="70"/>
      <c r="U43" s="70"/>
      <c r="V43" s="70"/>
      <c r="W43" s="70"/>
      <c r="X43" s="70"/>
      <c r="Y43" s="70"/>
      <c r="Z43" s="70"/>
    </row>
    <row r="44" spans="1:26">
      <c r="A44" s="70" t="str">
        <f>IF('Item Setup Form'!$AF48="Yes",'Item Setup Form'!$E48,"")</f>
        <v/>
      </c>
      <c r="B44" s="70" t="str">
        <f>IF('Item Setup Form'!$AF48="Yes",'Item Setup Form'!D48,"")</f>
        <v/>
      </c>
      <c r="C44" s="81" t="str">
        <f>IF('Item Setup Form'!$AF48="Yes",'Item Setup Form'!L48,"")</f>
        <v/>
      </c>
      <c r="D44" s="81" t="str">
        <f>IF('Item Setup Form'!$AF48="Yes",'Item Setup Form'!M48,"")</f>
        <v/>
      </c>
      <c r="E44" s="70"/>
      <c r="F44" s="70" t="str">
        <f>IF('Item Setup Form'!$AF48="Yes",'Item Setup Form'!G48,"")</f>
        <v/>
      </c>
      <c r="G44" s="70" t="str">
        <f>IF('Item Setup Form'!$AF48="Yes",'Item Setup Form'!H48,"")</f>
        <v/>
      </c>
      <c r="H44" s="70" t="str">
        <f>IF('Item Setup Form'!$AF48="Yes",'Item Setup Form'!V48,"")</f>
        <v/>
      </c>
      <c r="I44" s="70"/>
      <c r="J44" s="70" t="str">
        <f>IF('Item Setup Form'!$AF48="Yes",'Item Setup Form'!U48,"")</f>
        <v/>
      </c>
      <c r="K44" s="70" t="str">
        <f>IF('Item Setup Form'!$AF48="Yes",'Item Setup Form'!V48,"")</f>
        <v/>
      </c>
      <c r="L44" s="70"/>
      <c r="M44" s="70" t="str">
        <f>IF('Item Setup Form'!$AF48="Yes",'Item Setup Form'!A48,"")</f>
        <v/>
      </c>
      <c r="N44" s="70"/>
      <c r="O44" s="70"/>
      <c r="P44" s="70"/>
      <c r="Q44" s="70"/>
      <c r="R44" s="70"/>
      <c r="S44" s="70"/>
      <c r="T44" s="70"/>
      <c r="U44" s="70"/>
      <c r="V44" s="70"/>
      <c r="W44" s="70"/>
      <c r="X44" s="70"/>
      <c r="Y44" s="70"/>
      <c r="Z44" s="70"/>
    </row>
    <row r="45" spans="1:26">
      <c r="A45" s="70" t="str">
        <f>IF('Item Setup Form'!$AF49="Yes",'Item Setup Form'!$E49,"")</f>
        <v/>
      </c>
      <c r="B45" s="70" t="str">
        <f>IF('Item Setup Form'!$AF49="Yes",'Item Setup Form'!D49,"")</f>
        <v/>
      </c>
      <c r="C45" s="81" t="str">
        <f>IF('Item Setup Form'!$AF49="Yes",'Item Setup Form'!L49,"")</f>
        <v/>
      </c>
      <c r="D45" s="81" t="str">
        <f>IF('Item Setup Form'!$AF49="Yes",'Item Setup Form'!M49,"")</f>
        <v/>
      </c>
      <c r="E45" s="70"/>
      <c r="F45" s="70" t="str">
        <f>IF('Item Setup Form'!$AF49="Yes",'Item Setup Form'!G49,"")</f>
        <v/>
      </c>
      <c r="G45" s="70" t="str">
        <f>IF('Item Setup Form'!$AF49="Yes",'Item Setup Form'!H49,"")</f>
        <v/>
      </c>
      <c r="H45" s="70" t="str">
        <f>IF('Item Setup Form'!$AF49="Yes",'Item Setup Form'!V49,"")</f>
        <v/>
      </c>
      <c r="I45" s="70"/>
      <c r="J45" s="70" t="str">
        <f>IF('Item Setup Form'!$AF49="Yes",'Item Setup Form'!U49,"")</f>
        <v/>
      </c>
      <c r="K45" s="70" t="str">
        <f>IF('Item Setup Form'!$AF49="Yes",'Item Setup Form'!V49,"")</f>
        <v/>
      </c>
      <c r="L45" s="70"/>
      <c r="M45" s="70" t="str">
        <f>IF('Item Setup Form'!$AF49="Yes",'Item Setup Form'!A49,"")</f>
        <v/>
      </c>
      <c r="N45" s="70"/>
      <c r="O45" s="70"/>
      <c r="P45" s="70"/>
      <c r="Q45" s="70"/>
      <c r="R45" s="70"/>
      <c r="S45" s="70"/>
      <c r="T45" s="70"/>
      <c r="U45" s="70"/>
      <c r="V45" s="70"/>
      <c r="W45" s="70"/>
      <c r="X45" s="70"/>
      <c r="Y45" s="70"/>
      <c r="Z45" s="70"/>
    </row>
    <row r="46" spans="1:26">
      <c r="A46" s="70" t="str">
        <f>IF('Item Setup Form'!$AF50="Yes",'Item Setup Form'!$E50,"")</f>
        <v/>
      </c>
      <c r="B46" s="70" t="str">
        <f>IF('Item Setup Form'!$AF50="Yes",'Item Setup Form'!D50,"")</f>
        <v/>
      </c>
      <c r="C46" s="81" t="str">
        <f>IF('Item Setup Form'!$AF50="Yes",'Item Setup Form'!L50,"")</f>
        <v/>
      </c>
      <c r="D46" s="81" t="str">
        <f>IF('Item Setup Form'!$AF50="Yes",'Item Setup Form'!M50,"")</f>
        <v/>
      </c>
      <c r="E46" s="70"/>
      <c r="F46" s="70" t="str">
        <f>IF('Item Setup Form'!$AF50="Yes",'Item Setup Form'!G50,"")</f>
        <v/>
      </c>
      <c r="G46" s="70" t="str">
        <f>IF('Item Setup Form'!$AF50="Yes",'Item Setup Form'!H50,"")</f>
        <v/>
      </c>
      <c r="H46" s="70" t="str">
        <f>IF('Item Setup Form'!$AF50="Yes",'Item Setup Form'!V50,"")</f>
        <v/>
      </c>
      <c r="I46" s="70"/>
      <c r="J46" s="70" t="str">
        <f>IF('Item Setup Form'!$AF50="Yes",'Item Setup Form'!U50,"")</f>
        <v/>
      </c>
      <c r="K46" s="70" t="str">
        <f>IF('Item Setup Form'!$AF50="Yes",'Item Setup Form'!V50,"")</f>
        <v/>
      </c>
      <c r="L46" s="70"/>
      <c r="M46" s="70" t="str">
        <f>IF('Item Setup Form'!$AF50="Yes",'Item Setup Form'!A50,"")</f>
        <v/>
      </c>
      <c r="N46" s="70"/>
      <c r="O46" s="70"/>
      <c r="P46" s="70"/>
      <c r="Q46" s="70"/>
      <c r="R46" s="70"/>
      <c r="S46" s="70"/>
      <c r="T46" s="70"/>
      <c r="U46" s="70"/>
      <c r="V46" s="70"/>
      <c r="W46" s="70"/>
      <c r="X46" s="70"/>
      <c r="Y46" s="70"/>
      <c r="Z46" s="70"/>
    </row>
    <row r="47" spans="1:26">
      <c r="A47" s="70" t="str">
        <f>IF('Item Setup Form'!$AF51="Yes",'Item Setup Form'!$E51,"")</f>
        <v/>
      </c>
      <c r="B47" s="70" t="str">
        <f>IF('Item Setup Form'!$AF51="Yes",'Item Setup Form'!D51,"")</f>
        <v/>
      </c>
      <c r="C47" s="81" t="str">
        <f>IF('Item Setup Form'!$AF51="Yes",'Item Setup Form'!L51,"")</f>
        <v/>
      </c>
      <c r="D47" s="81" t="str">
        <f>IF('Item Setup Form'!$AF51="Yes",'Item Setup Form'!M51,"")</f>
        <v/>
      </c>
      <c r="E47" s="70"/>
      <c r="F47" s="70" t="str">
        <f>IF('Item Setup Form'!$AF51="Yes",'Item Setup Form'!G51,"")</f>
        <v/>
      </c>
      <c r="G47" s="70" t="str">
        <f>IF('Item Setup Form'!$AF51="Yes",'Item Setup Form'!H51,"")</f>
        <v/>
      </c>
      <c r="H47" s="70" t="str">
        <f>IF('Item Setup Form'!$AF51="Yes",'Item Setup Form'!V51,"")</f>
        <v/>
      </c>
      <c r="I47" s="70"/>
      <c r="J47" s="70" t="str">
        <f>IF('Item Setup Form'!$AF51="Yes",'Item Setup Form'!U51,"")</f>
        <v/>
      </c>
      <c r="K47" s="70" t="str">
        <f>IF('Item Setup Form'!$AF51="Yes",'Item Setup Form'!V51,"")</f>
        <v/>
      </c>
      <c r="L47" s="70"/>
      <c r="M47" s="70" t="str">
        <f>IF('Item Setup Form'!$AF51="Yes",'Item Setup Form'!A51,"")</f>
        <v/>
      </c>
      <c r="N47" s="70"/>
      <c r="O47" s="70"/>
      <c r="P47" s="70"/>
      <c r="Q47" s="70"/>
      <c r="R47" s="70"/>
      <c r="S47" s="70"/>
      <c r="T47" s="70"/>
      <c r="U47" s="70"/>
      <c r="V47" s="70"/>
      <c r="W47" s="70"/>
      <c r="X47" s="70"/>
      <c r="Y47" s="70"/>
      <c r="Z47" s="70"/>
    </row>
    <row r="48" spans="1:26">
      <c r="A48" s="70" t="str">
        <f>IF('Item Setup Form'!$AF52="Yes",'Item Setup Form'!$E52,"")</f>
        <v/>
      </c>
      <c r="B48" s="70" t="str">
        <f>IF('Item Setup Form'!$AF52="Yes",'Item Setup Form'!D52,"")</f>
        <v/>
      </c>
      <c r="C48" s="81" t="str">
        <f>IF('Item Setup Form'!$AF52="Yes",'Item Setup Form'!L52,"")</f>
        <v/>
      </c>
      <c r="D48" s="81" t="str">
        <f>IF('Item Setup Form'!$AF52="Yes",'Item Setup Form'!M52,"")</f>
        <v/>
      </c>
      <c r="E48" s="70"/>
      <c r="F48" s="70" t="str">
        <f>IF('Item Setup Form'!$AF52="Yes",'Item Setup Form'!G52,"")</f>
        <v/>
      </c>
      <c r="G48" s="70" t="str">
        <f>IF('Item Setup Form'!$AF52="Yes",'Item Setup Form'!H52,"")</f>
        <v/>
      </c>
      <c r="H48" s="70" t="str">
        <f>IF('Item Setup Form'!$AF52="Yes",'Item Setup Form'!V52,"")</f>
        <v/>
      </c>
      <c r="I48" s="70"/>
      <c r="J48" s="70" t="str">
        <f>IF('Item Setup Form'!$AF52="Yes",'Item Setup Form'!U52,"")</f>
        <v/>
      </c>
      <c r="K48" s="70" t="str">
        <f>IF('Item Setup Form'!$AF52="Yes",'Item Setup Form'!V52,"")</f>
        <v/>
      </c>
      <c r="L48" s="70"/>
      <c r="M48" s="70" t="str">
        <f>IF('Item Setup Form'!$AF52="Yes",'Item Setup Form'!A52,"")</f>
        <v/>
      </c>
      <c r="N48" s="70"/>
      <c r="O48" s="70"/>
      <c r="P48" s="70"/>
      <c r="Q48" s="70"/>
      <c r="R48" s="70"/>
      <c r="S48" s="70"/>
      <c r="T48" s="70"/>
      <c r="U48" s="70"/>
      <c r="V48" s="70"/>
      <c r="W48" s="70"/>
      <c r="X48" s="70"/>
      <c r="Y48" s="70"/>
      <c r="Z48" s="70"/>
    </row>
    <row r="49" spans="1:26">
      <c r="A49" s="70" t="str">
        <f>IF('Item Setup Form'!$AF53="Yes",'Item Setup Form'!$E53,"")</f>
        <v/>
      </c>
      <c r="B49" s="70" t="str">
        <f>IF('Item Setup Form'!$AF53="Yes",'Item Setup Form'!D53,"")</f>
        <v/>
      </c>
      <c r="C49" s="81" t="str">
        <f>IF('Item Setup Form'!$AF53="Yes",'Item Setup Form'!L53,"")</f>
        <v/>
      </c>
      <c r="D49" s="81" t="str">
        <f>IF('Item Setup Form'!$AF53="Yes",'Item Setup Form'!M53,"")</f>
        <v/>
      </c>
      <c r="E49" s="70"/>
      <c r="F49" s="70" t="str">
        <f>IF('Item Setup Form'!$AF53="Yes",'Item Setup Form'!G53,"")</f>
        <v/>
      </c>
      <c r="G49" s="70" t="str">
        <f>IF('Item Setup Form'!$AF53="Yes",'Item Setup Form'!H53,"")</f>
        <v/>
      </c>
      <c r="H49" s="70" t="str">
        <f>IF('Item Setup Form'!$AF53="Yes",'Item Setup Form'!V53,"")</f>
        <v/>
      </c>
      <c r="I49" s="70"/>
      <c r="J49" s="70" t="str">
        <f>IF('Item Setup Form'!$AF53="Yes",'Item Setup Form'!U53,"")</f>
        <v/>
      </c>
      <c r="K49" s="70" t="str">
        <f>IF('Item Setup Form'!$AF53="Yes",'Item Setup Form'!V53,"")</f>
        <v/>
      </c>
      <c r="L49" s="70"/>
      <c r="M49" s="70" t="str">
        <f>IF('Item Setup Form'!$AF53="Yes",'Item Setup Form'!A53,"")</f>
        <v/>
      </c>
      <c r="N49" s="70"/>
      <c r="O49" s="70"/>
      <c r="P49" s="70"/>
      <c r="Q49" s="70"/>
      <c r="R49" s="70"/>
      <c r="S49" s="70"/>
      <c r="T49" s="70"/>
      <c r="U49" s="70"/>
      <c r="V49" s="70"/>
      <c r="W49" s="70"/>
      <c r="X49" s="70"/>
      <c r="Y49" s="70"/>
      <c r="Z49" s="70"/>
    </row>
    <row r="50" spans="1:26">
      <c r="A50" s="70" t="str">
        <f>IF('Item Setup Form'!$AF54="Yes",'Item Setup Form'!$E54,"")</f>
        <v/>
      </c>
      <c r="B50" s="70" t="str">
        <f>IF('Item Setup Form'!$AF54="Yes",'Item Setup Form'!D54,"")</f>
        <v/>
      </c>
      <c r="C50" s="81" t="str">
        <f>IF('Item Setup Form'!$AF54="Yes",'Item Setup Form'!L54,"")</f>
        <v/>
      </c>
      <c r="D50" s="81" t="str">
        <f>IF('Item Setup Form'!$AF54="Yes",'Item Setup Form'!M54,"")</f>
        <v/>
      </c>
      <c r="E50" s="70"/>
      <c r="F50" s="70" t="str">
        <f>IF('Item Setup Form'!$AF54="Yes",'Item Setup Form'!G54,"")</f>
        <v/>
      </c>
      <c r="G50" s="70" t="str">
        <f>IF('Item Setup Form'!$AF54="Yes",'Item Setup Form'!H54,"")</f>
        <v/>
      </c>
      <c r="H50" s="70" t="str">
        <f>IF('Item Setup Form'!$AF54="Yes",'Item Setup Form'!V54,"")</f>
        <v/>
      </c>
      <c r="I50" s="70"/>
      <c r="J50" s="70" t="str">
        <f>IF('Item Setup Form'!$AF54="Yes",'Item Setup Form'!U54,"")</f>
        <v/>
      </c>
      <c r="K50" s="70" t="str">
        <f>IF('Item Setup Form'!$AF54="Yes",'Item Setup Form'!V54,"")</f>
        <v/>
      </c>
      <c r="L50" s="70"/>
      <c r="M50" s="70" t="str">
        <f>IF('Item Setup Form'!$AF54="Yes",'Item Setup Form'!A54,"")</f>
        <v/>
      </c>
      <c r="N50" s="70"/>
      <c r="O50" s="70"/>
      <c r="P50" s="70"/>
      <c r="Q50" s="70"/>
      <c r="R50" s="70"/>
      <c r="S50" s="70"/>
      <c r="T50" s="70"/>
      <c r="U50" s="70"/>
      <c r="V50" s="70"/>
      <c r="W50" s="70"/>
      <c r="X50" s="70"/>
      <c r="Y50" s="70"/>
      <c r="Z50" s="70"/>
    </row>
    <row r="51" spans="1:26">
      <c r="A51" s="70" t="str">
        <f>IF('Item Setup Form'!$AF55="Yes",'Item Setup Form'!$E55,"")</f>
        <v/>
      </c>
      <c r="B51" s="70" t="str">
        <f>IF('Item Setup Form'!$AF55="Yes",'Item Setup Form'!D55,"")</f>
        <v/>
      </c>
      <c r="C51" s="81" t="str">
        <f>IF('Item Setup Form'!$AF55="Yes",'Item Setup Form'!L55,"")</f>
        <v/>
      </c>
      <c r="D51" s="81" t="str">
        <f>IF('Item Setup Form'!$AF55="Yes",'Item Setup Form'!M55,"")</f>
        <v/>
      </c>
      <c r="E51" s="70"/>
      <c r="F51" s="70" t="str">
        <f>IF('Item Setup Form'!$AF55="Yes",'Item Setup Form'!G55,"")</f>
        <v/>
      </c>
      <c r="G51" s="70" t="str">
        <f>IF('Item Setup Form'!$AF55="Yes",'Item Setup Form'!H55,"")</f>
        <v/>
      </c>
      <c r="H51" s="70" t="str">
        <f>IF('Item Setup Form'!$AF55="Yes",'Item Setup Form'!V55,"")</f>
        <v/>
      </c>
      <c r="I51" s="70"/>
      <c r="J51" s="70" t="str">
        <f>IF('Item Setup Form'!$AF55="Yes",'Item Setup Form'!U55,"")</f>
        <v/>
      </c>
      <c r="K51" s="70" t="str">
        <f>IF('Item Setup Form'!$AF55="Yes",'Item Setup Form'!V55,"")</f>
        <v/>
      </c>
      <c r="L51" s="70"/>
      <c r="M51" s="70" t="str">
        <f>IF('Item Setup Form'!$AF55="Yes",'Item Setup Form'!A55,"")</f>
        <v/>
      </c>
      <c r="N51" s="70"/>
      <c r="O51" s="70"/>
      <c r="P51" s="70"/>
      <c r="Q51" s="70"/>
      <c r="R51" s="70"/>
      <c r="S51" s="70"/>
      <c r="T51" s="70"/>
      <c r="U51" s="70"/>
      <c r="V51" s="70"/>
      <c r="W51" s="70"/>
      <c r="X51" s="70"/>
      <c r="Y51" s="70"/>
      <c r="Z51" s="70"/>
    </row>
    <row r="52" spans="1:26">
      <c r="A52" s="70" t="str">
        <f>IF('Item Setup Form'!$AF56="Yes",'Item Setup Form'!$E56,"")</f>
        <v/>
      </c>
      <c r="B52" s="70" t="str">
        <f>IF('Item Setup Form'!$AF56="Yes",'Item Setup Form'!D56,"")</f>
        <v/>
      </c>
      <c r="C52" s="81" t="str">
        <f>IF('Item Setup Form'!$AF56="Yes",'Item Setup Form'!L56,"")</f>
        <v/>
      </c>
      <c r="D52" s="81" t="str">
        <f>IF('Item Setup Form'!$AF56="Yes",'Item Setup Form'!M56,"")</f>
        <v/>
      </c>
      <c r="E52" s="70"/>
      <c r="F52" s="70" t="str">
        <f>IF('Item Setup Form'!$AF56="Yes",'Item Setup Form'!G56,"")</f>
        <v/>
      </c>
      <c r="G52" s="70" t="str">
        <f>IF('Item Setup Form'!$AF56="Yes",'Item Setup Form'!H56,"")</f>
        <v/>
      </c>
      <c r="H52" s="70" t="str">
        <f>IF('Item Setup Form'!$AF56="Yes",'Item Setup Form'!V56,"")</f>
        <v/>
      </c>
      <c r="I52" s="70"/>
      <c r="J52" s="70" t="str">
        <f>IF('Item Setup Form'!$AF56="Yes",'Item Setup Form'!U56,"")</f>
        <v/>
      </c>
      <c r="K52" s="70" t="str">
        <f>IF('Item Setup Form'!$AF56="Yes",'Item Setup Form'!V56,"")</f>
        <v/>
      </c>
      <c r="L52" s="70"/>
      <c r="M52" s="70" t="str">
        <f>IF('Item Setup Form'!$AF56="Yes",'Item Setup Form'!A56,"")</f>
        <v/>
      </c>
      <c r="N52" s="70"/>
      <c r="O52" s="70"/>
      <c r="P52" s="70"/>
      <c r="Q52" s="70"/>
      <c r="R52" s="70"/>
      <c r="S52" s="70"/>
      <c r="T52" s="70"/>
      <c r="U52" s="70"/>
      <c r="V52" s="70"/>
      <c r="W52" s="70"/>
      <c r="X52" s="70"/>
      <c r="Y52" s="70"/>
      <c r="Z52" s="70"/>
    </row>
    <row r="53" spans="1:26">
      <c r="A53" s="70" t="str">
        <f>IF('Item Setup Form'!$AF57="Yes",'Item Setup Form'!$E57,"")</f>
        <v/>
      </c>
      <c r="B53" s="70" t="str">
        <f>IF('Item Setup Form'!$AF57="Yes",'Item Setup Form'!D57,"")</f>
        <v/>
      </c>
      <c r="C53" s="81" t="str">
        <f>IF('Item Setup Form'!$AF57="Yes",'Item Setup Form'!L57,"")</f>
        <v/>
      </c>
      <c r="D53" s="81" t="str">
        <f>IF('Item Setup Form'!$AF57="Yes",'Item Setup Form'!M57,"")</f>
        <v/>
      </c>
      <c r="E53" s="70"/>
      <c r="F53" s="70" t="str">
        <f>IF('Item Setup Form'!$AF57="Yes",'Item Setup Form'!G57,"")</f>
        <v/>
      </c>
      <c r="G53" s="70" t="str">
        <f>IF('Item Setup Form'!$AF57="Yes",'Item Setup Form'!H57,"")</f>
        <v/>
      </c>
      <c r="H53" s="70" t="str">
        <f>IF('Item Setup Form'!$AF57="Yes",'Item Setup Form'!V57,"")</f>
        <v/>
      </c>
      <c r="I53" s="70"/>
      <c r="J53" s="70" t="str">
        <f>IF('Item Setup Form'!$AF57="Yes",'Item Setup Form'!U57,"")</f>
        <v/>
      </c>
      <c r="K53" s="70" t="str">
        <f>IF('Item Setup Form'!$AF57="Yes",'Item Setup Form'!V57,"")</f>
        <v/>
      </c>
      <c r="L53" s="70"/>
      <c r="M53" s="70" t="str">
        <f>IF('Item Setup Form'!$AF57="Yes",'Item Setup Form'!A57,"")</f>
        <v/>
      </c>
      <c r="N53" s="70"/>
      <c r="O53" s="70"/>
      <c r="P53" s="70"/>
      <c r="Q53" s="70"/>
      <c r="R53" s="70"/>
      <c r="S53" s="70"/>
      <c r="T53" s="70"/>
      <c r="U53" s="70"/>
      <c r="V53" s="70"/>
      <c r="W53" s="70"/>
      <c r="X53" s="70"/>
      <c r="Y53" s="70"/>
      <c r="Z53" s="70"/>
    </row>
    <row r="54" spans="1:26">
      <c r="A54" s="70" t="str">
        <f>IF('Item Setup Form'!$AF58="Yes",'Item Setup Form'!$E58,"")</f>
        <v/>
      </c>
      <c r="B54" s="70" t="str">
        <f>IF('Item Setup Form'!$AF58="Yes",'Item Setup Form'!D58,"")</f>
        <v/>
      </c>
      <c r="C54" s="81" t="str">
        <f>IF('Item Setup Form'!$AF58="Yes",'Item Setup Form'!L58,"")</f>
        <v/>
      </c>
      <c r="D54" s="81" t="str">
        <f>IF('Item Setup Form'!$AF58="Yes",'Item Setup Form'!M58,"")</f>
        <v/>
      </c>
      <c r="E54" s="70"/>
      <c r="F54" s="70" t="str">
        <f>IF('Item Setup Form'!$AF58="Yes",'Item Setup Form'!G58,"")</f>
        <v/>
      </c>
      <c r="G54" s="70" t="str">
        <f>IF('Item Setup Form'!$AF58="Yes",'Item Setup Form'!H58,"")</f>
        <v/>
      </c>
      <c r="H54" s="70" t="str">
        <f>IF('Item Setup Form'!$AF58="Yes",'Item Setup Form'!V58,"")</f>
        <v/>
      </c>
      <c r="I54" s="70"/>
      <c r="J54" s="70" t="str">
        <f>IF('Item Setup Form'!$AF58="Yes",'Item Setup Form'!U58,"")</f>
        <v/>
      </c>
      <c r="K54" s="70" t="str">
        <f>IF('Item Setup Form'!$AF58="Yes",'Item Setup Form'!V58,"")</f>
        <v/>
      </c>
      <c r="L54" s="70"/>
      <c r="M54" s="70" t="str">
        <f>IF('Item Setup Form'!$AF58="Yes",'Item Setup Form'!A58,"")</f>
        <v/>
      </c>
      <c r="N54" s="70"/>
      <c r="O54" s="70"/>
      <c r="P54" s="70"/>
      <c r="Q54" s="70"/>
      <c r="R54" s="70"/>
      <c r="S54" s="70"/>
      <c r="T54" s="70"/>
      <c r="U54" s="70"/>
      <c r="V54" s="70"/>
      <c r="W54" s="70"/>
      <c r="X54" s="70"/>
      <c r="Y54" s="70"/>
      <c r="Z54" s="70"/>
    </row>
    <row r="55" spans="1:26">
      <c r="A55" s="70" t="str">
        <f>IF('Item Setup Form'!$AF59="Yes",'Item Setup Form'!$E59,"")</f>
        <v/>
      </c>
      <c r="B55" s="70" t="str">
        <f>IF('Item Setup Form'!$AF59="Yes",'Item Setup Form'!D59,"")</f>
        <v/>
      </c>
      <c r="C55" s="81" t="str">
        <f>IF('Item Setup Form'!$AF59="Yes",'Item Setup Form'!L59,"")</f>
        <v/>
      </c>
      <c r="D55" s="81" t="str">
        <f>IF('Item Setup Form'!$AF59="Yes",'Item Setup Form'!M59,"")</f>
        <v/>
      </c>
      <c r="E55" s="70"/>
      <c r="F55" s="70" t="str">
        <f>IF('Item Setup Form'!$AF59="Yes",'Item Setup Form'!G59,"")</f>
        <v/>
      </c>
      <c r="G55" s="70" t="str">
        <f>IF('Item Setup Form'!$AF59="Yes",'Item Setup Form'!H59,"")</f>
        <v/>
      </c>
      <c r="H55" s="70" t="str">
        <f>IF('Item Setup Form'!$AF59="Yes",'Item Setup Form'!V59,"")</f>
        <v/>
      </c>
      <c r="I55" s="70"/>
      <c r="J55" s="70" t="str">
        <f>IF('Item Setup Form'!$AF59="Yes",'Item Setup Form'!U59,"")</f>
        <v/>
      </c>
      <c r="K55" s="70" t="str">
        <f>IF('Item Setup Form'!$AF59="Yes",'Item Setup Form'!V59,"")</f>
        <v/>
      </c>
      <c r="L55" s="70"/>
      <c r="M55" s="70" t="str">
        <f>IF('Item Setup Form'!$AF59="Yes",'Item Setup Form'!A59,"")</f>
        <v/>
      </c>
      <c r="N55" s="70"/>
      <c r="O55" s="70"/>
      <c r="P55" s="70"/>
      <c r="Q55" s="70"/>
      <c r="R55" s="70"/>
      <c r="S55" s="70"/>
      <c r="T55" s="70"/>
      <c r="U55" s="70"/>
      <c r="V55" s="70"/>
      <c r="W55" s="70"/>
      <c r="X55" s="70"/>
      <c r="Y55" s="70"/>
      <c r="Z55" s="70"/>
    </row>
    <row r="56" spans="1:26">
      <c r="A56" s="70" t="str">
        <f>IF('Item Setup Form'!$AF60="Yes",'Item Setup Form'!$E60,"")</f>
        <v/>
      </c>
      <c r="B56" s="70" t="str">
        <f>IF('Item Setup Form'!$AF60="Yes",'Item Setup Form'!D60,"")</f>
        <v/>
      </c>
      <c r="C56" s="81" t="str">
        <f>IF('Item Setup Form'!$AF60="Yes",'Item Setup Form'!L60,"")</f>
        <v/>
      </c>
      <c r="D56" s="81" t="str">
        <f>IF('Item Setup Form'!$AF60="Yes",'Item Setup Form'!M60,"")</f>
        <v/>
      </c>
      <c r="E56" s="70"/>
      <c r="F56" s="70" t="str">
        <f>IF('Item Setup Form'!$AF60="Yes",'Item Setup Form'!G60,"")</f>
        <v/>
      </c>
      <c r="G56" s="70" t="str">
        <f>IF('Item Setup Form'!$AF60="Yes",'Item Setup Form'!H60,"")</f>
        <v/>
      </c>
      <c r="H56" s="70" t="str">
        <f>IF('Item Setup Form'!$AF60="Yes",'Item Setup Form'!V60,"")</f>
        <v/>
      </c>
      <c r="I56" s="70"/>
      <c r="J56" s="70" t="str">
        <f>IF('Item Setup Form'!$AF60="Yes",'Item Setup Form'!U60,"")</f>
        <v/>
      </c>
      <c r="K56" s="70" t="str">
        <f>IF('Item Setup Form'!$AF60="Yes",'Item Setup Form'!V60,"")</f>
        <v/>
      </c>
      <c r="L56" s="70"/>
      <c r="M56" s="70" t="str">
        <f>IF('Item Setup Form'!$AF60="Yes",'Item Setup Form'!A60,"")</f>
        <v/>
      </c>
      <c r="N56" s="70"/>
      <c r="O56" s="70"/>
      <c r="P56" s="70"/>
      <c r="Q56" s="70"/>
      <c r="R56" s="70"/>
      <c r="S56" s="70"/>
      <c r="T56" s="70"/>
      <c r="U56" s="70"/>
      <c r="V56" s="70"/>
      <c r="W56" s="70"/>
      <c r="X56" s="70"/>
      <c r="Y56" s="70"/>
      <c r="Z56" s="70"/>
    </row>
    <row r="57" spans="1:26">
      <c r="A57" s="70" t="str">
        <f>IF('Item Setup Form'!$AF61="Yes",'Item Setup Form'!$E61,"")</f>
        <v/>
      </c>
      <c r="B57" s="70" t="str">
        <f>IF('Item Setup Form'!$AF61="Yes",'Item Setup Form'!D61,"")</f>
        <v/>
      </c>
      <c r="C57" s="81" t="str">
        <f>IF('Item Setup Form'!$AF61="Yes",'Item Setup Form'!L61,"")</f>
        <v/>
      </c>
      <c r="D57" s="81" t="str">
        <f>IF('Item Setup Form'!$AF61="Yes",'Item Setup Form'!M61,"")</f>
        <v/>
      </c>
      <c r="E57" s="70"/>
      <c r="F57" s="70" t="str">
        <f>IF('Item Setup Form'!$AF61="Yes",'Item Setup Form'!G61,"")</f>
        <v/>
      </c>
      <c r="G57" s="70" t="str">
        <f>IF('Item Setup Form'!$AF61="Yes",'Item Setup Form'!H61,"")</f>
        <v/>
      </c>
      <c r="H57" s="70" t="str">
        <f>IF('Item Setup Form'!$AF61="Yes",'Item Setup Form'!V61,"")</f>
        <v/>
      </c>
      <c r="I57" s="70"/>
      <c r="J57" s="70" t="str">
        <f>IF('Item Setup Form'!$AF61="Yes",'Item Setup Form'!U61,"")</f>
        <v/>
      </c>
      <c r="K57" s="70" t="str">
        <f>IF('Item Setup Form'!$AF61="Yes",'Item Setup Form'!V61,"")</f>
        <v/>
      </c>
      <c r="L57" s="70"/>
      <c r="M57" s="70" t="str">
        <f>IF('Item Setup Form'!$AF61="Yes",'Item Setup Form'!A61,"")</f>
        <v/>
      </c>
      <c r="N57" s="70"/>
      <c r="O57" s="70"/>
      <c r="P57" s="70"/>
      <c r="Q57" s="70"/>
      <c r="R57" s="70"/>
      <c r="S57" s="70"/>
      <c r="T57" s="70"/>
      <c r="U57" s="70"/>
      <c r="V57" s="70"/>
      <c r="W57" s="70"/>
      <c r="X57" s="70"/>
      <c r="Y57" s="70"/>
      <c r="Z57" s="70"/>
    </row>
    <row r="58" spans="1:26">
      <c r="A58" s="70" t="str">
        <f>IF('Item Setup Form'!$AF62="Yes",'Item Setup Form'!$E62,"")</f>
        <v/>
      </c>
      <c r="B58" s="70" t="str">
        <f>IF('Item Setup Form'!$AF62="Yes",'Item Setup Form'!D62,"")</f>
        <v/>
      </c>
      <c r="C58" s="81" t="str">
        <f>IF('Item Setup Form'!$AF62="Yes",'Item Setup Form'!L62,"")</f>
        <v/>
      </c>
      <c r="D58" s="81" t="str">
        <f>IF('Item Setup Form'!$AF62="Yes",'Item Setup Form'!M62,"")</f>
        <v/>
      </c>
      <c r="E58" s="70"/>
      <c r="F58" s="70" t="str">
        <f>IF('Item Setup Form'!$AF62="Yes",'Item Setup Form'!G62,"")</f>
        <v/>
      </c>
      <c r="G58" s="70" t="str">
        <f>IF('Item Setup Form'!$AF62="Yes",'Item Setup Form'!H62,"")</f>
        <v/>
      </c>
      <c r="H58" s="70" t="str">
        <f>IF('Item Setup Form'!$AF62="Yes",'Item Setup Form'!V62,"")</f>
        <v/>
      </c>
      <c r="I58" s="70"/>
      <c r="J58" s="70" t="str">
        <f>IF('Item Setup Form'!$AF62="Yes",'Item Setup Form'!U62,"")</f>
        <v/>
      </c>
      <c r="K58" s="70" t="str">
        <f>IF('Item Setup Form'!$AF62="Yes",'Item Setup Form'!V62,"")</f>
        <v/>
      </c>
      <c r="L58" s="70"/>
      <c r="M58" s="70" t="str">
        <f>IF('Item Setup Form'!$AF62="Yes",'Item Setup Form'!A62,"")</f>
        <v/>
      </c>
      <c r="N58" s="70"/>
      <c r="O58" s="70"/>
      <c r="P58" s="70"/>
      <c r="Q58" s="70"/>
      <c r="R58" s="70"/>
      <c r="S58" s="70"/>
      <c r="T58" s="70"/>
      <c r="U58" s="70"/>
      <c r="V58" s="70"/>
      <c r="W58" s="70"/>
      <c r="X58" s="70"/>
      <c r="Y58" s="70"/>
      <c r="Z58" s="70"/>
    </row>
    <row r="59" spans="1:26">
      <c r="A59" s="70" t="str">
        <f>IF('Item Setup Form'!$AF63="Yes",'Item Setup Form'!$E63,"")</f>
        <v/>
      </c>
      <c r="B59" s="70" t="str">
        <f>IF('Item Setup Form'!$AF63="Yes",'Item Setup Form'!D63,"")</f>
        <v/>
      </c>
      <c r="C59" s="81" t="str">
        <f>IF('Item Setup Form'!$AF63="Yes",'Item Setup Form'!L63,"")</f>
        <v/>
      </c>
      <c r="D59" s="81" t="str">
        <f>IF('Item Setup Form'!$AF63="Yes",'Item Setup Form'!M63,"")</f>
        <v/>
      </c>
      <c r="E59" s="70"/>
      <c r="F59" s="70" t="str">
        <f>IF('Item Setup Form'!$AF63="Yes",'Item Setup Form'!G63,"")</f>
        <v/>
      </c>
      <c r="G59" s="70" t="str">
        <f>IF('Item Setup Form'!$AF63="Yes",'Item Setup Form'!H63,"")</f>
        <v/>
      </c>
      <c r="H59" s="70" t="str">
        <f>IF('Item Setup Form'!$AF63="Yes",'Item Setup Form'!V63,"")</f>
        <v/>
      </c>
      <c r="I59" s="70"/>
      <c r="J59" s="70" t="str">
        <f>IF('Item Setup Form'!$AF63="Yes",'Item Setup Form'!U63,"")</f>
        <v/>
      </c>
      <c r="K59" s="70" t="str">
        <f>IF('Item Setup Form'!$AF63="Yes",'Item Setup Form'!V63,"")</f>
        <v/>
      </c>
      <c r="L59" s="70"/>
      <c r="M59" s="70" t="str">
        <f>IF('Item Setup Form'!$AF63="Yes",'Item Setup Form'!A63,"")</f>
        <v/>
      </c>
      <c r="N59" s="70"/>
      <c r="O59" s="70"/>
      <c r="P59" s="70"/>
      <c r="Q59" s="70"/>
      <c r="R59" s="70"/>
      <c r="S59" s="70"/>
      <c r="T59" s="70"/>
      <c r="U59" s="70"/>
      <c r="V59" s="70"/>
      <c r="W59" s="70"/>
      <c r="X59" s="70"/>
      <c r="Y59" s="70"/>
      <c r="Z59" s="70"/>
    </row>
    <row r="60" spans="1:26">
      <c r="A60" s="70" t="str">
        <f>IF('Item Setup Form'!$AF64="Yes",'Item Setup Form'!$E64,"")</f>
        <v/>
      </c>
      <c r="B60" s="70" t="str">
        <f>IF('Item Setup Form'!$AF64="Yes",'Item Setup Form'!D64,"")</f>
        <v/>
      </c>
      <c r="C60" s="81" t="str">
        <f>IF('Item Setup Form'!$AF64="Yes",'Item Setup Form'!L64,"")</f>
        <v/>
      </c>
      <c r="D60" s="81" t="str">
        <f>IF('Item Setup Form'!$AF64="Yes",'Item Setup Form'!M64,"")</f>
        <v/>
      </c>
      <c r="E60" s="70"/>
      <c r="F60" s="70" t="str">
        <f>IF('Item Setup Form'!$AF64="Yes",'Item Setup Form'!G64,"")</f>
        <v/>
      </c>
      <c r="G60" s="70" t="str">
        <f>IF('Item Setup Form'!$AF64="Yes",'Item Setup Form'!H64,"")</f>
        <v/>
      </c>
      <c r="H60" s="70" t="str">
        <f>IF('Item Setup Form'!$AF64="Yes",'Item Setup Form'!V64,"")</f>
        <v/>
      </c>
      <c r="I60" s="70"/>
      <c r="J60" s="70" t="str">
        <f>IF('Item Setup Form'!$AF64="Yes",'Item Setup Form'!U64,"")</f>
        <v/>
      </c>
      <c r="K60" s="70" t="str">
        <f>IF('Item Setup Form'!$AF64="Yes",'Item Setup Form'!V64,"")</f>
        <v/>
      </c>
      <c r="L60" s="70"/>
      <c r="M60" s="70" t="str">
        <f>IF('Item Setup Form'!$AF64="Yes",'Item Setup Form'!A64,"")</f>
        <v/>
      </c>
      <c r="N60" s="70"/>
      <c r="O60" s="70"/>
      <c r="P60" s="70"/>
      <c r="Q60" s="70"/>
      <c r="R60" s="70"/>
      <c r="S60" s="70"/>
      <c r="T60" s="70"/>
      <c r="U60" s="70"/>
      <c r="V60" s="70"/>
      <c r="W60" s="70"/>
      <c r="X60" s="70"/>
      <c r="Y60" s="70"/>
      <c r="Z60" s="70"/>
    </row>
    <row r="61" spans="1:26">
      <c r="A61" s="70" t="str">
        <f>IF('Item Setup Form'!$AF65="Yes",'Item Setup Form'!$E65,"")</f>
        <v/>
      </c>
      <c r="B61" s="70" t="str">
        <f>IF('Item Setup Form'!$AF65="Yes",'Item Setup Form'!D65,"")</f>
        <v/>
      </c>
      <c r="C61" s="81" t="str">
        <f>IF('Item Setup Form'!$AF65="Yes",'Item Setup Form'!L65,"")</f>
        <v/>
      </c>
      <c r="D61" s="81" t="str">
        <f>IF('Item Setup Form'!$AF65="Yes",'Item Setup Form'!M65,"")</f>
        <v/>
      </c>
      <c r="E61" s="70"/>
      <c r="F61" s="70" t="str">
        <f>IF('Item Setup Form'!$AF65="Yes",'Item Setup Form'!G65,"")</f>
        <v/>
      </c>
      <c r="G61" s="70" t="str">
        <f>IF('Item Setup Form'!$AF65="Yes",'Item Setup Form'!H65,"")</f>
        <v/>
      </c>
      <c r="H61" s="70" t="str">
        <f>IF('Item Setup Form'!$AF65="Yes",'Item Setup Form'!V65,"")</f>
        <v/>
      </c>
      <c r="I61" s="70"/>
      <c r="J61" s="70" t="str">
        <f>IF('Item Setup Form'!$AF65="Yes",'Item Setup Form'!U65,"")</f>
        <v/>
      </c>
      <c r="K61" s="70" t="str">
        <f>IF('Item Setup Form'!$AF65="Yes",'Item Setup Form'!V65,"")</f>
        <v/>
      </c>
      <c r="L61" s="70"/>
      <c r="M61" s="70" t="str">
        <f>IF('Item Setup Form'!$AF65="Yes",'Item Setup Form'!A65,"")</f>
        <v/>
      </c>
      <c r="N61" s="70"/>
      <c r="O61" s="70"/>
      <c r="P61" s="70"/>
      <c r="Q61" s="70"/>
      <c r="R61" s="70"/>
      <c r="S61" s="70"/>
      <c r="T61" s="70"/>
      <c r="U61" s="70"/>
      <c r="V61" s="70"/>
      <c r="W61" s="70"/>
      <c r="X61" s="70"/>
      <c r="Y61" s="70"/>
      <c r="Z61" s="70"/>
    </row>
    <row r="62" spans="1:26">
      <c r="A62" s="70" t="str">
        <f>IF('Item Setup Form'!$AF66="Yes",'Item Setup Form'!$E66,"")</f>
        <v/>
      </c>
      <c r="B62" s="70" t="str">
        <f>IF('Item Setup Form'!$AF66="Yes",'Item Setup Form'!D66,"")</f>
        <v/>
      </c>
      <c r="C62" s="81" t="str">
        <f>IF('Item Setup Form'!$AF66="Yes",'Item Setup Form'!L66,"")</f>
        <v/>
      </c>
      <c r="D62" s="81" t="str">
        <f>IF('Item Setup Form'!$AF66="Yes",'Item Setup Form'!M66,"")</f>
        <v/>
      </c>
      <c r="E62" s="70"/>
      <c r="F62" s="70" t="str">
        <f>IF('Item Setup Form'!$AF66="Yes",'Item Setup Form'!G66,"")</f>
        <v/>
      </c>
      <c r="G62" s="70" t="str">
        <f>IF('Item Setup Form'!$AF66="Yes",'Item Setup Form'!H66,"")</f>
        <v/>
      </c>
      <c r="H62" s="70" t="str">
        <f>IF('Item Setup Form'!$AF66="Yes",'Item Setup Form'!V66,"")</f>
        <v/>
      </c>
      <c r="I62" s="70"/>
      <c r="J62" s="70" t="str">
        <f>IF('Item Setup Form'!$AF66="Yes",'Item Setup Form'!U66,"")</f>
        <v/>
      </c>
      <c r="K62" s="70" t="str">
        <f>IF('Item Setup Form'!$AF66="Yes",'Item Setup Form'!V66,"")</f>
        <v/>
      </c>
      <c r="L62" s="70"/>
      <c r="M62" s="70" t="str">
        <f>IF('Item Setup Form'!$AF66="Yes",'Item Setup Form'!A66,"")</f>
        <v/>
      </c>
      <c r="N62" s="70"/>
      <c r="O62" s="70"/>
      <c r="P62" s="70"/>
      <c r="Q62" s="70"/>
      <c r="R62" s="70"/>
      <c r="S62" s="70"/>
      <c r="T62" s="70"/>
      <c r="U62" s="70"/>
      <c r="V62" s="70"/>
      <c r="W62" s="70"/>
      <c r="X62" s="70"/>
      <c r="Y62" s="70"/>
      <c r="Z62" s="70"/>
    </row>
    <row r="63" spans="1:26">
      <c r="A63" s="70" t="str">
        <f>IF('Item Setup Form'!$AF67="Yes",'Item Setup Form'!$E67,"")</f>
        <v/>
      </c>
      <c r="B63" s="70" t="str">
        <f>IF('Item Setup Form'!$AF67="Yes",'Item Setup Form'!D67,"")</f>
        <v/>
      </c>
      <c r="C63" s="81" t="str">
        <f>IF('Item Setup Form'!$AF67="Yes",'Item Setup Form'!L67,"")</f>
        <v/>
      </c>
      <c r="D63" s="81" t="str">
        <f>IF('Item Setup Form'!$AF67="Yes",'Item Setup Form'!M67,"")</f>
        <v/>
      </c>
      <c r="E63" s="70"/>
      <c r="F63" s="70" t="str">
        <f>IF('Item Setup Form'!$AF67="Yes",'Item Setup Form'!G67,"")</f>
        <v/>
      </c>
      <c r="G63" s="70" t="str">
        <f>IF('Item Setup Form'!$AF67="Yes",'Item Setup Form'!H67,"")</f>
        <v/>
      </c>
      <c r="H63" s="70" t="str">
        <f>IF('Item Setup Form'!$AF67="Yes",'Item Setup Form'!V67,"")</f>
        <v/>
      </c>
      <c r="I63" s="70"/>
      <c r="J63" s="70" t="str">
        <f>IF('Item Setup Form'!$AF67="Yes",'Item Setup Form'!U67,"")</f>
        <v/>
      </c>
      <c r="K63" s="70" t="str">
        <f>IF('Item Setup Form'!$AF67="Yes",'Item Setup Form'!V67,"")</f>
        <v/>
      </c>
      <c r="L63" s="70"/>
      <c r="M63" s="70" t="str">
        <f>IF('Item Setup Form'!$AF67="Yes",'Item Setup Form'!A67,"")</f>
        <v/>
      </c>
      <c r="N63" s="70"/>
      <c r="O63" s="70"/>
      <c r="P63" s="70"/>
      <c r="Q63" s="70"/>
      <c r="R63" s="70"/>
      <c r="S63" s="70"/>
      <c r="T63" s="70"/>
      <c r="U63" s="70"/>
      <c r="V63" s="70"/>
      <c r="W63" s="70"/>
      <c r="X63" s="70"/>
      <c r="Y63" s="70"/>
      <c r="Z63" s="70"/>
    </row>
    <row r="64" spans="1:26">
      <c r="A64" s="70" t="str">
        <f>IF('Item Setup Form'!$AF68="Yes",'Item Setup Form'!$E68,"")</f>
        <v/>
      </c>
      <c r="B64" s="70" t="str">
        <f>IF('Item Setup Form'!$AF68="Yes",'Item Setup Form'!D68,"")</f>
        <v/>
      </c>
      <c r="C64" s="81" t="str">
        <f>IF('Item Setup Form'!$AF68="Yes",'Item Setup Form'!L68,"")</f>
        <v/>
      </c>
      <c r="D64" s="81" t="str">
        <f>IF('Item Setup Form'!$AF68="Yes",'Item Setup Form'!M68,"")</f>
        <v/>
      </c>
      <c r="E64" s="70"/>
      <c r="F64" s="70" t="str">
        <f>IF('Item Setup Form'!$AF68="Yes",'Item Setup Form'!G68,"")</f>
        <v/>
      </c>
      <c r="G64" s="70" t="str">
        <f>IF('Item Setup Form'!$AF68="Yes",'Item Setup Form'!H68,"")</f>
        <v/>
      </c>
      <c r="H64" s="70" t="str">
        <f>IF('Item Setup Form'!$AF68="Yes",'Item Setup Form'!V68,"")</f>
        <v/>
      </c>
      <c r="I64" s="70"/>
      <c r="J64" s="70" t="str">
        <f>IF('Item Setup Form'!$AF68="Yes",'Item Setup Form'!U68,"")</f>
        <v/>
      </c>
      <c r="K64" s="70" t="str">
        <f>IF('Item Setup Form'!$AF68="Yes",'Item Setup Form'!V68,"")</f>
        <v/>
      </c>
      <c r="L64" s="70"/>
      <c r="M64" s="70" t="str">
        <f>IF('Item Setup Form'!$AF68="Yes",'Item Setup Form'!A68,"")</f>
        <v/>
      </c>
      <c r="N64" s="70"/>
      <c r="O64" s="70"/>
      <c r="P64" s="70"/>
      <c r="Q64" s="70"/>
      <c r="R64" s="70"/>
      <c r="S64" s="70"/>
      <c r="T64" s="70"/>
      <c r="U64" s="70"/>
      <c r="V64" s="70"/>
      <c r="W64" s="70"/>
      <c r="X64" s="70"/>
      <c r="Y64" s="70"/>
      <c r="Z64" s="70"/>
    </row>
    <row r="65" spans="1:26">
      <c r="A65" s="70" t="str">
        <f>IF('Item Setup Form'!$AF69="Yes",'Item Setup Form'!$E69,"")</f>
        <v/>
      </c>
      <c r="B65" s="70" t="str">
        <f>IF('Item Setup Form'!$AF69="Yes",'Item Setup Form'!D69,"")</f>
        <v/>
      </c>
      <c r="C65" s="81" t="str">
        <f>IF('Item Setup Form'!$AF69="Yes",'Item Setup Form'!L69,"")</f>
        <v/>
      </c>
      <c r="D65" s="81" t="str">
        <f>IF('Item Setup Form'!$AF69="Yes",'Item Setup Form'!M69,"")</f>
        <v/>
      </c>
      <c r="E65" s="70"/>
      <c r="F65" s="70" t="str">
        <f>IF('Item Setup Form'!$AF69="Yes",'Item Setup Form'!G69,"")</f>
        <v/>
      </c>
      <c r="G65" s="70" t="str">
        <f>IF('Item Setup Form'!$AF69="Yes",'Item Setup Form'!H69,"")</f>
        <v/>
      </c>
      <c r="H65" s="70" t="str">
        <f>IF('Item Setup Form'!$AF69="Yes",'Item Setup Form'!V69,"")</f>
        <v/>
      </c>
      <c r="I65" s="70"/>
      <c r="J65" s="70" t="str">
        <f>IF('Item Setup Form'!$AF69="Yes",'Item Setup Form'!U69,"")</f>
        <v/>
      </c>
      <c r="K65" s="70" t="str">
        <f>IF('Item Setup Form'!$AF69="Yes",'Item Setup Form'!V69,"")</f>
        <v/>
      </c>
      <c r="L65" s="70"/>
      <c r="M65" s="70" t="str">
        <f>IF('Item Setup Form'!$AF69="Yes",'Item Setup Form'!A69,"")</f>
        <v/>
      </c>
      <c r="N65" s="70"/>
      <c r="O65" s="70"/>
      <c r="P65" s="70"/>
      <c r="Q65" s="70"/>
      <c r="R65" s="70"/>
      <c r="S65" s="70"/>
      <c r="T65" s="70"/>
      <c r="U65" s="70"/>
      <c r="V65" s="70"/>
      <c r="W65" s="70"/>
      <c r="X65" s="70"/>
      <c r="Y65" s="70"/>
      <c r="Z65" s="70"/>
    </row>
    <row r="66" spans="1:26">
      <c r="A66" s="70" t="str">
        <f>IF('Item Setup Form'!$AF70="Yes",'Item Setup Form'!$E70,"")</f>
        <v/>
      </c>
      <c r="B66" s="70" t="str">
        <f>IF('Item Setup Form'!$AF70="Yes",'Item Setup Form'!D70,"")</f>
        <v/>
      </c>
      <c r="C66" s="81" t="str">
        <f>IF('Item Setup Form'!$AF70="Yes",'Item Setup Form'!L70,"")</f>
        <v/>
      </c>
      <c r="D66" s="81" t="str">
        <f>IF('Item Setup Form'!$AF70="Yes",'Item Setup Form'!M70,"")</f>
        <v/>
      </c>
      <c r="E66" s="70"/>
      <c r="F66" s="70" t="str">
        <f>IF('Item Setup Form'!$AF70="Yes",'Item Setup Form'!G70,"")</f>
        <v/>
      </c>
      <c r="G66" s="70" t="str">
        <f>IF('Item Setup Form'!$AF70="Yes",'Item Setup Form'!H70,"")</f>
        <v/>
      </c>
      <c r="H66" s="70" t="str">
        <f>IF('Item Setup Form'!$AF70="Yes",'Item Setup Form'!V70,"")</f>
        <v/>
      </c>
      <c r="I66" s="70"/>
      <c r="J66" s="70" t="str">
        <f>IF('Item Setup Form'!$AF70="Yes",'Item Setup Form'!U70,"")</f>
        <v/>
      </c>
      <c r="K66" s="70" t="str">
        <f>IF('Item Setup Form'!$AF70="Yes",'Item Setup Form'!V70,"")</f>
        <v/>
      </c>
      <c r="L66" s="70"/>
      <c r="M66" s="70" t="str">
        <f>IF('Item Setup Form'!$AF70="Yes",'Item Setup Form'!A70,"")</f>
        <v/>
      </c>
      <c r="N66" s="70"/>
      <c r="O66" s="70"/>
      <c r="P66" s="70"/>
      <c r="Q66" s="70"/>
      <c r="R66" s="70"/>
      <c r="S66" s="70"/>
      <c r="T66" s="70"/>
      <c r="U66" s="70"/>
      <c r="V66" s="70"/>
      <c r="W66" s="70"/>
      <c r="X66" s="70"/>
      <c r="Y66" s="70"/>
      <c r="Z66" s="70"/>
    </row>
    <row r="67" spans="1:26">
      <c r="A67" s="70" t="str">
        <f>IF('Item Setup Form'!$AF71="Yes",'Item Setup Form'!$E71,"")</f>
        <v/>
      </c>
      <c r="B67" s="70" t="str">
        <f>IF('Item Setup Form'!$AF71="Yes",'Item Setup Form'!D71,"")</f>
        <v/>
      </c>
      <c r="C67" s="81" t="str">
        <f>IF('Item Setup Form'!$AF71="Yes",'Item Setup Form'!L71,"")</f>
        <v/>
      </c>
      <c r="D67" s="81" t="str">
        <f>IF('Item Setup Form'!$AF71="Yes",'Item Setup Form'!M71,"")</f>
        <v/>
      </c>
      <c r="E67" s="70"/>
      <c r="F67" s="70" t="str">
        <f>IF('Item Setup Form'!$AF71="Yes",'Item Setup Form'!G71,"")</f>
        <v/>
      </c>
      <c r="G67" s="70" t="str">
        <f>IF('Item Setup Form'!$AF71="Yes",'Item Setup Form'!H71,"")</f>
        <v/>
      </c>
      <c r="H67" s="70" t="str">
        <f>IF('Item Setup Form'!$AF71="Yes",'Item Setup Form'!V71,"")</f>
        <v/>
      </c>
      <c r="I67" s="70"/>
      <c r="J67" s="70" t="str">
        <f>IF('Item Setup Form'!$AF71="Yes",'Item Setup Form'!U71,"")</f>
        <v/>
      </c>
      <c r="K67" s="70" t="str">
        <f>IF('Item Setup Form'!$AF71="Yes",'Item Setup Form'!V71,"")</f>
        <v/>
      </c>
      <c r="L67" s="70"/>
      <c r="M67" s="70" t="str">
        <f>IF('Item Setup Form'!$AF71="Yes",'Item Setup Form'!A71,"")</f>
        <v/>
      </c>
      <c r="N67" s="70"/>
      <c r="O67" s="70"/>
      <c r="P67" s="70"/>
      <c r="Q67" s="70"/>
      <c r="R67" s="70"/>
      <c r="S67" s="70"/>
      <c r="T67" s="70"/>
      <c r="U67" s="70"/>
      <c r="V67" s="70"/>
      <c r="W67" s="70"/>
      <c r="X67" s="70"/>
      <c r="Y67" s="70"/>
      <c r="Z67" s="70"/>
    </row>
    <row r="68" spans="1:26">
      <c r="A68" s="70" t="str">
        <f>IF('Item Setup Form'!$AF72="Yes",'Item Setup Form'!$E72,"")</f>
        <v/>
      </c>
      <c r="B68" s="70" t="str">
        <f>IF('Item Setup Form'!$AF72="Yes",'Item Setup Form'!D72,"")</f>
        <v/>
      </c>
      <c r="C68" s="81" t="str">
        <f>IF('Item Setup Form'!$AF72="Yes",'Item Setup Form'!L72,"")</f>
        <v/>
      </c>
      <c r="D68" s="81" t="str">
        <f>IF('Item Setup Form'!$AF72="Yes",'Item Setup Form'!M72,"")</f>
        <v/>
      </c>
      <c r="E68" s="70"/>
      <c r="F68" s="70" t="str">
        <f>IF('Item Setup Form'!$AF72="Yes",'Item Setup Form'!G72,"")</f>
        <v/>
      </c>
      <c r="G68" s="70" t="str">
        <f>IF('Item Setup Form'!$AF72="Yes",'Item Setup Form'!H72,"")</f>
        <v/>
      </c>
      <c r="H68" s="70" t="str">
        <f>IF('Item Setup Form'!$AF72="Yes",'Item Setup Form'!V72,"")</f>
        <v/>
      </c>
      <c r="I68" s="70"/>
      <c r="J68" s="70" t="str">
        <f>IF('Item Setup Form'!$AF72="Yes",'Item Setup Form'!U72,"")</f>
        <v/>
      </c>
      <c r="K68" s="70" t="str">
        <f>IF('Item Setup Form'!$AF72="Yes",'Item Setup Form'!V72,"")</f>
        <v/>
      </c>
      <c r="L68" s="70"/>
      <c r="M68" s="70" t="str">
        <f>IF('Item Setup Form'!$AF72="Yes",'Item Setup Form'!A72,"")</f>
        <v/>
      </c>
      <c r="N68" s="70"/>
      <c r="O68" s="70"/>
      <c r="P68" s="70"/>
      <c r="Q68" s="70"/>
      <c r="R68" s="70"/>
      <c r="S68" s="70"/>
      <c r="T68" s="70"/>
      <c r="U68" s="70"/>
      <c r="V68" s="70"/>
      <c r="W68" s="70"/>
      <c r="X68" s="70"/>
      <c r="Y68" s="70"/>
      <c r="Z68" s="70"/>
    </row>
    <row r="69" spans="1:26">
      <c r="A69" s="70" t="str">
        <f>IF('Item Setup Form'!$AF73="Yes",'Item Setup Form'!$E73,"")</f>
        <v/>
      </c>
      <c r="B69" s="70" t="str">
        <f>IF('Item Setup Form'!$AF73="Yes",'Item Setup Form'!D73,"")</f>
        <v/>
      </c>
      <c r="C69" s="81" t="str">
        <f>IF('Item Setup Form'!$AF73="Yes",'Item Setup Form'!L73,"")</f>
        <v/>
      </c>
      <c r="D69" s="81" t="str">
        <f>IF('Item Setup Form'!$AF73="Yes",'Item Setup Form'!M73,"")</f>
        <v/>
      </c>
      <c r="E69" s="70"/>
      <c r="F69" s="70" t="str">
        <f>IF('Item Setup Form'!$AF73="Yes",'Item Setup Form'!G73,"")</f>
        <v/>
      </c>
      <c r="G69" s="70" t="str">
        <f>IF('Item Setup Form'!$AF73="Yes",'Item Setup Form'!H73,"")</f>
        <v/>
      </c>
      <c r="H69" s="70" t="str">
        <f>IF('Item Setup Form'!$AF73="Yes",'Item Setup Form'!V73,"")</f>
        <v/>
      </c>
      <c r="I69" s="70"/>
      <c r="J69" s="70" t="str">
        <f>IF('Item Setup Form'!$AF73="Yes",'Item Setup Form'!U73,"")</f>
        <v/>
      </c>
      <c r="K69" s="70" t="str">
        <f>IF('Item Setup Form'!$AF73="Yes",'Item Setup Form'!V73,"")</f>
        <v/>
      </c>
      <c r="L69" s="70"/>
      <c r="M69" s="70" t="str">
        <f>IF('Item Setup Form'!$AF73="Yes",'Item Setup Form'!A73,"")</f>
        <v/>
      </c>
      <c r="N69" s="70"/>
      <c r="O69" s="70"/>
      <c r="P69" s="70"/>
      <c r="Q69" s="70"/>
      <c r="R69" s="70"/>
      <c r="S69" s="70"/>
      <c r="T69" s="70"/>
      <c r="U69" s="70"/>
      <c r="V69" s="70"/>
      <c r="W69" s="70"/>
      <c r="X69" s="70"/>
      <c r="Y69" s="70"/>
      <c r="Z69" s="70"/>
    </row>
    <row r="70" spans="1:26">
      <c r="A70" s="70" t="str">
        <f>IF('Item Setup Form'!$AF74="Yes",'Item Setup Form'!$E74,"")</f>
        <v/>
      </c>
      <c r="B70" s="70" t="str">
        <f>IF('Item Setup Form'!$AF74="Yes",'Item Setup Form'!D74,"")</f>
        <v/>
      </c>
      <c r="C70" s="81" t="str">
        <f>IF('Item Setup Form'!$AF74="Yes",'Item Setup Form'!L74,"")</f>
        <v/>
      </c>
      <c r="D70" s="81" t="str">
        <f>IF('Item Setup Form'!$AF74="Yes",'Item Setup Form'!M74,"")</f>
        <v/>
      </c>
      <c r="E70" s="70"/>
      <c r="F70" s="70" t="str">
        <f>IF('Item Setup Form'!$AF74="Yes",'Item Setup Form'!G74,"")</f>
        <v/>
      </c>
      <c r="G70" s="70" t="str">
        <f>IF('Item Setup Form'!$AF74="Yes",'Item Setup Form'!H74,"")</f>
        <v/>
      </c>
      <c r="H70" s="70" t="str">
        <f>IF('Item Setup Form'!$AF74="Yes",'Item Setup Form'!V74,"")</f>
        <v/>
      </c>
      <c r="I70" s="70"/>
      <c r="J70" s="70" t="str">
        <f>IF('Item Setup Form'!$AF74="Yes",'Item Setup Form'!U74,"")</f>
        <v/>
      </c>
      <c r="K70" s="70" t="str">
        <f>IF('Item Setup Form'!$AF74="Yes",'Item Setup Form'!V74,"")</f>
        <v/>
      </c>
      <c r="L70" s="70"/>
      <c r="M70" s="70" t="str">
        <f>IF('Item Setup Form'!$AF74="Yes",'Item Setup Form'!A74,"")</f>
        <v/>
      </c>
      <c r="N70" s="70"/>
      <c r="O70" s="70"/>
      <c r="P70" s="70"/>
      <c r="Q70" s="70"/>
      <c r="R70" s="70"/>
      <c r="S70" s="70"/>
      <c r="T70" s="70"/>
      <c r="U70" s="70"/>
      <c r="V70" s="70"/>
      <c r="W70" s="70"/>
      <c r="X70" s="70"/>
      <c r="Y70" s="70"/>
      <c r="Z70" s="70"/>
    </row>
    <row r="71" spans="1:26">
      <c r="A71" s="70" t="str">
        <f>IF('Item Setup Form'!$AF75="Yes",'Item Setup Form'!$E75,"")</f>
        <v/>
      </c>
      <c r="B71" s="70" t="str">
        <f>IF('Item Setup Form'!$AF75="Yes",'Item Setup Form'!D75,"")</f>
        <v/>
      </c>
      <c r="C71" s="81" t="str">
        <f>IF('Item Setup Form'!$AF75="Yes",'Item Setup Form'!L75,"")</f>
        <v/>
      </c>
      <c r="D71" s="81" t="str">
        <f>IF('Item Setup Form'!$AF75="Yes",'Item Setup Form'!M75,"")</f>
        <v/>
      </c>
      <c r="E71" s="70"/>
      <c r="F71" s="70" t="str">
        <f>IF('Item Setup Form'!$AF75="Yes",'Item Setup Form'!G75,"")</f>
        <v/>
      </c>
      <c r="G71" s="70" t="str">
        <f>IF('Item Setup Form'!$AF75="Yes",'Item Setup Form'!H75,"")</f>
        <v/>
      </c>
      <c r="H71" s="70" t="str">
        <f>IF('Item Setup Form'!$AF75="Yes",'Item Setup Form'!V75,"")</f>
        <v/>
      </c>
      <c r="I71" s="70"/>
      <c r="J71" s="70" t="str">
        <f>IF('Item Setup Form'!$AF75="Yes",'Item Setup Form'!U75,"")</f>
        <v/>
      </c>
      <c r="K71" s="70" t="str">
        <f>IF('Item Setup Form'!$AF75="Yes",'Item Setup Form'!V75,"")</f>
        <v/>
      </c>
      <c r="L71" s="70"/>
      <c r="M71" s="70" t="str">
        <f>IF('Item Setup Form'!$AF75="Yes",'Item Setup Form'!A75,"")</f>
        <v/>
      </c>
      <c r="N71" s="70"/>
      <c r="O71" s="70"/>
      <c r="P71" s="70"/>
      <c r="Q71" s="70"/>
      <c r="R71" s="70"/>
      <c r="S71" s="70"/>
      <c r="T71" s="70"/>
      <c r="U71" s="70"/>
      <c r="V71" s="70"/>
      <c r="W71" s="70"/>
      <c r="X71" s="70"/>
      <c r="Y71" s="70"/>
      <c r="Z71" s="70"/>
    </row>
    <row r="72" spans="1:26">
      <c r="A72" s="70" t="str">
        <f>IF('Item Setup Form'!$AF76="Yes",'Item Setup Form'!$E76,"")</f>
        <v/>
      </c>
      <c r="B72" s="70" t="str">
        <f>IF('Item Setup Form'!$AF76="Yes",'Item Setup Form'!D76,"")</f>
        <v/>
      </c>
      <c r="C72" s="81" t="str">
        <f>IF('Item Setup Form'!$AF76="Yes",'Item Setup Form'!L76,"")</f>
        <v/>
      </c>
      <c r="D72" s="81" t="str">
        <f>IF('Item Setup Form'!$AF76="Yes",'Item Setup Form'!M76,"")</f>
        <v/>
      </c>
      <c r="E72" s="70"/>
      <c r="F72" s="70" t="str">
        <f>IF('Item Setup Form'!$AF76="Yes",'Item Setup Form'!G76,"")</f>
        <v/>
      </c>
      <c r="G72" s="70" t="str">
        <f>IF('Item Setup Form'!$AF76="Yes",'Item Setup Form'!H76,"")</f>
        <v/>
      </c>
      <c r="H72" s="70" t="str">
        <f>IF('Item Setup Form'!$AF76="Yes",'Item Setup Form'!V76,"")</f>
        <v/>
      </c>
      <c r="I72" s="70"/>
      <c r="J72" s="70" t="str">
        <f>IF('Item Setup Form'!$AF76="Yes",'Item Setup Form'!U76,"")</f>
        <v/>
      </c>
      <c r="K72" s="70" t="str">
        <f>IF('Item Setup Form'!$AF76="Yes",'Item Setup Form'!V76,"")</f>
        <v/>
      </c>
      <c r="L72" s="70"/>
      <c r="M72" s="70" t="str">
        <f>IF('Item Setup Form'!$AF76="Yes",'Item Setup Form'!A76,"")</f>
        <v/>
      </c>
      <c r="N72" s="70"/>
      <c r="O72" s="70"/>
      <c r="P72" s="70"/>
      <c r="Q72" s="70"/>
      <c r="R72" s="70"/>
      <c r="S72" s="70"/>
      <c r="T72" s="70"/>
      <c r="U72" s="70"/>
      <c r="V72" s="70"/>
      <c r="W72" s="70"/>
      <c r="X72" s="70"/>
      <c r="Y72" s="70"/>
      <c r="Z72" s="70"/>
    </row>
    <row r="73" spans="1:26">
      <c r="A73" s="70" t="str">
        <f>IF('Item Setup Form'!$AF77="Yes",'Item Setup Form'!$E77,"")</f>
        <v/>
      </c>
      <c r="B73" s="70" t="str">
        <f>IF('Item Setup Form'!$AF77="Yes",'Item Setup Form'!D77,"")</f>
        <v/>
      </c>
      <c r="C73" s="81" t="str">
        <f>IF('Item Setup Form'!$AF77="Yes",'Item Setup Form'!L77,"")</f>
        <v/>
      </c>
      <c r="D73" s="81" t="str">
        <f>IF('Item Setup Form'!$AF77="Yes",'Item Setup Form'!M77,"")</f>
        <v/>
      </c>
      <c r="E73" s="70"/>
      <c r="F73" s="70" t="str">
        <f>IF('Item Setup Form'!$AF77="Yes",'Item Setup Form'!G77,"")</f>
        <v/>
      </c>
      <c r="G73" s="70" t="str">
        <f>IF('Item Setup Form'!$AF77="Yes",'Item Setup Form'!H77,"")</f>
        <v/>
      </c>
      <c r="H73" s="70" t="str">
        <f>IF('Item Setup Form'!$AF77="Yes",'Item Setup Form'!V77,"")</f>
        <v/>
      </c>
      <c r="I73" s="70"/>
      <c r="J73" s="70" t="str">
        <f>IF('Item Setup Form'!$AF77="Yes",'Item Setup Form'!U77,"")</f>
        <v/>
      </c>
      <c r="K73" s="70" t="str">
        <f>IF('Item Setup Form'!$AF77="Yes",'Item Setup Form'!V77,"")</f>
        <v/>
      </c>
      <c r="L73" s="70"/>
      <c r="M73" s="70" t="str">
        <f>IF('Item Setup Form'!$AF77="Yes",'Item Setup Form'!A77,"")</f>
        <v/>
      </c>
      <c r="N73" s="70"/>
      <c r="O73" s="70"/>
      <c r="P73" s="70"/>
      <c r="Q73" s="70"/>
      <c r="R73" s="70"/>
      <c r="S73" s="70"/>
      <c r="T73" s="70"/>
      <c r="U73" s="70"/>
      <c r="V73" s="70"/>
      <c r="W73" s="70"/>
      <c r="X73" s="70"/>
      <c r="Y73" s="70"/>
      <c r="Z73" s="70"/>
    </row>
    <row r="74" spans="1:26">
      <c r="A74" s="70" t="str">
        <f>IF('Item Setup Form'!$AF78="Yes",'Item Setup Form'!$E78,"")</f>
        <v/>
      </c>
      <c r="B74" s="70" t="str">
        <f>IF('Item Setup Form'!$AF78="Yes",'Item Setup Form'!D78,"")</f>
        <v/>
      </c>
      <c r="C74" s="81" t="str">
        <f>IF('Item Setup Form'!$AF78="Yes",'Item Setup Form'!L78,"")</f>
        <v/>
      </c>
      <c r="D74" s="81" t="str">
        <f>IF('Item Setup Form'!$AF78="Yes",'Item Setup Form'!M78,"")</f>
        <v/>
      </c>
      <c r="E74" s="70"/>
      <c r="F74" s="70" t="str">
        <f>IF('Item Setup Form'!$AF78="Yes",'Item Setup Form'!G78,"")</f>
        <v/>
      </c>
      <c r="G74" s="70" t="str">
        <f>IF('Item Setup Form'!$AF78="Yes",'Item Setup Form'!H78,"")</f>
        <v/>
      </c>
      <c r="H74" s="70" t="str">
        <f>IF('Item Setup Form'!$AF78="Yes",'Item Setup Form'!V78,"")</f>
        <v/>
      </c>
      <c r="I74" s="70"/>
      <c r="J74" s="70" t="str">
        <f>IF('Item Setup Form'!$AF78="Yes",'Item Setup Form'!U78,"")</f>
        <v/>
      </c>
      <c r="K74" s="70" t="str">
        <f>IF('Item Setup Form'!$AF78="Yes",'Item Setup Form'!V78,"")</f>
        <v/>
      </c>
      <c r="L74" s="70"/>
      <c r="M74" s="70" t="str">
        <f>IF('Item Setup Form'!$AF78="Yes",'Item Setup Form'!A78,"")</f>
        <v/>
      </c>
      <c r="N74" s="70"/>
      <c r="O74" s="70"/>
      <c r="P74" s="70"/>
      <c r="Q74" s="70"/>
      <c r="R74" s="70"/>
      <c r="S74" s="70"/>
      <c r="T74" s="70"/>
      <c r="U74" s="70"/>
      <c r="V74" s="70"/>
      <c r="W74" s="70"/>
      <c r="X74" s="70"/>
      <c r="Y74" s="70"/>
      <c r="Z74" s="70"/>
    </row>
    <row r="75" spans="1:26">
      <c r="A75" s="70" t="str">
        <f>IF('Item Setup Form'!$AF79="Yes",'Item Setup Form'!$E79,"")</f>
        <v/>
      </c>
      <c r="B75" s="70" t="str">
        <f>IF('Item Setup Form'!$AF79="Yes",'Item Setup Form'!D79,"")</f>
        <v/>
      </c>
      <c r="C75" s="81" t="str">
        <f>IF('Item Setup Form'!$AF79="Yes",'Item Setup Form'!L79,"")</f>
        <v/>
      </c>
      <c r="D75" s="81" t="str">
        <f>IF('Item Setup Form'!$AF79="Yes",'Item Setup Form'!M79,"")</f>
        <v/>
      </c>
      <c r="E75" s="70"/>
      <c r="F75" s="70" t="str">
        <f>IF('Item Setup Form'!$AF79="Yes",'Item Setup Form'!G79,"")</f>
        <v/>
      </c>
      <c r="G75" s="70" t="str">
        <f>IF('Item Setup Form'!$AF79="Yes",'Item Setup Form'!H79,"")</f>
        <v/>
      </c>
      <c r="H75" s="70" t="str">
        <f>IF('Item Setup Form'!$AF79="Yes",'Item Setup Form'!V79,"")</f>
        <v/>
      </c>
      <c r="I75" s="70"/>
      <c r="J75" s="70" t="str">
        <f>IF('Item Setup Form'!$AF79="Yes",'Item Setup Form'!U79,"")</f>
        <v/>
      </c>
      <c r="K75" s="70" t="str">
        <f>IF('Item Setup Form'!$AF79="Yes",'Item Setup Form'!V79,"")</f>
        <v/>
      </c>
      <c r="L75" s="70"/>
      <c r="M75" s="70" t="str">
        <f>IF('Item Setup Form'!$AF79="Yes",'Item Setup Form'!A79,"")</f>
        <v/>
      </c>
      <c r="N75" s="70"/>
      <c r="O75" s="70"/>
      <c r="P75" s="70"/>
      <c r="Q75" s="70"/>
      <c r="R75" s="70"/>
      <c r="S75" s="70"/>
      <c r="T75" s="70"/>
      <c r="U75" s="70"/>
      <c r="V75" s="70"/>
      <c r="W75" s="70"/>
      <c r="X75" s="70"/>
      <c r="Y75" s="70"/>
      <c r="Z75" s="70"/>
    </row>
    <row r="76" spans="1:26">
      <c r="A76" s="70" t="str">
        <f>IF('Item Setup Form'!$AF80="Yes",'Item Setup Form'!$E80,"")</f>
        <v/>
      </c>
      <c r="B76" s="70" t="str">
        <f>IF('Item Setup Form'!$AF80="Yes",'Item Setup Form'!D80,"")</f>
        <v/>
      </c>
      <c r="C76" s="81" t="str">
        <f>IF('Item Setup Form'!$AF80="Yes",'Item Setup Form'!L80,"")</f>
        <v/>
      </c>
      <c r="D76" s="81" t="str">
        <f>IF('Item Setup Form'!$AF80="Yes",'Item Setup Form'!M80,"")</f>
        <v/>
      </c>
      <c r="E76" s="70"/>
      <c r="F76" s="70" t="str">
        <f>IF('Item Setup Form'!$AF80="Yes",'Item Setup Form'!G80,"")</f>
        <v/>
      </c>
      <c r="G76" s="70" t="str">
        <f>IF('Item Setup Form'!$AF80="Yes",'Item Setup Form'!H80,"")</f>
        <v/>
      </c>
      <c r="H76" s="70" t="str">
        <f>IF('Item Setup Form'!$AF80="Yes",'Item Setup Form'!V80,"")</f>
        <v/>
      </c>
      <c r="I76" s="70"/>
      <c r="J76" s="70" t="str">
        <f>IF('Item Setup Form'!$AF80="Yes",'Item Setup Form'!U80,"")</f>
        <v/>
      </c>
      <c r="K76" s="70" t="str">
        <f>IF('Item Setup Form'!$AF80="Yes",'Item Setup Form'!V80,"")</f>
        <v/>
      </c>
      <c r="L76" s="70"/>
      <c r="M76" s="70" t="str">
        <f>IF('Item Setup Form'!$AF80="Yes",'Item Setup Form'!A80,"")</f>
        <v/>
      </c>
      <c r="N76" s="70"/>
      <c r="O76" s="70"/>
      <c r="P76" s="70"/>
      <c r="Q76" s="70"/>
      <c r="R76" s="70"/>
      <c r="S76" s="70"/>
      <c r="T76" s="70"/>
      <c r="U76" s="70"/>
      <c r="V76" s="70"/>
      <c r="W76" s="70"/>
      <c r="X76" s="70"/>
      <c r="Y76" s="70"/>
      <c r="Z76" s="70"/>
    </row>
    <row r="77" spans="1:26">
      <c r="A77" s="70" t="str">
        <f>IF('Item Setup Form'!$AF81="Yes",'Item Setup Form'!$E81,"")</f>
        <v/>
      </c>
      <c r="B77" s="70" t="str">
        <f>IF('Item Setup Form'!$AF81="Yes",'Item Setup Form'!D81,"")</f>
        <v/>
      </c>
      <c r="C77" s="81" t="str">
        <f>IF('Item Setup Form'!$AF81="Yes",'Item Setup Form'!L81,"")</f>
        <v/>
      </c>
      <c r="D77" s="81" t="str">
        <f>IF('Item Setup Form'!$AF81="Yes",'Item Setup Form'!M81,"")</f>
        <v/>
      </c>
      <c r="E77" s="70"/>
      <c r="F77" s="70" t="str">
        <f>IF('Item Setup Form'!$AF81="Yes",'Item Setup Form'!G81,"")</f>
        <v/>
      </c>
      <c r="G77" s="70" t="str">
        <f>IF('Item Setup Form'!$AF81="Yes",'Item Setup Form'!H81,"")</f>
        <v/>
      </c>
      <c r="H77" s="70" t="str">
        <f>IF('Item Setup Form'!$AF81="Yes",'Item Setup Form'!V81,"")</f>
        <v/>
      </c>
      <c r="I77" s="70"/>
      <c r="J77" s="70" t="str">
        <f>IF('Item Setup Form'!$AF81="Yes",'Item Setup Form'!U81,"")</f>
        <v/>
      </c>
      <c r="K77" s="70" t="str">
        <f>IF('Item Setup Form'!$AF81="Yes",'Item Setup Form'!V81,"")</f>
        <v/>
      </c>
      <c r="L77" s="70"/>
      <c r="M77" s="70" t="str">
        <f>IF('Item Setup Form'!$AF81="Yes",'Item Setup Form'!A81,"")</f>
        <v/>
      </c>
      <c r="N77" s="70"/>
      <c r="O77" s="70"/>
      <c r="P77" s="70"/>
      <c r="Q77" s="70"/>
      <c r="R77" s="70"/>
      <c r="S77" s="70"/>
      <c r="T77" s="70"/>
      <c r="U77" s="70"/>
      <c r="V77" s="70"/>
      <c r="W77" s="70"/>
      <c r="X77" s="70"/>
      <c r="Y77" s="70"/>
      <c r="Z77" s="70"/>
    </row>
    <row r="78" spans="1:26">
      <c r="A78" s="70" t="str">
        <f>IF('Item Setup Form'!$AF82="Yes",'Item Setup Form'!$E82,"")</f>
        <v/>
      </c>
      <c r="B78" s="70" t="str">
        <f>IF('Item Setup Form'!$AF82="Yes",'Item Setup Form'!D82,"")</f>
        <v/>
      </c>
      <c r="C78" s="81" t="str">
        <f>IF('Item Setup Form'!$AF82="Yes",'Item Setup Form'!L82,"")</f>
        <v/>
      </c>
      <c r="D78" s="81" t="str">
        <f>IF('Item Setup Form'!$AF82="Yes",'Item Setup Form'!M82,"")</f>
        <v/>
      </c>
      <c r="E78" s="70"/>
      <c r="F78" s="70" t="str">
        <f>IF('Item Setup Form'!$AF82="Yes",'Item Setup Form'!G82,"")</f>
        <v/>
      </c>
      <c r="G78" s="70" t="str">
        <f>IF('Item Setup Form'!$AF82="Yes",'Item Setup Form'!H82,"")</f>
        <v/>
      </c>
      <c r="H78" s="70" t="str">
        <f>IF('Item Setup Form'!$AF82="Yes",'Item Setup Form'!V82,"")</f>
        <v/>
      </c>
      <c r="I78" s="70"/>
      <c r="J78" s="70" t="str">
        <f>IF('Item Setup Form'!$AF82="Yes",'Item Setup Form'!U82,"")</f>
        <v/>
      </c>
      <c r="K78" s="70" t="str">
        <f>IF('Item Setup Form'!$AF82="Yes",'Item Setup Form'!V82,"")</f>
        <v/>
      </c>
      <c r="L78" s="70"/>
      <c r="M78" s="70" t="str">
        <f>IF('Item Setup Form'!$AF82="Yes",'Item Setup Form'!A82,"")</f>
        <v/>
      </c>
      <c r="N78" s="70"/>
      <c r="O78" s="70"/>
      <c r="P78" s="70"/>
      <c r="Q78" s="70"/>
      <c r="R78" s="70"/>
      <c r="S78" s="70"/>
      <c r="T78" s="70"/>
      <c r="U78" s="70"/>
      <c r="V78" s="70"/>
      <c r="W78" s="70"/>
      <c r="X78" s="70"/>
      <c r="Y78" s="70"/>
      <c r="Z78" s="70"/>
    </row>
    <row r="79" spans="1:26">
      <c r="A79" s="70" t="str">
        <f>IF('Item Setup Form'!$AF83="Yes",'Item Setup Form'!$E83,"")</f>
        <v/>
      </c>
      <c r="B79" s="70" t="str">
        <f>IF('Item Setup Form'!$AF83="Yes",'Item Setup Form'!D83,"")</f>
        <v/>
      </c>
      <c r="C79" s="81" t="str">
        <f>IF('Item Setup Form'!$AF83="Yes",'Item Setup Form'!L83,"")</f>
        <v/>
      </c>
      <c r="D79" s="81" t="str">
        <f>IF('Item Setup Form'!$AF83="Yes",'Item Setup Form'!M83,"")</f>
        <v/>
      </c>
      <c r="E79" s="70"/>
      <c r="F79" s="70" t="str">
        <f>IF('Item Setup Form'!$AF83="Yes",'Item Setup Form'!G83,"")</f>
        <v/>
      </c>
      <c r="G79" s="70" t="str">
        <f>IF('Item Setup Form'!$AF83="Yes",'Item Setup Form'!H83,"")</f>
        <v/>
      </c>
      <c r="H79" s="70" t="str">
        <f>IF('Item Setup Form'!$AF83="Yes",'Item Setup Form'!V83,"")</f>
        <v/>
      </c>
      <c r="I79" s="70"/>
      <c r="J79" s="70" t="str">
        <f>IF('Item Setup Form'!$AF83="Yes",'Item Setup Form'!U83,"")</f>
        <v/>
      </c>
      <c r="K79" s="70" t="str">
        <f>IF('Item Setup Form'!$AF83="Yes",'Item Setup Form'!V83,"")</f>
        <v/>
      </c>
      <c r="L79" s="70"/>
      <c r="M79" s="70" t="str">
        <f>IF('Item Setup Form'!$AF83="Yes",'Item Setup Form'!A83,"")</f>
        <v/>
      </c>
      <c r="N79" s="70"/>
      <c r="O79" s="70"/>
      <c r="P79" s="70"/>
      <c r="Q79" s="70"/>
      <c r="R79" s="70"/>
      <c r="S79" s="70"/>
      <c r="T79" s="70"/>
      <c r="U79" s="70"/>
      <c r="V79" s="70"/>
      <c r="W79" s="70"/>
      <c r="X79" s="70"/>
      <c r="Y79" s="70"/>
      <c r="Z79" s="70"/>
    </row>
    <row r="80" spans="1:26">
      <c r="A80" s="70" t="str">
        <f>IF('Item Setup Form'!$AF84="Yes",'Item Setup Form'!$E84,"")</f>
        <v/>
      </c>
      <c r="B80" s="70" t="str">
        <f>IF('Item Setup Form'!$AF84="Yes",'Item Setup Form'!D84,"")</f>
        <v/>
      </c>
      <c r="C80" s="81" t="str">
        <f>IF('Item Setup Form'!$AF84="Yes",'Item Setup Form'!L84,"")</f>
        <v/>
      </c>
      <c r="D80" s="81" t="str">
        <f>IF('Item Setup Form'!$AF84="Yes",'Item Setup Form'!M84,"")</f>
        <v/>
      </c>
      <c r="E80" s="70"/>
      <c r="F80" s="70" t="str">
        <f>IF('Item Setup Form'!$AF84="Yes",'Item Setup Form'!G84,"")</f>
        <v/>
      </c>
      <c r="G80" s="70" t="str">
        <f>IF('Item Setup Form'!$AF84="Yes",'Item Setup Form'!H84,"")</f>
        <v/>
      </c>
      <c r="H80" s="70" t="str">
        <f>IF('Item Setup Form'!$AF84="Yes",'Item Setup Form'!V84,"")</f>
        <v/>
      </c>
      <c r="I80" s="70"/>
      <c r="J80" s="70" t="str">
        <f>IF('Item Setup Form'!$AF84="Yes",'Item Setup Form'!U84,"")</f>
        <v/>
      </c>
      <c r="K80" s="70" t="str">
        <f>IF('Item Setup Form'!$AF84="Yes",'Item Setup Form'!V84,"")</f>
        <v/>
      </c>
      <c r="L80" s="70"/>
      <c r="M80" s="70" t="str">
        <f>IF('Item Setup Form'!$AF84="Yes",'Item Setup Form'!A84,"")</f>
        <v/>
      </c>
      <c r="N80" s="70"/>
      <c r="O80" s="70"/>
      <c r="P80" s="70"/>
      <c r="Q80" s="70"/>
      <c r="R80" s="70"/>
      <c r="S80" s="70"/>
      <c r="T80" s="70"/>
      <c r="U80" s="70"/>
      <c r="V80" s="70"/>
      <c r="W80" s="70"/>
      <c r="X80" s="70"/>
      <c r="Y80" s="70"/>
      <c r="Z80" s="70"/>
    </row>
    <row r="81" spans="1:26">
      <c r="A81" s="70" t="str">
        <f>IF('Item Setup Form'!$AF85="Yes",'Item Setup Form'!$E85,"")</f>
        <v/>
      </c>
      <c r="B81" s="70" t="str">
        <f>IF('Item Setup Form'!$AF85="Yes",'Item Setup Form'!D85,"")</f>
        <v/>
      </c>
      <c r="C81" s="81" t="str">
        <f>IF('Item Setup Form'!$AF85="Yes",'Item Setup Form'!L85,"")</f>
        <v/>
      </c>
      <c r="D81" s="81" t="str">
        <f>IF('Item Setup Form'!$AF85="Yes",'Item Setup Form'!M85,"")</f>
        <v/>
      </c>
      <c r="E81" s="70"/>
      <c r="F81" s="70" t="str">
        <f>IF('Item Setup Form'!$AF85="Yes",'Item Setup Form'!G85,"")</f>
        <v/>
      </c>
      <c r="G81" s="70" t="str">
        <f>IF('Item Setup Form'!$AF85="Yes",'Item Setup Form'!H85,"")</f>
        <v/>
      </c>
      <c r="H81" s="70" t="str">
        <f>IF('Item Setup Form'!$AF85="Yes",'Item Setup Form'!V85,"")</f>
        <v/>
      </c>
      <c r="I81" s="70"/>
      <c r="J81" s="70" t="str">
        <f>IF('Item Setup Form'!$AF85="Yes",'Item Setup Form'!U85,"")</f>
        <v/>
      </c>
      <c r="K81" s="70" t="str">
        <f>IF('Item Setup Form'!$AF85="Yes",'Item Setup Form'!V85,"")</f>
        <v/>
      </c>
      <c r="L81" s="70"/>
      <c r="M81" s="70" t="str">
        <f>IF('Item Setup Form'!$AF85="Yes",'Item Setup Form'!A85,"")</f>
        <v/>
      </c>
      <c r="N81" s="70"/>
      <c r="O81" s="70"/>
      <c r="P81" s="70"/>
      <c r="Q81" s="70"/>
      <c r="R81" s="70"/>
      <c r="S81" s="70"/>
      <c r="T81" s="70"/>
      <c r="U81" s="70"/>
      <c r="V81" s="70"/>
      <c r="W81" s="70"/>
      <c r="X81" s="70"/>
      <c r="Y81" s="70"/>
      <c r="Z81" s="70"/>
    </row>
    <row r="82" spans="1:26">
      <c r="A82" s="70" t="str">
        <f>IF('Item Setup Form'!$AF86="Yes",'Item Setup Form'!$E86,"")</f>
        <v/>
      </c>
      <c r="B82" s="70" t="str">
        <f>IF('Item Setup Form'!$AF86="Yes",'Item Setup Form'!D86,"")</f>
        <v/>
      </c>
      <c r="C82" s="81" t="str">
        <f>IF('Item Setup Form'!$AF86="Yes",'Item Setup Form'!L86,"")</f>
        <v/>
      </c>
      <c r="D82" s="81" t="str">
        <f>IF('Item Setup Form'!$AF86="Yes",'Item Setup Form'!M86,"")</f>
        <v/>
      </c>
      <c r="E82" s="70"/>
      <c r="F82" s="70" t="str">
        <f>IF('Item Setup Form'!$AF86="Yes",'Item Setup Form'!G86,"")</f>
        <v/>
      </c>
      <c r="G82" s="70" t="str">
        <f>IF('Item Setup Form'!$AF86="Yes",'Item Setup Form'!H86,"")</f>
        <v/>
      </c>
      <c r="H82" s="70" t="str">
        <f>IF('Item Setup Form'!$AF86="Yes",'Item Setup Form'!V86,"")</f>
        <v/>
      </c>
      <c r="I82" s="70"/>
      <c r="J82" s="70" t="str">
        <f>IF('Item Setup Form'!$AF86="Yes",'Item Setup Form'!U86,"")</f>
        <v/>
      </c>
      <c r="K82" s="70" t="str">
        <f>IF('Item Setup Form'!$AF86="Yes",'Item Setup Form'!V86,"")</f>
        <v/>
      </c>
      <c r="L82" s="70"/>
      <c r="M82" s="70" t="str">
        <f>IF('Item Setup Form'!$AF86="Yes",'Item Setup Form'!A86,"")</f>
        <v/>
      </c>
      <c r="N82" s="70"/>
      <c r="O82" s="70"/>
      <c r="P82" s="70"/>
      <c r="Q82" s="70"/>
      <c r="R82" s="70"/>
      <c r="S82" s="70"/>
      <c r="T82" s="70"/>
      <c r="U82" s="70"/>
      <c r="V82" s="70"/>
      <c r="W82" s="70"/>
      <c r="X82" s="70"/>
      <c r="Y82" s="70"/>
      <c r="Z82" s="70"/>
    </row>
    <row r="83" spans="1:26">
      <c r="A83" s="70" t="str">
        <f>IF('Item Setup Form'!$AF87="Yes",'Item Setup Form'!$E87,"")</f>
        <v/>
      </c>
      <c r="B83" s="70" t="str">
        <f>IF('Item Setup Form'!$AF87="Yes",'Item Setup Form'!D87,"")</f>
        <v/>
      </c>
      <c r="C83" s="81" t="str">
        <f>IF('Item Setup Form'!$AF87="Yes",'Item Setup Form'!L87,"")</f>
        <v/>
      </c>
      <c r="D83" s="81" t="str">
        <f>IF('Item Setup Form'!$AF87="Yes",'Item Setup Form'!M87,"")</f>
        <v/>
      </c>
      <c r="E83" s="70"/>
      <c r="F83" s="70" t="str">
        <f>IF('Item Setup Form'!$AF87="Yes",'Item Setup Form'!G87,"")</f>
        <v/>
      </c>
      <c r="G83" s="70" t="str">
        <f>IF('Item Setup Form'!$AF87="Yes",'Item Setup Form'!H87,"")</f>
        <v/>
      </c>
      <c r="H83" s="70" t="str">
        <f>IF('Item Setup Form'!$AF87="Yes",'Item Setup Form'!V87,"")</f>
        <v/>
      </c>
      <c r="I83" s="70"/>
      <c r="J83" s="70" t="str">
        <f>IF('Item Setup Form'!$AF87="Yes",'Item Setup Form'!U87,"")</f>
        <v/>
      </c>
      <c r="K83" s="70" t="str">
        <f>IF('Item Setup Form'!$AF87="Yes",'Item Setup Form'!V87,"")</f>
        <v/>
      </c>
      <c r="L83" s="70"/>
      <c r="M83" s="70" t="str">
        <f>IF('Item Setup Form'!$AF87="Yes",'Item Setup Form'!A87,"")</f>
        <v/>
      </c>
      <c r="N83" s="70"/>
      <c r="O83" s="70"/>
      <c r="P83" s="70"/>
      <c r="Q83" s="70"/>
      <c r="R83" s="70"/>
      <c r="S83" s="70"/>
      <c r="T83" s="70"/>
      <c r="U83" s="70"/>
      <c r="V83" s="70"/>
      <c r="W83" s="70"/>
      <c r="X83" s="70"/>
      <c r="Y83" s="70"/>
      <c r="Z83" s="70"/>
    </row>
    <row r="84" spans="1:26">
      <c r="A84" s="70" t="str">
        <f>IF('Item Setup Form'!$AF88="Yes",'Item Setup Form'!$E88,"")</f>
        <v/>
      </c>
      <c r="B84" s="70" t="str">
        <f>IF('Item Setup Form'!$AF88="Yes",'Item Setup Form'!D88,"")</f>
        <v/>
      </c>
      <c r="C84" s="81" t="str">
        <f>IF('Item Setup Form'!$AF88="Yes",'Item Setup Form'!L88,"")</f>
        <v/>
      </c>
      <c r="D84" s="81" t="str">
        <f>IF('Item Setup Form'!$AF88="Yes",'Item Setup Form'!M88,"")</f>
        <v/>
      </c>
      <c r="E84" s="70"/>
      <c r="F84" s="70" t="str">
        <f>IF('Item Setup Form'!$AF88="Yes",'Item Setup Form'!G88,"")</f>
        <v/>
      </c>
      <c r="G84" s="70" t="str">
        <f>IF('Item Setup Form'!$AF88="Yes",'Item Setup Form'!H88,"")</f>
        <v/>
      </c>
      <c r="H84" s="70" t="str">
        <f>IF('Item Setup Form'!$AF88="Yes",'Item Setup Form'!V88,"")</f>
        <v/>
      </c>
      <c r="I84" s="70"/>
      <c r="J84" s="70" t="str">
        <f>IF('Item Setup Form'!$AF88="Yes",'Item Setup Form'!U88,"")</f>
        <v/>
      </c>
      <c r="K84" s="70" t="str">
        <f>IF('Item Setup Form'!$AF88="Yes",'Item Setup Form'!V88,"")</f>
        <v/>
      </c>
      <c r="L84" s="70"/>
      <c r="M84" s="70" t="str">
        <f>IF('Item Setup Form'!$AF88="Yes",'Item Setup Form'!A88,"")</f>
        <v/>
      </c>
      <c r="N84" s="70"/>
      <c r="O84" s="70"/>
      <c r="P84" s="70"/>
      <c r="Q84" s="70"/>
      <c r="R84" s="70"/>
      <c r="S84" s="70"/>
      <c r="T84" s="70"/>
      <c r="U84" s="70"/>
      <c r="V84" s="70"/>
      <c r="W84" s="70"/>
      <c r="X84" s="70"/>
      <c r="Y84" s="70"/>
      <c r="Z84" s="70"/>
    </row>
    <row r="85" spans="1:26">
      <c r="A85" s="70" t="str">
        <f>IF('Item Setup Form'!$AF89="Yes",'Item Setup Form'!$E89,"")</f>
        <v/>
      </c>
      <c r="B85" s="70" t="str">
        <f>IF('Item Setup Form'!$AF89="Yes",'Item Setup Form'!D89,"")</f>
        <v/>
      </c>
      <c r="C85" s="81" t="str">
        <f>IF('Item Setup Form'!$AF89="Yes",'Item Setup Form'!L89,"")</f>
        <v/>
      </c>
      <c r="D85" s="81" t="str">
        <f>IF('Item Setup Form'!$AF89="Yes",'Item Setup Form'!M89,"")</f>
        <v/>
      </c>
      <c r="E85" s="70"/>
      <c r="F85" s="70" t="str">
        <f>IF('Item Setup Form'!$AF89="Yes",'Item Setup Form'!G89,"")</f>
        <v/>
      </c>
      <c r="G85" s="70" t="str">
        <f>IF('Item Setup Form'!$AF89="Yes",'Item Setup Form'!H89,"")</f>
        <v/>
      </c>
      <c r="H85" s="70" t="str">
        <f>IF('Item Setup Form'!$AF89="Yes",'Item Setup Form'!V89,"")</f>
        <v/>
      </c>
      <c r="I85" s="70"/>
      <c r="J85" s="70" t="str">
        <f>IF('Item Setup Form'!$AF89="Yes",'Item Setup Form'!U89,"")</f>
        <v/>
      </c>
      <c r="K85" s="70" t="str">
        <f>IF('Item Setup Form'!$AF89="Yes",'Item Setup Form'!V89,"")</f>
        <v/>
      </c>
      <c r="L85" s="70"/>
      <c r="M85" s="70" t="str">
        <f>IF('Item Setup Form'!$AF89="Yes",'Item Setup Form'!A89,"")</f>
        <v/>
      </c>
      <c r="N85" s="70"/>
      <c r="O85" s="70"/>
      <c r="P85" s="70"/>
      <c r="Q85" s="70"/>
      <c r="R85" s="70"/>
      <c r="S85" s="70"/>
      <c r="T85" s="70"/>
      <c r="U85" s="70"/>
      <c r="V85" s="70"/>
      <c r="W85" s="70"/>
      <c r="X85" s="70"/>
      <c r="Y85" s="70"/>
      <c r="Z85" s="70"/>
    </row>
    <row r="86" spans="1:26">
      <c r="A86" s="70" t="str">
        <f>IF('Item Setup Form'!$AF90="Yes",'Item Setup Form'!$E90,"")</f>
        <v/>
      </c>
      <c r="B86" s="70" t="str">
        <f>IF('Item Setup Form'!$AF90="Yes",'Item Setup Form'!D90,"")</f>
        <v/>
      </c>
      <c r="C86" s="81" t="str">
        <f>IF('Item Setup Form'!$AF90="Yes",'Item Setup Form'!L90,"")</f>
        <v/>
      </c>
      <c r="D86" s="81" t="str">
        <f>IF('Item Setup Form'!$AF90="Yes",'Item Setup Form'!M90,"")</f>
        <v/>
      </c>
      <c r="E86" s="70"/>
      <c r="F86" s="70" t="str">
        <f>IF('Item Setup Form'!$AF90="Yes",'Item Setup Form'!G90,"")</f>
        <v/>
      </c>
      <c r="G86" s="70" t="str">
        <f>IF('Item Setup Form'!$AF90="Yes",'Item Setup Form'!H90,"")</f>
        <v/>
      </c>
      <c r="H86" s="70" t="str">
        <f>IF('Item Setup Form'!$AF90="Yes",'Item Setup Form'!V90,"")</f>
        <v/>
      </c>
      <c r="I86" s="70"/>
      <c r="J86" s="70" t="str">
        <f>IF('Item Setup Form'!$AF90="Yes",'Item Setup Form'!U90,"")</f>
        <v/>
      </c>
      <c r="K86" s="70" t="str">
        <f>IF('Item Setup Form'!$AF90="Yes",'Item Setup Form'!V90,"")</f>
        <v/>
      </c>
      <c r="L86" s="70"/>
      <c r="M86" s="70" t="str">
        <f>IF('Item Setup Form'!$AF90="Yes",'Item Setup Form'!A90,"")</f>
        <v/>
      </c>
      <c r="N86" s="70"/>
      <c r="O86" s="70"/>
      <c r="P86" s="70"/>
      <c r="Q86" s="70"/>
      <c r="R86" s="70"/>
      <c r="S86" s="70"/>
      <c r="T86" s="70"/>
      <c r="U86" s="70"/>
      <c r="V86" s="70"/>
      <c r="W86" s="70"/>
      <c r="X86" s="70"/>
      <c r="Y86" s="70"/>
      <c r="Z86" s="70"/>
    </row>
    <row r="87" spans="1:26">
      <c r="A87" s="70" t="str">
        <f>IF('Item Setup Form'!$AF91="Yes",'Item Setup Form'!$E91,"")</f>
        <v/>
      </c>
      <c r="B87" s="70" t="str">
        <f>IF('Item Setup Form'!$AF91="Yes",'Item Setup Form'!D91,"")</f>
        <v/>
      </c>
      <c r="C87" s="81" t="str">
        <f>IF('Item Setup Form'!$AF91="Yes",'Item Setup Form'!L91,"")</f>
        <v/>
      </c>
      <c r="D87" s="81" t="str">
        <f>IF('Item Setup Form'!$AF91="Yes",'Item Setup Form'!M91,"")</f>
        <v/>
      </c>
      <c r="E87" s="70"/>
      <c r="F87" s="70" t="str">
        <f>IF('Item Setup Form'!$AF91="Yes",'Item Setup Form'!G91,"")</f>
        <v/>
      </c>
      <c r="G87" s="70" t="str">
        <f>IF('Item Setup Form'!$AF91="Yes",'Item Setup Form'!H91,"")</f>
        <v/>
      </c>
      <c r="H87" s="70" t="str">
        <f>IF('Item Setup Form'!$AF91="Yes",'Item Setup Form'!V91,"")</f>
        <v/>
      </c>
      <c r="I87" s="70"/>
      <c r="J87" s="70" t="str">
        <f>IF('Item Setup Form'!$AF91="Yes",'Item Setup Form'!U91,"")</f>
        <v/>
      </c>
      <c r="K87" s="70" t="str">
        <f>IF('Item Setup Form'!$AF91="Yes",'Item Setup Form'!V91,"")</f>
        <v/>
      </c>
      <c r="L87" s="70"/>
      <c r="M87" s="70" t="str">
        <f>IF('Item Setup Form'!$AF91="Yes",'Item Setup Form'!A91,"")</f>
        <v/>
      </c>
      <c r="N87" s="70"/>
      <c r="O87" s="70"/>
      <c r="P87" s="70"/>
      <c r="Q87" s="70"/>
      <c r="R87" s="70"/>
      <c r="S87" s="70"/>
      <c r="T87" s="70"/>
      <c r="U87" s="70"/>
      <c r="V87" s="70"/>
      <c r="W87" s="70"/>
      <c r="X87" s="70"/>
      <c r="Y87" s="70"/>
      <c r="Z87" s="70"/>
    </row>
    <row r="88" spans="1:26">
      <c r="A88" s="70" t="str">
        <f>IF('Item Setup Form'!$AF92="Yes",'Item Setup Form'!$E92,"")</f>
        <v/>
      </c>
      <c r="B88" s="70" t="str">
        <f>IF('Item Setup Form'!$AF92="Yes",'Item Setup Form'!D92,"")</f>
        <v/>
      </c>
      <c r="C88" s="81" t="str">
        <f>IF('Item Setup Form'!$AF92="Yes",'Item Setup Form'!L92,"")</f>
        <v/>
      </c>
      <c r="D88" s="81" t="str">
        <f>IF('Item Setup Form'!$AF92="Yes",'Item Setup Form'!M92,"")</f>
        <v/>
      </c>
      <c r="E88" s="70"/>
      <c r="F88" s="70" t="str">
        <f>IF('Item Setup Form'!$AF92="Yes",'Item Setup Form'!G92,"")</f>
        <v/>
      </c>
      <c r="G88" s="70" t="str">
        <f>IF('Item Setup Form'!$AF92="Yes",'Item Setup Form'!H92,"")</f>
        <v/>
      </c>
      <c r="H88" s="70" t="str">
        <f>IF('Item Setup Form'!$AF92="Yes",'Item Setup Form'!V92,"")</f>
        <v/>
      </c>
      <c r="I88" s="70"/>
      <c r="J88" s="70" t="str">
        <f>IF('Item Setup Form'!$AF92="Yes",'Item Setup Form'!U92,"")</f>
        <v/>
      </c>
      <c r="K88" s="70" t="str">
        <f>IF('Item Setup Form'!$AF92="Yes",'Item Setup Form'!V92,"")</f>
        <v/>
      </c>
      <c r="L88" s="70"/>
      <c r="M88" s="70" t="str">
        <f>IF('Item Setup Form'!$AF92="Yes",'Item Setup Form'!A92,"")</f>
        <v/>
      </c>
      <c r="N88" s="70"/>
      <c r="O88" s="70"/>
      <c r="P88" s="70"/>
      <c r="Q88" s="70"/>
      <c r="R88" s="70"/>
      <c r="S88" s="70"/>
      <c r="T88" s="70"/>
      <c r="U88" s="70"/>
      <c r="V88" s="70"/>
      <c r="W88" s="70"/>
      <c r="X88" s="70"/>
      <c r="Y88" s="70"/>
      <c r="Z88" s="70"/>
    </row>
    <row r="89" spans="1:26">
      <c r="A89" s="70" t="str">
        <f>IF('Item Setup Form'!$AF93="Yes",'Item Setup Form'!$E93,"")</f>
        <v/>
      </c>
      <c r="B89" s="70" t="str">
        <f>IF('Item Setup Form'!$AF93="Yes",'Item Setup Form'!D93,"")</f>
        <v/>
      </c>
      <c r="C89" s="81" t="str">
        <f>IF('Item Setup Form'!$AF93="Yes",'Item Setup Form'!L93,"")</f>
        <v/>
      </c>
      <c r="D89" s="81" t="str">
        <f>IF('Item Setup Form'!$AF93="Yes",'Item Setup Form'!M93,"")</f>
        <v/>
      </c>
      <c r="E89" s="70"/>
      <c r="F89" s="70" t="str">
        <f>IF('Item Setup Form'!$AF93="Yes",'Item Setup Form'!G93,"")</f>
        <v/>
      </c>
      <c r="G89" s="70" t="str">
        <f>IF('Item Setup Form'!$AF93="Yes",'Item Setup Form'!H93,"")</f>
        <v/>
      </c>
      <c r="H89" s="70" t="str">
        <f>IF('Item Setup Form'!$AF93="Yes",'Item Setup Form'!V93,"")</f>
        <v/>
      </c>
      <c r="I89" s="70"/>
      <c r="J89" s="70" t="str">
        <f>IF('Item Setup Form'!$AF93="Yes",'Item Setup Form'!U93,"")</f>
        <v/>
      </c>
      <c r="K89" s="70" t="str">
        <f>IF('Item Setup Form'!$AF93="Yes",'Item Setup Form'!V93,"")</f>
        <v/>
      </c>
      <c r="L89" s="70"/>
      <c r="M89" s="70" t="str">
        <f>IF('Item Setup Form'!$AF93="Yes",'Item Setup Form'!A93,"")</f>
        <v/>
      </c>
      <c r="N89" s="70"/>
      <c r="O89" s="70"/>
      <c r="P89" s="70"/>
      <c r="Q89" s="70"/>
      <c r="R89" s="70"/>
      <c r="S89" s="70"/>
      <c r="T89" s="70"/>
      <c r="U89" s="70"/>
      <c r="V89" s="70"/>
      <c r="W89" s="70"/>
      <c r="X89" s="70"/>
      <c r="Y89" s="70"/>
      <c r="Z89" s="70"/>
    </row>
    <row r="90" spans="1:26">
      <c r="A90" s="70" t="str">
        <f>IF('Item Setup Form'!$AF94="Yes",'Item Setup Form'!$E94,"")</f>
        <v/>
      </c>
      <c r="B90" s="70" t="str">
        <f>IF('Item Setup Form'!$AF94="Yes",'Item Setup Form'!D94,"")</f>
        <v/>
      </c>
      <c r="C90" s="81" t="str">
        <f>IF('Item Setup Form'!$AF94="Yes",'Item Setup Form'!L94,"")</f>
        <v/>
      </c>
      <c r="D90" s="81" t="str">
        <f>IF('Item Setup Form'!$AF94="Yes",'Item Setup Form'!M94,"")</f>
        <v/>
      </c>
      <c r="E90" s="70"/>
      <c r="F90" s="70" t="str">
        <f>IF('Item Setup Form'!$AF94="Yes",'Item Setup Form'!G94,"")</f>
        <v/>
      </c>
      <c r="G90" s="70" t="str">
        <f>IF('Item Setup Form'!$AF94="Yes",'Item Setup Form'!H94,"")</f>
        <v/>
      </c>
      <c r="H90" s="70" t="str">
        <f>IF('Item Setup Form'!$AF94="Yes",'Item Setup Form'!V94,"")</f>
        <v/>
      </c>
      <c r="I90" s="70"/>
      <c r="J90" s="70" t="str">
        <f>IF('Item Setup Form'!$AF94="Yes",'Item Setup Form'!U94,"")</f>
        <v/>
      </c>
      <c r="K90" s="70" t="str">
        <f>IF('Item Setup Form'!$AF94="Yes",'Item Setup Form'!V94,"")</f>
        <v/>
      </c>
      <c r="L90" s="70"/>
      <c r="M90" s="70" t="str">
        <f>IF('Item Setup Form'!$AF94="Yes",'Item Setup Form'!A94,"")</f>
        <v/>
      </c>
      <c r="N90" s="70"/>
      <c r="O90" s="70"/>
      <c r="P90" s="70"/>
      <c r="Q90" s="70"/>
      <c r="R90" s="70"/>
      <c r="S90" s="70"/>
      <c r="T90" s="70"/>
      <c r="U90" s="70"/>
      <c r="V90" s="70"/>
      <c r="W90" s="70"/>
      <c r="X90" s="70"/>
      <c r="Y90" s="70"/>
      <c r="Z90" s="70"/>
    </row>
    <row r="91" spans="1:26">
      <c r="A91" s="70" t="str">
        <f>IF('Item Setup Form'!$AF95="Yes",'Item Setup Form'!$E95,"")</f>
        <v/>
      </c>
      <c r="B91" s="70" t="str">
        <f>IF('Item Setup Form'!$AF95="Yes",'Item Setup Form'!D95,"")</f>
        <v/>
      </c>
      <c r="C91" s="81" t="str">
        <f>IF('Item Setup Form'!$AF95="Yes",'Item Setup Form'!L95,"")</f>
        <v/>
      </c>
      <c r="D91" s="81" t="str">
        <f>IF('Item Setup Form'!$AF95="Yes",'Item Setup Form'!M95,"")</f>
        <v/>
      </c>
      <c r="E91" s="70"/>
      <c r="F91" s="70" t="str">
        <f>IF('Item Setup Form'!$AF95="Yes",'Item Setup Form'!G95,"")</f>
        <v/>
      </c>
      <c r="G91" s="70" t="str">
        <f>IF('Item Setup Form'!$AF95="Yes",'Item Setup Form'!H95,"")</f>
        <v/>
      </c>
      <c r="H91" s="70" t="str">
        <f>IF('Item Setup Form'!$AF95="Yes",'Item Setup Form'!V95,"")</f>
        <v/>
      </c>
      <c r="I91" s="70"/>
      <c r="J91" s="70" t="str">
        <f>IF('Item Setup Form'!$AF95="Yes",'Item Setup Form'!U95,"")</f>
        <v/>
      </c>
      <c r="K91" s="70" t="str">
        <f>IF('Item Setup Form'!$AF95="Yes",'Item Setup Form'!V95,"")</f>
        <v/>
      </c>
      <c r="L91" s="70"/>
      <c r="M91" s="70" t="str">
        <f>IF('Item Setup Form'!$AF95="Yes",'Item Setup Form'!A95,"")</f>
        <v/>
      </c>
      <c r="N91" s="70"/>
      <c r="O91" s="70"/>
      <c r="P91" s="70"/>
      <c r="Q91" s="70"/>
      <c r="R91" s="70"/>
      <c r="S91" s="70"/>
      <c r="T91" s="70"/>
      <c r="U91" s="70"/>
      <c r="V91" s="70"/>
      <c r="W91" s="70"/>
      <c r="X91" s="70"/>
      <c r="Y91" s="70"/>
      <c r="Z91" s="70"/>
    </row>
    <row r="92" spans="1:26">
      <c r="A92" s="70" t="str">
        <f>IF('Item Setup Form'!$AF96="Yes",'Item Setup Form'!$E96,"")</f>
        <v/>
      </c>
      <c r="B92" s="70" t="str">
        <f>IF('Item Setup Form'!$AF96="Yes",'Item Setup Form'!D96,"")</f>
        <v/>
      </c>
      <c r="C92" s="81" t="str">
        <f>IF('Item Setup Form'!$AF96="Yes",'Item Setup Form'!L96,"")</f>
        <v/>
      </c>
      <c r="D92" s="81" t="str">
        <f>IF('Item Setup Form'!$AF96="Yes",'Item Setup Form'!M96,"")</f>
        <v/>
      </c>
      <c r="E92" s="70"/>
      <c r="F92" s="70" t="str">
        <f>IF('Item Setup Form'!$AF96="Yes",'Item Setup Form'!G96,"")</f>
        <v/>
      </c>
      <c r="G92" s="70" t="str">
        <f>IF('Item Setup Form'!$AF96="Yes",'Item Setup Form'!H96,"")</f>
        <v/>
      </c>
      <c r="H92" s="70" t="str">
        <f>IF('Item Setup Form'!$AF96="Yes",'Item Setup Form'!V96,"")</f>
        <v/>
      </c>
      <c r="I92" s="70"/>
      <c r="J92" s="70" t="str">
        <f>IF('Item Setup Form'!$AF96="Yes",'Item Setup Form'!U96,"")</f>
        <v/>
      </c>
      <c r="K92" s="70" t="str">
        <f>IF('Item Setup Form'!$AF96="Yes",'Item Setup Form'!V96,"")</f>
        <v/>
      </c>
      <c r="L92" s="70"/>
      <c r="M92" s="70" t="str">
        <f>IF('Item Setup Form'!$AF96="Yes",'Item Setup Form'!A96,"")</f>
        <v/>
      </c>
      <c r="N92" s="70"/>
      <c r="O92" s="70"/>
      <c r="P92" s="70"/>
      <c r="Q92" s="70"/>
      <c r="R92" s="70"/>
      <c r="S92" s="70"/>
      <c r="T92" s="70"/>
      <c r="U92" s="70"/>
      <c r="V92" s="70"/>
      <c r="W92" s="70"/>
      <c r="X92" s="70"/>
      <c r="Y92" s="70"/>
      <c r="Z92" s="70"/>
    </row>
    <row r="93" spans="1:26">
      <c r="A93" s="70" t="str">
        <f>IF('Item Setup Form'!$AF97="Yes",'Item Setup Form'!$E97,"")</f>
        <v/>
      </c>
      <c r="B93" s="70" t="str">
        <f>IF('Item Setup Form'!$AF97="Yes",'Item Setup Form'!D97,"")</f>
        <v/>
      </c>
      <c r="C93" s="81" t="str">
        <f>IF('Item Setup Form'!$AF97="Yes",'Item Setup Form'!L97,"")</f>
        <v/>
      </c>
      <c r="D93" s="81" t="str">
        <f>IF('Item Setup Form'!$AF97="Yes",'Item Setup Form'!M97,"")</f>
        <v/>
      </c>
      <c r="E93" s="70"/>
      <c r="F93" s="70" t="str">
        <f>IF('Item Setup Form'!$AF97="Yes",'Item Setup Form'!G97,"")</f>
        <v/>
      </c>
      <c r="G93" s="70" t="str">
        <f>IF('Item Setup Form'!$AF97="Yes",'Item Setup Form'!H97,"")</f>
        <v/>
      </c>
      <c r="H93" s="70" t="str">
        <f>IF('Item Setup Form'!$AF97="Yes",'Item Setup Form'!V97,"")</f>
        <v/>
      </c>
      <c r="I93" s="70"/>
      <c r="J93" s="70" t="str">
        <f>IF('Item Setup Form'!$AF97="Yes",'Item Setup Form'!U97,"")</f>
        <v/>
      </c>
      <c r="K93" s="70" t="str">
        <f>IF('Item Setup Form'!$AF97="Yes",'Item Setup Form'!V97,"")</f>
        <v/>
      </c>
      <c r="L93" s="70"/>
      <c r="M93" s="70" t="str">
        <f>IF('Item Setup Form'!$AF97="Yes",'Item Setup Form'!A97,"")</f>
        <v/>
      </c>
      <c r="N93" s="70"/>
      <c r="O93" s="70"/>
      <c r="P93" s="70"/>
      <c r="Q93" s="70"/>
      <c r="R93" s="70"/>
      <c r="S93" s="70"/>
      <c r="T93" s="70"/>
      <c r="U93" s="70"/>
      <c r="V93" s="70"/>
      <c r="W93" s="70"/>
      <c r="X93" s="70"/>
      <c r="Y93" s="70"/>
      <c r="Z93" s="70"/>
    </row>
    <row r="94" spans="1:26">
      <c r="A94" s="70" t="str">
        <f>IF('Item Setup Form'!$AF98="Yes",'Item Setup Form'!$E98,"")</f>
        <v/>
      </c>
      <c r="B94" s="70" t="str">
        <f>IF('Item Setup Form'!$AF98="Yes",'Item Setup Form'!D98,"")</f>
        <v/>
      </c>
      <c r="C94" s="81" t="str">
        <f>IF('Item Setup Form'!$AF98="Yes",'Item Setup Form'!L98,"")</f>
        <v/>
      </c>
      <c r="D94" s="81" t="str">
        <f>IF('Item Setup Form'!$AF98="Yes",'Item Setup Form'!M98,"")</f>
        <v/>
      </c>
      <c r="E94" s="70"/>
      <c r="F94" s="70" t="str">
        <f>IF('Item Setup Form'!$AF98="Yes",'Item Setup Form'!G98,"")</f>
        <v/>
      </c>
      <c r="G94" s="70" t="str">
        <f>IF('Item Setup Form'!$AF98="Yes",'Item Setup Form'!H98,"")</f>
        <v/>
      </c>
      <c r="H94" s="70" t="str">
        <f>IF('Item Setup Form'!$AF98="Yes",'Item Setup Form'!V98,"")</f>
        <v/>
      </c>
      <c r="I94" s="70"/>
      <c r="J94" s="70" t="str">
        <f>IF('Item Setup Form'!$AF98="Yes",'Item Setup Form'!U98,"")</f>
        <v/>
      </c>
      <c r="K94" s="70" t="str">
        <f>IF('Item Setup Form'!$AF98="Yes",'Item Setup Form'!V98,"")</f>
        <v/>
      </c>
      <c r="L94" s="70"/>
      <c r="M94" s="70" t="str">
        <f>IF('Item Setup Form'!$AF98="Yes",'Item Setup Form'!A98,"")</f>
        <v/>
      </c>
      <c r="N94" s="70"/>
      <c r="O94" s="70"/>
      <c r="P94" s="70"/>
      <c r="Q94" s="70"/>
      <c r="R94" s="70"/>
      <c r="S94" s="70"/>
      <c r="T94" s="70"/>
      <c r="U94" s="70"/>
      <c r="V94" s="70"/>
      <c r="W94" s="70"/>
      <c r="X94" s="70"/>
      <c r="Y94" s="70"/>
      <c r="Z94" s="70"/>
    </row>
    <row r="95" spans="1:26">
      <c r="A95" s="70" t="str">
        <f>IF('Item Setup Form'!$AF99="Yes",'Item Setup Form'!$E99,"")</f>
        <v/>
      </c>
      <c r="B95" s="70" t="str">
        <f>IF('Item Setup Form'!$AF99="Yes",'Item Setup Form'!D99,"")</f>
        <v/>
      </c>
      <c r="C95" s="81" t="str">
        <f>IF('Item Setup Form'!$AF99="Yes",'Item Setup Form'!L99,"")</f>
        <v/>
      </c>
      <c r="D95" s="81" t="str">
        <f>IF('Item Setup Form'!$AF99="Yes",'Item Setup Form'!M99,"")</f>
        <v/>
      </c>
      <c r="E95" s="70"/>
      <c r="F95" s="70" t="str">
        <f>IF('Item Setup Form'!$AF99="Yes",'Item Setup Form'!G99,"")</f>
        <v/>
      </c>
      <c r="G95" s="70" t="str">
        <f>IF('Item Setup Form'!$AF99="Yes",'Item Setup Form'!H99,"")</f>
        <v/>
      </c>
      <c r="H95" s="70" t="str">
        <f>IF('Item Setup Form'!$AF99="Yes",'Item Setup Form'!V99,"")</f>
        <v/>
      </c>
      <c r="I95" s="70"/>
      <c r="J95" s="70" t="str">
        <f>IF('Item Setup Form'!$AF99="Yes",'Item Setup Form'!U99,"")</f>
        <v/>
      </c>
      <c r="K95" s="70" t="str">
        <f>IF('Item Setup Form'!$AF99="Yes",'Item Setup Form'!V99,"")</f>
        <v/>
      </c>
      <c r="L95" s="70"/>
      <c r="M95" s="70" t="str">
        <f>IF('Item Setup Form'!$AF99="Yes",'Item Setup Form'!A99,"")</f>
        <v/>
      </c>
      <c r="N95" s="70"/>
      <c r="O95" s="70"/>
      <c r="P95" s="70"/>
      <c r="Q95" s="70"/>
      <c r="R95" s="70"/>
      <c r="S95" s="70"/>
      <c r="T95" s="70"/>
      <c r="U95" s="70"/>
      <c r="V95" s="70"/>
      <c r="W95" s="70"/>
      <c r="X95" s="70"/>
      <c r="Y95" s="70"/>
      <c r="Z95" s="70"/>
    </row>
    <row r="96" spans="1:26">
      <c r="A96" s="70" t="str">
        <f>IF('Item Setup Form'!$AF100="Yes",'Item Setup Form'!$E100,"")</f>
        <v/>
      </c>
      <c r="B96" s="70" t="str">
        <f>IF('Item Setup Form'!$AF100="Yes",'Item Setup Form'!D100,"")</f>
        <v/>
      </c>
      <c r="C96" s="81" t="str">
        <f>IF('Item Setup Form'!$AF100="Yes",'Item Setup Form'!L100,"")</f>
        <v/>
      </c>
      <c r="D96" s="81" t="str">
        <f>IF('Item Setup Form'!$AF100="Yes",'Item Setup Form'!M100,"")</f>
        <v/>
      </c>
      <c r="E96" s="70"/>
      <c r="F96" s="70" t="str">
        <f>IF('Item Setup Form'!$AF100="Yes",'Item Setup Form'!G100,"")</f>
        <v/>
      </c>
      <c r="G96" s="70" t="str">
        <f>IF('Item Setup Form'!$AF100="Yes",'Item Setup Form'!H100,"")</f>
        <v/>
      </c>
      <c r="H96" s="70" t="str">
        <f>IF('Item Setup Form'!$AF100="Yes",'Item Setup Form'!V100,"")</f>
        <v/>
      </c>
      <c r="I96" s="70"/>
      <c r="J96" s="70" t="str">
        <f>IF('Item Setup Form'!$AF100="Yes",'Item Setup Form'!U100,"")</f>
        <v/>
      </c>
      <c r="K96" s="70" t="str">
        <f>IF('Item Setup Form'!$AF100="Yes",'Item Setup Form'!V100,"")</f>
        <v/>
      </c>
      <c r="L96" s="70"/>
      <c r="M96" s="70" t="str">
        <f>IF('Item Setup Form'!$AF100="Yes",'Item Setup Form'!A100,"")</f>
        <v/>
      </c>
      <c r="N96" s="70"/>
      <c r="O96" s="70"/>
      <c r="P96" s="70"/>
      <c r="Q96" s="70"/>
      <c r="R96" s="70"/>
      <c r="S96" s="70"/>
      <c r="T96" s="70"/>
      <c r="U96" s="70"/>
      <c r="V96" s="70"/>
      <c r="W96" s="70"/>
      <c r="X96" s="70"/>
      <c r="Y96" s="70"/>
      <c r="Z96" s="70"/>
    </row>
    <row r="97" spans="1:26">
      <c r="A97" s="70" t="str">
        <f>IF('Item Setup Form'!$AF101="Yes",'Item Setup Form'!$E101,"")</f>
        <v/>
      </c>
      <c r="B97" s="70" t="str">
        <f>IF('Item Setup Form'!$AF101="Yes",'Item Setup Form'!D101,"")</f>
        <v/>
      </c>
      <c r="C97" s="81" t="str">
        <f>IF('Item Setup Form'!$AF101="Yes",'Item Setup Form'!L101,"")</f>
        <v/>
      </c>
      <c r="D97" s="81" t="str">
        <f>IF('Item Setup Form'!$AF101="Yes",'Item Setup Form'!M101,"")</f>
        <v/>
      </c>
      <c r="E97" s="70"/>
      <c r="F97" s="70" t="str">
        <f>IF('Item Setup Form'!$AF101="Yes",'Item Setup Form'!G101,"")</f>
        <v/>
      </c>
      <c r="G97" s="70" t="str">
        <f>IF('Item Setup Form'!$AF101="Yes",'Item Setup Form'!H101,"")</f>
        <v/>
      </c>
      <c r="H97" s="70" t="str">
        <f>IF('Item Setup Form'!$AF101="Yes",'Item Setup Form'!V101,"")</f>
        <v/>
      </c>
      <c r="I97" s="70"/>
      <c r="J97" s="70" t="str">
        <f>IF('Item Setup Form'!$AF101="Yes",'Item Setup Form'!U101,"")</f>
        <v/>
      </c>
      <c r="K97" s="70" t="str">
        <f>IF('Item Setup Form'!$AF101="Yes",'Item Setup Form'!V101,"")</f>
        <v/>
      </c>
      <c r="L97" s="70"/>
      <c r="M97" s="70" t="str">
        <f>IF('Item Setup Form'!$AF101="Yes",'Item Setup Form'!A101,"")</f>
        <v/>
      </c>
      <c r="N97" s="70"/>
      <c r="O97" s="70"/>
      <c r="P97" s="70"/>
      <c r="Q97" s="70"/>
      <c r="R97" s="70"/>
      <c r="S97" s="70"/>
      <c r="T97" s="70"/>
      <c r="U97" s="70"/>
      <c r="V97" s="70"/>
      <c r="W97" s="70"/>
      <c r="X97" s="70"/>
      <c r="Y97" s="70"/>
      <c r="Z97" s="70"/>
    </row>
    <row r="98" spans="1:26">
      <c r="A98" s="70" t="str">
        <f>IF('Item Setup Form'!$AF102="Yes",'Item Setup Form'!$E102,"")</f>
        <v/>
      </c>
      <c r="B98" s="70" t="str">
        <f>IF('Item Setup Form'!$AF102="Yes",'Item Setup Form'!D102,"")</f>
        <v/>
      </c>
      <c r="C98" s="81" t="str">
        <f>IF('Item Setup Form'!$AF102="Yes",'Item Setup Form'!L102,"")</f>
        <v/>
      </c>
      <c r="D98" s="81" t="str">
        <f>IF('Item Setup Form'!$AF102="Yes",'Item Setup Form'!M102,"")</f>
        <v/>
      </c>
      <c r="E98" s="70"/>
      <c r="F98" s="70" t="str">
        <f>IF('Item Setup Form'!$AF102="Yes",'Item Setup Form'!G102,"")</f>
        <v/>
      </c>
      <c r="G98" s="70" t="str">
        <f>IF('Item Setup Form'!$AF102="Yes",'Item Setup Form'!H102,"")</f>
        <v/>
      </c>
      <c r="H98" s="70" t="str">
        <f>IF('Item Setup Form'!$AF102="Yes",'Item Setup Form'!V102,"")</f>
        <v/>
      </c>
      <c r="I98" s="70"/>
      <c r="J98" s="70" t="str">
        <f>IF('Item Setup Form'!$AF102="Yes",'Item Setup Form'!U102,"")</f>
        <v/>
      </c>
      <c r="K98" s="70" t="str">
        <f>IF('Item Setup Form'!$AF102="Yes",'Item Setup Form'!V102,"")</f>
        <v/>
      </c>
      <c r="L98" s="70"/>
      <c r="M98" s="70" t="str">
        <f>IF('Item Setup Form'!$AF102="Yes",'Item Setup Form'!A102,"")</f>
        <v/>
      </c>
      <c r="N98" s="70"/>
      <c r="O98" s="70"/>
      <c r="P98" s="70"/>
      <c r="Q98" s="70"/>
      <c r="R98" s="70"/>
      <c r="S98" s="70"/>
      <c r="T98" s="70"/>
      <c r="U98" s="70"/>
      <c r="V98" s="70"/>
      <c r="W98" s="70"/>
      <c r="X98" s="70"/>
      <c r="Y98" s="70"/>
      <c r="Z98" s="70"/>
    </row>
    <row r="99" spans="1:26">
      <c r="A99" s="70" t="str">
        <f>IF('Item Setup Form'!$AF103="Yes",'Item Setup Form'!$E103,"")</f>
        <v/>
      </c>
      <c r="B99" s="70" t="str">
        <f>IF('Item Setup Form'!$AF103="Yes",'Item Setup Form'!D103,"")</f>
        <v/>
      </c>
      <c r="C99" s="81" t="str">
        <f>IF('Item Setup Form'!$AF103="Yes",'Item Setup Form'!L103,"")</f>
        <v/>
      </c>
      <c r="D99" s="81" t="str">
        <f>IF('Item Setup Form'!$AF103="Yes",'Item Setup Form'!M103,"")</f>
        <v/>
      </c>
      <c r="E99" s="70"/>
      <c r="F99" s="70" t="str">
        <f>IF('Item Setup Form'!$AF103="Yes",'Item Setup Form'!G103,"")</f>
        <v/>
      </c>
      <c r="G99" s="70" t="str">
        <f>IF('Item Setup Form'!$AF103="Yes",'Item Setup Form'!H103,"")</f>
        <v/>
      </c>
      <c r="H99" s="70" t="str">
        <f>IF('Item Setup Form'!$AF103="Yes",'Item Setup Form'!V103,"")</f>
        <v/>
      </c>
      <c r="I99" s="70"/>
      <c r="J99" s="70" t="str">
        <f>IF('Item Setup Form'!$AF103="Yes",'Item Setup Form'!U103,"")</f>
        <v/>
      </c>
      <c r="K99" s="70" t="str">
        <f>IF('Item Setup Form'!$AF103="Yes",'Item Setup Form'!V103,"")</f>
        <v/>
      </c>
      <c r="L99" s="70"/>
      <c r="M99" s="70" t="str">
        <f>IF('Item Setup Form'!$AF103="Yes",'Item Setup Form'!A103,"")</f>
        <v/>
      </c>
      <c r="N99" s="70"/>
      <c r="O99" s="70"/>
      <c r="P99" s="70"/>
      <c r="Q99" s="70"/>
      <c r="R99" s="70"/>
      <c r="S99" s="70"/>
      <c r="T99" s="70"/>
      <c r="U99" s="70"/>
      <c r="V99" s="70"/>
      <c r="W99" s="70"/>
      <c r="X99" s="70"/>
      <c r="Y99" s="70"/>
      <c r="Z99" s="70"/>
    </row>
    <row r="100" spans="1:26">
      <c r="A100" s="70" t="str">
        <f>IF('Item Setup Form'!$AF104="Yes",'Item Setup Form'!$E104,"")</f>
        <v/>
      </c>
      <c r="B100" s="70" t="str">
        <f>IF('Item Setup Form'!$AF104="Yes",'Item Setup Form'!D104,"")</f>
        <v/>
      </c>
      <c r="C100" s="81" t="str">
        <f>IF('Item Setup Form'!$AF104="Yes",'Item Setup Form'!L104,"")</f>
        <v/>
      </c>
      <c r="D100" s="81" t="str">
        <f>IF('Item Setup Form'!$AF104="Yes",'Item Setup Form'!M104,"")</f>
        <v/>
      </c>
      <c r="E100" s="70"/>
      <c r="F100" s="70" t="str">
        <f>IF('Item Setup Form'!$AF104="Yes",'Item Setup Form'!G104,"")</f>
        <v/>
      </c>
      <c r="G100" s="70" t="str">
        <f>IF('Item Setup Form'!$AF104="Yes",'Item Setup Form'!H104,"")</f>
        <v/>
      </c>
      <c r="H100" s="70" t="str">
        <f>IF('Item Setup Form'!$AF104="Yes",'Item Setup Form'!V104,"")</f>
        <v/>
      </c>
      <c r="I100" s="70"/>
      <c r="J100" s="70" t="str">
        <f>IF('Item Setup Form'!$AF104="Yes",'Item Setup Form'!U104,"")</f>
        <v/>
      </c>
      <c r="K100" s="70" t="str">
        <f>IF('Item Setup Form'!$AF104="Yes",'Item Setup Form'!V104,"")</f>
        <v/>
      </c>
      <c r="L100" s="70"/>
      <c r="M100" s="70" t="str">
        <f>IF('Item Setup Form'!$AF104="Yes",'Item Setup Form'!A104,"")</f>
        <v/>
      </c>
      <c r="N100" s="70"/>
      <c r="O100" s="70"/>
      <c r="P100" s="70"/>
      <c r="Q100" s="70"/>
      <c r="R100" s="70"/>
      <c r="S100" s="70"/>
      <c r="T100" s="70"/>
      <c r="U100" s="70"/>
      <c r="V100" s="70"/>
      <c r="W100" s="70"/>
      <c r="X100" s="70"/>
      <c r="Y100" s="70"/>
      <c r="Z100" s="70"/>
    </row>
    <row r="101" spans="1:26">
      <c r="A101" s="70" t="str">
        <f>IF('Item Setup Form'!$AF105="Yes",'Item Setup Form'!$E105,"")</f>
        <v/>
      </c>
      <c r="B101" s="70" t="str">
        <f>IF('Item Setup Form'!$AF105="Yes",'Item Setup Form'!D105,"")</f>
        <v/>
      </c>
      <c r="C101" s="81" t="str">
        <f>IF('Item Setup Form'!$AF105="Yes",'Item Setup Form'!L105,"")</f>
        <v/>
      </c>
      <c r="D101" s="81" t="str">
        <f>IF('Item Setup Form'!$AF105="Yes",'Item Setup Form'!M105,"")</f>
        <v/>
      </c>
      <c r="E101" s="70"/>
      <c r="F101" s="70" t="str">
        <f>IF('Item Setup Form'!$AF105="Yes",'Item Setup Form'!G105,"")</f>
        <v/>
      </c>
      <c r="G101" s="70" t="str">
        <f>IF('Item Setup Form'!$AF105="Yes",'Item Setup Form'!H105,"")</f>
        <v/>
      </c>
      <c r="H101" s="70" t="str">
        <f>IF('Item Setup Form'!$AF105="Yes",'Item Setup Form'!V105,"")</f>
        <v/>
      </c>
      <c r="I101" s="70"/>
      <c r="J101" s="70" t="str">
        <f>IF('Item Setup Form'!$AF105="Yes",'Item Setup Form'!U105,"")</f>
        <v/>
      </c>
      <c r="K101" s="70" t="str">
        <f>IF('Item Setup Form'!$AF105="Yes",'Item Setup Form'!V105,"")</f>
        <v/>
      </c>
      <c r="L101" s="70"/>
      <c r="M101" s="70" t="str">
        <f>IF('Item Setup Form'!$AF105="Yes",'Item Setup Form'!A105,"")</f>
        <v/>
      </c>
      <c r="N101" s="70"/>
      <c r="O101" s="70"/>
      <c r="P101" s="70"/>
      <c r="Q101" s="70"/>
      <c r="R101" s="70"/>
      <c r="S101" s="70"/>
      <c r="T101" s="70"/>
      <c r="U101" s="70"/>
      <c r="V101" s="70"/>
      <c r="W101" s="70"/>
      <c r="X101" s="70"/>
      <c r="Y101" s="70"/>
      <c r="Z101" s="70"/>
    </row>
    <row r="102" spans="1:26">
      <c r="A102" s="70" t="str">
        <f>IF('Item Setup Form'!$AF106="Yes",'Item Setup Form'!$E106,"")</f>
        <v/>
      </c>
      <c r="B102" s="70" t="str">
        <f>IF('Item Setup Form'!$AF106="Yes",'Item Setup Form'!D106,"")</f>
        <v/>
      </c>
      <c r="C102" s="81" t="str">
        <f>IF('Item Setup Form'!$AF106="Yes",'Item Setup Form'!L106,"")</f>
        <v/>
      </c>
      <c r="D102" s="81" t="str">
        <f>IF('Item Setup Form'!$AF106="Yes",'Item Setup Form'!M106,"")</f>
        <v/>
      </c>
      <c r="E102" s="70"/>
      <c r="F102" s="70" t="str">
        <f>IF('Item Setup Form'!$AF106="Yes",'Item Setup Form'!G106,"")</f>
        <v/>
      </c>
      <c r="G102" s="70" t="str">
        <f>IF('Item Setup Form'!$AF106="Yes",'Item Setup Form'!H106,"")</f>
        <v/>
      </c>
      <c r="H102" s="70" t="str">
        <f>IF('Item Setup Form'!$AF106="Yes",'Item Setup Form'!V106,"")</f>
        <v/>
      </c>
      <c r="I102" s="70"/>
      <c r="J102" s="70" t="str">
        <f>IF('Item Setup Form'!$AF106="Yes",'Item Setup Form'!U106,"")</f>
        <v/>
      </c>
      <c r="K102" s="70" t="str">
        <f>IF('Item Setup Form'!$AF106="Yes",'Item Setup Form'!V106,"")</f>
        <v/>
      </c>
      <c r="L102" s="70"/>
      <c r="M102" s="70" t="str">
        <f>IF('Item Setup Form'!$AF106="Yes",'Item Setup Form'!A106,"")</f>
        <v/>
      </c>
      <c r="N102" s="70"/>
      <c r="O102" s="70"/>
      <c r="P102" s="70"/>
      <c r="Q102" s="70"/>
      <c r="R102" s="70"/>
      <c r="S102" s="70"/>
      <c r="T102" s="70"/>
      <c r="U102" s="70"/>
      <c r="V102" s="70"/>
      <c r="W102" s="70"/>
      <c r="X102" s="70"/>
      <c r="Y102" s="70"/>
      <c r="Z102" s="70"/>
    </row>
    <row r="103" spans="1:26">
      <c r="A103" s="70" t="str">
        <f>IF('Item Setup Form'!$AF107="Yes",'Item Setup Form'!$E107,"")</f>
        <v/>
      </c>
      <c r="B103" s="70" t="str">
        <f>IF('Item Setup Form'!$AF107="Yes",'Item Setup Form'!D107,"")</f>
        <v/>
      </c>
      <c r="C103" s="81" t="str">
        <f>IF('Item Setup Form'!$AF107="Yes",'Item Setup Form'!L107,"")</f>
        <v/>
      </c>
      <c r="D103" s="81" t="str">
        <f>IF('Item Setup Form'!$AF107="Yes",'Item Setup Form'!M107,"")</f>
        <v/>
      </c>
      <c r="E103" s="70"/>
      <c r="F103" s="70" t="str">
        <f>IF('Item Setup Form'!$AF107="Yes",'Item Setup Form'!G107,"")</f>
        <v/>
      </c>
      <c r="G103" s="70" t="str">
        <f>IF('Item Setup Form'!$AF107="Yes",'Item Setup Form'!H107,"")</f>
        <v/>
      </c>
      <c r="H103" s="70" t="str">
        <f>IF('Item Setup Form'!$AF107="Yes",'Item Setup Form'!V107,"")</f>
        <v/>
      </c>
      <c r="I103" s="70"/>
      <c r="J103" s="70" t="str">
        <f>IF('Item Setup Form'!$AF107="Yes",'Item Setup Form'!U107,"")</f>
        <v/>
      </c>
      <c r="K103" s="70" t="str">
        <f>IF('Item Setup Form'!$AF107="Yes",'Item Setup Form'!V107,"")</f>
        <v/>
      </c>
      <c r="L103" s="70"/>
      <c r="M103" s="70" t="str">
        <f>IF('Item Setup Form'!$AF107="Yes",'Item Setup Form'!A107,"")</f>
        <v/>
      </c>
      <c r="N103" s="70"/>
      <c r="O103" s="70"/>
      <c r="P103" s="70"/>
      <c r="Q103" s="70"/>
      <c r="R103" s="70"/>
      <c r="S103" s="70"/>
      <c r="T103" s="70"/>
      <c r="U103" s="70"/>
      <c r="V103" s="70"/>
      <c r="W103" s="70"/>
      <c r="X103" s="70"/>
      <c r="Y103" s="70"/>
      <c r="Z103" s="70"/>
    </row>
    <row r="104" spans="1:26">
      <c r="A104" s="70" t="str">
        <f>IF('Item Setup Form'!$AF108="Yes",'Item Setup Form'!$E108,"")</f>
        <v/>
      </c>
      <c r="B104" s="70" t="str">
        <f>IF('Item Setup Form'!$AF108="Yes",'Item Setup Form'!D108,"")</f>
        <v/>
      </c>
      <c r="C104" s="81" t="str">
        <f>IF('Item Setup Form'!$AF108="Yes",'Item Setup Form'!L108,"")</f>
        <v/>
      </c>
      <c r="D104" s="81" t="str">
        <f>IF('Item Setup Form'!$AF108="Yes",'Item Setup Form'!M108,"")</f>
        <v/>
      </c>
      <c r="E104" s="70"/>
      <c r="F104" s="70" t="str">
        <f>IF('Item Setup Form'!$AF108="Yes",'Item Setup Form'!G108,"")</f>
        <v/>
      </c>
      <c r="G104" s="70" t="str">
        <f>IF('Item Setup Form'!$AF108="Yes",'Item Setup Form'!H108,"")</f>
        <v/>
      </c>
      <c r="H104" s="70" t="str">
        <f>IF('Item Setup Form'!$AF108="Yes",'Item Setup Form'!V108,"")</f>
        <v/>
      </c>
      <c r="I104" s="70"/>
      <c r="J104" s="70" t="str">
        <f>IF('Item Setup Form'!$AF108="Yes",'Item Setup Form'!U108,"")</f>
        <v/>
      </c>
      <c r="K104" s="70" t="str">
        <f>IF('Item Setup Form'!$AF108="Yes",'Item Setup Form'!V108,"")</f>
        <v/>
      </c>
      <c r="L104" s="70"/>
      <c r="M104" s="70" t="str">
        <f>IF('Item Setup Form'!$AF108="Yes",'Item Setup Form'!A108,"")</f>
        <v/>
      </c>
      <c r="N104" s="70"/>
      <c r="O104" s="70"/>
      <c r="P104" s="70"/>
      <c r="Q104" s="70"/>
      <c r="R104" s="70"/>
      <c r="S104" s="70"/>
      <c r="T104" s="70"/>
      <c r="U104" s="70"/>
      <c r="V104" s="70"/>
      <c r="W104" s="70"/>
      <c r="X104" s="70"/>
      <c r="Y104" s="70"/>
      <c r="Z104" s="70"/>
    </row>
    <row r="105" spans="1:26">
      <c r="A105" s="70" t="str">
        <f>IF('Item Setup Form'!$AF109="Yes",'Item Setup Form'!$E109,"")</f>
        <v/>
      </c>
      <c r="B105" s="70" t="str">
        <f>IF('Item Setup Form'!$AF109="Yes",'Item Setup Form'!D109,"")</f>
        <v/>
      </c>
      <c r="C105" s="81" t="str">
        <f>IF('Item Setup Form'!$AF109="Yes",'Item Setup Form'!L109,"")</f>
        <v/>
      </c>
      <c r="D105" s="81" t="str">
        <f>IF('Item Setup Form'!$AF109="Yes",'Item Setup Form'!M109,"")</f>
        <v/>
      </c>
      <c r="E105" s="70"/>
      <c r="F105" s="70" t="str">
        <f>IF('Item Setup Form'!$AF109="Yes",'Item Setup Form'!G109,"")</f>
        <v/>
      </c>
      <c r="G105" s="70" t="str">
        <f>IF('Item Setup Form'!$AF109="Yes",'Item Setup Form'!H109,"")</f>
        <v/>
      </c>
      <c r="H105" s="70" t="str">
        <f>IF('Item Setup Form'!$AF109="Yes",'Item Setup Form'!V109,"")</f>
        <v/>
      </c>
      <c r="I105" s="70"/>
      <c r="J105" s="70" t="str">
        <f>IF('Item Setup Form'!$AF109="Yes",'Item Setup Form'!U109,"")</f>
        <v/>
      </c>
      <c r="K105" s="70" t="str">
        <f>IF('Item Setup Form'!$AF109="Yes",'Item Setup Form'!V109,"")</f>
        <v/>
      </c>
      <c r="L105" s="70"/>
      <c r="M105" s="70" t="str">
        <f>IF('Item Setup Form'!$AF109="Yes",'Item Setup Form'!A109,"")</f>
        <v/>
      </c>
      <c r="N105" s="70"/>
      <c r="O105" s="70"/>
      <c r="P105" s="70"/>
      <c r="Q105" s="70"/>
      <c r="R105" s="70"/>
      <c r="S105" s="70"/>
      <c r="T105" s="70"/>
      <c r="U105" s="70"/>
      <c r="V105" s="70"/>
      <c r="W105" s="70"/>
      <c r="X105" s="70"/>
      <c r="Y105" s="70"/>
      <c r="Z105" s="70"/>
    </row>
    <row r="106" spans="1:26">
      <c r="A106" s="70" t="str">
        <f>IF('Item Setup Form'!$AF110="Yes",'Item Setup Form'!$E110,"")</f>
        <v/>
      </c>
      <c r="B106" s="70" t="str">
        <f>IF('Item Setup Form'!$AF110="Yes",'Item Setup Form'!D110,"")</f>
        <v/>
      </c>
      <c r="C106" s="81" t="str">
        <f>IF('Item Setup Form'!$AF110="Yes",'Item Setup Form'!L110,"")</f>
        <v/>
      </c>
      <c r="D106" s="81" t="str">
        <f>IF('Item Setup Form'!$AF110="Yes",'Item Setup Form'!M110,"")</f>
        <v/>
      </c>
      <c r="E106" s="70"/>
      <c r="F106" s="70" t="str">
        <f>IF('Item Setup Form'!$AF110="Yes",'Item Setup Form'!G110,"")</f>
        <v/>
      </c>
      <c r="G106" s="70" t="str">
        <f>IF('Item Setup Form'!$AF110="Yes",'Item Setup Form'!H110,"")</f>
        <v/>
      </c>
      <c r="H106" s="70" t="str">
        <f>IF('Item Setup Form'!$AF110="Yes",'Item Setup Form'!V110,"")</f>
        <v/>
      </c>
      <c r="I106" s="70"/>
      <c r="J106" s="70" t="str">
        <f>IF('Item Setup Form'!$AF110="Yes",'Item Setup Form'!U110,"")</f>
        <v/>
      </c>
      <c r="K106" s="70" t="str">
        <f>IF('Item Setup Form'!$AF110="Yes",'Item Setup Form'!V110,"")</f>
        <v/>
      </c>
      <c r="L106" s="70"/>
      <c r="M106" s="70" t="str">
        <f>IF('Item Setup Form'!$AF110="Yes",'Item Setup Form'!A110,"")</f>
        <v/>
      </c>
      <c r="N106" s="70"/>
      <c r="O106" s="70"/>
      <c r="P106" s="70"/>
      <c r="Q106" s="70"/>
      <c r="R106" s="70"/>
      <c r="S106" s="70"/>
      <c r="T106" s="70"/>
      <c r="U106" s="70"/>
      <c r="V106" s="70"/>
      <c r="W106" s="70"/>
      <c r="X106" s="70"/>
      <c r="Y106" s="70"/>
      <c r="Z106" s="70"/>
    </row>
    <row r="107" spans="1:26">
      <c r="A107" s="70" t="str">
        <f>IF('Item Setup Form'!$AF111="Yes",'Item Setup Form'!$E111,"")</f>
        <v/>
      </c>
      <c r="B107" s="70" t="str">
        <f>IF('Item Setup Form'!$AF111="Yes",'Item Setup Form'!D111,"")</f>
        <v/>
      </c>
      <c r="C107" s="81" t="str">
        <f>IF('Item Setup Form'!$AF111="Yes",'Item Setup Form'!L111,"")</f>
        <v/>
      </c>
      <c r="D107" s="81" t="str">
        <f>IF('Item Setup Form'!$AF111="Yes",'Item Setup Form'!M111,"")</f>
        <v/>
      </c>
      <c r="E107" s="70"/>
      <c r="F107" s="70" t="str">
        <f>IF('Item Setup Form'!$AF111="Yes",'Item Setup Form'!G111,"")</f>
        <v/>
      </c>
      <c r="G107" s="70" t="str">
        <f>IF('Item Setup Form'!$AF111="Yes",'Item Setup Form'!H111,"")</f>
        <v/>
      </c>
      <c r="H107" s="70" t="str">
        <f>IF('Item Setup Form'!$AF111="Yes",'Item Setup Form'!V111,"")</f>
        <v/>
      </c>
      <c r="I107" s="70"/>
      <c r="J107" s="70" t="str">
        <f>IF('Item Setup Form'!$AF111="Yes",'Item Setup Form'!U111,"")</f>
        <v/>
      </c>
      <c r="K107" s="70" t="str">
        <f>IF('Item Setup Form'!$AF111="Yes",'Item Setup Form'!V111,"")</f>
        <v/>
      </c>
      <c r="L107" s="70"/>
      <c r="M107" s="70" t="str">
        <f>IF('Item Setup Form'!$AF111="Yes",'Item Setup Form'!A111,"")</f>
        <v/>
      </c>
      <c r="N107" s="70"/>
      <c r="O107" s="70"/>
      <c r="P107" s="70"/>
      <c r="Q107" s="70"/>
      <c r="R107" s="70"/>
      <c r="S107" s="70"/>
      <c r="T107" s="70"/>
      <c r="U107" s="70"/>
      <c r="V107" s="70"/>
      <c r="W107" s="70"/>
      <c r="X107" s="70"/>
      <c r="Y107" s="70"/>
      <c r="Z107" s="70"/>
    </row>
    <row r="108" spans="1:26">
      <c r="A108" s="70" t="str">
        <f>IF('Item Setup Form'!$AF112="Yes",'Item Setup Form'!$E112,"")</f>
        <v/>
      </c>
      <c r="B108" s="70" t="str">
        <f>IF('Item Setup Form'!$AF112="Yes",'Item Setup Form'!D112,"")</f>
        <v/>
      </c>
      <c r="C108" s="81" t="str">
        <f>IF('Item Setup Form'!$AF112="Yes",'Item Setup Form'!L112,"")</f>
        <v/>
      </c>
      <c r="D108" s="81" t="str">
        <f>IF('Item Setup Form'!$AF112="Yes",'Item Setup Form'!M112,"")</f>
        <v/>
      </c>
      <c r="E108" s="70"/>
      <c r="F108" s="70" t="str">
        <f>IF('Item Setup Form'!$AF112="Yes",'Item Setup Form'!G112,"")</f>
        <v/>
      </c>
      <c r="G108" s="70" t="str">
        <f>IF('Item Setup Form'!$AF112="Yes",'Item Setup Form'!H112,"")</f>
        <v/>
      </c>
      <c r="H108" s="70" t="str">
        <f>IF('Item Setup Form'!$AF112="Yes",'Item Setup Form'!V112,"")</f>
        <v/>
      </c>
      <c r="I108" s="70"/>
      <c r="J108" s="70" t="str">
        <f>IF('Item Setup Form'!$AF112="Yes",'Item Setup Form'!U112,"")</f>
        <v/>
      </c>
      <c r="K108" s="70" t="str">
        <f>IF('Item Setup Form'!$AF112="Yes",'Item Setup Form'!V112,"")</f>
        <v/>
      </c>
      <c r="L108" s="70"/>
      <c r="M108" s="70" t="str">
        <f>IF('Item Setup Form'!$AF112="Yes",'Item Setup Form'!A112,"")</f>
        <v/>
      </c>
      <c r="N108" s="70"/>
      <c r="O108" s="70"/>
      <c r="P108" s="70"/>
      <c r="Q108" s="70"/>
      <c r="R108" s="70"/>
      <c r="S108" s="70"/>
      <c r="T108" s="70"/>
      <c r="U108" s="70"/>
      <c r="V108" s="70"/>
      <c r="W108" s="70"/>
      <c r="X108" s="70"/>
      <c r="Y108" s="70"/>
      <c r="Z108" s="70"/>
    </row>
    <row r="109" spans="1:26">
      <c r="A109" s="70" t="str">
        <f>IF('Item Setup Form'!$AF113="Yes",'Item Setup Form'!$E113,"")</f>
        <v/>
      </c>
      <c r="B109" s="70" t="str">
        <f>IF('Item Setup Form'!$AF113="Yes",'Item Setup Form'!D113,"")</f>
        <v/>
      </c>
      <c r="C109" s="81" t="str">
        <f>IF('Item Setup Form'!$AF113="Yes",'Item Setup Form'!L113,"")</f>
        <v/>
      </c>
      <c r="D109" s="81" t="str">
        <f>IF('Item Setup Form'!$AF113="Yes",'Item Setup Form'!M113,"")</f>
        <v/>
      </c>
      <c r="E109" s="70"/>
      <c r="F109" s="70" t="str">
        <f>IF('Item Setup Form'!$AF113="Yes",'Item Setup Form'!G113,"")</f>
        <v/>
      </c>
      <c r="G109" s="70" t="str">
        <f>IF('Item Setup Form'!$AF113="Yes",'Item Setup Form'!H113,"")</f>
        <v/>
      </c>
      <c r="H109" s="70" t="str">
        <f>IF('Item Setup Form'!$AF113="Yes",'Item Setup Form'!V113,"")</f>
        <v/>
      </c>
      <c r="I109" s="70"/>
      <c r="J109" s="70" t="str">
        <f>IF('Item Setup Form'!$AF113="Yes",'Item Setup Form'!U113,"")</f>
        <v/>
      </c>
      <c r="K109" s="70" t="str">
        <f>IF('Item Setup Form'!$AF113="Yes",'Item Setup Form'!V113,"")</f>
        <v/>
      </c>
      <c r="L109" s="70"/>
      <c r="M109" s="70" t="str">
        <f>IF('Item Setup Form'!$AF113="Yes",'Item Setup Form'!A113,"")</f>
        <v/>
      </c>
      <c r="N109" s="70"/>
      <c r="O109" s="70"/>
      <c r="P109" s="70"/>
      <c r="Q109" s="70"/>
      <c r="R109" s="70"/>
      <c r="S109" s="70"/>
      <c r="T109" s="70"/>
      <c r="U109" s="70"/>
      <c r="V109" s="70"/>
      <c r="W109" s="70"/>
      <c r="X109" s="70"/>
      <c r="Y109" s="70"/>
      <c r="Z109" s="70"/>
    </row>
    <row r="110" spans="1:26">
      <c r="A110" s="70" t="str">
        <f>IF('Item Setup Form'!$AF114="Yes",'Item Setup Form'!$E114,"")</f>
        <v/>
      </c>
      <c r="B110" s="70" t="str">
        <f>IF('Item Setup Form'!$AF114="Yes",'Item Setup Form'!D114,"")</f>
        <v/>
      </c>
      <c r="C110" s="81" t="str">
        <f>IF('Item Setup Form'!$AF114="Yes",'Item Setup Form'!L114,"")</f>
        <v/>
      </c>
      <c r="D110" s="81" t="str">
        <f>IF('Item Setup Form'!$AF114="Yes",'Item Setup Form'!M114,"")</f>
        <v/>
      </c>
      <c r="E110" s="70"/>
      <c r="F110" s="70" t="str">
        <f>IF('Item Setup Form'!$AF114="Yes",'Item Setup Form'!G114,"")</f>
        <v/>
      </c>
      <c r="G110" s="70" t="str">
        <f>IF('Item Setup Form'!$AF114="Yes",'Item Setup Form'!H114,"")</f>
        <v/>
      </c>
      <c r="H110" s="70" t="str">
        <f>IF('Item Setup Form'!$AF114="Yes",'Item Setup Form'!V114,"")</f>
        <v/>
      </c>
      <c r="I110" s="70"/>
      <c r="J110" s="70" t="str">
        <f>IF('Item Setup Form'!$AF114="Yes",'Item Setup Form'!U114,"")</f>
        <v/>
      </c>
      <c r="K110" s="70" t="str">
        <f>IF('Item Setup Form'!$AF114="Yes",'Item Setup Form'!V114,"")</f>
        <v/>
      </c>
      <c r="L110" s="70"/>
      <c r="M110" s="70" t="str">
        <f>IF('Item Setup Form'!$AF114="Yes",'Item Setup Form'!A114,"")</f>
        <v/>
      </c>
      <c r="N110" s="70"/>
      <c r="O110" s="70"/>
      <c r="P110" s="70"/>
      <c r="Q110" s="70"/>
      <c r="R110" s="70"/>
      <c r="S110" s="70"/>
      <c r="T110" s="70"/>
      <c r="U110" s="70"/>
      <c r="V110" s="70"/>
      <c r="W110" s="70"/>
      <c r="X110" s="70"/>
      <c r="Y110" s="70"/>
      <c r="Z110" s="70"/>
    </row>
    <row r="111" spans="1:26">
      <c r="A111" s="70" t="str">
        <f>IF('Item Setup Form'!$AF115="Yes",'Item Setup Form'!$E115,"")</f>
        <v/>
      </c>
      <c r="B111" s="70" t="str">
        <f>IF('Item Setup Form'!$AF115="Yes",'Item Setup Form'!D115,"")</f>
        <v/>
      </c>
      <c r="C111" s="81" t="str">
        <f>IF('Item Setup Form'!$AF115="Yes",'Item Setup Form'!L115,"")</f>
        <v/>
      </c>
      <c r="D111" s="81" t="str">
        <f>IF('Item Setup Form'!$AF115="Yes",'Item Setup Form'!M115,"")</f>
        <v/>
      </c>
      <c r="E111" s="70"/>
      <c r="F111" s="70" t="str">
        <f>IF('Item Setup Form'!$AF115="Yes",'Item Setup Form'!G115,"")</f>
        <v/>
      </c>
      <c r="G111" s="70" t="str">
        <f>IF('Item Setup Form'!$AF115="Yes",'Item Setup Form'!H115,"")</f>
        <v/>
      </c>
      <c r="H111" s="70" t="str">
        <f>IF('Item Setup Form'!$AF115="Yes",'Item Setup Form'!V115,"")</f>
        <v/>
      </c>
      <c r="I111" s="70"/>
      <c r="J111" s="70" t="str">
        <f>IF('Item Setup Form'!$AF115="Yes",'Item Setup Form'!U115,"")</f>
        <v/>
      </c>
      <c r="K111" s="70" t="str">
        <f>IF('Item Setup Form'!$AF115="Yes",'Item Setup Form'!V115,"")</f>
        <v/>
      </c>
      <c r="L111" s="70"/>
      <c r="M111" s="70" t="str">
        <f>IF('Item Setup Form'!$AF115="Yes",'Item Setup Form'!A115,"")</f>
        <v/>
      </c>
      <c r="N111" s="70"/>
      <c r="O111" s="70"/>
      <c r="P111" s="70"/>
      <c r="Q111" s="70"/>
      <c r="R111" s="70"/>
      <c r="S111" s="70"/>
      <c r="T111" s="70"/>
      <c r="U111" s="70"/>
      <c r="V111" s="70"/>
      <c r="W111" s="70"/>
      <c r="X111" s="70"/>
      <c r="Y111" s="70"/>
      <c r="Z111" s="70"/>
    </row>
    <row r="112" spans="1:26">
      <c r="A112" s="70" t="str">
        <f>IF('Item Setup Form'!$AF116="Yes",'Item Setup Form'!$E116,"")</f>
        <v/>
      </c>
      <c r="B112" s="70" t="str">
        <f>IF('Item Setup Form'!$AF116="Yes",'Item Setup Form'!D116,"")</f>
        <v/>
      </c>
      <c r="C112" s="81" t="str">
        <f>IF('Item Setup Form'!$AF116="Yes",'Item Setup Form'!L116,"")</f>
        <v/>
      </c>
      <c r="D112" s="81" t="str">
        <f>IF('Item Setup Form'!$AF116="Yes",'Item Setup Form'!M116,"")</f>
        <v/>
      </c>
      <c r="E112" s="70"/>
      <c r="F112" s="70" t="str">
        <f>IF('Item Setup Form'!$AF116="Yes",'Item Setup Form'!G116,"")</f>
        <v/>
      </c>
      <c r="G112" s="70" t="str">
        <f>IF('Item Setup Form'!$AF116="Yes",'Item Setup Form'!H116,"")</f>
        <v/>
      </c>
      <c r="H112" s="70" t="str">
        <f>IF('Item Setup Form'!$AF116="Yes",'Item Setup Form'!V116,"")</f>
        <v/>
      </c>
      <c r="I112" s="70"/>
      <c r="J112" s="70" t="str">
        <f>IF('Item Setup Form'!$AF116="Yes",'Item Setup Form'!U116,"")</f>
        <v/>
      </c>
      <c r="K112" s="70" t="str">
        <f>IF('Item Setup Form'!$AF116="Yes",'Item Setup Form'!V116,"")</f>
        <v/>
      </c>
      <c r="L112" s="70"/>
      <c r="M112" s="70" t="str">
        <f>IF('Item Setup Form'!$AF116="Yes",'Item Setup Form'!A116,"")</f>
        <v/>
      </c>
      <c r="N112" s="70"/>
      <c r="O112" s="70"/>
      <c r="P112" s="70"/>
      <c r="Q112" s="70"/>
      <c r="R112" s="70"/>
      <c r="S112" s="70"/>
      <c r="T112" s="70"/>
      <c r="U112" s="70"/>
      <c r="V112" s="70"/>
      <c r="W112" s="70"/>
      <c r="X112" s="70"/>
      <c r="Y112" s="70"/>
      <c r="Z112" s="70"/>
    </row>
    <row r="113" spans="1:26">
      <c r="A113" s="70" t="str">
        <f>IF('Item Setup Form'!$AF117="Yes",'Item Setup Form'!$E117,"")</f>
        <v/>
      </c>
      <c r="B113" s="70" t="str">
        <f>IF('Item Setup Form'!$AF117="Yes",'Item Setup Form'!D117,"")</f>
        <v/>
      </c>
      <c r="C113" s="81" t="str">
        <f>IF('Item Setup Form'!$AF117="Yes",'Item Setup Form'!L117,"")</f>
        <v/>
      </c>
      <c r="D113" s="81" t="str">
        <f>IF('Item Setup Form'!$AF117="Yes",'Item Setup Form'!M117,"")</f>
        <v/>
      </c>
      <c r="E113" s="70"/>
      <c r="F113" s="70" t="str">
        <f>IF('Item Setup Form'!$AF117="Yes",'Item Setup Form'!G117,"")</f>
        <v/>
      </c>
      <c r="G113" s="70" t="str">
        <f>IF('Item Setup Form'!$AF117="Yes",'Item Setup Form'!H117,"")</f>
        <v/>
      </c>
      <c r="H113" s="70" t="str">
        <f>IF('Item Setup Form'!$AF117="Yes",'Item Setup Form'!V117,"")</f>
        <v/>
      </c>
      <c r="I113" s="70"/>
      <c r="J113" s="70" t="str">
        <f>IF('Item Setup Form'!$AF117="Yes",'Item Setup Form'!U117,"")</f>
        <v/>
      </c>
      <c r="K113" s="70" t="str">
        <f>IF('Item Setup Form'!$AF117="Yes",'Item Setup Form'!V117,"")</f>
        <v/>
      </c>
      <c r="L113" s="70"/>
      <c r="M113" s="70" t="str">
        <f>IF('Item Setup Form'!$AF117="Yes",'Item Setup Form'!A117,"")</f>
        <v/>
      </c>
      <c r="N113" s="70"/>
      <c r="O113" s="70"/>
      <c r="P113" s="70"/>
      <c r="Q113" s="70"/>
      <c r="R113" s="70"/>
      <c r="S113" s="70"/>
      <c r="T113" s="70"/>
      <c r="U113" s="70"/>
      <c r="V113" s="70"/>
      <c r="W113" s="70"/>
      <c r="X113" s="70"/>
      <c r="Y113" s="70"/>
      <c r="Z113" s="70"/>
    </row>
    <row r="114" spans="1:26">
      <c r="A114" s="70" t="str">
        <f>IF('Item Setup Form'!$AF118="Yes",'Item Setup Form'!$E118,"")</f>
        <v/>
      </c>
      <c r="B114" s="70" t="str">
        <f>IF('Item Setup Form'!$AF118="Yes",'Item Setup Form'!D118,"")</f>
        <v/>
      </c>
      <c r="C114" s="81" t="str">
        <f>IF('Item Setup Form'!$AF118="Yes",'Item Setup Form'!L118,"")</f>
        <v/>
      </c>
      <c r="D114" s="81" t="str">
        <f>IF('Item Setup Form'!$AF118="Yes",'Item Setup Form'!M118,"")</f>
        <v/>
      </c>
      <c r="E114" s="70"/>
      <c r="F114" s="70" t="str">
        <f>IF('Item Setup Form'!$AF118="Yes",'Item Setup Form'!G118,"")</f>
        <v/>
      </c>
      <c r="G114" s="70" t="str">
        <f>IF('Item Setup Form'!$AF118="Yes",'Item Setup Form'!H118,"")</f>
        <v/>
      </c>
      <c r="H114" s="70" t="str">
        <f>IF('Item Setup Form'!$AF118="Yes",'Item Setup Form'!V118,"")</f>
        <v/>
      </c>
      <c r="I114" s="70"/>
      <c r="J114" s="70" t="str">
        <f>IF('Item Setup Form'!$AF118="Yes",'Item Setup Form'!U118,"")</f>
        <v/>
      </c>
      <c r="K114" s="70" t="str">
        <f>IF('Item Setup Form'!$AF118="Yes",'Item Setup Form'!V118,"")</f>
        <v/>
      </c>
      <c r="L114" s="70"/>
      <c r="M114" s="70" t="str">
        <f>IF('Item Setup Form'!$AF118="Yes",'Item Setup Form'!A118,"")</f>
        <v/>
      </c>
      <c r="N114" s="70"/>
      <c r="O114" s="70"/>
      <c r="P114" s="70"/>
      <c r="Q114" s="70"/>
      <c r="R114" s="70"/>
      <c r="S114" s="70"/>
      <c r="T114" s="70"/>
      <c r="U114" s="70"/>
      <c r="V114" s="70"/>
      <c r="W114" s="70"/>
      <c r="X114" s="70"/>
      <c r="Y114" s="70"/>
      <c r="Z114" s="70"/>
    </row>
    <row r="115" spans="1:26">
      <c r="A115" s="70" t="str">
        <f>IF('Item Setup Form'!$AF119="Yes",'Item Setup Form'!$E119,"")</f>
        <v/>
      </c>
      <c r="B115" s="70" t="str">
        <f>IF('Item Setup Form'!$AF119="Yes",'Item Setup Form'!D119,"")</f>
        <v/>
      </c>
      <c r="C115" s="81" t="str">
        <f>IF('Item Setup Form'!$AF119="Yes",'Item Setup Form'!L119,"")</f>
        <v/>
      </c>
      <c r="D115" s="81" t="str">
        <f>IF('Item Setup Form'!$AF119="Yes",'Item Setup Form'!M119,"")</f>
        <v/>
      </c>
      <c r="E115" s="70"/>
      <c r="F115" s="70" t="str">
        <f>IF('Item Setup Form'!$AF119="Yes",'Item Setup Form'!G119,"")</f>
        <v/>
      </c>
      <c r="G115" s="70" t="str">
        <f>IF('Item Setup Form'!$AF119="Yes",'Item Setup Form'!H119,"")</f>
        <v/>
      </c>
      <c r="H115" s="70" t="str">
        <f>IF('Item Setup Form'!$AF119="Yes",'Item Setup Form'!V119,"")</f>
        <v/>
      </c>
      <c r="I115" s="70"/>
      <c r="J115" s="70" t="str">
        <f>IF('Item Setup Form'!$AF119="Yes",'Item Setup Form'!U119,"")</f>
        <v/>
      </c>
      <c r="K115" s="70" t="str">
        <f>IF('Item Setup Form'!$AF119="Yes",'Item Setup Form'!V119,"")</f>
        <v/>
      </c>
      <c r="L115" s="70"/>
      <c r="M115" s="70" t="str">
        <f>IF('Item Setup Form'!$AF119="Yes",'Item Setup Form'!A119,"")</f>
        <v/>
      </c>
      <c r="N115" s="70"/>
      <c r="O115" s="70"/>
      <c r="P115" s="70"/>
      <c r="Q115" s="70"/>
      <c r="R115" s="70"/>
      <c r="S115" s="70"/>
      <c r="T115" s="70"/>
      <c r="U115" s="70"/>
      <c r="V115" s="70"/>
      <c r="W115" s="70"/>
      <c r="X115" s="70"/>
      <c r="Y115" s="70"/>
      <c r="Z115" s="70"/>
    </row>
    <row r="116" spans="1:26">
      <c r="A116" s="70" t="str">
        <f>IF('Item Setup Form'!$AF120="Yes",'Item Setup Form'!$E120,"")</f>
        <v/>
      </c>
      <c r="B116" s="70" t="str">
        <f>IF('Item Setup Form'!$AF120="Yes",'Item Setup Form'!D120,"")</f>
        <v/>
      </c>
      <c r="C116" s="81" t="str">
        <f>IF('Item Setup Form'!$AF120="Yes",'Item Setup Form'!L120,"")</f>
        <v/>
      </c>
      <c r="D116" s="81" t="str">
        <f>IF('Item Setup Form'!$AF120="Yes",'Item Setup Form'!M120,"")</f>
        <v/>
      </c>
      <c r="E116" s="70"/>
      <c r="F116" s="70" t="str">
        <f>IF('Item Setup Form'!$AF120="Yes",'Item Setup Form'!G120,"")</f>
        <v/>
      </c>
      <c r="G116" s="70" t="str">
        <f>IF('Item Setup Form'!$AF120="Yes",'Item Setup Form'!H120,"")</f>
        <v/>
      </c>
      <c r="H116" s="70" t="str">
        <f>IF('Item Setup Form'!$AF120="Yes",'Item Setup Form'!V120,"")</f>
        <v/>
      </c>
      <c r="I116" s="70"/>
      <c r="J116" s="70" t="str">
        <f>IF('Item Setup Form'!$AF120="Yes",'Item Setup Form'!U120,"")</f>
        <v/>
      </c>
      <c r="K116" s="70" t="str">
        <f>IF('Item Setup Form'!$AF120="Yes",'Item Setup Form'!V120,"")</f>
        <v/>
      </c>
      <c r="L116" s="70"/>
      <c r="M116" s="70" t="str">
        <f>IF('Item Setup Form'!$AF120="Yes",'Item Setup Form'!A120,"")</f>
        <v/>
      </c>
      <c r="N116" s="70"/>
      <c r="O116" s="70"/>
      <c r="P116" s="70"/>
      <c r="Q116" s="70"/>
      <c r="R116" s="70"/>
      <c r="S116" s="70"/>
      <c r="T116" s="70"/>
      <c r="U116" s="70"/>
      <c r="V116" s="70"/>
      <c r="W116" s="70"/>
      <c r="X116" s="70"/>
      <c r="Y116" s="70"/>
      <c r="Z116" s="70"/>
    </row>
    <row r="117" spans="1:26">
      <c r="A117" s="70" t="str">
        <f>IF('Item Setup Form'!$AF121="Yes",'Item Setup Form'!$E121,"")</f>
        <v/>
      </c>
      <c r="B117" s="70" t="str">
        <f>IF('Item Setup Form'!$AF121="Yes",'Item Setup Form'!D121,"")</f>
        <v/>
      </c>
      <c r="C117" s="81" t="str">
        <f>IF('Item Setup Form'!$AF121="Yes",'Item Setup Form'!L121,"")</f>
        <v/>
      </c>
      <c r="D117" s="81" t="str">
        <f>IF('Item Setup Form'!$AF121="Yes",'Item Setup Form'!M121,"")</f>
        <v/>
      </c>
      <c r="E117" s="70"/>
      <c r="F117" s="70" t="str">
        <f>IF('Item Setup Form'!$AF121="Yes",'Item Setup Form'!G121,"")</f>
        <v/>
      </c>
      <c r="G117" s="70" t="str">
        <f>IF('Item Setup Form'!$AF121="Yes",'Item Setup Form'!H121,"")</f>
        <v/>
      </c>
      <c r="H117" s="70" t="str">
        <f>IF('Item Setup Form'!$AF121="Yes",'Item Setup Form'!V121,"")</f>
        <v/>
      </c>
      <c r="I117" s="70"/>
      <c r="J117" s="70" t="str">
        <f>IF('Item Setup Form'!$AF121="Yes",'Item Setup Form'!U121,"")</f>
        <v/>
      </c>
      <c r="K117" s="70" t="str">
        <f>IF('Item Setup Form'!$AF121="Yes",'Item Setup Form'!V121,"")</f>
        <v/>
      </c>
      <c r="L117" s="70"/>
      <c r="M117" s="70" t="str">
        <f>IF('Item Setup Form'!$AF121="Yes",'Item Setup Form'!A121,"")</f>
        <v/>
      </c>
      <c r="N117" s="70"/>
      <c r="O117" s="70"/>
      <c r="P117" s="70"/>
      <c r="Q117" s="70"/>
      <c r="R117" s="70"/>
      <c r="S117" s="70"/>
      <c r="T117" s="70"/>
      <c r="U117" s="70"/>
      <c r="V117" s="70"/>
      <c r="W117" s="70"/>
      <c r="X117" s="70"/>
      <c r="Y117" s="70"/>
      <c r="Z117" s="70"/>
    </row>
    <row r="118" spans="1:26">
      <c r="A118" s="70" t="str">
        <f>IF('Item Setup Form'!$AF122="Yes",'Item Setup Form'!$E122,"")</f>
        <v/>
      </c>
      <c r="B118" s="70" t="str">
        <f>IF('Item Setup Form'!$AF122="Yes",'Item Setup Form'!D122,"")</f>
        <v/>
      </c>
      <c r="C118" s="81" t="str">
        <f>IF('Item Setup Form'!$AF122="Yes",'Item Setup Form'!L122,"")</f>
        <v/>
      </c>
      <c r="D118" s="81" t="str">
        <f>IF('Item Setup Form'!$AF122="Yes",'Item Setup Form'!M122,"")</f>
        <v/>
      </c>
      <c r="E118" s="70"/>
      <c r="F118" s="70" t="str">
        <f>IF('Item Setup Form'!$AF122="Yes",'Item Setup Form'!G122,"")</f>
        <v/>
      </c>
      <c r="G118" s="70" t="str">
        <f>IF('Item Setup Form'!$AF122="Yes",'Item Setup Form'!H122,"")</f>
        <v/>
      </c>
      <c r="H118" s="70" t="str">
        <f>IF('Item Setup Form'!$AF122="Yes",'Item Setup Form'!V122,"")</f>
        <v/>
      </c>
      <c r="I118" s="70"/>
      <c r="J118" s="70" t="str">
        <f>IF('Item Setup Form'!$AF122="Yes",'Item Setup Form'!U122,"")</f>
        <v/>
      </c>
      <c r="K118" s="70" t="str">
        <f>IF('Item Setup Form'!$AF122="Yes",'Item Setup Form'!V122,"")</f>
        <v/>
      </c>
      <c r="L118" s="70"/>
      <c r="M118" s="70" t="str">
        <f>IF('Item Setup Form'!$AF122="Yes",'Item Setup Form'!A122,"")</f>
        <v/>
      </c>
      <c r="N118" s="70"/>
      <c r="O118" s="70"/>
      <c r="P118" s="70"/>
      <c r="Q118" s="70"/>
      <c r="R118" s="70"/>
      <c r="S118" s="70"/>
      <c r="T118" s="70"/>
      <c r="U118" s="70"/>
      <c r="V118" s="70"/>
      <c r="W118" s="70"/>
      <c r="X118" s="70"/>
      <c r="Y118" s="70"/>
      <c r="Z118" s="70"/>
    </row>
    <row r="119" spans="1:26">
      <c r="A119" s="70" t="str">
        <f>IF('Item Setup Form'!$AF123="Yes",'Item Setup Form'!$E123,"")</f>
        <v/>
      </c>
      <c r="B119" s="70" t="str">
        <f>IF('Item Setup Form'!$AF123="Yes",'Item Setup Form'!D123,"")</f>
        <v/>
      </c>
      <c r="C119" s="81" t="str">
        <f>IF('Item Setup Form'!$AF123="Yes",'Item Setup Form'!L123,"")</f>
        <v/>
      </c>
      <c r="D119" s="81" t="str">
        <f>IF('Item Setup Form'!$AF123="Yes",'Item Setup Form'!M123,"")</f>
        <v/>
      </c>
      <c r="E119" s="70"/>
      <c r="F119" s="70" t="str">
        <f>IF('Item Setup Form'!$AF123="Yes",'Item Setup Form'!G123,"")</f>
        <v/>
      </c>
      <c r="G119" s="70" t="str">
        <f>IF('Item Setup Form'!$AF123="Yes",'Item Setup Form'!H123,"")</f>
        <v/>
      </c>
      <c r="H119" s="70" t="str">
        <f>IF('Item Setup Form'!$AF123="Yes",'Item Setup Form'!V123,"")</f>
        <v/>
      </c>
      <c r="I119" s="70"/>
      <c r="J119" s="70" t="str">
        <f>IF('Item Setup Form'!$AF123="Yes",'Item Setup Form'!U123,"")</f>
        <v/>
      </c>
      <c r="K119" s="70" t="str">
        <f>IF('Item Setup Form'!$AF123="Yes",'Item Setup Form'!V123,"")</f>
        <v/>
      </c>
      <c r="L119" s="70"/>
      <c r="M119" s="70" t="str">
        <f>IF('Item Setup Form'!$AF123="Yes",'Item Setup Form'!A123,"")</f>
        <v/>
      </c>
      <c r="N119" s="70"/>
      <c r="O119" s="70"/>
      <c r="P119" s="70"/>
      <c r="Q119" s="70"/>
      <c r="R119" s="70"/>
      <c r="S119" s="70"/>
      <c r="T119" s="70"/>
      <c r="U119" s="70"/>
      <c r="V119" s="70"/>
      <c r="W119" s="70"/>
      <c r="X119" s="70"/>
      <c r="Y119" s="70"/>
      <c r="Z119" s="70"/>
    </row>
    <row r="120" spans="1:26">
      <c r="A120" s="70" t="str">
        <f>IF('Item Setup Form'!$AF124="Yes",'Item Setup Form'!$E124,"")</f>
        <v/>
      </c>
      <c r="B120" s="70" t="str">
        <f>IF('Item Setup Form'!$AF124="Yes",'Item Setup Form'!D124,"")</f>
        <v/>
      </c>
      <c r="C120" s="81" t="str">
        <f>IF('Item Setup Form'!$AF124="Yes",'Item Setup Form'!L124,"")</f>
        <v/>
      </c>
      <c r="D120" s="81" t="str">
        <f>IF('Item Setup Form'!$AF124="Yes",'Item Setup Form'!M124,"")</f>
        <v/>
      </c>
      <c r="E120" s="70"/>
      <c r="F120" s="70" t="str">
        <f>IF('Item Setup Form'!$AF124="Yes",'Item Setup Form'!G124,"")</f>
        <v/>
      </c>
      <c r="G120" s="70" t="str">
        <f>IF('Item Setup Form'!$AF124="Yes",'Item Setup Form'!H124,"")</f>
        <v/>
      </c>
      <c r="H120" s="70" t="str">
        <f>IF('Item Setup Form'!$AF124="Yes",'Item Setup Form'!V124,"")</f>
        <v/>
      </c>
      <c r="I120" s="70"/>
      <c r="J120" s="70" t="str">
        <f>IF('Item Setup Form'!$AF124="Yes",'Item Setup Form'!U124,"")</f>
        <v/>
      </c>
      <c r="K120" s="70" t="str">
        <f>IF('Item Setup Form'!$AF124="Yes",'Item Setup Form'!V124,"")</f>
        <v/>
      </c>
      <c r="L120" s="70"/>
      <c r="M120" s="70" t="str">
        <f>IF('Item Setup Form'!$AF124="Yes",'Item Setup Form'!A124,"")</f>
        <v/>
      </c>
      <c r="N120" s="70"/>
      <c r="O120" s="70"/>
      <c r="P120" s="70"/>
      <c r="Q120" s="70"/>
      <c r="R120" s="70"/>
      <c r="S120" s="70"/>
      <c r="T120" s="70"/>
      <c r="U120" s="70"/>
      <c r="V120" s="70"/>
      <c r="W120" s="70"/>
      <c r="X120" s="70"/>
      <c r="Y120" s="70"/>
      <c r="Z120" s="70"/>
    </row>
    <row r="121" spans="1:26">
      <c r="A121" s="70" t="str">
        <f>IF('Item Setup Form'!$AF125="Yes",'Item Setup Form'!$E125,"")</f>
        <v/>
      </c>
      <c r="B121" s="70" t="str">
        <f>IF('Item Setup Form'!$AF125="Yes",'Item Setup Form'!D125,"")</f>
        <v/>
      </c>
      <c r="C121" s="81" t="str">
        <f>IF('Item Setup Form'!$AF125="Yes",'Item Setup Form'!L125,"")</f>
        <v/>
      </c>
      <c r="D121" s="81" t="str">
        <f>IF('Item Setup Form'!$AF125="Yes",'Item Setup Form'!M125,"")</f>
        <v/>
      </c>
      <c r="E121" s="70"/>
      <c r="F121" s="70" t="str">
        <f>IF('Item Setup Form'!$AF125="Yes",'Item Setup Form'!G125,"")</f>
        <v/>
      </c>
      <c r="G121" s="70" t="str">
        <f>IF('Item Setup Form'!$AF125="Yes",'Item Setup Form'!H125,"")</f>
        <v/>
      </c>
      <c r="H121" s="70" t="str">
        <f>IF('Item Setup Form'!$AF125="Yes",'Item Setup Form'!V125,"")</f>
        <v/>
      </c>
      <c r="I121" s="70"/>
      <c r="J121" s="70" t="str">
        <f>IF('Item Setup Form'!$AF125="Yes",'Item Setup Form'!U125,"")</f>
        <v/>
      </c>
      <c r="K121" s="70" t="str">
        <f>IF('Item Setup Form'!$AF125="Yes",'Item Setup Form'!V125,"")</f>
        <v/>
      </c>
      <c r="L121" s="70"/>
      <c r="M121" s="70" t="str">
        <f>IF('Item Setup Form'!$AF125="Yes",'Item Setup Form'!A125,"")</f>
        <v/>
      </c>
      <c r="N121" s="70"/>
      <c r="O121" s="70"/>
      <c r="P121" s="70"/>
      <c r="Q121" s="70"/>
      <c r="R121" s="70"/>
      <c r="S121" s="70"/>
      <c r="T121" s="70"/>
      <c r="U121" s="70"/>
      <c r="V121" s="70"/>
      <c r="W121" s="70"/>
      <c r="X121" s="70"/>
      <c r="Y121" s="70"/>
      <c r="Z121" s="70"/>
    </row>
    <row r="122" spans="1:26">
      <c r="A122" s="70" t="str">
        <f>IF('Item Setup Form'!$AF126="Yes",'Item Setup Form'!$E126,"")</f>
        <v/>
      </c>
      <c r="B122" s="70" t="str">
        <f>IF('Item Setup Form'!$AF126="Yes",'Item Setup Form'!D126,"")</f>
        <v/>
      </c>
      <c r="C122" s="81" t="str">
        <f>IF('Item Setup Form'!$AF126="Yes",'Item Setup Form'!L126,"")</f>
        <v/>
      </c>
      <c r="D122" s="81" t="str">
        <f>IF('Item Setup Form'!$AF126="Yes",'Item Setup Form'!M126,"")</f>
        <v/>
      </c>
      <c r="E122" s="70"/>
      <c r="F122" s="70" t="str">
        <f>IF('Item Setup Form'!$AF126="Yes",'Item Setup Form'!G126,"")</f>
        <v/>
      </c>
      <c r="G122" s="70" t="str">
        <f>IF('Item Setup Form'!$AF126="Yes",'Item Setup Form'!H126,"")</f>
        <v/>
      </c>
      <c r="H122" s="70" t="str">
        <f>IF('Item Setup Form'!$AF126="Yes",'Item Setup Form'!V126,"")</f>
        <v/>
      </c>
      <c r="I122" s="70"/>
      <c r="J122" s="70" t="str">
        <f>IF('Item Setup Form'!$AF126="Yes",'Item Setup Form'!U126,"")</f>
        <v/>
      </c>
      <c r="K122" s="70" t="str">
        <f>IF('Item Setup Form'!$AF126="Yes",'Item Setup Form'!V126,"")</f>
        <v/>
      </c>
      <c r="L122" s="70"/>
      <c r="M122" s="70" t="str">
        <f>IF('Item Setup Form'!$AF126="Yes",'Item Setup Form'!A126,"")</f>
        <v/>
      </c>
      <c r="N122" s="70"/>
      <c r="O122" s="70"/>
      <c r="P122" s="70"/>
      <c r="Q122" s="70"/>
      <c r="R122" s="70"/>
      <c r="S122" s="70"/>
      <c r="T122" s="70"/>
      <c r="U122" s="70"/>
      <c r="V122" s="70"/>
      <c r="W122" s="70"/>
      <c r="X122" s="70"/>
      <c r="Y122" s="70"/>
      <c r="Z122" s="70"/>
    </row>
    <row r="123" spans="1:26">
      <c r="A123" s="70" t="str">
        <f>IF('Item Setup Form'!$AF127="Yes",'Item Setup Form'!$E127,"")</f>
        <v/>
      </c>
      <c r="B123" s="70" t="str">
        <f>IF('Item Setup Form'!$AF127="Yes",'Item Setup Form'!D127,"")</f>
        <v/>
      </c>
      <c r="C123" s="81" t="str">
        <f>IF('Item Setup Form'!$AF127="Yes",'Item Setup Form'!L127,"")</f>
        <v/>
      </c>
      <c r="D123" s="81" t="str">
        <f>IF('Item Setup Form'!$AF127="Yes",'Item Setup Form'!M127,"")</f>
        <v/>
      </c>
      <c r="E123" s="70"/>
      <c r="F123" s="70" t="str">
        <f>IF('Item Setup Form'!$AF127="Yes",'Item Setup Form'!G127,"")</f>
        <v/>
      </c>
      <c r="G123" s="70" t="str">
        <f>IF('Item Setup Form'!$AF127="Yes",'Item Setup Form'!H127,"")</f>
        <v/>
      </c>
      <c r="H123" s="70" t="str">
        <f>IF('Item Setup Form'!$AF127="Yes",'Item Setup Form'!V127,"")</f>
        <v/>
      </c>
      <c r="I123" s="70"/>
      <c r="J123" s="70" t="str">
        <f>IF('Item Setup Form'!$AF127="Yes",'Item Setup Form'!U127,"")</f>
        <v/>
      </c>
      <c r="K123" s="70" t="str">
        <f>IF('Item Setup Form'!$AF127="Yes",'Item Setup Form'!V127,"")</f>
        <v/>
      </c>
      <c r="L123" s="70"/>
      <c r="M123" s="70" t="str">
        <f>IF('Item Setup Form'!$AF127="Yes",'Item Setup Form'!A127,"")</f>
        <v/>
      </c>
      <c r="N123" s="70"/>
      <c r="O123" s="70"/>
      <c r="P123" s="70"/>
      <c r="Q123" s="70"/>
      <c r="R123" s="70"/>
      <c r="S123" s="70"/>
      <c r="T123" s="70"/>
      <c r="U123" s="70"/>
      <c r="V123" s="70"/>
      <c r="W123" s="70"/>
      <c r="X123" s="70"/>
      <c r="Y123" s="70"/>
      <c r="Z123" s="70"/>
    </row>
    <row r="124" spans="1:26">
      <c r="A124" s="70" t="str">
        <f>IF('Item Setup Form'!$AF128="Yes",'Item Setup Form'!$E128,"")</f>
        <v/>
      </c>
      <c r="B124" s="70" t="str">
        <f>IF('Item Setup Form'!$AF128="Yes",'Item Setup Form'!D128,"")</f>
        <v/>
      </c>
      <c r="C124" s="81" t="str">
        <f>IF('Item Setup Form'!$AF128="Yes",'Item Setup Form'!L128,"")</f>
        <v/>
      </c>
      <c r="D124" s="81" t="str">
        <f>IF('Item Setup Form'!$AF128="Yes",'Item Setup Form'!M128,"")</f>
        <v/>
      </c>
      <c r="E124" s="70"/>
      <c r="F124" s="70" t="str">
        <f>IF('Item Setup Form'!$AF128="Yes",'Item Setup Form'!G128,"")</f>
        <v/>
      </c>
      <c r="G124" s="70" t="str">
        <f>IF('Item Setup Form'!$AF128="Yes",'Item Setup Form'!H128,"")</f>
        <v/>
      </c>
      <c r="H124" s="70" t="str">
        <f>IF('Item Setup Form'!$AF128="Yes",'Item Setup Form'!V128,"")</f>
        <v/>
      </c>
      <c r="I124" s="70"/>
      <c r="J124" s="70" t="str">
        <f>IF('Item Setup Form'!$AF128="Yes",'Item Setup Form'!U128,"")</f>
        <v/>
      </c>
      <c r="K124" s="70" t="str">
        <f>IF('Item Setup Form'!$AF128="Yes",'Item Setup Form'!V128,"")</f>
        <v/>
      </c>
      <c r="L124" s="70"/>
      <c r="M124" s="70" t="str">
        <f>IF('Item Setup Form'!$AF128="Yes",'Item Setup Form'!A128,"")</f>
        <v/>
      </c>
      <c r="N124" s="70"/>
      <c r="O124" s="70"/>
      <c r="P124" s="70"/>
      <c r="Q124" s="70"/>
      <c r="R124" s="70"/>
      <c r="S124" s="70"/>
      <c r="T124" s="70"/>
      <c r="U124" s="70"/>
      <c r="V124" s="70"/>
      <c r="W124" s="70"/>
      <c r="X124" s="70"/>
      <c r="Y124" s="70"/>
      <c r="Z124" s="70"/>
    </row>
    <row r="125" spans="1:26">
      <c r="A125" s="70" t="str">
        <f>IF('Item Setup Form'!$AF129="Yes",'Item Setup Form'!$E129,"")</f>
        <v/>
      </c>
      <c r="B125" s="70" t="str">
        <f>IF('Item Setup Form'!$AF129="Yes",'Item Setup Form'!D129,"")</f>
        <v/>
      </c>
      <c r="C125" s="81" t="str">
        <f>IF('Item Setup Form'!$AF129="Yes",'Item Setup Form'!L129,"")</f>
        <v/>
      </c>
      <c r="D125" s="81" t="str">
        <f>IF('Item Setup Form'!$AF129="Yes",'Item Setup Form'!M129,"")</f>
        <v/>
      </c>
      <c r="E125" s="70"/>
      <c r="F125" s="70" t="str">
        <f>IF('Item Setup Form'!$AF129="Yes",'Item Setup Form'!G129,"")</f>
        <v/>
      </c>
      <c r="G125" s="70" t="str">
        <f>IF('Item Setup Form'!$AF129="Yes",'Item Setup Form'!H129,"")</f>
        <v/>
      </c>
      <c r="H125" s="70" t="str">
        <f>IF('Item Setup Form'!$AF129="Yes",'Item Setup Form'!V129,"")</f>
        <v/>
      </c>
      <c r="I125" s="70"/>
      <c r="J125" s="70" t="str">
        <f>IF('Item Setup Form'!$AF129="Yes",'Item Setup Form'!U129,"")</f>
        <v/>
      </c>
      <c r="K125" s="70" t="str">
        <f>IF('Item Setup Form'!$AF129="Yes",'Item Setup Form'!V129,"")</f>
        <v/>
      </c>
      <c r="L125" s="70"/>
      <c r="M125" s="70" t="str">
        <f>IF('Item Setup Form'!$AF129="Yes",'Item Setup Form'!A129,"")</f>
        <v/>
      </c>
      <c r="N125" s="70"/>
      <c r="O125" s="70"/>
      <c r="P125" s="70"/>
      <c r="Q125" s="70"/>
      <c r="R125" s="70"/>
      <c r="S125" s="70"/>
      <c r="T125" s="70"/>
      <c r="U125" s="70"/>
      <c r="V125" s="70"/>
      <c r="W125" s="70"/>
      <c r="X125" s="70"/>
      <c r="Y125" s="70"/>
      <c r="Z125" s="70"/>
    </row>
    <row r="126" spans="1:26">
      <c r="A126" s="70" t="str">
        <f>IF('Item Setup Form'!$AF130="Yes",'Item Setup Form'!$E130,"")</f>
        <v/>
      </c>
      <c r="B126" s="70" t="str">
        <f>IF('Item Setup Form'!$AF130="Yes",'Item Setup Form'!D130,"")</f>
        <v/>
      </c>
      <c r="C126" s="81" t="str">
        <f>IF('Item Setup Form'!$AF130="Yes",'Item Setup Form'!L130,"")</f>
        <v/>
      </c>
      <c r="D126" s="81" t="str">
        <f>IF('Item Setup Form'!$AF130="Yes",'Item Setup Form'!M130,"")</f>
        <v/>
      </c>
      <c r="E126" s="70"/>
      <c r="F126" s="70" t="str">
        <f>IF('Item Setup Form'!$AF130="Yes",'Item Setup Form'!G130,"")</f>
        <v/>
      </c>
      <c r="G126" s="70" t="str">
        <f>IF('Item Setup Form'!$AF130="Yes",'Item Setup Form'!H130,"")</f>
        <v/>
      </c>
      <c r="H126" s="70" t="str">
        <f>IF('Item Setup Form'!$AF130="Yes",'Item Setup Form'!V130,"")</f>
        <v/>
      </c>
      <c r="I126" s="70"/>
      <c r="J126" s="70" t="str">
        <f>IF('Item Setup Form'!$AF130="Yes",'Item Setup Form'!U130,"")</f>
        <v/>
      </c>
      <c r="K126" s="70" t="str">
        <f>IF('Item Setup Form'!$AF130="Yes",'Item Setup Form'!V130,"")</f>
        <v/>
      </c>
      <c r="L126" s="70"/>
      <c r="M126" s="70" t="str">
        <f>IF('Item Setup Form'!$AF130="Yes",'Item Setup Form'!A130,"")</f>
        <v/>
      </c>
      <c r="N126" s="70"/>
      <c r="O126" s="70"/>
      <c r="P126" s="70"/>
      <c r="Q126" s="70"/>
      <c r="R126" s="70"/>
      <c r="S126" s="70"/>
      <c r="T126" s="70"/>
      <c r="U126" s="70"/>
      <c r="V126" s="70"/>
      <c r="W126" s="70"/>
      <c r="X126" s="70"/>
      <c r="Y126" s="70"/>
      <c r="Z126" s="70"/>
    </row>
    <row r="127" spans="1:26">
      <c r="A127" s="70" t="str">
        <f>IF('Item Setup Form'!$AF131="Yes",'Item Setup Form'!$E131,"")</f>
        <v/>
      </c>
      <c r="B127" s="70" t="str">
        <f>IF('Item Setup Form'!$AF131="Yes",'Item Setup Form'!D131,"")</f>
        <v/>
      </c>
      <c r="C127" s="81" t="str">
        <f>IF('Item Setup Form'!$AF131="Yes",'Item Setup Form'!L131,"")</f>
        <v/>
      </c>
      <c r="D127" s="81" t="str">
        <f>IF('Item Setup Form'!$AF131="Yes",'Item Setup Form'!M131,"")</f>
        <v/>
      </c>
      <c r="E127" s="70"/>
      <c r="F127" s="70" t="str">
        <f>IF('Item Setup Form'!$AF131="Yes",'Item Setup Form'!G131,"")</f>
        <v/>
      </c>
      <c r="G127" s="70" t="str">
        <f>IF('Item Setup Form'!$AF131="Yes",'Item Setup Form'!H131,"")</f>
        <v/>
      </c>
      <c r="H127" s="70" t="str">
        <f>IF('Item Setup Form'!$AF131="Yes",'Item Setup Form'!V131,"")</f>
        <v/>
      </c>
      <c r="I127" s="70"/>
      <c r="J127" s="70" t="str">
        <f>IF('Item Setup Form'!$AF131="Yes",'Item Setup Form'!U131,"")</f>
        <v/>
      </c>
      <c r="K127" s="70" t="str">
        <f>IF('Item Setup Form'!$AF131="Yes",'Item Setup Form'!V131,"")</f>
        <v/>
      </c>
      <c r="L127" s="70"/>
      <c r="M127" s="70" t="str">
        <f>IF('Item Setup Form'!$AF131="Yes",'Item Setup Form'!A131,"")</f>
        <v/>
      </c>
      <c r="N127" s="70"/>
      <c r="O127" s="70"/>
      <c r="P127" s="70"/>
      <c r="Q127" s="70"/>
      <c r="R127" s="70"/>
      <c r="S127" s="70"/>
      <c r="T127" s="70"/>
      <c r="U127" s="70"/>
      <c r="V127" s="70"/>
      <c r="W127" s="70"/>
      <c r="X127" s="70"/>
      <c r="Y127" s="70"/>
      <c r="Z127" s="70"/>
    </row>
    <row r="128" spans="1:26">
      <c r="A128" s="70" t="str">
        <f>IF('Item Setup Form'!$AF132="Yes",'Item Setup Form'!$E132,"")</f>
        <v/>
      </c>
      <c r="B128" s="70" t="str">
        <f>IF('Item Setup Form'!$AF132="Yes",'Item Setup Form'!D132,"")</f>
        <v/>
      </c>
      <c r="C128" s="81" t="str">
        <f>IF('Item Setup Form'!$AF132="Yes",'Item Setup Form'!L132,"")</f>
        <v/>
      </c>
      <c r="D128" s="81" t="str">
        <f>IF('Item Setup Form'!$AF132="Yes",'Item Setup Form'!M132,"")</f>
        <v/>
      </c>
      <c r="E128" s="70"/>
      <c r="F128" s="70" t="str">
        <f>IF('Item Setup Form'!$AF132="Yes",'Item Setup Form'!G132,"")</f>
        <v/>
      </c>
      <c r="G128" s="70" t="str">
        <f>IF('Item Setup Form'!$AF132="Yes",'Item Setup Form'!H132,"")</f>
        <v/>
      </c>
      <c r="H128" s="70" t="str">
        <f>IF('Item Setup Form'!$AF132="Yes",'Item Setup Form'!V132,"")</f>
        <v/>
      </c>
      <c r="I128" s="70"/>
      <c r="J128" s="70" t="str">
        <f>IF('Item Setup Form'!$AF132="Yes",'Item Setup Form'!U132,"")</f>
        <v/>
      </c>
      <c r="K128" s="70" t="str">
        <f>IF('Item Setup Form'!$AF132="Yes",'Item Setup Form'!V132,"")</f>
        <v/>
      </c>
      <c r="L128" s="70"/>
      <c r="M128" s="70" t="str">
        <f>IF('Item Setup Form'!$AF132="Yes",'Item Setup Form'!A132,"")</f>
        <v/>
      </c>
      <c r="N128" s="70"/>
      <c r="O128" s="70"/>
      <c r="P128" s="70"/>
      <c r="Q128" s="70"/>
      <c r="R128" s="70"/>
      <c r="S128" s="70"/>
      <c r="T128" s="70"/>
      <c r="U128" s="70"/>
      <c r="V128" s="70"/>
      <c r="W128" s="70"/>
      <c r="X128" s="70"/>
      <c r="Y128" s="70"/>
      <c r="Z128" s="70"/>
    </row>
    <row r="129" spans="1:26">
      <c r="A129" s="70" t="str">
        <f>IF('Item Setup Form'!$AF133="Yes",'Item Setup Form'!$E133,"")</f>
        <v/>
      </c>
      <c r="B129" s="70" t="str">
        <f>IF('Item Setup Form'!$AF133="Yes",'Item Setup Form'!D133,"")</f>
        <v/>
      </c>
      <c r="C129" s="81" t="str">
        <f>IF('Item Setup Form'!$AF133="Yes",'Item Setup Form'!L133,"")</f>
        <v/>
      </c>
      <c r="D129" s="81" t="str">
        <f>IF('Item Setup Form'!$AF133="Yes",'Item Setup Form'!M133,"")</f>
        <v/>
      </c>
      <c r="E129" s="70"/>
      <c r="F129" s="70" t="str">
        <f>IF('Item Setup Form'!$AF133="Yes",'Item Setup Form'!G133,"")</f>
        <v/>
      </c>
      <c r="G129" s="70" t="str">
        <f>IF('Item Setup Form'!$AF133="Yes",'Item Setup Form'!H133,"")</f>
        <v/>
      </c>
      <c r="H129" s="70" t="str">
        <f>IF('Item Setup Form'!$AF133="Yes",'Item Setup Form'!V133,"")</f>
        <v/>
      </c>
      <c r="I129" s="70"/>
      <c r="J129" s="70" t="str">
        <f>IF('Item Setup Form'!$AF133="Yes",'Item Setup Form'!U133,"")</f>
        <v/>
      </c>
      <c r="K129" s="70" t="str">
        <f>IF('Item Setup Form'!$AF133="Yes",'Item Setup Form'!V133,"")</f>
        <v/>
      </c>
      <c r="L129" s="70"/>
      <c r="M129" s="70" t="str">
        <f>IF('Item Setup Form'!$AF133="Yes",'Item Setup Form'!A133,"")</f>
        <v/>
      </c>
      <c r="N129" s="70"/>
      <c r="O129" s="70"/>
      <c r="P129" s="70"/>
      <c r="Q129" s="70"/>
      <c r="R129" s="70"/>
      <c r="S129" s="70"/>
      <c r="T129" s="70"/>
      <c r="U129" s="70"/>
      <c r="V129" s="70"/>
      <c r="W129" s="70"/>
      <c r="X129" s="70"/>
      <c r="Y129" s="70"/>
      <c r="Z129" s="70"/>
    </row>
    <row r="130" spans="1:26">
      <c r="A130" s="70" t="str">
        <f>IF('Item Setup Form'!$AF134="Yes",'Item Setup Form'!$E134,"")</f>
        <v/>
      </c>
      <c r="B130" s="70" t="str">
        <f>IF('Item Setup Form'!$AF134="Yes",'Item Setup Form'!D134,"")</f>
        <v/>
      </c>
      <c r="C130" s="81" t="str">
        <f>IF('Item Setup Form'!$AF134="Yes",'Item Setup Form'!L134,"")</f>
        <v/>
      </c>
      <c r="D130" s="81" t="str">
        <f>IF('Item Setup Form'!$AF134="Yes",'Item Setup Form'!M134,"")</f>
        <v/>
      </c>
      <c r="E130" s="70"/>
      <c r="F130" s="70" t="str">
        <f>IF('Item Setup Form'!$AF134="Yes",'Item Setup Form'!G134,"")</f>
        <v/>
      </c>
      <c r="G130" s="70" t="str">
        <f>IF('Item Setup Form'!$AF134="Yes",'Item Setup Form'!H134,"")</f>
        <v/>
      </c>
      <c r="H130" s="70" t="str">
        <f>IF('Item Setup Form'!$AF134="Yes",'Item Setup Form'!V134,"")</f>
        <v/>
      </c>
      <c r="I130" s="70"/>
      <c r="J130" s="70" t="str">
        <f>IF('Item Setup Form'!$AF134="Yes",'Item Setup Form'!U134,"")</f>
        <v/>
      </c>
      <c r="K130" s="70" t="str">
        <f>IF('Item Setup Form'!$AF134="Yes",'Item Setup Form'!V134,"")</f>
        <v/>
      </c>
      <c r="L130" s="70"/>
      <c r="M130" s="70" t="str">
        <f>IF('Item Setup Form'!$AF134="Yes",'Item Setup Form'!A134,"")</f>
        <v/>
      </c>
      <c r="N130" s="70"/>
      <c r="O130" s="70"/>
      <c r="P130" s="70"/>
      <c r="Q130" s="70"/>
      <c r="R130" s="70"/>
      <c r="S130" s="70"/>
      <c r="T130" s="70"/>
      <c r="U130" s="70"/>
      <c r="V130" s="70"/>
      <c r="W130" s="70"/>
      <c r="X130" s="70"/>
      <c r="Y130" s="70"/>
      <c r="Z130" s="70"/>
    </row>
    <row r="131" spans="1:26">
      <c r="A131" s="70" t="str">
        <f>IF('Item Setup Form'!$AF135="Yes",'Item Setup Form'!$E135,"")</f>
        <v/>
      </c>
      <c r="B131" s="70" t="str">
        <f>IF('Item Setup Form'!$AF135="Yes",'Item Setup Form'!D135,"")</f>
        <v/>
      </c>
      <c r="C131" s="81" t="str">
        <f>IF('Item Setup Form'!$AF135="Yes",'Item Setup Form'!L135,"")</f>
        <v/>
      </c>
      <c r="D131" s="81" t="str">
        <f>IF('Item Setup Form'!$AF135="Yes",'Item Setup Form'!M135,"")</f>
        <v/>
      </c>
      <c r="E131" s="70"/>
      <c r="F131" s="70" t="str">
        <f>IF('Item Setup Form'!$AF135="Yes",'Item Setup Form'!G135,"")</f>
        <v/>
      </c>
      <c r="G131" s="70" t="str">
        <f>IF('Item Setup Form'!$AF135="Yes",'Item Setup Form'!H135,"")</f>
        <v/>
      </c>
      <c r="H131" s="70" t="str">
        <f>IF('Item Setup Form'!$AF135="Yes",'Item Setup Form'!V135,"")</f>
        <v/>
      </c>
      <c r="I131" s="70"/>
      <c r="J131" s="70" t="str">
        <f>IF('Item Setup Form'!$AF135="Yes",'Item Setup Form'!U135,"")</f>
        <v/>
      </c>
      <c r="K131" s="70" t="str">
        <f>IF('Item Setup Form'!$AF135="Yes",'Item Setup Form'!V135,"")</f>
        <v/>
      </c>
      <c r="L131" s="70"/>
      <c r="M131" s="70" t="str">
        <f>IF('Item Setup Form'!$AF135="Yes",'Item Setup Form'!A135,"")</f>
        <v/>
      </c>
      <c r="N131" s="70"/>
      <c r="O131" s="70"/>
      <c r="P131" s="70"/>
      <c r="Q131" s="70"/>
      <c r="R131" s="70"/>
      <c r="S131" s="70"/>
      <c r="T131" s="70"/>
      <c r="U131" s="70"/>
      <c r="V131" s="70"/>
      <c r="W131" s="70"/>
      <c r="X131" s="70"/>
      <c r="Y131" s="70"/>
      <c r="Z131" s="70"/>
    </row>
    <row r="132" spans="1:26">
      <c r="A132" s="70" t="str">
        <f>IF('Item Setup Form'!$AF136="Yes",'Item Setup Form'!$E136,"")</f>
        <v/>
      </c>
      <c r="B132" s="70" t="str">
        <f>IF('Item Setup Form'!$AF136="Yes",'Item Setup Form'!D136,"")</f>
        <v/>
      </c>
      <c r="C132" s="81" t="str">
        <f>IF('Item Setup Form'!$AF136="Yes",'Item Setup Form'!L136,"")</f>
        <v/>
      </c>
      <c r="D132" s="81" t="str">
        <f>IF('Item Setup Form'!$AF136="Yes",'Item Setup Form'!M136,"")</f>
        <v/>
      </c>
      <c r="E132" s="70"/>
      <c r="F132" s="70" t="str">
        <f>IF('Item Setup Form'!$AF136="Yes",'Item Setup Form'!G136,"")</f>
        <v/>
      </c>
      <c r="G132" s="70" t="str">
        <f>IF('Item Setup Form'!$AF136="Yes",'Item Setup Form'!H136,"")</f>
        <v/>
      </c>
      <c r="H132" s="70" t="str">
        <f>IF('Item Setup Form'!$AF136="Yes",'Item Setup Form'!V136,"")</f>
        <v/>
      </c>
      <c r="I132" s="70"/>
      <c r="J132" s="70" t="str">
        <f>IF('Item Setup Form'!$AF136="Yes",'Item Setup Form'!U136,"")</f>
        <v/>
      </c>
      <c r="K132" s="70" t="str">
        <f>IF('Item Setup Form'!$AF136="Yes",'Item Setup Form'!V136,"")</f>
        <v/>
      </c>
      <c r="L132" s="70"/>
      <c r="M132" s="70" t="str">
        <f>IF('Item Setup Form'!$AF136="Yes",'Item Setup Form'!A136,"")</f>
        <v/>
      </c>
      <c r="N132" s="70"/>
      <c r="O132" s="70"/>
      <c r="P132" s="70"/>
      <c r="Q132" s="70"/>
      <c r="R132" s="70"/>
      <c r="S132" s="70"/>
      <c r="T132" s="70"/>
      <c r="U132" s="70"/>
      <c r="V132" s="70"/>
      <c r="W132" s="70"/>
      <c r="X132" s="70"/>
      <c r="Y132" s="70"/>
      <c r="Z132" s="70"/>
    </row>
    <row r="133" spans="1:26">
      <c r="A133" s="70" t="str">
        <f>IF('Item Setup Form'!$AF137="Yes",'Item Setup Form'!$E137,"")</f>
        <v/>
      </c>
      <c r="B133" s="70" t="str">
        <f>IF('Item Setup Form'!$AF137="Yes",'Item Setup Form'!D137,"")</f>
        <v/>
      </c>
      <c r="C133" s="81" t="str">
        <f>IF('Item Setup Form'!$AF137="Yes",'Item Setup Form'!L137,"")</f>
        <v/>
      </c>
      <c r="D133" s="81" t="str">
        <f>IF('Item Setup Form'!$AF137="Yes",'Item Setup Form'!M137,"")</f>
        <v/>
      </c>
      <c r="E133" s="70"/>
      <c r="F133" s="70" t="str">
        <f>IF('Item Setup Form'!$AF137="Yes",'Item Setup Form'!G137,"")</f>
        <v/>
      </c>
      <c r="G133" s="70" t="str">
        <f>IF('Item Setup Form'!$AF137="Yes",'Item Setup Form'!H137,"")</f>
        <v/>
      </c>
      <c r="H133" s="70" t="str">
        <f>IF('Item Setup Form'!$AF137="Yes",'Item Setup Form'!V137,"")</f>
        <v/>
      </c>
      <c r="I133" s="70"/>
      <c r="J133" s="70" t="str">
        <f>IF('Item Setup Form'!$AF137="Yes",'Item Setup Form'!U137,"")</f>
        <v/>
      </c>
      <c r="K133" s="70" t="str">
        <f>IF('Item Setup Form'!$AF137="Yes",'Item Setup Form'!V137,"")</f>
        <v/>
      </c>
      <c r="L133" s="70"/>
      <c r="M133" s="70" t="str">
        <f>IF('Item Setup Form'!$AF137="Yes",'Item Setup Form'!A137,"")</f>
        <v/>
      </c>
      <c r="N133" s="70"/>
      <c r="O133" s="70"/>
      <c r="P133" s="70"/>
      <c r="Q133" s="70"/>
      <c r="R133" s="70"/>
      <c r="S133" s="70"/>
      <c r="T133" s="70"/>
      <c r="U133" s="70"/>
      <c r="V133" s="70"/>
      <c r="W133" s="70"/>
      <c r="X133" s="70"/>
      <c r="Y133" s="70"/>
      <c r="Z133" s="70"/>
    </row>
    <row r="134" spans="1:26">
      <c r="A134" s="70" t="str">
        <f>IF('Item Setup Form'!$AF138="Yes",'Item Setup Form'!$E138,"")</f>
        <v/>
      </c>
      <c r="B134" s="70" t="str">
        <f>IF('Item Setup Form'!$AF138="Yes",'Item Setup Form'!D138,"")</f>
        <v/>
      </c>
      <c r="C134" s="81" t="str">
        <f>IF('Item Setup Form'!$AF138="Yes",'Item Setup Form'!L138,"")</f>
        <v/>
      </c>
      <c r="D134" s="81" t="str">
        <f>IF('Item Setup Form'!$AF138="Yes",'Item Setup Form'!M138,"")</f>
        <v/>
      </c>
      <c r="E134" s="70"/>
      <c r="F134" s="70" t="str">
        <f>IF('Item Setup Form'!$AF138="Yes",'Item Setup Form'!G138,"")</f>
        <v/>
      </c>
      <c r="G134" s="70" t="str">
        <f>IF('Item Setup Form'!$AF138="Yes",'Item Setup Form'!H138,"")</f>
        <v/>
      </c>
      <c r="H134" s="70" t="str">
        <f>IF('Item Setup Form'!$AF138="Yes",'Item Setup Form'!V138,"")</f>
        <v/>
      </c>
      <c r="I134" s="70"/>
      <c r="J134" s="70" t="str">
        <f>IF('Item Setup Form'!$AF138="Yes",'Item Setup Form'!U138,"")</f>
        <v/>
      </c>
      <c r="K134" s="70" t="str">
        <f>IF('Item Setup Form'!$AF138="Yes",'Item Setup Form'!V138,"")</f>
        <v/>
      </c>
      <c r="L134" s="70"/>
      <c r="M134" s="70" t="str">
        <f>IF('Item Setup Form'!$AF138="Yes",'Item Setup Form'!A138,"")</f>
        <v/>
      </c>
      <c r="N134" s="70"/>
      <c r="O134" s="70"/>
      <c r="P134" s="70"/>
      <c r="Q134" s="70"/>
      <c r="R134" s="70"/>
      <c r="S134" s="70"/>
      <c r="T134" s="70"/>
      <c r="U134" s="70"/>
      <c r="V134" s="70"/>
      <c r="W134" s="70"/>
      <c r="X134" s="70"/>
      <c r="Y134" s="70"/>
      <c r="Z134" s="70"/>
    </row>
    <row r="135" spans="1:26">
      <c r="A135" s="70" t="str">
        <f>IF('Item Setup Form'!$AF139="Yes",'Item Setup Form'!$E139,"")</f>
        <v/>
      </c>
      <c r="B135" s="70" t="str">
        <f>IF('Item Setup Form'!$AF139="Yes",'Item Setup Form'!D139,"")</f>
        <v/>
      </c>
      <c r="C135" s="81" t="str">
        <f>IF('Item Setup Form'!$AF139="Yes",'Item Setup Form'!L139,"")</f>
        <v/>
      </c>
      <c r="D135" s="81" t="str">
        <f>IF('Item Setup Form'!$AF139="Yes",'Item Setup Form'!M139,"")</f>
        <v/>
      </c>
      <c r="E135" s="70"/>
      <c r="F135" s="70" t="str">
        <f>IF('Item Setup Form'!$AF139="Yes",'Item Setup Form'!G139,"")</f>
        <v/>
      </c>
      <c r="G135" s="70" t="str">
        <f>IF('Item Setup Form'!$AF139="Yes",'Item Setup Form'!H139,"")</f>
        <v/>
      </c>
      <c r="H135" s="70" t="str">
        <f>IF('Item Setup Form'!$AF139="Yes",'Item Setup Form'!V139,"")</f>
        <v/>
      </c>
      <c r="I135" s="70"/>
      <c r="J135" s="70" t="str">
        <f>IF('Item Setup Form'!$AF139="Yes",'Item Setup Form'!U139,"")</f>
        <v/>
      </c>
      <c r="K135" s="70" t="str">
        <f>IF('Item Setup Form'!$AF139="Yes",'Item Setup Form'!V139,"")</f>
        <v/>
      </c>
      <c r="L135" s="70"/>
      <c r="M135" s="70" t="str">
        <f>IF('Item Setup Form'!$AF139="Yes",'Item Setup Form'!A139,"")</f>
        <v/>
      </c>
      <c r="N135" s="70"/>
      <c r="O135" s="70"/>
      <c r="P135" s="70"/>
      <c r="Q135" s="70"/>
      <c r="R135" s="70"/>
      <c r="S135" s="70"/>
      <c r="T135" s="70"/>
      <c r="U135" s="70"/>
      <c r="V135" s="70"/>
      <c r="W135" s="70"/>
      <c r="X135" s="70"/>
      <c r="Y135" s="70"/>
      <c r="Z135" s="70"/>
    </row>
    <row r="136" spans="1:26">
      <c r="A136" s="70" t="str">
        <f>IF('Item Setup Form'!$AF140="Yes",'Item Setup Form'!$E140,"")</f>
        <v/>
      </c>
      <c r="B136" s="70" t="str">
        <f>IF('Item Setup Form'!$AF140="Yes",'Item Setup Form'!D140,"")</f>
        <v/>
      </c>
      <c r="C136" s="81" t="str">
        <f>IF('Item Setup Form'!$AF140="Yes",'Item Setup Form'!L140,"")</f>
        <v/>
      </c>
      <c r="D136" s="81" t="str">
        <f>IF('Item Setup Form'!$AF140="Yes",'Item Setup Form'!M140,"")</f>
        <v/>
      </c>
      <c r="E136" s="70"/>
      <c r="F136" s="70" t="str">
        <f>IF('Item Setup Form'!$AF140="Yes",'Item Setup Form'!G140,"")</f>
        <v/>
      </c>
      <c r="G136" s="70" t="str">
        <f>IF('Item Setup Form'!$AF140="Yes",'Item Setup Form'!H140,"")</f>
        <v/>
      </c>
      <c r="H136" s="70" t="str">
        <f>IF('Item Setup Form'!$AF140="Yes",'Item Setup Form'!V140,"")</f>
        <v/>
      </c>
      <c r="I136" s="70"/>
      <c r="J136" s="70" t="str">
        <f>IF('Item Setup Form'!$AF140="Yes",'Item Setup Form'!U140,"")</f>
        <v/>
      </c>
      <c r="K136" s="70" t="str">
        <f>IF('Item Setup Form'!$AF140="Yes",'Item Setup Form'!V140,"")</f>
        <v/>
      </c>
      <c r="L136" s="70"/>
      <c r="M136" s="70" t="str">
        <f>IF('Item Setup Form'!$AF140="Yes",'Item Setup Form'!A140,"")</f>
        <v/>
      </c>
      <c r="N136" s="70"/>
      <c r="O136" s="70"/>
      <c r="P136" s="70"/>
      <c r="Q136" s="70"/>
      <c r="R136" s="70"/>
      <c r="S136" s="70"/>
      <c r="T136" s="70"/>
      <c r="U136" s="70"/>
      <c r="V136" s="70"/>
      <c r="W136" s="70"/>
      <c r="X136" s="70"/>
      <c r="Y136" s="70"/>
      <c r="Z136" s="70"/>
    </row>
    <row r="137" spans="1:26">
      <c r="A137" s="70" t="str">
        <f>IF('Item Setup Form'!$AF141="Yes",'Item Setup Form'!$E141,"")</f>
        <v/>
      </c>
      <c r="B137" s="70" t="str">
        <f>IF('Item Setup Form'!$AF141="Yes",'Item Setup Form'!D141,"")</f>
        <v/>
      </c>
      <c r="C137" s="81" t="str">
        <f>IF('Item Setup Form'!$AF141="Yes",'Item Setup Form'!L141,"")</f>
        <v/>
      </c>
      <c r="D137" s="81" t="str">
        <f>IF('Item Setup Form'!$AF141="Yes",'Item Setup Form'!M141,"")</f>
        <v/>
      </c>
      <c r="E137" s="70"/>
      <c r="F137" s="70" t="str">
        <f>IF('Item Setup Form'!$AF141="Yes",'Item Setup Form'!G141,"")</f>
        <v/>
      </c>
      <c r="G137" s="70" t="str">
        <f>IF('Item Setup Form'!$AF141="Yes",'Item Setup Form'!H141,"")</f>
        <v/>
      </c>
      <c r="H137" s="70" t="str">
        <f>IF('Item Setup Form'!$AF141="Yes",'Item Setup Form'!V141,"")</f>
        <v/>
      </c>
      <c r="I137" s="70"/>
      <c r="J137" s="70" t="str">
        <f>IF('Item Setup Form'!$AF141="Yes",'Item Setup Form'!U141,"")</f>
        <v/>
      </c>
      <c r="K137" s="70" t="str">
        <f>IF('Item Setup Form'!$AF141="Yes",'Item Setup Form'!V141,"")</f>
        <v/>
      </c>
      <c r="L137" s="70"/>
      <c r="M137" s="70" t="str">
        <f>IF('Item Setup Form'!$AF141="Yes",'Item Setup Form'!A141,"")</f>
        <v/>
      </c>
      <c r="N137" s="70"/>
      <c r="O137" s="70"/>
      <c r="P137" s="70"/>
      <c r="Q137" s="70"/>
      <c r="R137" s="70"/>
      <c r="S137" s="70"/>
      <c r="T137" s="70"/>
      <c r="U137" s="70"/>
      <c r="V137" s="70"/>
      <c r="W137" s="70"/>
      <c r="X137" s="70"/>
      <c r="Y137" s="70"/>
      <c r="Z137" s="70"/>
    </row>
    <row r="138" spans="1:26">
      <c r="A138" s="70" t="str">
        <f>IF('Item Setup Form'!$AF142="Yes",'Item Setup Form'!$E142,"")</f>
        <v/>
      </c>
      <c r="B138" s="70" t="str">
        <f>IF('Item Setup Form'!$AF142="Yes",'Item Setup Form'!D142,"")</f>
        <v/>
      </c>
      <c r="C138" s="81" t="str">
        <f>IF('Item Setup Form'!$AF142="Yes",'Item Setup Form'!L142,"")</f>
        <v/>
      </c>
      <c r="D138" s="81" t="str">
        <f>IF('Item Setup Form'!$AF142="Yes",'Item Setup Form'!M142,"")</f>
        <v/>
      </c>
      <c r="E138" s="70"/>
      <c r="F138" s="70" t="str">
        <f>IF('Item Setup Form'!$AF142="Yes",'Item Setup Form'!G142,"")</f>
        <v/>
      </c>
      <c r="G138" s="70" t="str">
        <f>IF('Item Setup Form'!$AF142="Yes",'Item Setup Form'!H142,"")</f>
        <v/>
      </c>
      <c r="H138" s="70" t="str">
        <f>IF('Item Setup Form'!$AF142="Yes",'Item Setup Form'!V142,"")</f>
        <v/>
      </c>
      <c r="I138" s="70"/>
      <c r="J138" s="70" t="str">
        <f>IF('Item Setup Form'!$AF142="Yes",'Item Setup Form'!U142,"")</f>
        <v/>
      </c>
      <c r="K138" s="70" t="str">
        <f>IF('Item Setup Form'!$AF142="Yes",'Item Setup Form'!V142,"")</f>
        <v/>
      </c>
      <c r="L138" s="70"/>
      <c r="M138" s="70" t="str">
        <f>IF('Item Setup Form'!$AF142="Yes",'Item Setup Form'!A142,"")</f>
        <v/>
      </c>
      <c r="N138" s="70"/>
      <c r="O138" s="70"/>
      <c r="P138" s="70"/>
      <c r="Q138" s="70"/>
      <c r="R138" s="70"/>
      <c r="S138" s="70"/>
      <c r="T138" s="70"/>
      <c r="U138" s="70"/>
      <c r="V138" s="70"/>
      <c r="W138" s="70"/>
      <c r="X138" s="70"/>
      <c r="Y138" s="70"/>
      <c r="Z138" s="70"/>
    </row>
    <row r="139" spans="1:26">
      <c r="A139" s="70" t="str">
        <f>IF('Item Setup Form'!$AF143="Yes",'Item Setup Form'!$E143,"")</f>
        <v/>
      </c>
      <c r="B139" s="70" t="str">
        <f>IF('Item Setup Form'!$AF143="Yes",'Item Setup Form'!D143,"")</f>
        <v/>
      </c>
      <c r="C139" s="81" t="str">
        <f>IF('Item Setup Form'!$AF143="Yes",'Item Setup Form'!L143,"")</f>
        <v/>
      </c>
      <c r="D139" s="81" t="str">
        <f>IF('Item Setup Form'!$AF143="Yes",'Item Setup Form'!M143,"")</f>
        <v/>
      </c>
      <c r="E139" s="70"/>
      <c r="F139" s="70" t="str">
        <f>IF('Item Setup Form'!$AF143="Yes",'Item Setup Form'!G143,"")</f>
        <v/>
      </c>
      <c r="G139" s="70" t="str">
        <f>IF('Item Setup Form'!$AF143="Yes",'Item Setup Form'!H143,"")</f>
        <v/>
      </c>
      <c r="H139" s="70" t="str">
        <f>IF('Item Setup Form'!$AF143="Yes",'Item Setup Form'!V143,"")</f>
        <v/>
      </c>
      <c r="I139" s="70"/>
      <c r="J139" s="70" t="str">
        <f>IF('Item Setup Form'!$AF143="Yes",'Item Setup Form'!U143,"")</f>
        <v/>
      </c>
      <c r="K139" s="70" t="str">
        <f>IF('Item Setup Form'!$AF143="Yes",'Item Setup Form'!V143,"")</f>
        <v/>
      </c>
      <c r="L139" s="70"/>
      <c r="M139" s="70" t="str">
        <f>IF('Item Setup Form'!$AF143="Yes",'Item Setup Form'!A143,"")</f>
        <v/>
      </c>
      <c r="N139" s="70"/>
      <c r="O139" s="70"/>
      <c r="P139" s="70"/>
      <c r="Q139" s="70"/>
      <c r="R139" s="70"/>
      <c r="S139" s="70"/>
      <c r="T139" s="70"/>
      <c r="U139" s="70"/>
      <c r="V139" s="70"/>
      <c r="W139" s="70"/>
      <c r="X139" s="70"/>
      <c r="Y139" s="70"/>
      <c r="Z139" s="70"/>
    </row>
    <row r="140" spans="1:26">
      <c r="A140" s="70" t="str">
        <f>IF('Item Setup Form'!$AF144="Yes",'Item Setup Form'!$E144,"")</f>
        <v/>
      </c>
      <c r="B140" s="70" t="str">
        <f>IF('Item Setup Form'!$AF144="Yes",'Item Setup Form'!D144,"")</f>
        <v/>
      </c>
      <c r="C140" s="81" t="str">
        <f>IF('Item Setup Form'!$AF144="Yes",'Item Setup Form'!L144,"")</f>
        <v/>
      </c>
      <c r="D140" s="81" t="str">
        <f>IF('Item Setup Form'!$AF144="Yes",'Item Setup Form'!M144,"")</f>
        <v/>
      </c>
      <c r="E140" s="70"/>
      <c r="F140" s="70" t="str">
        <f>IF('Item Setup Form'!$AF144="Yes",'Item Setup Form'!G144,"")</f>
        <v/>
      </c>
      <c r="G140" s="70" t="str">
        <f>IF('Item Setup Form'!$AF144="Yes",'Item Setup Form'!H144,"")</f>
        <v/>
      </c>
      <c r="H140" s="70" t="str">
        <f>IF('Item Setup Form'!$AF144="Yes",'Item Setup Form'!V144,"")</f>
        <v/>
      </c>
      <c r="I140" s="70"/>
      <c r="J140" s="70" t="str">
        <f>IF('Item Setup Form'!$AF144="Yes",'Item Setup Form'!U144,"")</f>
        <v/>
      </c>
      <c r="K140" s="70" t="str">
        <f>IF('Item Setup Form'!$AF144="Yes",'Item Setup Form'!V144,"")</f>
        <v/>
      </c>
      <c r="L140" s="70"/>
      <c r="M140" s="70" t="str">
        <f>IF('Item Setup Form'!$AF144="Yes",'Item Setup Form'!A144,"")</f>
        <v/>
      </c>
      <c r="N140" s="70"/>
      <c r="O140" s="70"/>
      <c r="P140" s="70"/>
      <c r="Q140" s="70"/>
      <c r="R140" s="70"/>
      <c r="S140" s="70"/>
      <c r="T140" s="70"/>
      <c r="U140" s="70"/>
      <c r="V140" s="70"/>
      <c r="W140" s="70"/>
      <c r="X140" s="70"/>
      <c r="Y140" s="70"/>
      <c r="Z140" s="70"/>
    </row>
    <row r="141" spans="1:26">
      <c r="A141" s="70" t="str">
        <f>IF('Item Setup Form'!$AF145="Yes",'Item Setup Form'!$E145,"")</f>
        <v/>
      </c>
      <c r="B141" s="70" t="str">
        <f>IF('Item Setup Form'!$AF145="Yes",'Item Setup Form'!D145,"")</f>
        <v/>
      </c>
      <c r="C141" s="81" t="str">
        <f>IF('Item Setup Form'!$AF145="Yes",'Item Setup Form'!L145,"")</f>
        <v/>
      </c>
      <c r="D141" s="81" t="str">
        <f>IF('Item Setup Form'!$AF145="Yes",'Item Setup Form'!M145,"")</f>
        <v/>
      </c>
      <c r="E141" s="70"/>
      <c r="F141" s="70" t="str">
        <f>IF('Item Setup Form'!$AF145="Yes",'Item Setup Form'!G145,"")</f>
        <v/>
      </c>
      <c r="G141" s="70" t="str">
        <f>IF('Item Setup Form'!$AF145="Yes",'Item Setup Form'!H145,"")</f>
        <v/>
      </c>
      <c r="H141" s="70" t="str">
        <f>IF('Item Setup Form'!$AF145="Yes",'Item Setup Form'!V145,"")</f>
        <v/>
      </c>
      <c r="I141" s="70"/>
      <c r="J141" s="70" t="str">
        <f>IF('Item Setup Form'!$AF145="Yes",'Item Setup Form'!U145,"")</f>
        <v/>
      </c>
      <c r="K141" s="70" t="str">
        <f>IF('Item Setup Form'!$AF145="Yes",'Item Setup Form'!V145,"")</f>
        <v/>
      </c>
      <c r="L141" s="70"/>
      <c r="M141" s="70" t="str">
        <f>IF('Item Setup Form'!$AF145="Yes",'Item Setup Form'!A145,"")</f>
        <v/>
      </c>
      <c r="N141" s="70"/>
      <c r="O141" s="70"/>
      <c r="P141" s="70"/>
      <c r="Q141" s="70"/>
      <c r="R141" s="70"/>
      <c r="S141" s="70"/>
      <c r="T141" s="70"/>
      <c r="U141" s="70"/>
      <c r="V141" s="70"/>
      <c r="W141" s="70"/>
      <c r="X141" s="70"/>
      <c r="Y141" s="70"/>
      <c r="Z141" s="70"/>
    </row>
    <row r="142" spans="1:26">
      <c r="A142" s="70" t="str">
        <f>IF('Item Setup Form'!$AF146="Yes",'Item Setup Form'!$E146,"")</f>
        <v/>
      </c>
      <c r="B142" s="70" t="str">
        <f>IF('Item Setup Form'!$AF146="Yes",'Item Setup Form'!D146,"")</f>
        <v/>
      </c>
      <c r="C142" s="81" t="str">
        <f>IF('Item Setup Form'!$AF146="Yes",'Item Setup Form'!L146,"")</f>
        <v/>
      </c>
      <c r="D142" s="81" t="str">
        <f>IF('Item Setup Form'!$AF146="Yes",'Item Setup Form'!M146,"")</f>
        <v/>
      </c>
      <c r="E142" s="70"/>
      <c r="F142" s="70" t="str">
        <f>IF('Item Setup Form'!$AF146="Yes",'Item Setup Form'!G146,"")</f>
        <v/>
      </c>
      <c r="G142" s="70" t="str">
        <f>IF('Item Setup Form'!$AF146="Yes",'Item Setup Form'!H146,"")</f>
        <v/>
      </c>
      <c r="H142" s="70" t="str">
        <f>IF('Item Setup Form'!$AF146="Yes",'Item Setup Form'!V146,"")</f>
        <v/>
      </c>
      <c r="I142" s="70"/>
      <c r="J142" s="70" t="str">
        <f>IF('Item Setup Form'!$AF146="Yes",'Item Setup Form'!U146,"")</f>
        <v/>
      </c>
      <c r="K142" s="70" t="str">
        <f>IF('Item Setup Form'!$AF146="Yes",'Item Setup Form'!V146,"")</f>
        <v/>
      </c>
      <c r="L142" s="70"/>
      <c r="M142" s="70" t="str">
        <f>IF('Item Setup Form'!$AF146="Yes",'Item Setup Form'!A146,"")</f>
        <v/>
      </c>
      <c r="N142" s="70"/>
      <c r="O142" s="70"/>
      <c r="P142" s="70"/>
      <c r="Q142" s="70"/>
      <c r="R142" s="70"/>
      <c r="S142" s="70"/>
      <c r="T142" s="70"/>
      <c r="U142" s="70"/>
      <c r="V142" s="70"/>
      <c r="W142" s="70"/>
      <c r="X142" s="70"/>
      <c r="Y142" s="70"/>
      <c r="Z142" s="70"/>
    </row>
    <row r="143" spans="1:26">
      <c r="A143" s="70" t="str">
        <f>IF('Item Setup Form'!$AF147="Yes",'Item Setup Form'!$E147,"")</f>
        <v/>
      </c>
      <c r="B143" s="70" t="str">
        <f>IF('Item Setup Form'!$AF147="Yes",'Item Setup Form'!D147,"")</f>
        <v/>
      </c>
      <c r="C143" s="81" t="str">
        <f>IF('Item Setup Form'!$AF147="Yes",'Item Setup Form'!L147,"")</f>
        <v/>
      </c>
      <c r="D143" s="81" t="str">
        <f>IF('Item Setup Form'!$AF147="Yes",'Item Setup Form'!M147,"")</f>
        <v/>
      </c>
      <c r="E143" s="70"/>
      <c r="F143" s="70" t="str">
        <f>IF('Item Setup Form'!$AF147="Yes",'Item Setup Form'!G147,"")</f>
        <v/>
      </c>
      <c r="G143" s="70" t="str">
        <f>IF('Item Setup Form'!$AF147="Yes",'Item Setup Form'!H147,"")</f>
        <v/>
      </c>
      <c r="H143" s="70" t="str">
        <f>IF('Item Setup Form'!$AF147="Yes",'Item Setup Form'!V147,"")</f>
        <v/>
      </c>
      <c r="I143" s="70"/>
      <c r="J143" s="70" t="str">
        <f>IF('Item Setup Form'!$AF147="Yes",'Item Setup Form'!U147,"")</f>
        <v/>
      </c>
      <c r="K143" s="70" t="str">
        <f>IF('Item Setup Form'!$AF147="Yes",'Item Setup Form'!V147,"")</f>
        <v/>
      </c>
      <c r="L143" s="70"/>
      <c r="M143" s="70" t="str">
        <f>IF('Item Setup Form'!$AF147="Yes",'Item Setup Form'!A147,"")</f>
        <v/>
      </c>
      <c r="N143" s="70"/>
      <c r="O143" s="70"/>
      <c r="P143" s="70"/>
      <c r="Q143" s="70"/>
      <c r="R143" s="70"/>
      <c r="S143" s="70"/>
      <c r="T143" s="70"/>
      <c r="U143" s="70"/>
      <c r="V143" s="70"/>
      <c r="W143" s="70"/>
      <c r="X143" s="70"/>
      <c r="Y143" s="70"/>
      <c r="Z143" s="70"/>
    </row>
    <row r="144" spans="1:26">
      <c r="A144" s="70" t="str">
        <f>IF('Item Setup Form'!$AF148="Yes",'Item Setup Form'!$E148,"")</f>
        <v/>
      </c>
      <c r="B144" s="70" t="str">
        <f>IF('Item Setup Form'!$AF148="Yes",'Item Setup Form'!D148,"")</f>
        <v/>
      </c>
      <c r="C144" s="81" t="str">
        <f>IF('Item Setup Form'!$AF148="Yes",'Item Setup Form'!L148,"")</f>
        <v/>
      </c>
      <c r="D144" s="81" t="str">
        <f>IF('Item Setup Form'!$AF148="Yes",'Item Setup Form'!M148,"")</f>
        <v/>
      </c>
      <c r="E144" s="70"/>
      <c r="F144" s="70" t="str">
        <f>IF('Item Setup Form'!$AF148="Yes",'Item Setup Form'!G148,"")</f>
        <v/>
      </c>
      <c r="G144" s="70" t="str">
        <f>IF('Item Setup Form'!$AF148="Yes",'Item Setup Form'!H148,"")</f>
        <v/>
      </c>
      <c r="H144" s="70" t="str">
        <f>IF('Item Setup Form'!$AF148="Yes",'Item Setup Form'!V148,"")</f>
        <v/>
      </c>
      <c r="I144" s="70"/>
      <c r="J144" s="70" t="str">
        <f>IF('Item Setup Form'!$AF148="Yes",'Item Setup Form'!U148,"")</f>
        <v/>
      </c>
      <c r="K144" s="70" t="str">
        <f>IF('Item Setup Form'!$AF148="Yes",'Item Setup Form'!V148,"")</f>
        <v/>
      </c>
      <c r="L144" s="70"/>
      <c r="M144" s="70" t="str">
        <f>IF('Item Setup Form'!$AF148="Yes",'Item Setup Form'!A148,"")</f>
        <v/>
      </c>
      <c r="N144" s="70"/>
      <c r="O144" s="70"/>
      <c r="P144" s="70"/>
      <c r="Q144" s="70"/>
      <c r="R144" s="70"/>
      <c r="S144" s="70"/>
      <c r="T144" s="70"/>
      <c r="U144" s="70"/>
      <c r="V144" s="70"/>
      <c r="W144" s="70"/>
      <c r="X144" s="70"/>
      <c r="Y144" s="70"/>
      <c r="Z144" s="70"/>
    </row>
    <row r="145" spans="1:26">
      <c r="A145" s="70" t="str">
        <f>IF('Item Setup Form'!$AF149="Yes",'Item Setup Form'!$E149,"")</f>
        <v/>
      </c>
      <c r="B145" s="70" t="str">
        <f>IF('Item Setup Form'!$AF149="Yes",'Item Setup Form'!D149,"")</f>
        <v/>
      </c>
      <c r="C145" s="81" t="str">
        <f>IF('Item Setup Form'!$AF149="Yes",'Item Setup Form'!L149,"")</f>
        <v/>
      </c>
      <c r="D145" s="81" t="str">
        <f>IF('Item Setup Form'!$AF149="Yes",'Item Setup Form'!M149,"")</f>
        <v/>
      </c>
      <c r="E145" s="70"/>
      <c r="F145" s="70" t="str">
        <f>IF('Item Setup Form'!$AF149="Yes",'Item Setup Form'!G149,"")</f>
        <v/>
      </c>
      <c r="G145" s="70" t="str">
        <f>IF('Item Setup Form'!$AF149="Yes",'Item Setup Form'!H149,"")</f>
        <v/>
      </c>
      <c r="H145" s="70" t="str">
        <f>IF('Item Setup Form'!$AF149="Yes",'Item Setup Form'!V149,"")</f>
        <v/>
      </c>
      <c r="I145" s="70"/>
      <c r="J145" s="70" t="str">
        <f>IF('Item Setup Form'!$AF149="Yes",'Item Setup Form'!U149,"")</f>
        <v/>
      </c>
      <c r="K145" s="70" t="str">
        <f>IF('Item Setup Form'!$AF149="Yes",'Item Setup Form'!V149,"")</f>
        <v/>
      </c>
      <c r="L145" s="70"/>
      <c r="M145" s="70" t="str">
        <f>IF('Item Setup Form'!$AF149="Yes",'Item Setup Form'!A149,"")</f>
        <v/>
      </c>
      <c r="N145" s="70"/>
      <c r="O145" s="70"/>
      <c r="P145" s="70"/>
      <c r="Q145" s="70"/>
      <c r="R145" s="70"/>
      <c r="S145" s="70"/>
      <c r="T145" s="70"/>
      <c r="U145" s="70"/>
      <c r="V145" s="70"/>
      <c r="W145" s="70"/>
      <c r="X145" s="70"/>
      <c r="Y145" s="70"/>
      <c r="Z145" s="70"/>
    </row>
    <row r="146" spans="1:26">
      <c r="A146" s="70" t="str">
        <f>IF('Item Setup Form'!$AF150="Yes",'Item Setup Form'!$E150,"")</f>
        <v/>
      </c>
      <c r="B146" s="70" t="str">
        <f>IF('Item Setup Form'!$AF150="Yes",'Item Setup Form'!D150,"")</f>
        <v/>
      </c>
      <c r="C146" s="81" t="str">
        <f>IF('Item Setup Form'!$AF150="Yes",'Item Setup Form'!L150,"")</f>
        <v/>
      </c>
      <c r="D146" s="81" t="str">
        <f>IF('Item Setup Form'!$AF150="Yes",'Item Setup Form'!M150,"")</f>
        <v/>
      </c>
      <c r="E146" s="70"/>
      <c r="F146" s="70" t="str">
        <f>IF('Item Setup Form'!$AF150="Yes",'Item Setup Form'!G150,"")</f>
        <v/>
      </c>
      <c r="G146" s="70" t="str">
        <f>IF('Item Setup Form'!$AF150="Yes",'Item Setup Form'!H150,"")</f>
        <v/>
      </c>
      <c r="H146" s="70" t="str">
        <f>IF('Item Setup Form'!$AF150="Yes",'Item Setup Form'!V150,"")</f>
        <v/>
      </c>
      <c r="I146" s="70"/>
      <c r="J146" s="70" t="str">
        <f>IF('Item Setup Form'!$AF150="Yes",'Item Setup Form'!U150,"")</f>
        <v/>
      </c>
      <c r="K146" s="70" t="str">
        <f>IF('Item Setup Form'!$AF150="Yes",'Item Setup Form'!V150,"")</f>
        <v/>
      </c>
      <c r="L146" s="70"/>
      <c r="M146" s="70" t="str">
        <f>IF('Item Setup Form'!$AF150="Yes",'Item Setup Form'!A150,"")</f>
        <v/>
      </c>
      <c r="N146" s="70"/>
      <c r="O146" s="70"/>
      <c r="P146" s="70"/>
      <c r="Q146" s="70"/>
      <c r="R146" s="70"/>
      <c r="S146" s="70"/>
      <c r="T146" s="70"/>
      <c r="U146" s="70"/>
      <c r="V146" s="70"/>
      <c r="W146" s="70"/>
      <c r="X146" s="70"/>
      <c r="Y146" s="70"/>
      <c r="Z146" s="70"/>
    </row>
    <row r="147" spans="1:26">
      <c r="A147" s="70" t="str">
        <f>IF('Item Setup Form'!$AF151="Yes",'Item Setup Form'!$E151,"")</f>
        <v/>
      </c>
      <c r="B147" s="70" t="str">
        <f>IF('Item Setup Form'!$AF151="Yes",'Item Setup Form'!D151,"")</f>
        <v/>
      </c>
      <c r="C147" s="81" t="str">
        <f>IF('Item Setup Form'!$AF151="Yes",'Item Setup Form'!L151,"")</f>
        <v/>
      </c>
      <c r="D147" s="81" t="str">
        <f>IF('Item Setup Form'!$AF151="Yes",'Item Setup Form'!M151,"")</f>
        <v/>
      </c>
      <c r="E147" s="70"/>
      <c r="F147" s="70" t="str">
        <f>IF('Item Setup Form'!$AF151="Yes",'Item Setup Form'!G151,"")</f>
        <v/>
      </c>
      <c r="G147" s="70" t="str">
        <f>IF('Item Setup Form'!$AF151="Yes",'Item Setup Form'!H151,"")</f>
        <v/>
      </c>
      <c r="H147" s="70" t="str">
        <f>IF('Item Setup Form'!$AF151="Yes",'Item Setup Form'!V151,"")</f>
        <v/>
      </c>
      <c r="I147" s="70"/>
      <c r="J147" s="70" t="str">
        <f>IF('Item Setup Form'!$AF151="Yes",'Item Setup Form'!U151,"")</f>
        <v/>
      </c>
      <c r="K147" s="70" t="str">
        <f>IF('Item Setup Form'!$AF151="Yes",'Item Setup Form'!V151,"")</f>
        <v/>
      </c>
      <c r="L147" s="70"/>
      <c r="M147" s="70" t="str">
        <f>IF('Item Setup Form'!$AF151="Yes",'Item Setup Form'!A151,"")</f>
        <v/>
      </c>
      <c r="N147" s="70"/>
      <c r="O147" s="70"/>
      <c r="P147" s="70"/>
      <c r="Q147" s="70"/>
      <c r="R147" s="70"/>
      <c r="S147" s="70"/>
      <c r="T147" s="70"/>
      <c r="U147" s="70"/>
      <c r="V147" s="70"/>
      <c r="W147" s="70"/>
      <c r="X147" s="70"/>
      <c r="Y147" s="70"/>
      <c r="Z147" s="70"/>
    </row>
    <row r="148" spans="1:26">
      <c r="A148" s="70" t="str">
        <f>IF('Item Setup Form'!$AF152="Yes",'Item Setup Form'!$E152,"")</f>
        <v/>
      </c>
      <c r="B148" s="70" t="str">
        <f>IF('Item Setup Form'!$AF152="Yes",'Item Setup Form'!D152,"")</f>
        <v/>
      </c>
      <c r="C148" s="81" t="str">
        <f>IF('Item Setup Form'!$AF152="Yes",'Item Setup Form'!L152,"")</f>
        <v/>
      </c>
      <c r="D148" s="81" t="str">
        <f>IF('Item Setup Form'!$AF152="Yes",'Item Setup Form'!M152,"")</f>
        <v/>
      </c>
      <c r="E148" s="70"/>
      <c r="F148" s="70" t="str">
        <f>IF('Item Setup Form'!$AF152="Yes",'Item Setup Form'!G152,"")</f>
        <v/>
      </c>
      <c r="G148" s="70" t="str">
        <f>IF('Item Setup Form'!$AF152="Yes",'Item Setup Form'!H152,"")</f>
        <v/>
      </c>
      <c r="H148" s="70" t="str">
        <f>IF('Item Setup Form'!$AF152="Yes",'Item Setup Form'!V152,"")</f>
        <v/>
      </c>
      <c r="I148" s="70"/>
      <c r="J148" s="70" t="str">
        <f>IF('Item Setup Form'!$AF152="Yes",'Item Setup Form'!U152,"")</f>
        <v/>
      </c>
      <c r="K148" s="70" t="str">
        <f>IF('Item Setup Form'!$AF152="Yes",'Item Setup Form'!V152,"")</f>
        <v/>
      </c>
      <c r="L148" s="70"/>
      <c r="M148" s="70" t="str">
        <f>IF('Item Setup Form'!$AF152="Yes",'Item Setup Form'!A152,"")</f>
        <v/>
      </c>
      <c r="N148" s="70"/>
      <c r="O148" s="70"/>
      <c r="P148" s="70"/>
      <c r="Q148" s="70"/>
      <c r="R148" s="70"/>
      <c r="S148" s="70"/>
      <c r="T148" s="70"/>
      <c r="U148" s="70"/>
      <c r="V148" s="70"/>
      <c r="W148" s="70"/>
      <c r="X148" s="70"/>
      <c r="Y148" s="70"/>
      <c r="Z148" s="70"/>
    </row>
    <row r="149" spans="1:26">
      <c r="A149" s="70" t="str">
        <f>IF('Item Setup Form'!$AF153="Yes",'Item Setup Form'!$E153,"")</f>
        <v/>
      </c>
      <c r="B149" s="70" t="str">
        <f>IF('Item Setup Form'!$AF153="Yes",'Item Setup Form'!D153,"")</f>
        <v/>
      </c>
      <c r="C149" s="81" t="str">
        <f>IF('Item Setup Form'!$AF153="Yes",'Item Setup Form'!L153,"")</f>
        <v/>
      </c>
      <c r="D149" s="81" t="str">
        <f>IF('Item Setup Form'!$AF153="Yes",'Item Setup Form'!M153,"")</f>
        <v/>
      </c>
      <c r="E149" s="70"/>
      <c r="F149" s="70" t="str">
        <f>IF('Item Setup Form'!$AF153="Yes",'Item Setup Form'!G153,"")</f>
        <v/>
      </c>
      <c r="G149" s="70" t="str">
        <f>IF('Item Setup Form'!$AF153="Yes",'Item Setup Form'!H153,"")</f>
        <v/>
      </c>
      <c r="H149" s="70" t="str">
        <f>IF('Item Setup Form'!$AF153="Yes",'Item Setup Form'!V153,"")</f>
        <v/>
      </c>
      <c r="I149" s="70"/>
      <c r="J149" s="70" t="str">
        <f>IF('Item Setup Form'!$AF153="Yes",'Item Setup Form'!U153,"")</f>
        <v/>
      </c>
      <c r="K149" s="70" t="str">
        <f>IF('Item Setup Form'!$AF153="Yes",'Item Setup Form'!V153,"")</f>
        <v/>
      </c>
      <c r="L149" s="70"/>
      <c r="M149" s="70" t="str">
        <f>IF('Item Setup Form'!$AF153="Yes",'Item Setup Form'!A153,"")</f>
        <v/>
      </c>
      <c r="N149" s="70"/>
      <c r="O149" s="70"/>
      <c r="P149" s="70"/>
      <c r="Q149" s="70"/>
      <c r="R149" s="70"/>
      <c r="S149" s="70"/>
      <c r="T149" s="70"/>
      <c r="U149" s="70"/>
      <c r="V149" s="70"/>
      <c r="W149" s="70"/>
      <c r="X149" s="70"/>
      <c r="Y149" s="70"/>
      <c r="Z149" s="70"/>
    </row>
    <row r="150" spans="1:26">
      <c r="A150" s="70" t="str">
        <f>IF('Item Setup Form'!$AF154="Yes",'Item Setup Form'!$E154,"")</f>
        <v/>
      </c>
      <c r="B150" s="70" t="str">
        <f>IF('Item Setup Form'!$AF154="Yes",'Item Setup Form'!D154,"")</f>
        <v/>
      </c>
      <c r="C150" s="81" t="str">
        <f>IF('Item Setup Form'!$AF154="Yes",'Item Setup Form'!L154,"")</f>
        <v/>
      </c>
      <c r="D150" s="81" t="str">
        <f>IF('Item Setup Form'!$AF154="Yes",'Item Setup Form'!M154,"")</f>
        <v/>
      </c>
      <c r="E150" s="70"/>
      <c r="F150" s="70" t="str">
        <f>IF('Item Setup Form'!$AF154="Yes",'Item Setup Form'!G154,"")</f>
        <v/>
      </c>
      <c r="G150" s="70" t="str">
        <f>IF('Item Setup Form'!$AF154="Yes",'Item Setup Form'!H154,"")</f>
        <v/>
      </c>
      <c r="H150" s="70" t="str">
        <f>IF('Item Setup Form'!$AF154="Yes",'Item Setup Form'!V154,"")</f>
        <v/>
      </c>
      <c r="I150" s="70"/>
      <c r="J150" s="70" t="str">
        <f>IF('Item Setup Form'!$AF154="Yes",'Item Setup Form'!U154,"")</f>
        <v/>
      </c>
      <c r="K150" s="70" t="str">
        <f>IF('Item Setup Form'!$AF154="Yes",'Item Setup Form'!V154,"")</f>
        <v/>
      </c>
      <c r="L150" s="70"/>
      <c r="M150" s="70" t="str">
        <f>IF('Item Setup Form'!$AF154="Yes",'Item Setup Form'!A154,"")</f>
        <v/>
      </c>
      <c r="N150" s="70"/>
      <c r="O150" s="70"/>
      <c r="P150" s="70"/>
      <c r="Q150" s="70"/>
      <c r="R150" s="70"/>
      <c r="S150" s="70"/>
      <c r="T150" s="70"/>
      <c r="U150" s="70"/>
      <c r="V150" s="70"/>
      <c r="W150" s="70"/>
      <c r="X150" s="70"/>
      <c r="Y150" s="70"/>
      <c r="Z150" s="70"/>
    </row>
    <row r="151" spans="1:26">
      <c r="A151" s="70" t="str">
        <f>IF('Item Setup Form'!$AF155="Yes",'Item Setup Form'!$E155,"")</f>
        <v/>
      </c>
      <c r="B151" s="70" t="str">
        <f>IF('Item Setup Form'!$AF155="Yes",'Item Setup Form'!D155,"")</f>
        <v/>
      </c>
      <c r="C151" s="81" t="str">
        <f>IF('Item Setup Form'!$AF155="Yes",'Item Setup Form'!L155,"")</f>
        <v/>
      </c>
      <c r="D151" s="81" t="str">
        <f>IF('Item Setup Form'!$AF155="Yes",'Item Setup Form'!M155,"")</f>
        <v/>
      </c>
      <c r="E151" s="70"/>
      <c r="F151" s="70" t="str">
        <f>IF('Item Setup Form'!$AF155="Yes",'Item Setup Form'!G155,"")</f>
        <v/>
      </c>
      <c r="G151" s="70" t="str">
        <f>IF('Item Setup Form'!$AF155="Yes",'Item Setup Form'!H155,"")</f>
        <v/>
      </c>
      <c r="H151" s="70" t="str">
        <f>IF('Item Setup Form'!$AF155="Yes",'Item Setup Form'!V155,"")</f>
        <v/>
      </c>
      <c r="I151" s="70"/>
      <c r="J151" s="70" t="str">
        <f>IF('Item Setup Form'!$AF155="Yes",'Item Setup Form'!U155,"")</f>
        <v/>
      </c>
      <c r="K151" s="70" t="str">
        <f>IF('Item Setup Form'!$AF155="Yes",'Item Setup Form'!V155,"")</f>
        <v/>
      </c>
      <c r="L151" s="70"/>
      <c r="M151" s="70" t="str">
        <f>IF('Item Setup Form'!$AF155="Yes",'Item Setup Form'!A155,"")</f>
        <v/>
      </c>
      <c r="N151" s="70"/>
      <c r="O151" s="70"/>
      <c r="P151" s="70"/>
      <c r="Q151" s="70"/>
      <c r="R151" s="70"/>
      <c r="S151" s="70"/>
      <c r="T151" s="70"/>
      <c r="U151" s="70"/>
      <c r="V151" s="70"/>
      <c r="W151" s="70"/>
      <c r="X151" s="70"/>
      <c r="Y151" s="70"/>
      <c r="Z151" s="70"/>
    </row>
    <row r="152" spans="1:26">
      <c r="A152" s="70" t="str">
        <f>IF('Item Setup Form'!$AF156="Yes",'Item Setup Form'!$E156,"")</f>
        <v/>
      </c>
      <c r="B152" s="70" t="str">
        <f>IF('Item Setup Form'!$AF156="Yes",'Item Setup Form'!D156,"")</f>
        <v/>
      </c>
      <c r="C152" s="81" t="str">
        <f>IF('Item Setup Form'!$AF156="Yes",'Item Setup Form'!L156,"")</f>
        <v/>
      </c>
      <c r="D152" s="81" t="str">
        <f>IF('Item Setup Form'!$AF156="Yes",'Item Setup Form'!M156,"")</f>
        <v/>
      </c>
      <c r="E152" s="70"/>
      <c r="F152" s="70" t="str">
        <f>IF('Item Setup Form'!$AF156="Yes",'Item Setup Form'!G156,"")</f>
        <v/>
      </c>
      <c r="G152" s="70" t="str">
        <f>IF('Item Setup Form'!$AF156="Yes",'Item Setup Form'!H156,"")</f>
        <v/>
      </c>
      <c r="H152" s="70" t="str">
        <f>IF('Item Setup Form'!$AF156="Yes",'Item Setup Form'!V156,"")</f>
        <v/>
      </c>
      <c r="I152" s="70"/>
      <c r="J152" s="70" t="str">
        <f>IF('Item Setup Form'!$AF156="Yes",'Item Setup Form'!U156,"")</f>
        <v/>
      </c>
      <c r="K152" s="70" t="str">
        <f>IF('Item Setup Form'!$AF156="Yes",'Item Setup Form'!V156,"")</f>
        <v/>
      </c>
      <c r="L152" s="70"/>
      <c r="M152" s="70" t="str">
        <f>IF('Item Setup Form'!$AF156="Yes",'Item Setup Form'!A156,"")</f>
        <v/>
      </c>
      <c r="N152" s="70"/>
      <c r="O152" s="70"/>
      <c r="P152" s="70"/>
      <c r="Q152" s="70"/>
      <c r="R152" s="70"/>
      <c r="S152" s="70"/>
      <c r="T152" s="70"/>
      <c r="U152" s="70"/>
      <c r="V152" s="70"/>
      <c r="W152" s="70"/>
      <c r="X152" s="70"/>
      <c r="Y152" s="70"/>
      <c r="Z152" s="70"/>
    </row>
    <row r="153" spans="1:26">
      <c r="A153" s="70" t="str">
        <f>IF('Item Setup Form'!$AF157="Yes",'Item Setup Form'!$E157,"")</f>
        <v/>
      </c>
      <c r="B153" s="70" t="str">
        <f>IF('Item Setup Form'!$AF157="Yes",'Item Setup Form'!D157,"")</f>
        <v/>
      </c>
      <c r="C153" s="81" t="str">
        <f>IF('Item Setup Form'!$AF157="Yes",'Item Setup Form'!L157,"")</f>
        <v/>
      </c>
      <c r="D153" s="81" t="str">
        <f>IF('Item Setup Form'!$AF157="Yes",'Item Setup Form'!M157,"")</f>
        <v/>
      </c>
      <c r="E153" s="70"/>
      <c r="F153" s="70" t="str">
        <f>IF('Item Setup Form'!$AF157="Yes",'Item Setup Form'!G157,"")</f>
        <v/>
      </c>
      <c r="G153" s="70" t="str">
        <f>IF('Item Setup Form'!$AF157="Yes",'Item Setup Form'!H157,"")</f>
        <v/>
      </c>
      <c r="H153" s="70" t="str">
        <f>IF('Item Setup Form'!$AF157="Yes",'Item Setup Form'!V157,"")</f>
        <v/>
      </c>
      <c r="I153" s="70"/>
      <c r="J153" s="70" t="str">
        <f>IF('Item Setup Form'!$AF157="Yes",'Item Setup Form'!U157,"")</f>
        <v/>
      </c>
      <c r="K153" s="70" t="str">
        <f>IF('Item Setup Form'!$AF157="Yes",'Item Setup Form'!V157,"")</f>
        <v/>
      </c>
      <c r="L153" s="70"/>
      <c r="M153" s="70" t="str">
        <f>IF('Item Setup Form'!$AF157="Yes",'Item Setup Form'!A157,"")</f>
        <v/>
      </c>
      <c r="N153" s="70"/>
      <c r="O153" s="70"/>
      <c r="P153" s="70"/>
      <c r="Q153" s="70"/>
      <c r="R153" s="70"/>
      <c r="S153" s="70"/>
      <c r="T153" s="70"/>
      <c r="U153" s="70"/>
      <c r="V153" s="70"/>
      <c r="W153" s="70"/>
      <c r="X153" s="70"/>
      <c r="Y153" s="70"/>
      <c r="Z153" s="70"/>
    </row>
    <row r="154" spans="1:26">
      <c r="A154" s="70" t="str">
        <f>IF('Item Setup Form'!$AF158="Yes",'Item Setup Form'!$E158,"")</f>
        <v/>
      </c>
      <c r="B154" s="70" t="str">
        <f>IF('Item Setup Form'!$AF158="Yes",'Item Setup Form'!D158,"")</f>
        <v/>
      </c>
      <c r="C154" s="81" t="str">
        <f>IF('Item Setup Form'!$AF158="Yes",'Item Setup Form'!L158,"")</f>
        <v/>
      </c>
      <c r="D154" s="81" t="str">
        <f>IF('Item Setup Form'!$AF158="Yes",'Item Setup Form'!M158,"")</f>
        <v/>
      </c>
      <c r="E154" s="70"/>
      <c r="F154" s="70" t="str">
        <f>IF('Item Setup Form'!$AF158="Yes",'Item Setup Form'!G158,"")</f>
        <v/>
      </c>
      <c r="G154" s="70" t="str">
        <f>IF('Item Setup Form'!$AF158="Yes",'Item Setup Form'!H158,"")</f>
        <v/>
      </c>
      <c r="H154" s="70" t="str">
        <f>IF('Item Setup Form'!$AF158="Yes",'Item Setup Form'!V158,"")</f>
        <v/>
      </c>
      <c r="I154" s="70"/>
      <c r="J154" s="70" t="str">
        <f>IF('Item Setup Form'!$AF158="Yes",'Item Setup Form'!U158,"")</f>
        <v/>
      </c>
      <c r="K154" s="70" t="str">
        <f>IF('Item Setup Form'!$AF158="Yes",'Item Setup Form'!V158,"")</f>
        <v/>
      </c>
      <c r="L154" s="70"/>
      <c r="M154" s="70" t="str">
        <f>IF('Item Setup Form'!$AF158="Yes",'Item Setup Form'!A158,"")</f>
        <v/>
      </c>
      <c r="N154" s="70"/>
      <c r="O154" s="70"/>
      <c r="P154" s="70"/>
      <c r="Q154" s="70"/>
      <c r="R154" s="70"/>
      <c r="S154" s="70"/>
      <c r="T154" s="70"/>
      <c r="U154" s="70"/>
      <c r="V154" s="70"/>
      <c r="W154" s="70"/>
      <c r="X154" s="70"/>
      <c r="Y154" s="70"/>
      <c r="Z154" s="70"/>
    </row>
    <row r="155" spans="1:26">
      <c r="A155" s="70" t="str">
        <f>IF('Item Setup Form'!$AF159="Yes",'Item Setup Form'!$E159,"")</f>
        <v/>
      </c>
      <c r="B155" s="70" t="str">
        <f>IF('Item Setup Form'!$AF159="Yes",'Item Setup Form'!D159,"")</f>
        <v/>
      </c>
      <c r="C155" s="81" t="str">
        <f>IF('Item Setup Form'!$AF159="Yes",'Item Setup Form'!L159,"")</f>
        <v/>
      </c>
      <c r="D155" s="81" t="str">
        <f>IF('Item Setup Form'!$AF159="Yes",'Item Setup Form'!M159,"")</f>
        <v/>
      </c>
      <c r="E155" s="70"/>
      <c r="F155" s="70" t="str">
        <f>IF('Item Setup Form'!$AF159="Yes",'Item Setup Form'!G159,"")</f>
        <v/>
      </c>
      <c r="G155" s="70" t="str">
        <f>IF('Item Setup Form'!$AF159="Yes",'Item Setup Form'!H159,"")</f>
        <v/>
      </c>
      <c r="H155" s="70" t="str">
        <f>IF('Item Setup Form'!$AF159="Yes",'Item Setup Form'!V159,"")</f>
        <v/>
      </c>
      <c r="I155" s="70"/>
      <c r="J155" s="70" t="str">
        <f>IF('Item Setup Form'!$AF159="Yes",'Item Setup Form'!U159,"")</f>
        <v/>
      </c>
      <c r="K155" s="70" t="str">
        <f>IF('Item Setup Form'!$AF159="Yes",'Item Setup Form'!V159,"")</f>
        <v/>
      </c>
      <c r="L155" s="70"/>
      <c r="M155" s="70" t="str">
        <f>IF('Item Setup Form'!$AF159="Yes",'Item Setup Form'!A159,"")</f>
        <v/>
      </c>
      <c r="N155" s="70"/>
      <c r="O155" s="70"/>
      <c r="P155" s="70"/>
      <c r="Q155" s="70"/>
      <c r="R155" s="70"/>
      <c r="S155" s="70"/>
      <c r="T155" s="70"/>
      <c r="U155" s="70"/>
      <c r="V155" s="70"/>
      <c r="W155" s="70"/>
      <c r="X155" s="70"/>
      <c r="Y155" s="70"/>
      <c r="Z155" s="70"/>
    </row>
    <row r="156" spans="1:26">
      <c r="A156" s="70" t="str">
        <f>IF('Item Setup Form'!$AF160="Yes",'Item Setup Form'!$E160,"")</f>
        <v/>
      </c>
      <c r="B156" s="70" t="str">
        <f>IF('Item Setup Form'!$AF160="Yes",'Item Setup Form'!D160,"")</f>
        <v/>
      </c>
      <c r="C156" s="81" t="str">
        <f>IF('Item Setup Form'!$AF160="Yes",'Item Setup Form'!L160,"")</f>
        <v/>
      </c>
      <c r="D156" s="81" t="str">
        <f>IF('Item Setup Form'!$AF160="Yes",'Item Setup Form'!M160,"")</f>
        <v/>
      </c>
      <c r="E156" s="70"/>
      <c r="F156" s="70" t="str">
        <f>IF('Item Setup Form'!$AF160="Yes",'Item Setup Form'!G160,"")</f>
        <v/>
      </c>
      <c r="G156" s="70" t="str">
        <f>IF('Item Setup Form'!$AF160="Yes",'Item Setup Form'!H160,"")</f>
        <v/>
      </c>
      <c r="H156" s="70" t="str">
        <f>IF('Item Setup Form'!$AF160="Yes",'Item Setup Form'!V160,"")</f>
        <v/>
      </c>
      <c r="I156" s="70"/>
      <c r="J156" s="70" t="str">
        <f>IF('Item Setup Form'!$AF160="Yes",'Item Setup Form'!U160,"")</f>
        <v/>
      </c>
      <c r="K156" s="70" t="str">
        <f>IF('Item Setup Form'!$AF160="Yes",'Item Setup Form'!V160,"")</f>
        <v/>
      </c>
      <c r="L156" s="70"/>
      <c r="M156" s="70" t="str">
        <f>IF('Item Setup Form'!$AF160="Yes",'Item Setup Form'!A160,"")</f>
        <v/>
      </c>
      <c r="N156" s="70"/>
      <c r="O156" s="70"/>
      <c r="P156" s="70"/>
      <c r="Q156" s="70"/>
      <c r="R156" s="70"/>
      <c r="S156" s="70"/>
      <c r="T156" s="70"/>
      <c r="U156" s="70"/>
      <c r="V156" s="70"/>
      <c r="W156" s="70"/>
      <c r="X156" s="70"/>
      <c r="Y156" s="70"/>
      <c r="Z156" s="70"/>
    </row>
    <row r="157" spans="1:26">
      <c r="A157" s="70" t="str">
        <f>IF('Item Setup Form'!$AF161="Yes",'Item Setup Form'!$E161,"")</f>
        <v/>
      </c>
      <c r="B157" s="70" t="str">
        <f>IF('Item Setup Form'!$AF161="Yes",'Item Setup Form'!D161,"")</f>
        <v/>
      </c>
      <c r="C157" s="81" t="str">
        <f>IF('Item Setup Form'!$AF161="Yes",'Item Setup Form'!L161,"")</f>
        <v/>
      </c>
      <c r="D157" s="81" t="str">
        <f>IF('Item Setup Form'!$AF161="Yes",'Item Setup Form'!M161,"")</f>
        <v/>
      </c>
      <c r="E157" s="70"/>
      <c r="F157" s="70" t="str">
        <f>IF('Item Setup Form'!$AF161="Yes",'Item Setup Form'!G161,"")</f>
        <v/>
      </c>
      <c r="G157" s="70" t="str">
        <f>IF('Item Setup Form'!$AF161="Yes",'Item Setup Form'!H161,"")</f>
        <v/>
      </c>
      <c r="H157" s="70" t="str">
        <f>IF('Item Setup Form'!$AF161="Yes",'Item Setup Form'!V161,"")</f>
        <v/>
      </c>
      <c r="I157" s="70"/>
      <c r="J157" s="70" t="str">
        <f>IF('Item Setup Form'!$AF161="Yes",'Item Setup Form'!U161,"")</f>
        <v/>
      </c>
      <c r="K157" s="70" t="str">
        <f>IF('Item Setup Form'!$AF161="Yes",'Item Setup Form'!V161,"")</f>
        <v/>
      </c>
      <c r="L157" s="70"/>
      <c r="M157" s="70" t="str">
        <f>IF('Item Setup Form'!$AF161="Yes",'Item Setup Form'!A161,"")</f>
        <v/>
      </c>
      <c r="N157" s="70"/>
      <c r="O157" s="70"/>
      <c r="P157" s="70"/>
      <c r="Q157" s="70"/>
      <c r="R157" s="70"/>
      <c r="S157" s="70"/>
      <c r="T157" s="70"/>
      <c r="U157" s="70"/>
      <c r="V157" s="70"/>
      <c r="W157" s="70"/>
      <c r="X157" s="70"/>
      <c r="Y157" s="70"/>
      <c r="Z157" s="70"/>
    </row>
    <row r="158" spans="1:26">
      <c r="A158" s="70" t="str">
        <f>IF('Item Setup Form'!$AF162="Yes",'Item Setup Form'!$E162,"")</f>
        <v/>
      </c>
      <c r="B158" s="70" t="str">
        <f>IF('Item Setup Form'!$AF162="Yes",'Item Setup Form'!D162,"")</f>
        <v/>
      </c>
      <c r="C158" s="81" t="str">
        <f>IF('Item Setup Form'!$AF162="Yes",'Item Setup Form'!L162,"")</f>
        <v/>
      </c>
      <c r="D158" s="81" t="str">
        <f>IF('Item Setup Form'!$AF162="Yes",'Item Setup Form'!M162,"")</f>
        <v/>
      </c>
      <c r="E158" s="70"/>
      <c r="F158" s="70" t="str">
        <f>IF('Item Setup Form'!$AF162="Yes",'Item Setup Form'!G162,"")</f>
        <v/>
      </c>
      <c r="G158" s="70" t="str">
        <f>IF('Item Setup Form'!$AF162="Yes",'Item Setup Form'!H162,"")</f>
        <v/>
      </c>
      <c r="H158" s="70" t="str">
        <f>IF('Item Setup Form'!$AF162="Yes",'Item Setup Form'!V162,"")</f>
        <v/>
      </c>
      <c r="I158" s="70"/>
      <c r="J158" s="70" t="str">
        <f>IF('Item Setup Form'!$AF162="Yes",'Item Setup Form'!U162,"")</f>
        <v/>
      </c>
      <c r="K158" s="70" t="str">
        <f>IF('Item Setup Form'!$AF162="Yes",'Item Setup Form'!V162,"")</f>
        <v/>
      </c>
      <c r="L158" s="70"/>
      <c r="M158" s="70" t="str">
        <f>IF('Item Setup Form'!$AF162="Yes",'Item Setup Form'!A162,"")</f>
        <v/>
      </c>
      <c r="N158" s="70"/>
      <c r="O158" s="70"/>
      <c r="P158" s="70"/>
      <c r="Q158" s="70"/>
      <c r="R158" s="70"/>
      <c r="S158" s="70"/>
      <c r="T158" s="70"/>
      <c r="U158" s="70"/>
      <c r="V158" s="70"/>
      <c r="W158" s="70"/>
      <c r="X158" s="70"/>
      <c r="Y158" s="70"/>
      <c r="Z158" s="70"/>
    </row>
    <row r="159" spans="1:26">
      <c r="A159" s="70" t="str">
        <f>IF('Item Setup Form'!$AF163="Yes",'Item Setup Form'!$E163,"")</f>
        <v/>
      </c>
      <c r="B159" s="70" t="str">
        <f>IF('Item Setup Form'!$AF163="Yes",'Item Setup Form'!D163,"")</f>
        <v/>
      </c>
      <c r="C159" s="81" t="str">
        <f>IF('Item Setup Form'!$AF163="Yes",'Item Setup Form'!L163,"")</f>
        <v/>
      </c>
      <c r="D159" s="81" t="str">
        <f>IF('Item Setup Form'!$AF163="Yes",'Item Setup Form'!M163,"")</f>
        <v/>
      </c>
      <c r="E159" s="70"/>
      <c r="F159" s="70" t="str">
        <f>IF('Item Setup Form'!$AF163="Yes",'Item Setup Form'!G163,"")</f>
        <v/>
      </c>
      <c r="G159" s="70" t="str">
        <f>IF('Item Setup Form'!$AF163="Yes",'Item Setup Form'!H163,"")</f>
        <v/>
      </c>
      <c r="H159" s="70" t="str">
        <f>IF('Item Setup Form'!$AF163="Yes",'Item Setup Form'!V163,"")</f>
        <v/>
      </c>
      <c r="I159" s="70"/>
      <c r="J159" s="70" t="str">
        <f>IF('Item Setup Form'!$AF163="Yes",'Item Setup Form'!U163,"")</f>
        <v/>
      </c>
      <c r="K159" s="70" t="str">
        <f>IF('Item Setup Form'!$AF163="Yes",'Item Setup Form'!V163,"")</f>
        <v/>
      </c>
      <c r="L159" s="70"/>
      <c r="M159" s="70" t="str">
        <f>IF('Item Setup Form'!$AF163="Yes",'Item Setup Form'!A163,"")</f>
        <v/>
      </c>
      <c r="N159" s="70"/>
      <c r="O159" s="70"/>
      <c r="P159" s="70"/>
      <c r="Q159" s="70"/>
      <c r="R159" s="70"/>
      <c r="S159" s="70"/>
      <c r="T159" s="70"/>
      <c r="U159" s="70"/>
      <c r="V159" s="70"/>
      <c r="W159" s="70"/>
      <c r="X159" s="70"/>
      <c r="Y159" s="70"/>
      <c r="Z159" s="70"/>
    </row>
    <row r="160" spans="1:26">
      <c r="A160" s="70" t="str">
        <f>IF('Item Setup Form'!$AF164="Yes",'Item Setup Form'!$E164,"")</f>
        <v/>
      </c>
      <c r="B160" s="70" t="str">
        <f>IF('Item Setup Form'!$AF164="Yes",'Item Setup Form'!D164,"")</f>
        <v/>
      </c>
      <c r="C160" s="81" t="str">
        <f>IF('Item Setup Form'!$AF164="Yes",'Item Setup Form'!L164,"")</f>
        <v/>
      </c>
      <c r="D160" s="81" t="str">
        <f>IF('Item Setup Form'!$AF164="Yes",'Item Setup Form'!M164,"")</f>
        <v/>
      </c>
      <c r="E160" s="70"/>
      <c r="F160" s="70" t="str">
        <f>IF('Item Setup Form'!$AF164="Yes",'Item Setup Form'!G164,"")</f>
        <v/>
      </c>
      <c r="G160" s="70" t="str">
        <f>IF('Item Setup Form'!$AF164="Yes",'Item Setup Form'!H164,"")</f>
        <v/>
      </c>
      <c r="H160" s="70" t="str">
        <f>IF('Item Setup Form'!$AF164="Yes",'Item Setup Form'!V164,"")</f>
        <v/>
      </c>
      <c r="I160" s="70"/>
      <c r="J160" s="70" t="str">
        <f>IF('Item Setup Form'!$AF164="Yes",'Item Setup Form'!U164,"")</f>
        <v/>
      </c>
      <c r="K160" s="70" t="str">
        <f>IF('Item Setup Form'!$AF164="Yes",'Item Setup Form'!V164,"")</f>
        <v/>
      </c>
      <c r="L160" s="70"/>
      <c r="M160" s="70" t="str">
        <f>IF('Item Setup Form'!$AF164="Yes",'Item Setup Form'!A164,"")</f>
        <v/>
      </c>
      <c r="N160" s="70"/>
      <c r="O160" s="70"/>
      <c r="P160" s="70"/>
      <c r="Q160" s="70"/>
      <c r="R160" s="70"/>
      <c r="S160" s="70"/>
      <c r="T160" s="70"/>
      <c r="U160" s="70"/>
      <c r="V160" s="70"/>
      <c r="W160" s="70"/>
      <c r="X160" s="70"/>
      <c r="Y160" s="70"/>
      <c r="Z160" s="70"/>
    </row>
    <row r="161" spans="1:26">
      <c r="A161" s="70" t="str">
        <f>IF('Item Setup Form'!$AF165="Yes",'Item Setup Form'!$E165,"")</f>
        <v/>
      </c>
      <c r="B161" s="70" t="str">
        <f>IF('Item Setup Form'!$AF165="Yes",'Item Setup Form'!D165,"")</f>
        <v/>
      </c>
      <c r="C161" s="81" t="str">
        <f>IF('Item Setup Form'!$AF165="Yes",'Item Setup Form'!L165,"")</f>
        <v/>
      </c>
      <c r="D161" s="81" t="str">
        <f>IF('Item Setup Form'!$AF165="Yes",'Item Setup Form'!M165,"")</f>
        <v/>
      </c>
      <c r="E161" s="70"/>
      <c r="F161" s="70" t="str">
        <f>IF('Item Setup Form'!$AF165="Yes",'Item Setup Form'!G165,"")</f>
        <v/>
      </c>
      <c r="G161" s="70" t="str">
        <f>IF('Item Setup Form'!$AF165="Yes",'Item Setup Form'!H165,"")</f>
        <v/>
      </c>
      <c r="H161" s="70" t="str">
        <f>IF('Item Setup Form'!$AF165="Yes",'Item Setup Form'!V165,"")</f>
        <v/>
      </c>
      <c r="I161" s="70"/>
      <c r="J161" s="70" t="str">
        <f>IF('Item Setup Form'!$AF165="Yes",'Item Setup Form'!U165,"")</f>
        <v/>
      </c>
      <c r="K161" s="70" t="str">
        <f>IF('Item Setup Form'!$AF165="Yes",'Item Setup Form'!V165,"")</f>
        <v/>
      </c>
      <c r="L161" s="70"/>
      <c r="M161" s="70" t="str">
        <f>IF('Item Setup Form'!$AF165="Yes",'Item Setup Form'!A165,"")</f>
        <v/>
      </c>
      <c r="N161" s="70"/>
      <c r="O161" s="70"/>
      <c r="P161" s="70"/>
      <c r="Q161" s="70"/>
      <c r="R161" s="70"/>
      <c r="S161" s="70"/>
      <c r="T161" s="70"/>
      <c r="U161" s="70"/>
      <c r="V161" s="70"/>
      <c r="W161" s="70"/>
      <c r="X161" s="70"/>
      <c r="Y161" s="70"/>
      <c r="Z161" s="70"/>
    </row>
    <row r="162" spans="1:26">
      <c r="A162" s="70" t="str">
        <f>IF('Item Setup Form'!$AF166="Yes",'Item Setup Form'!$E166,"")</f>
        <v/>
      </c>
      <c r="B162" s="70" t="str">
        <f>IF('Item Setup Form'!$AF166="Yes",'Item Setup Form'!D166,"")</f>
        <v/>
      </c>
      <c r="C162" s="81" t="str">
        <f>IF('Item Setup Form'!$AF166="Yes",'Item Setup Form'!L166,"")</f>
        <v/>
      </c>
      <c r="D162" s="81" t="str">
        <f>IF('Item Setup Form'!$AF166="Yes",'Item Setup Form'!M166,"")</f>
        <v/>
      </c>
      <c r="E162" s="70"/>
      <c r="F162" s="70" t="str">
        <f>IF('Item Setup Form'!$AF166="Yes",'Item Setup Form'!G166,"")</f>
        <v/>
      </c>
      <c r="G162" s="70" t="str">
        <f>IF('Item Setup Form'!$AF166="Yes",'Item Setup Form'!H166,"")</f>
        <v/>
      </c>
      <c r="H162" s="70" t="str">
        <f>IF('Item Setup Form'!$AF166="Yes",'Item Setup Form'!V166,"")</f>
        <v/>
      </c>
      <c r="I162" s="70"/>
      <c r="J162" s="70" t="str">
        <f>IF('Item Setup Form'!$AF166="Yes",'Item Setup Form'!U166,"")</f>
        <v/>
      </c>
      <c r="K162" s="70" t="str">
        <f>IF('Item Setup Form'!$AF166="Yes",'Item Setup Form'!V166,"")</f>
        <v/>
      </c>
      <c r="L162" s="70"/>
      <c r="M162" s="70" t="str">
        <f>IF('Item Setup Form'!$AF166="Yes",'Item Setup Form'!A166,"")</f>
        <v/>
      </c>
      <c r="N162" s="70"/>
      <c r="O162" s="70"/>
      <c r="P162" s="70"/>
      <c r="Q162" s="70"/>
      <c r="R162" s="70"/>
      <c r="S162" s="70"/>
      <c r="T162" s="70"/>
      <c r="U162" s="70"/>
      <c r="V162" s="70"/>
      <c r="W162" s="70"/>
      <c r="X162" s="70"/>
      <c r="Y162" s="70"/>
      <c r="Z162" s="70"/>
    </row>
    <row r="163" spans="1:26">
      <c r="A163" s="70" t="str">
        <f>IF('Item Setup Form'!$AF167="Yes",'Item Setup Form'!$E167,"")</f>
        <v/>
      </c>
      <c r="B163" s="70" t="str">
        <f>IF('Item Setup Form'!$AF167="Yes",'Item Setup Form'!D167,"")</f>
        <v/>
      </c>
      <c r="C163" s="81" t="str">
        <f>IF('Item Setup Form'!$AF167="Yes",'Item Setup Form'!L167,"")</f>
        <v/>
      </c>
      <c r="D163" s="81" t="str">
        <f>IF('Item Setup Form'!$AF167="Yes",'Item Setup Form'!M167,"")</f>
        <v/>
      </c>
      <c r="E163" s="70"/>
      <c r="F163" s="70" t="str">
        <f>IF('Item Setup Form'!$AF167="Yes",'Item Setup Form'!G167,"")</f>
        <v/>
      </c>
      <c r="G163" s="70" t="str">
        <f>IF('Item Setup Form'!$AF167="Yes",'Item Setup Form'!H167,"")</f>
        <v/>
      </c>
      <c r="H163" s="70" t="str">
        <f>IF('Item Setup Form'!$AF167="Yes",'Item Setup Form'!V167,"")</f>
        <v/>
      </c>
      <c r="I163" s="70"/>
      <c r="J163" s="70" t="str">
        <f>IF('Item Setup Form'!$AF167="Yes",'Item Setup Form'!U167,"")</f>
        <v/>
      </c>
      <c r="K163" s="70" t="str">
        <f>IF('Item Setup Form'!$AF167="Yes",'Item Setup Form'!V167,"")</f>
        <v/>
      </c>
      <c r="L163" s="70"/>
      <c r="M163" s="70" t="str">
        <f>IF('Item Setup Form'!$AF167="Yes",'Item Setup Form'!A167,"")</f>
        <v/>
      </c>
      <c r="N163" s="70"/>
      <c r="O163" s="70"/>
      <c r="P163" s="70"/>
      <c r="Q163" s="70"/>
      <c r="R163" s="70"/>
      <c r="S163" s="70"/>
      <c r="T163" s="70"/>
      <c r="U163" s="70"/>
      <c r="V163" s="70"/>
      <c r="W163" s="70"/>
      <c r="X163" s="70"/>
      <c r="Y163" s="70"/>
      <c r="Z163" s="70"/>
    </row>
    <row r="164" spans="1:26">
      <c r="A164" s="70" t="str">
        <f>IF('Item Setup Form'!$AF168="Yes",'Item Setup Form'!$E168,"")</f>
        <v/>
      </c>
      <c r="B164" s="70" t="str">
        <f>IF('Item Setup Form'!$AF168="Yes",'Item Setup Form'!D168,"")</f>
        <v/>
      </c>
      <c r="C164" s="81" t="str">
        <f>IF('Item Setup Form'!$AF168="Yes",'Item Setup Form'!L168,"")</f>
        <v/>
      </c>
      <c r="D164" s="81" t="str">
        <f>IF('Item Setup Form'!$AF168="Yes",'Item Setup Form'!M168,"")</f>
        <v/>
      </c>
      <c r="E164" s="70"/>
      <c r="F164" s="70" t="str">
        <f>IF('Item Setup Form'!$AF168="Yes",'Item Setup Form'!G168,"")</f>
        <v/>
      </c>
      <c r="G164" s="70" t="str">
        <f>IF('Item Setup Form'!$AF168="Yes",'Item Setup Form'!H168,"")</f>
        <v/>
      </c>
      <c r="H164" s="70" t="str">
        <f>IF('Item Setup Form'!$AF168="Yes",'Item Setup Form'!V168,"")</f>
        <v/>
      </c>
      <c r="I164" s="70"/>
      <c r="J164" s="70" t="str">
        <f>IF('Item Setup Form'!$AF168="Yes",'Item Setup Form'!U168,"")</f>
        <v/>
      </c>
      <c r="K164" s="70" t="str">
        <f>IF('Item Setup Form'!$AF168="Yes",'Item Setup Form'!V168,"")</f>
        <v/>
      </c>
      <c r="L164" s="70"/>
      <c r="M164" s="70" t="str">
        <f>IF('Item Setup Form'!$AF168="Yes",'Item Setup Form'!A168,"")</f>
        <v/>
      </c>
      <c r="N164" s="70"/>
      <c r="O164" s="70"/>
      <c r="P164" s="70"/>
      <c r="Q164" s="70"/>
      <c r="R164" s="70"/>
      <c r="S164" s="70"/>
      <c r="T164" s="70"/>
      <c r="U164" s="70"/>
      <c r="V164" s="70"/>
      <c r="W164" s="70"/>
      <c r="X164" s="70"/>
      <c r="Y164" s="70"/>
      <c r="Z164" s="70"/>
    </row>
    <row r="165" spans="1:26">
      <c r="A165" s="70" t="str">
        <f>IF('Item Setup Form'!$AF169="Yes",'Item Setup Form'!$E169,"")</f>
        <v/>
      </c>
      <c r="B165" s="70" t="str">
        <f>IF('Item Setup Form'!$AF169="Yes",'Item Setup Form'!D169,"")</f>
        <v/>
      </c>
      <c r="C165" s="81" t="str">
        <f>IF('Item Setup Form'!$AF169="Yes",'Item Setup Form'!L169,"")</f>
        <v/>
      </c>
      <c r="D165" s="81" t="str">
        <f>IF('Item Setup Form'!$AF169="Yes",'Item Setup Form'!M169,"")</f>
        <v/>
      </c>
      <c r="E165" s="70"/>
      <c r="F165" s="70" t="str">
        <f>IF('Item Setup Form'!$AF169="Yes",'Item Setup Form'!G169,"")</f>
        <v/>
      </c>
      <c r="G165" s="70" t="str">
        <f>IF('Item Setup Form'!$AF169="Yes",'Item Setup Form'!H169,"")</f>
        <v/>
      </c>
      <c r="H165" s="70" t="str">
        <f>IF('Item Setup Form'!$AF169="Yes",'Item Setup Form'!V169,"")</f>
        <v/>
      </c>
      <c r="I165" s="70"/>
      <c r="J165" s="70" t="str">
        <f>IF('Item Setup Form'!$AF169="Yes",'Item Setup Form'!U169,"")</f>
        <v/>
      </c>
      <c r="K165" s="70" t="str">
        <f>IF('Item Setup Form'!$AF169="Yes",'Item Setup Form'!V169,"")</f>
        <v/>
      </c>
      <c r="L165" s="70"/>
      <c r="M165" s="70" t="str">
        <f>IF('Item Setup Form'!$AF169="Yes",'Item Setup Form'!A169,"")</f>
        <v/>
      </c>
      <c r="N165" s="70"/>
      <c r="O165" s="70"/>
      <c r="P165" s="70"/>
      <c r="Q165" s="70"/>
      <c r="R165" s="70"/>
      <c r="S165" s="70"/>
      <c r="T165" s="70"/>
      <c r="U165" s="70"/>
      <c r="V165" s="70"/>
      <c r="W165" s="70"/>
      <c r="X165" s="70"/>
      <c r="Y165" s="70"/>
      <c r="Z165" s="70"/>
    </row>
    <row r="166" spans="1:26">
      <c r="A166" s="70" t="str">
        <f>IF('Item Setup Form'!$AF170="Yes",'Item Setup Form'!$E170,"")</f>
        <v/>
      </c>
      <c r="B166" s="70" t="str">
        <f>IF('Item Setup Form'!$AF170="Yes",'Item Setup Form'!D170,"")</f>
        <v/>
      </c>
      <c r="C166" s="81" t="str">
        <f>IF('Item Setup Form'!$AF170="Yes",'Item Setup Form'!L170,"")</f>
        <v/>
      </c>
      <c r="D166" s="81" t="str">
        <f>IF('Item Setup Form'!$AF170="Yes",'Item Setup Form'!M170,"")</f>
        <v/>
      </c>
      <c r="E166" s="70"/>
      <c r="F166" s="70" t="str">
        <f>IF('Item Setup Form'!$AF170="Yes",'Item Setup Form'!G170,"")</f>
        <v/>
      </c>
      <c r="G166" s="70" t="str">
        <f>IF('Item Setup Form'!$AF170="Yes",'Item Setup Form'!H170,"")</f>
        <v/>
      </c>
      <c r="H166" s="70" t="str">
        <f>IF('Item Setup Form'!$AF170="Yes",'Item Setup Form'!V170,"")</f>
        <v/>
      </c>
      <c r="I166" s="70"/>
      <c r="J166" s="70" t="str">
        <f>IF('Item Setup Form'!$AF170="Yes",'Item Setup Form'!U170,"")</f>
        <v/>
      </c>
      <c r="K166" s="70" t="str">
        <f>IF('Item Setup Form'!$AF170="Yes",'Item Setup Form'!V170,"")</f>
        <v/>
      </c>
      <c r="L166" s="70"/>
      <c r="M166" s="70" t="str">
        <f>IF('Item Setup Form'!$AF170="Yes",'Item Setup Form'!A170,"")</f>
        <v/>
      </c>
      <c r="N166" s="70"/>
      <c r="O166" s="70"/>
      <c r="P166" s="70"/>
      <c r="Q166" s="70"/>
      <c r="R166" s="70"/>
      <c r="S166" s="70"/>
      <c r="T166" s="70"/>
      <c r="U166" s="70"/>
      <c r="V166" s="70"/>
      <c r="W166" s="70"/>
      <c r="X166" s="70"/>
      <c r="Y166" s="70"/>
      <c r="Z166" s="70"/>
    </row>
    <row r="167" spans="1:26">
      <c r="A167" s="70" t="str">
        <f>IF('Item Setup Form'!$AF171="Yes",'Item Setup Form'!$E171,"")</f>
        <v/>
      </c>
      <c r="B167" s="70" t="str">
        <f>IF('Item Setup Form'!$AF171="Yes",'Item Setup Form'!D171,"")</f>
        <v/>
      </c>
      <c r="C167" s="81" t="str">
        <f>IF('Item Setup Form'!$AF171="Yes",'Item Setup Form'!L171,"")</f>
        <v/>
      </c>
      <c r="D167" s="81" t="str">
        <f>IF('Item Setup Form'!$AF171="Yes",'Item Setup Form'!M171,"")</f>
        <v/>
      </c>
      <c r="E167" s="70"/>
      <c r="F167" s="70" t="str">
        <f>IF('Item Setup Form'!$AF171="Yes",'Item Setup Form'!G171,"")</f>
        <v/>
      </c>
      <c r="G167" s="70" t="str">
        <f>IF('Item Setup Form'!$AF171="Yes",'Item Setup Form'!H171,"")</f>
        <v/>
      </c>
      <c r="H167" s="70" t="str">
        <f>IF('Item Setup Form'!$AF171="Yes",'Item Setup Form'!V171,"")</f>
        <v/>
      </c>
      <c r="I167" s="70"/>
      <c r="J167" s="70" t="str">
        <f>IF('Item Setup Form'!$AF171="Yes",'Item Setup Form'!U171,"")</f>
        <v/>
      </c>
      <c r="K167" s="70" t="str">
        <f>IF('Item Setup Form'!$AF171="Yes",'Item Setup Form'!V171,"")</f>
        <v/>
      </c>
      <c r="L167" s="70"/>
      <c r="M167" s="70" t="str">
        <f>IF('Item Setup Form'!$AF171="Yes",'Item Setup Form'!A171,"")</f>
        <v/>
      </c>
      <c r="N167" s="70"/>
      <c r="O167" s="70"/>
      <c r="P167" s="70"/>
      <c r="Q167" s="70"/>
      <c r="R167" s="70"/>
      <c r="S167" s="70"/>
      <c r="T167" s="70"/>
      <c r="U167" s="70"/>
      <c r="V167" s="70"/>
      <c r="W167" s="70"/>
      <c r="X167" s="70"/>
      <c r="Y167" s="70"/>
      <c r="Z167" s="70"/>
    </row>
    <row r="168" spans="1:26">
      <c r="A168" s="70" t="str">
        <f>IF('Item Setup Form'!$AF172="Yes",'Item Setup Form'!$E172,"")</f>
        <v/>
      </c>
      <c r="B168" s="70" t="str">
        <f>IF('Item Setup Form'!$AF172="Yes",'Item Setup Form'!D172,"")</f>
        <v/>
      </c>
      <c r="C168" s="81" t="str">
        <f>IF('Item Setup Form'!$AF172="Yes",'Item Setup Form'!L172,"")</f>
        <v/>
      </c>
      <c r="D168" s="81" t="str">
        <f>IF('Item Setup Form'!$AF172="Yes",'Item Setup Form'!M172,"")</f>
        <v/>
      </c>
      <c r="E168" s="70"/>
      <c r="F168" s="70" t="str">
        <f>IF('Item Setup Form'!$AF172="Yes",'Item Setup Form'!G172,"")</f>
        <v/>
      </c>
      <c r="G168" s="70" t="str">
        <f>IF('Item Setup Form'!$AF172="Yes",'Item Setup Form'!H172,"")</f>
        <v/>
      </c>
      <c r="H168" s="70" t="str">
        <f>IF('Item Setup Form'!$AF172="Yes",'Item Setup Form'!V172,"")</f>
        <v/>
      </c>
      <c r="I168" s="70"/>
      <c r="J168" s="70" t="str">
        <f>IF('Item Setup Form'!$AF172="Yes",'Item Setup Form'!U172,"")</f>
        <v/>
      </c>
      <c r="K168" s="70" t="str">
        <f>IF('Item Setup Form'!$AF172="Yes",'Item Setup Form'!V172,"")</f>
        <v/>
      </c>
      <c r="L168" s="70"/>
      <c r="M168" s="70" t="str">
        <f>IF('Item Setup Form'!$AF172="Yes",'Item Setup Form'!A172,"")</f>
        <v/>
      </c>
      <c r="N168" s="70"/>
      <c r="O168" s="70"/>
      <c r="P168" s="70"/>
      <c r="Q168" s="70"/>
      <c r="R168" s="70"/>
      <c r="S168" s="70"/>
      <c r="T168" s="70"/>
      <c r="U168" s="70"/>
      <c r="V168" s="70"/>
      <c r="W168" s="70"/>
      <c r="X168" s="70"/>
      <c r="Y168" s="70"/>
      <c r="Z168" s="70"/>
    </row>
    <row r="169" spans="1:26">
      <c r="A169" s="70" t="str">
        <f>IF('Item Setup Form'!$AF173="Yes",'Item Setup Form'!$E173,"")</f>
        <v/>
      </c>
      <c r="B169" s="70" t="str">
        <f>IF('Item Setup Form'!$AF173="Yes",'Item Setup Form'!D173,"")</f>
        <v/>
      </c>
      <c r="C169" s="81" t="str">
        <f>IF('Item Setup Form'!$AF173="Yes",'Item Setup Form'!L173,"")</f>
        <v/>
      </c>
      <c r="D169" s="81" t="str">
        <f>IF('Item Setup Form'!$AF173="Yes",'Item Setup Form'!M173,"")</f>
        <v/>
      </c>
      <c r="E169" s="70"/>
      <c r="F169" s="70" t="str">
        <f>IF('Item Setup Form'!$AF173="Yes",'Item Setup Form'!G173,"")</f>
        <v/>
      </c>
      <c r="G169" s="70" t="str">
        <f>IF('Item Setup Form'!$AF173="Yes",'Item Setup Form'!H173,"")</f>
        <v/>
      </c>
      <c r="H169" s="70" t="str">
        <f>IF('Item Setup Form'!$AF173="Yes",'Item Setup Form'!V173,"")</f>
        <v/>
      </c>
      <c r="I169" s="70"/>
      <c r="J169" s="70" t="str">
        <f>IF('Item Setup Form'!$AF173="Yes",'Item Setup Form'!U173,"")</f>
        <v/>
      </c>
      <c r="K169" s="70" t="str">
        <f>IF('Item Setup Form'!$AF173="Yes",'Item Setup Form'!V173,"")</f>
        <v/>
      </c>
      <c r="L169" s="70"/>
      <c r="M169" s="70" t="str">
        <f>IF('Item Setup Form'!$AF173="Yes",'Item Setup Form'!A173,"")</f>
        <v/>
      </c>
      <c r="N169" s="70"/>
      <c r="O169" s="70"/>
      <c r="P169" s="70"/>
      <c r="Q169" s="70"/>
      <c r="R169" s="70"/>
      <c r="S169" s="70"/>
      <c r="T169" s="70"/>
      <c r="U169" s="70"/>
      <c r="V169" s="70"/>
      <c r="W169" s="70"/>
      <c r="X169" s="70"/>
      <c r="Y169" s="70"/>
      <c r="Z169" s="70"/>
    </row>
    <row r="170" spans="1:26">
      <c r="A170" s="70" t="str">
        <f>IF('Item Setup Form'!$AF174="Yes",'Item Setup Form'!$E174,"")</f>
        <v/>
      </c>
      <c r="B170" s="70" t="str">
        <f>IF('Item Setup Form'!$AF174="Yes",'Item Setup Form'!D174,"")</f>
        <v/>
      </c>
      <c r="C170" s="81" t="str">
        <f>IF('Item Setup Form'!$AF174="Yes",'Item Setup Form'!L174,"")</f>
        <v/>
      </c>
      <c r="D170" s="81" t="str">
        <f>IF('Item Setup Form'!$AF174="Yes",'Item Setup Form'!M174,"")</f>
        <v/>
      </c>
      <c r="E170" s="70"/>
      <c r="F170" s="70" t="str">
        <f>IF('Item Setup Form'!$AF174="Yes",'Item Setup Form'!G174,"")</f>
        <v/>
      </c>
      <c r="G170" s="70" t="str">
        <f>IF('Item Setup Form'!$AF174="Yes",'Item Setup Form'!H174,"")</f>
        <v/>
      </c>
      <c r="H170" s="70" t="str">
        <f>IF('Item Setup Form'!$AF174="Yes",'Item Setup Form'!V174,"")</f>
        <v/>
      </c>
      <c r="I170" s="70"/>
      <c r="J170" s="70" t="str">
        <f>IF('Item Setup Form'!$AF174="Yes",'Item Setup Form'!U174,"")</f>
        <v/>
      </c>
      <c r="K170" s="70" t="str">
        <f>IF('Item Setup Form'!$AF174="Yes",'Item Setup Form'!V174,"")</f>
        <v/>
      </c>
      <c r="L170" s="70"/>
      <c r="M170" s="70" t="str">
        <f>IF('Item Setup Form'!$AF174="Yes",'Item Setup Form'!A174,"")</f>
        <v/>
      </c>
      <c r="N170" s="70"/>
      <c r="O170" s="70"/>
      <c r="P170" s="70"/>
      <c r="Q170" s="70"/>
      <c r="R170" s="70"/>
      <c r="S170" s="70"/>
      <c r="T170" s="70"/>
      <c r="U170" s="70"/>
      <c r="V170" s="70"/>
      <c r="W170" s="70"/>
      <c r="X170" s="70"/>
      <c r="Y170" s="70"/>
      <c r="Z170" s="70"/>
    </row>
    <row r="171" spans="1:26">
      <c r="A171" s="70" t="str">
        <f>IF('Item Setup Form'!$AF175="Yes",'Item Setup Form'!$E175,"")</f>
        <v/>
      </c>
      <c r="B171" s="70" t="str">
        <f>IF('Item Setup Form'!$AF175="Yes",'Item Setup Form'!D175,"")</f>
        <v/>
      </c>
      <c r="C171" s="81" t="str">
        <f>IF('Item Setup Form'!$AF175="Yes",'Item Setup Form'!L175,"")</f>
        <v/>
      </c>
      <c r="D171" s="81" t="str">
        <f>IF('Item Setup Form'!$AF175="Yes",'Item Setup Form'!M175,"")</f>
        <v/>
      </c>
      <c r="E171" s="70"/>
      <c r="F171" s="70" t="str">
        <f>IF('Item Setup Form'!$AF175="Yes",'Item Setup Form'!G175,"")</f>
        <v/>
      </c>
      <c r="G171" s="70" t="str">
        <f>IF('Item Setup Form'!$AF175="Yes",'Item Setup Form'!H175,"")</f>
        <v/>
      </c>
      <c r="H171" s="70" t="str">
        <f>IF('Item Setup Form'!$AF175="Yes",'Item Setup Form'!V175,"")</f>
        <v/>
      </c>
      <c r="I171" s="70"/>
      <c r="J171" s="70" t="str">
        <f>IF('Item Setup Form'!$AF175="Yes",'Item Setup Form'!U175,"")</f>
        <v/>
      </c>
      <c r="K171" s="70" t="str">
        <f>IF('Item Setup Form'!$AF175="Yes",'Item Setup Form'!V175,"")</f>
        <v/>
      </c>
      <c r="L171" s="70"/>
      <c r="M171" s="70" t="str">
        <f>IF('Item Setup Form'!$AF175="Yes",'Item Setup Form'!A175,"")</f>
        <v/>
      </c>
      <c r="N171" s="70"/>
      <c r="O171" s="70"/>
      <c r="P171" s="70"/>
      <c r="Q171" s="70"/>
      <c r="R171" s="70"/>
      <c r="S171" s="70"/>
      <c r="T171" s="70"/>
      <c r="U171" s="70"/>
      <c r="V171" s="70"/>
      <c r="W171" s="70"/>
      <c r="X171" s="70"/>
      <c r="Y171" s="70"/>
      <c r="Z171" s="70"/>
    </row>
    <row r="172" spans="1:26">
      <c r="A172" s="70" t="str">
        <f>IF('Item Setup Form'!$AF176="Yes",'Item Setup Form'!$E176,"")</f>
        <v/>
      </c>
      <c r="B172" s="70" t="str">
        <f>IF('Item Setup Form'!$AF176="Yes",'Item Setup Form'!D176,"")</f>
        <v/>
      </c>
      <c r="C172" s="81" t="str">
        <f>IF('Item Setup Form'!$AF176="Yes",'Item Setup Form'!L176,"")</f>
        <v/>
      </c>
      <c r="D172" s="81" t="str">
        <f>IF('Item Setup Form'!$AF176="Yes",'Item Setup Form'!M176,"")</f>
        <v/>
      </c>
      <c r="E172" s="70"/>
      <c r="F172" s="70" t="str">
        <f>IF('Item Setup Form'!$AF176="Yes",'Item Setup Form'!G176,"")</f>
        <v/>
      </c>
      <c r="G172" s="70" t="str">
        <f>IF('Item Setup Form'!$AF176="Yes",'Item Setup Form'!H176,"")</f>
        <v/>
      </c>
      <c r="H172" s="70" t="str">
        <f>IF('Item Setup Form'!$AF176="Yes",'Item Setup Form'!V176,"")</f>
        <v/>
      </c>
      <c r="I172" s="70"/>
      <c r="J172" s="70" t="str">
        <f>IF('Item Setup Form'!$AF176="Yes",'Item Setup Form'!U176,"")</f>
        <v/>
      </c>
      <c r="K172" s="70" t="str">
        <f>IF('Item Setup Form'!$AF176="Yes",'Item Setup Form'!V176,"")</f>
        <v/>
      </c>
      <c r="L172" s="70"/>
      <c r="M172" s="70" t="str">
        <f>IF('Item Setup Form'!$AF176="Yes",'Item Setup Form'!A176,"")</f>
        <v/>
      </c>
      <c r="N172" s="70"/>
      <c r="O172" s="70"/>
      <c r="P172" s="70"/>
      <c r="Q172" s="70"/>
      <c r="R172" s="70"/>
      <c r="S172" s="70"/>
      <c r="T172" s="70"/>
      <c r="U172" s="70"/>
      <c r="V172" s="70"/>
      <c r="W172" s="70"/>
      <c r="X172" s="70"/>
      <c r="Y172" s="70"/>
      <c r="Z172" s="70"/>
    </row>
    <row r="173" spans="1:26">
      <c r="A173" s="70" t="str">
        <f>IF('Item Setup Form'!$AF177="Yes",'Item Setup Form'!$E177,"")</f>
        <v/>
      </c>
      <c r="B173" s="70" t="str">
        <f>IF('Item Setup Form'!$AF177="Yes",'Item Setup Form'!D177,"")</f>
        <v/>
      </c>
      <c r="C173" s="81" t="str">
        <f>IF('Item Setup Form'!$AF177="Yes",'Item Setup Form'!L177,"")</f>
        <v/>
      </c>
      <c r="D173" s="81" t="str">
        <f>IF('Item Setup Form'!$AF177="Yes",'Item Setup Form'!M177,"")</f>
        <v/>
      </c>
      <c r="E173" s="70"/>
      <c r="F173" s="70" t="str">
        <f>IF('Item Setup Form'!$AF177="Yes",'Item Setup Form'!G177,"")</f>
        <v/>
      </c>
      <c r="G173" s="70" t="str">
        <f>IF('Item Setup Form'!$AF177="Yes",'Item Setup Form'!H177,"")</f>
        <v/>
      </c>
      <c r="H173" s="70" t="str">
        <f>IF('Item Setup Form'!$AF177="Yes",'Item Setup Form'!V177,"")</f>
        <v/>
      </c>
      <c r="I173" s="70"/>
      <c r="J173" s="70" t="str">
        <f>IF('Item Setup Form'!$AF177="Yes",'Item Setup Form'!U177,"")</f>
        <v/>
      </c>
      <c r="K173" s="70" t="str">
        <f>IF('Item Setup Form'!$AF177="Yes",'Item Setup Form'!V177,"")</f>
        <v/>
      </c>
      <c r="L173" s="70"/>
      <c r="M173" s="70" t="str">
        <f>IF('Item Setup Form'!$AF177="Yes",'Item Setup Form'!A177,"")</f>
        <v/>
      </c>
      <c r="N173" s="70"/>
      <c r="O173" s="70"/>
      <c r="P173" s="70"/>
      <c r="Q173" s="70"/>
      <c r="R173" s="70"/>
      <c r="S173" s="70"/>
      <c r="T173" s="70"/>
      <c r="U173" s="70"/>
      <c r="V173" s="70"/>
      <c r="W173" s="70"/>
      <c r="X173" s="70"/>
      <c r="Y173" s="70"/>
      <c r="Z173" s="70"/>
    </row>
    <row r="174" spans="1:26">
      <c r="A174" s="70" t="str">
        <f>IF('Item Setup Form'!$AF178="Yes",'Item Setup Form'!$E178,"")</f>
        <v/>
      </c>
      <c r="B174" s="70" t="str">
        <f>IF('Item Setup Form'!$AF178="Yes",'Item Setup Form'!D178,"")</f>
        <v/>
      </c>
      <c r="C174" s="81" t="str">
        <f>IF('Item Setup Form'!$AF178="Yes",'Item Setup Form'!L178,"")</f>
        <v/>
      </c>
      <c r="D174" s="81" t="str">
        <f>IF('Item Setup Form'!$AF178="Yes",'Item Setup Form'!M178,"")</f>
        <v/>
      </c>
      <c r="E174" s="70"/>
      <c r="F174" s="70" t="str">
        <f>IF('Item Setup Form'!$AF178="Yes",'Item Setup Form'!G178,"")</f>
        <v/>
      </c>
      <c r="G174" s="70" t="str">
        <f>IF('Item Setup Form'!$AF178="Yes",'Item Setup Form'!H178,"")</f>
        <v/>
      </c>
      <c r="H174" s="70" t="str">
        <f>IF('Item Setup Form'!$AF178="Yes",'Item Setup Form'!V178,"")</f>
        <v/>
      </c>
      <c r="I174" s="70"/>
      <c r="J174" s="70" t="str">
        <f>IF('Item Setup Form'!$AF178="Yes",'Item Setup Form'!U178,"")</f>
        <v/>
      </c>
      <c r="K174" s="70" t="str">
        <f>IF('Item Setup Form'!$AF178="Yes",'Item Setup Form'!V178,"")</f>
        <v/>
      </c>
      <c r="L174" s="70"/>
      <c r="M174" s="70" t="str">
        <f>IF('Item Setup Form'!$AF178="Yes",'Item Setup Form'!A178,"")</f>
        <v/>
      </c>
      <c r="N174" s="70"/>
      <c r="O174" s="70"/>
      <c r="P174" s="70"/>
      <c r="Q174" s="70"/>
      <c r="R174" s="70"/>
      <c r="S174" s="70"/>
      <c r="T174" s="70"/>
      <c r="U174" s="70"/>
      <c r="V174" s="70"/>
      <c r="W174" s="70"/>
      <c r="X174" s="70"/>
      <c r="Y174" s="70"/>
      <c r="Z174" s="70"/>
    </row>
    <row r="175" spans="1:26">
      <c r="A175" s="70" t="str">
        <f>IF('Item Setup Form'!$AF179="Yes",'Item Setup Form'!$E179,"")</f>
        <v/>
      </c>
      <c r="B175" s="70" t="str">
        <f>IF('Item Setup Form'!$AF179="Yes",'Item Setup Form'!D179,"")</f>
        <v/>
      </c>
      <c r="C175" s="81" t="str">
        <f>IF('Item Setup Form'!$AF179="Yes",'Item Setup Form'!L179,"")</f>
        <v/>
      </c>
      <c r="D175" s="81" t="str">
        <f>IF('Item Setup Form'!$AF179="Yes",'Item Setup Form'!M179,"")</f>
        <v/>
      </c>
      <c r="E175" s="70"/>
      <c r="F175" s="70" t="str">
        <f>IF('Item Setup Form'!$AF179="Yes",'Item Setup Form'!G179,"")</f>
        <v/>
      </c>
      <c r="G175" s="70" t="str">
        <f>IF('Item Setup Form'!$AF179="Yes",'Item Setup Form'!H179,"")</f>
        <v/>
      </c>
      <c r="H175" s="70" t="str">
        <f>IF('Item Setup Form'!$AF179="Yes",'Item Setup Form'!V179,"")</f>
        <v/>
      </c>
      <c r="I175" s="70"/>
      <c r="J175" s="70" t="str">
        <f>IF('Item Setup Form'!$AF179="Yes",'Item Setup Form'!U179,"")</f>
        <v/>
      </c>
      <c r="K175" s="70" t="str">
        <f>IF('Item Setup Form'!$AF179="Yes",'Item Setup Form'!V179,"")</f>
        <v/>
      </c>
      <c r="L175" s="70"/>
      <c r="M175" s="70" t="str">
        <f>IF('Item Setup Form'!$AF179="Yes",'Item Setup Form'!A179,"")</f>
        <v/>
      </c>
      <c r="N175" s="70"/>
      <c r="O175" s="70"/>
      <c r="P175" s="70"/>
      <c r="Q175" s="70"/>
      <c r="R175" s="70"/>
      <c r="S175" s="70"/>
      <c r="T175" s="70"/>
      <c r="U175" s="70"/>
      <c r="V175" s="70"/>
      <c r="W175" s="70"/>
      <c r="X175" s="70"/>
      <c r="Y175" s="70"/>
      <c r="Z175" s="70"/>
    </row>
    <row r="176" spans="1:26">
      <c r="A176" s="70" t="str">
        <f>IF('Item Setup Form'!$AF180="Yes",'Item Setup Form'!$E180,"")</f>
        <v/>
      </c>
      <c r="B176" s="70" t="str">
        <f>IF('Item Setup Form'!$AF180="Yes",'Item Setup Form'!D180,"")</f>
        <v/>
      </c>
      <c r="C176" s="81" t="str">
        <f>IF('Item Setup Form'!$AF180="Yes",'Item Setup Form'!L180,"")</f>
        <v/>
      </c>
      <c r="D176" s="81" t="str">
        <f>IF('Item Setup Form'!$AF180="Yes",'Item Setup Form'!M180,"")</f>
        <v/>
      </c>
      <c r="E176" s="70"/>
      <c r="F176" s="70" t="str">
        <f>IF('Item Setup Form'!$AF180="Yes",'Item Setup Form'!G180,"")</f>
        <v/>
      </c>
      <c r="G176" s="70" t="str">
        <f>IF('Item Setup Form'!$AF180="Yes",'Item Setup Form'!H180,"")</f>
        <v/>
      </c>
      <c r="H176" s="70" t="str">
        <f>IF('Item Setup Form'!$AF180="Yes",'Item Setup Form'!V180,"")</f>
        <v/>
      </c>
      <c r="I176" s="70"/>
      <c r="J176" s="70" t="str">
        <f>IF('Item Setup Form'!$AF180="Yes",'Item Setup Form'!U180,"")</f>
        <v/>
      </c>
      <c r="K176" s="70" t="str">
        <f>IF('Item Setup Form'!$AF180="Yes",'Item Setup Form'!V180,"")</f>
        <v/>
      </c>
      <c r="L176" s="70"/>
      <c r="M176" s="70" t="str">
        <f>IF('Item Setup Form'!$AF180="Yes",'Item Setup Form'!A180,"")</f>
        <v/>
      </c>
      <c r="N176" s="70"/>
      <c r="O176" s="70"/>
      <c r="P176" s="70"/>
      <c r="Q176" s="70"/>
      <c r="R176" s="70"/>
      <c r="S176" s="70"/>
      <c r="T176" s="70"/>
      <c r="U176" s="70"/>
      <c r="V176" s="70"/>
      <c r="W176" s="70"/>
      <c r="X176" s="70"/>
      <c r="Y176" s="70"/>
      <c r="Z176" s="70"/>
    </row>
    <row r="177" spans="1:26">
      <c r="A177" s="70" t="str">
        <f>IF('Item Setup Form'!$AF181="Yes",'Item Setup Form'!$E181,"")</f>
        <v/>
      </c>
      <c r="B177" s="70" t="str">
        <f>IF('Item Setup Form'!$AF181="Yes",'Item Setup Form'!D181,"")</f>
        <v/>
      </c>
      <c r="C177" s="81" t="str">
        <f>IF('Item Setup Form'!$AF181="Yes",'Item Setup Form'!L181,"")</f>
        <v/>
      </c>
      <c r="D177" s="81" t="str">
        <f>IF('Item Setup Form'!$AF181="Yes",'Item Setup Form'!M181,"")</f>
        <v/>
      </c>
      <c r="E177" s="70"/>
      <c r="F177" s="70" t="str">
        <f>IF('Item Setup Form'!$AF181="Yes",'Item Setup Form'!G181,"")</f>
        <v/>
      </c>
      <c r="G177" s="70" t="str">
        <f>IF('Item Setup Form'!$AF181="Yes",'Item Setup Form'!H181,"")</f>
        <v/>
      </c>
      <c r="H177" s="70" t="str">
        <f>IF('Item Setup Form'!$AF181="Yes",'Item Setup Form'!V181,"")</f>
        <v/>
      </c>
      <c r="I177" s="70"/>
      <c r="J177" s="70" t="str">
        <f>IF('Item Setup Form'!$AF181="Yes",'Item Setup Form'!U181,"")</f>
        <v/>
      </c>
      <c r="K177" s="70" t="str">
        <f>IF('Item Setup Form'!$AF181="Yes",'Item Setup Form'!V181,"")</f>
        <v/>
      </c>
      <c r="L177" s="70"/>
      <c r="M177" s="70" t="str">
        <f>IF('Item Setup Form'!$AF181="Yes",'Item Setup Form'!A181,"")</f>
        <v/>
      </c>
      <c r="N177" s="70"/>
      <c r="O177" s="70"/>
      <c r="P177" s="70"/>
      <c r="Q177" s="70"/>
      <c r="R177" s="70"/>
      <c r="S177" s="70"/>
      <c r="T177" s="70"/>
      <c r="U177" s="70"/>
      <c r="V177" s="70"/>
      <c r="W177" s="70"/>
      <c r="X177" s="70"/>
      <c r="Y177" s="70"/>
      <c r="Z177" s="70"/>
    </row>
    <row r="178" spans="1:26">
      <c r="A178" s="70" t="str">
        <f>IF('Item Setup Form'!$AF182="Yes",'Item Setup Form'!$E182,"")</f>
        <v/>
      </c>
      <c r="B178" s="70" t="str">
        <f>IF('Item Setup Form'!$AF182="Yes",'Item Setup Form'!D182,"")</f>
        <v/>
      </c>
      <c r="C178" s="81" t="str">
        <f>IF('Item Setup Form'!$AF182="Yes",'Item Setup Form'!L182,"")</f>
        <v/>
      </c>
      <c r="D178" s="81" t="str">
        <f>IF('Item Setup Form'!$AF182="Yes",'Item Setup Form'!M182,"")</f>
        <v/>
      </c>
      <c r="E178" s="70"/>
      <c r="F178" s="70" t="str">
        <f>IF('Item Setup Form'!$AF182="Yes",'Item Setup Form'!G182,"")</f>
        <v/>
      </c>
      <c r="G178" s="70" t="str">
        <f>IF('Item Setup Form'!$AF182="Yes",'Item Setup Form'!H182,"")</f>
        <v/>
      </c>
      <c r="H178" s="70" t="str">
        <f>IF('Item Setup Form'!$AF182="Yes",'Item Setup Form'!V182,"")</f>
        <v/>
      </c>
      <c r="I178" s="70"/>
      <c r="J178" s="70" t="str">
        <f>IF('Item Setup Form'!$AF182="Yes",'Item Setup Form'!U182,"")</f>
        <v/>
      </c>
      <c r="K178" s="70" t="str">
        <f>IF('Item Setup Form'!$AF182="Yes",'Item Setup Form'!V182,"")</f>
        <v/>
      </c>
      <c r="L178" s="70"/>
      <c r="M178" s="70" t="str">
        <f>IF('Item Setup Form'!$AF182="Yes",'Item Setup Form'!A182,"")</f>
        <v/>
      </c>
      <c r="N178" s="70"/>
      <c r="O178" s="70"/>
      <c r="P178" s="70"/>
      <c r="Q178" s="70"/>
      <c r="R178" s="70"/>
      <c r="S178" s="70"/>
      <c r="T178" s="70"/>
      <c r="U178" s="70"/>
      <c r="V178" s="70"/>
      <c r="W178" s="70"/>
      <c r="X178" s="70"/>
      <c r="Y178" s="70"/>
      <c r="Z178" s="70"/>
    </row>
    <row r="179" spans="1:26">
      <c r="A179" s="70" t="str">
        <f>IF('Item Setup Form'!$AF183="Yes",'Item Setup Form'!$E183,"")</f>
        <v/>
      </c>
      <c r="B179" s="70" t="str">
        <f>IF('Item Setup Form'!$AF183="Yes",'Item Setup Form'!D183,"")</f>
        <v/>
      </c>
      <c r="C179" s="81" t="str">
        <f>IF('Item Setup Form'!$AF183="Yes",'Item Setup Form'!L183,"")</f>
        <v/>
      </c>
      <c r="D179" s="81" t="str">
        <f>IF('Item Setup Form'!$AF183="Yes",'Item Setup Form'!M183,"")</f>
        <v/>
      </c>
      <c r="E179" s="70"/>
      <c r="F179" s="70" t="str">
        <f>IF('Item Setup Form'!$AF183="Yes",'Item Setup Form'!G183,"")</f>
        <v/>
      </c>
      <c r="G179" s="70" t="str">
        <f>IF('Item Setup Form'!$AF183="Yes",'Item Setup Form'!H183,"")</f>
        <v/>
      </c>
      <c r="H179" s="70" t="str">
        <f>IF('Item Setup Form'!$AF183="Yes",'Item Setup Form'!V183,"")</f>
        <v/>
      </c>
      <c r="I179" s="70"/>
      <c r="J179" s="70" t="str">
        <f>IF('Item Setup Form'!$AF183="Yes",'Item Setup Form'!U183,"")</f>
        <v/>
      </c>
      <c r="K179" s="70" t="str">
        <f>IF('Item Setup Form'!$AF183="Yes",'Item Setup Form'!V183,"")</f>
        <v/>
      </c>
      <c r="L179" s="70"/>
      <c r="M179" s="70" t="str">
        <f>IF('Item Setup Form'!$AF183="Yes",'Item Setup Form'!A183,"")</f>
        <v/>
      </c>
      <c r="N179" s="70"/>
      <c r="O179" s="70"/>
      <c r="P179" s="70"/>
      <c r="Q179" s="70"/>
      <c r="R179" s="70"/>
      <c r="S179" s="70"/>
      <c r="T179" s="70"/>
      <c r="U179" s="70"/>
      <c r="V179" s="70"/>
      <c r="W179" s="70"/>
      <c r="X179" s="70"/>
      <c r="Y179" s="70"/>
      <c r="Z179" s="70"/>
    </row>
    <row r="180" spans="1:26">
      <c r="A180" s="70" t="str">
        <f>IF('Item Setup Form'!$AF184="Yes",'Item Setup Form'!$E184,"")</f>
        <v/>
      </c>
      <c r="B180" s="70" t="str">
        <f>IF('Item Setup Form'!$AF184="Yes",'Item Setup Form'!D184,"")</f>
        <v/>
      </c>
      <c r="C180" s="81" t="str">
        <f>IF('Item Setup Form'!$AF184="Yes",'Item Setup Form'!L184,"")</f>
        <v/>
      </c>
      <c r="D180" s="81" t="str">
        <f>IF('Item Setup Form'!$AF184="Yes",'Item Setup Form'!M184,"")</f>
        <v/>
      </c>
      <c r="E180" s="70"/>
      <c r="F180" s="70" t="str">
        <f>IF('Item Setup Form'!$AF184="Yes",'Item Setup Form'!G184,"")</f>
        <v/>
      </c>
      <c r="G180" s="70" t="str">
        <f>IF('Item Setup Form'!$AF184="Yes",'Item Setup Form'!H184,"")</f>
        <v/>
      </c>
      <c r="H180" s="70" t="str">
        <f>IF('Item Setup Form'!$AF184="Yes",'Item Setup Form'!V184,"")</f>
        <v/>
      </c>
      <c r="I180" s="70"/>
      <c r="J180" s="70" t="str">
        <f>IF('Item Setup Form'!$AF184="Yes",'Item Setup Form'!U184,"")</f>
        <v/>
      </c>
      <c r="K180" s="70" t="str">
        <f>IF('Item Setup Form'!$AF184="Yes",'Item Setup Form'!V184,"")</f>
        <v/>
      </c>
      <c r="L180" s="70"/>
      <c r="M180" s="70" t="str">
        <f>IF('Item Setup Form'!$AF184="Yes",'Item Setup Form'!A184,"")</f>
        <v/>
      </c>
      <c r="N180" s="70"/>
      <c r="O180" s="70"/>
      <c r="P180" s="70"/>
      <c r="Q180" s="70"/>
      <c r="R180" s="70"/>
      <c r="S180" s="70"/>
      <c r="T180" s="70"/>
      <c r="U180" s="70"/>
      <c r="V180" s="70"/>
      <c r="W180" s="70"/>
      <c r="X180" s="70"/>
      <c r="Y180" s="70"/>
      <c r="Z180" s="70"/>
    </row>
    <row r="181" spans="1:26">
      <c r="A181" s="70" t="str">
        <f>IF('Item Setup Form'!$AF185="Yes",'Item Setup Form'!$E185,"")</f>
        <v/>
      </c>
      <c r="B181" s="70" t="str">
        <f>IF('Item Setup Form'!$AF185="Yes",'Item Setup Form'!D185,"")</f>
        <v/>
      </c>
      <c r="C181" s="81" t="str">
        <f>IF('Item Setup Form'!$AF185="Yes",'Item Setup Form'!L185,"")</f>
        <v/>
      </c>
      <c r="D181" s="81" t="str">
        <f>IF('Item Setup Form'!$AF185="Yes",'Item Setup Form'!M185,"")</f>
        <v/>
      </c>
      <c r="E181" s="70"/>
      <c r="F181" s="70" t="str">
        <f>IF('Item Setup Form'!$AF185="Yes",'Item Setup Form'!G185,"")</f>
        <v/>
      </c>
      <c r="G181" s="70" t="str">
        <f>IF('Item Setup Form'!$AF185="Yes",'Item Setup Form'!H185,"")</f>
        <v/>
      </c>
      <c r="H181" s="70" t="str">
        <f>IF('Item Setup Form'!$AF185="Yes",'Item Setup Form'!V185,"")</f>
        <v/>
      </c>
      <c r="I181" s="70"/>
      <c r="J181" s="70" t="str">
        <f>IF('Item Setup Form'!$AF185="Yes",'Item Setup Form'!U185,"")</f>
        <v/>
      </c>
      <c r="K181" s="70" t="str">
        <f>IF('Item Setup Form'!$AF185="Yes",'Item Setup Form'!V185,"")</f>
        <v/>
      </c>
      <c r="L181" s="70"/>
      <c r="M181" s="70" t="str">
        <f>IF('Item Setup Form'!$AF185="Yes",'Item Setup Form'!A185,"")</f>
        <v/>
      </c>
      <c r="N181" s="70"/>
      <c r="O181" s="70"/>
      <c r="P181" s="70"/>
      <c r="Q181" s="70"/>
      <c r="R181" s="70"/>
      <c r="S181" s="70"/>
      <c r="T181" s="70"/>
      <c r="U181" s="70"/>
      <c r="V181" s="70"/>
      <c r="W181" s="70"/>
      <c r="X181" s="70"/>
      <c r="Y181" s="70"/>
      <c r="Z181" s="70"/>
    </row>
    <row r="182" spans="1:26">
      <c r="A182" s="70" t="str">
        <f>IF('Item Setup Form'!$AF186="Yes",'Item Setup Form'!$E186,"")</f>
        <v/>
      </c>
      <c r="B182" s="70" t="str">
        <f>IF('Item Setup Form'!$AF186="Yes",'Item Setup Form'!D186,"")</f>
        <v/>
      </c>
      <c r="C182" s="81" t="str">
        <f>IF('Item Setup Form'!$AF186="Yes",'Item Setup Form'!L186,"")</f>
        <v/>
      </c>
      <c r="D182" s="81" t="str">
        <f>IF('Item Setup Form'!$AF186="Yes",'Item Setup Form'!M186,"")</f>
        <v/>
      </c>
      <c r="E182" s="70"/>
      <c r="F182" s="70" t="str">
        <f>IF('Item Setup Form'!$AF186="Yes",'Item Setup Form'!G186,"")</f>
        <v/>
      </c>
      <c r="G182" s="70" t="str">
        <f>IF('Item Setup Form'!$AF186="Yes",'Item Setup Form'!H186,"")</f>
        <v/>
      </c>
      <c r="H182" s="70" t="str">
        <f>IF('Item Setup Form'!$AF186="Yes",'Item Setup Form'!V186,"")</f>
        <v/>
      </c>
      <c r="I182" s="70"/>
      <c r="J182" s="70" t="str">
        <f>IF('Item Setup Form'!$AF186="Yes",'Item Setup Form'!U186,"")</f>
        <v/>
      </c>
      <c r="K182" s="70" t="str">
        <f>IF('Item Setup Form'!$AF186="Yes",'Item Setup Form'!V186,"")</f>
        <v/>
      </c>
      <c r="L182" s="70"/>
      <c r="M182" s="70" t="str">
        <f>IF('Item Setup Form'!$AF186="Yes",'Item Setup Form'!A186,"")</f>
        <v/>
      </c>
      <c r="N182" s="70"/>
      <c r="O182" s="70"/>
      <c r="P182" s="70"/>
      <c r="Q182" s="70"/>
      <c r="R182" s="70"/>
      <c r="S182" s="70"/>
      <c r="T182" s="70"/>
      <c r="U182" s="70"/>
      <c r="V182" s="70"/>
      <c r="W182" s="70"/>
      <c r="X182" s="70"/>
      <c r="Y182" s="70"/>
      <c r="Z182" s="70"/>
    </row>
    <row r="183" spans="1:26">
      <c r="A183" s="70" t="str">
        <f>IF('Item Setup Form'!$AF187="Yes",'Item Setup Form'!$E187,"")</f>
        <v/>
      </c>
      <c r="B183" s="70" t="str">
        <f>IF('Item Setup Form'!$AF187="Yes",'Item Setup Form'!D187,"")</f>
        <v/>
      </c>
      <c r="C183" s="81" t="str">
        <f>IF('Item Setup Form'!$AF187="Yes",'Item Setup Form'!L187,"")</f>
        <v/>
      </c>
      <c r="D183" s="81" t="str">
        <f>IF('Item Setup Form'!$AF187="Yes",'Item Setup Form'!M187,"")</f>
        <v/>
      </c>
      <c r="E183" s="70"/>
      <c r="F183" s="70" t="str">
        <f>IF('Item Setup Form'!$AF187="Yes",'Item Setup Form'!G187,"")</f>
        <v/>
      </c>
      <c r="G183" s="70" t="str">
        <f>IF('Item Setup Form'!$AF187="Yes",'Item Setup Form'!H187,"")</f>
        <v/>
      </c>
      <c r="H183" s="70" t="str">
        <f>IF('Item Setup Form'!$AF187="Yes",'Item Setup Form'!V187,"")</f>
        <v/>
      </c>
      <c r="I183" s="70"/>
      <c r="J183" s="70" t="str">
        <f>IF('Item Setup Form'!$AF187="Yes",'Item Setup Form'!U187,"")</f>
        <v/>
      </c>
      <c r="K183" s="70" t="str">
        <f>IF('Item Setup Form'!$AF187="Yes",'Item Setup Form'!V187,"")</f>
        <v/>
      </c>
      <c r="L183" s="70"/>
      <c r="M183" s="70" t="str">
        <f>IF('Item Setup Form'!$AF187="Yes",'Item Setup Form'!A187,"")</f>
        <v/>
      </c>
      <c r="N183" s="70"/>
      <c r="O183" s="70"/>
      <c r="P183" s="70"/>
      <c r="Q183" s="70"/>
      <c r="R183" s="70"/>
      <c r="S183" s="70"/>
      <c r="T183" s="70"/>
      <c r="U183" s="70"/>
      <c r="V183" s="70"/>
      <c r="W183" s="70"/>
      <c r="X183" s="70"/>
      <c r="Y183" s="70"/>
      <c r="Z183" s="70"/>
    </row>
    <row r="184" spans="1:26">
      <c r="A184" s="70" t="str">
        <f>IF('Item Setup Form'!$AF188="Yes",'Item Setup Form'!$E188,"")</f>
        <v/>
      </c>
      <c r="B184" s="70" t="str">
        <f>IF('Item Setup Form'!$AF188="Yes",'Item Setup Form'!D188,"")</f>
        <v/>
      </c>
      <c r="C184" s="81" t="str">
        <f>IF('Item Setup Form'!$AF188="Yes",'Item Setup Form'!L188,"")</f>
        <v/>
      </c>
      <c r="D184" s="81" t="str">
        <f>IF('Item Setup Form'!$AF188="Yes",'Item Setup Form'!M188,"")</f>
        <v/>
      </c>
      <c r="E184" s="70"/>
      <c r="F184" s="70" t="str">
        <f>IF('Item Setup Form'!$AF188="Yes",'Item Setup Form'!G188,"")</f>
        <v/>
      </c>
      <c r="G184" s="70" t="str">
        <f>IF('Item Setup Form'!$AF188="Yes",'Item Setup Form'!H188,"")</f>
        <v/>
      </c>
      <c r="H184" s="70" t="str">
        <f>IF('Item Setup Form'!$AF188="Yes",'Item Setup Form'!V188,"")</f>
        <v/>
      </c>
      <c r="I184" s="70"/>
      <c r="J184" s="70" t="str">
        <f>IF('Item Setup Form'!$AF188="Yes",'Item Setup Form'!U188,"")</f>
        <v/>
      </c>
      <c r="K184" s="70" t="str">
        <f>IF('Item Setup Form'!$AF188="Yes",'Item Setup Form'!V188,"")</f>
        <v/>
      </c>
      <c r="L184" s="70"/>
      <c r="M184" s="70" t="str">
        <f>IF('Item Setup Form'!$AF188="Yes",'Item Setup Form'!A188,"")</f>
        <v/>
      </c>
      <c r="N184" s="70"/>
      <c r="O184" s="70"/>
      <c r="P184" s="70"/>
      <c r="Q184" s="70"/>
      <c r="R184" s="70"/>
      <c r="S184" s="70"/>
      <c r="T184" s="70"/>
      <c r="U184" s="70"/>
      <c r="V184" s="70"/>
      <c r="W184" s="70"/>
      <c r="X184" s="70"/>
      <c r="Y184" s="70"/>
      <c r="Z184" s="70"/>
    </row>
    <row r="185" spans="1:26">
      <c r="A185" s="70" t="str">
        <f>IF('Item Setup Form'!$AF189="Yes",'Item Setup Form'!$E189,"")</f>
        <v/>
      </c>
      <c r="B185" s="70" t="str">
        <f>IF('Item Setup Form'!$AF189="Yes",'Item Setup Form'!D189,"")</f>
        <v/>
      </c>
      <c r="C185" s="81" t="str">
        <f>IF('Item Setup Form'!$AF189="Yes",'Item Setup Form'!L189,"")</f>
        <v/>
      </c>
      <c r="D185" s="81" t="str">
        <f>IF('Item Setup Form'!$AF189="Yes",'Item Setup Form'!M189,"")</f>
        <v/>
      </c>
      <c r="E185" s="70"/>
      <c r="F185" s="70" t="str">
        <f>IF('Item Setup Form'!$AF189="Yes",'Item Setup Form'!G189,"")</f>
        <v/>
      </c>
      <c r="G185" s="70" t="str">
        <f>IF('Item Setup Form'!$AF189="Yes",'Item Setup Form'!H189,"")</f>
        <v/>
      </c>
      <c r="H185" s="70" t="str">
        <f>IF('Item Setup Form'!$AF189="Yes",'Item Setup Form'!V189,"")</f>
        <v/>
      </c>
      <c r="I185" s="70"/>
      <c r="J185" s="70" t="str">
        <f>IF('Item Setup Form'!$AF189="Yes",'Item Setup Form'!U189,"")</f>
        <v/>
      </c>
      <c r="K185" s="70" t="str">
        <f>IF('Item Setup Form'!$AF189="Yes",'Item Setup Form'!V189,"")</f>
        <v/>
      </c>
      <c r="L185" s="70"/>
      <c r="M185" s="70" t="str">
        <f>IF('Item Setup Form'!$AF189="Yes",'Item Setup Form'!A189,"")</f>
        <v/>
      </c>
      <c r="N185" s="70"/>
      <c r="O185" s="70"/>
      <c r="P185" s="70"/>
      <c r="Q185" s="70"/>
      <c r="R185" s="70"/>
      <c r="S185" s="70"/>
      <c r="T185" s="70"/>
      <c r="U185" s="70"/>
      <c r="V185" s="70"/>
      <c r="W185" s="70"/>
      <c r="X185" s="70"/>
      <c r="Y185" s="70"/>
      <c r="Z185" s="70"/>
    </row>
    <row r="186" spans="1:26">
      <c r="A186" s="70" t="str">
        <f>IF('Item Setup Form'!$AF190="Yes",'Item Setup Form'!$E190,"")</f>
        <v/>
      </c>
      <c r="B186" s="70" t="str">
        <f>IF('Item Setup Form'!$AF190="Yes",'Item Setup Form'!D190,"")</f>
        <v/>
      </c>
      <c r="C186" s="81" t="str">
        <f>IF('Item Setup Form'!$AF190="Yes",'Item Setup Form'!L190,"")</f>
        <v/>
      </c>
      <c r="D186" s="81" t="str">
        <f>IF('Item Setup Form'!$AF190="Yes",'Item Setup Form'!M190,"")</f>
        <v/>
      </c>
      <c r="E186" s="70"/>
      <c r="F186" s="70" t="str">
        <f>IF('Item Setup Form'!$AF190="Yes",'Item Setup Form'!G190,"")</f>
        <v/>
      </c>
      <c r="G186" s="70" t="str">
        <f>IF('Item Setup Form'!$AF190="Yes",'Item Setup Form'!H190,"")</f>
        <v/>
      </c>
      <c r="H186" s="70" t="str">
        <f>IF('Item Setup Form'!$AF190="Yes",'Item Setup Form'!V190,"")</f>
        <v/>
      </c>
      <c r="I186" s="70"/>
      <c r="J186" s="70" t="str">
        <f>IF('Item Setup Form'!$AF190="Yes",'Item Setup Form'!U190,"")</f>
        <v/>
      </c>
      <c r="K186" s="70" t="str">
        <f>IF('Item Setup Form'!$AF190="Yes",'Item Setup Form'!V190,"")</f>
        <v/>
      </c>
      <c r="L186" s="70"/>
      <c r="M186" s="70" t="str">
        <f>IF('Item Setup Form'!$AF190="Yes",'Item Setup Form'!A190,"")</f>
        <v/>
      </c>
      <c r="N186" s="70"/>
      <c r="O186" s="70"/>
      <c r="P186" s="70"/>
      <c r="Q186" s="70"/>
      <c r="R186" s="70"/>
      <c r="S186" s="70"/>
      <c r="T186" s="70"/>
      <c r="U186" s="70"/>
      <c r="V186" s="70"/>
      <c r="W186" s="70"/>
      <c r="X186" s="70"/>
      <c r="Y186" s="70"/>
      <c r="Z186" s="70"/>
    </row>
    <row r="187" spans="1:26">
      <c r="A187" s="70" t="str">
        <f>IF('Item Setup Form'!$AF191="Yes",'Item Setup Form'!$E191,"")</f>
        <v/>
      </c>
      <c r="B187" s="70" t="str">
        <f>IF('Item Setup Form'!$AF191="Yes",'Item Setup Form'!D191,"")</f>
        <v/>
      </c>
      <c r="C187" s="81" t="str">
        <f>IF('Item Setup Form'!$AF191="Yes",'Item Setup Form'!L191,"")</f>
        <v/>
      </c>
      <c r="D187" s="81" t="str">
        <f>IF('Item Setup Form'!$AF191="Yes",'Item Setup Form'!M191,"")</f>
        <v/>
      </c>
      <c r="E187" s="70"/>
      <c r="F187" s="70" t="str">
        <f>IF('Item Setup Form'!$AF191="Yes",'Item Setup Form'!G191,"")</f>
        <v/>
      </c>
      <c r="G187" s="70" t="str">
        <f>IF('Item Setup Form'!$AF191="Yes",'Item Setup Form'!H191,"")</f>
        <v/>
      </c>
      <c r="H187" s="70" t="str">
        <f>IF('Item Setup Form'!$AF191="Yes",'Item Setup Form'!V191,"")</f>
        <v/>
      </c>
      <c r="I187" s="70"/>
      <c r="J187" s="70" t="str">
        <f>IF('Item Setup Form'!$AF191="Yes",'Item Setup Form'!U191,"")</f>
        <v/>
      </c>
      <c r="K187" s="70" t="str">
        <f>IF('Item Setup Form'!$AF191="Yes",'Item Setup Form'!V191,"")</f>
        <v/>
      </c>
      <c r="L187" s="70"/>
      <c r="M187" s="70" t="str">
        <f>IF('Item Setup Form'!$AF191="Yes",'Item Setup Form'!A191,"")</f>
        <v/>
      </c>
      <c r="N187" s="70"/>
      <c r="O187" s="70"/>
      <c r="P187" s="70"/>
      <c r="Q187" s="70"/>
      <c r="R187" s="70"/>
      <c r="S187" s="70"/>
      <c r="T187" s="70"/>
      <c r="U187" s="70"/>
      <c r="V187" s="70"/>
      <c r="W187" s="70"/>
      <c r="X187" s="70"/>
      <c r="Y187" s="70"/>
      <c r="Z187" s="70"/>
    </row>
    <row r="188" spans="1:26">
      <c r="A188" s="70" t="str">
        <f>IF('Item Setup Form'!$AF192="Yes",'Item Setup Form'!$E192,"")</f>
        <v/>
      </c>
      <c r="B188" s="70" t="str">
        <f>IF('Item Setup Form'!$AF192="Yes",'Item Setup Form'!D192,"")</f>
        <v/>
      </c>
      <c r="C188" s="81" t="str">
        <f>IF('Item Setup Form'!$AF192="Yes",'Item Setup Form'!L192,"")</f>
        <v/>
      </c>
      <c r="D188" s="81" t="str">
        <f>IF('Item Setup Form'!$AF192="Yes",'Item Setup Form'!M192,"")</f>
        <v/>
      </c>
      <c r="E188" s="70"/>
      <c r="F188" s="70" t="str">
        <f>IF('Item Setup Form'!$AF192="Yes",'Item Setup Form'!G192,"")</f>
        <v/>
      </c>
      <c r="G188" s="70" t="str">
        <f>IF('Item Setup Form'!$AF192="Yes",'Item Setup Form'!H192,"")</f>
        <v/>
      </c>
      <c r="H188" s="70" t="str">
        <f>IF('Item Setup Form'!$AF192="Yes",'Item Setup Form'!V192,"")</f>
        <v/>
      </c>
      <c r="I188" s="70"/>
      <c r="J188" s="70" t="str">
        <f>IF('Item Setup Form'!$AF192="Yes",'Item Setup Form'!U192,"")</f>
        <v/>
      </c>
      <c r="K188" s="70" t="str">
        <f>IF('Item Setup Form'!$AF192="Yes",'Item Setup Form'!V192,"")</f>
        <v/>
      </c>
      <c r="L188" s="70"/>
      <c r="M188" s="70" t="str">
        <f>IF('Item Setup Form'!$AF192="Yes",'Item Setup Form'!A192,"")</f>
        <v/>
      </c>
      <c r="N188" s="70"/>
      <c r="O188" s="70"/>
      <c r="P188" s="70"/>
      <c r="Q188" s="70"/>
      <c r="R188" s="70"/>
      <c r="S188" s="70"/>
      <c r="T188" s="70"/>
      <c r="U188" s="70"/>
      <c r="V188" s="70"/>
      <c r="W188" s="70"/>
      <c r="X188" s="70"/>
      <c r="Y188" s="70"/>
      <c r="Z188" s="70"/>
    </row>
    <row r="189" spans="1:26">
      <c r="A189" s="70" t="str">
        <f>IF('Item Setup Form'!$AF193="Yes",'Item Setup Form'!$E193,"")</f>
        <v/>
      </c>
      <c r="B189" s="70" t="str">
        <f>IF('Item Setup Form'!$AF193="Yes",'Item Setup Form'!D193,"")</f>
        <v/>
      </c>
      <c r="C189" s="81" t="str">
        <f>IF('Item Setup Form'!$AF193="Yes",'Item Setup Form'!L193,"")</f>
        <v/>
      </c>
      <c r="D189" s="81" t="str">
        <f>IF('Item Setup Form'!$AF193="Yes",'Item Setup Form'!M193,"")</f>
        <v/>
      </c>
      <c r="E189" s="70"/>
      <c r="F189" s="70" t="str">
        <f>IF('Item Setup Form'!$AF193="Yes",'Item Setup Form'!G193,"")</f>
        <v/>
      </c>
      <c r="G189" s="70" t="str">
        <f>IF('Item Setup Form'!$AF193="Yes",'Item Setup Form'!H193,"")</f>
        <v/>
      </c>
      <c r="H189" s="70" t="str">
        <f>IF('Item Setup Form'!$AF193="Yes",'Item Setup Form'!V193,"")</f>
        <v/>
      </c>
      <c r="I189" s="70"/>
      <c r="J189" s="70" t="str">
        <f>IF('Item Setup Form'!$AF193="Yes",'Item Setup Form'!U193,"")</f>
        <v/>
      </c>
      <c r="K189" s="70" t="str">
        <f>IF('Item Setup Form'!$AF193="Yes",'Item Setup Form'!V193,"")</f>
        <v/>
      </c>
      <c r="L189" s="70"/>
      <c r="M189" s="70" t="str">
        <f>IF('Item Setup Form'!$AF193="Yes",'Item Setup Form'!A193,"")</f>
        <v/>
      </c>
      <c r="N189" s="70"/>
      <c r="O189" s="70"/>
      <c r="P189" s="70"/>
      <c r="Q189" s="70"/>
      <c r="R189" s="70"/>
      <c r="S189" s="70"/>
      <c r="T189" s="70"/>
      <c r="U189" s="70"/>
      <c r="V189" s="70"/>
      <c r="W189" s="70"/>
      <c r="X189" s="70"/>
      <c r="Y189" s="70"/>
      <c r="Z189" s="70"/>
    </row>
    <row r="190" spans="1:26">
      <c r="A190" s="70" t="str">
        <f>IF('Item Setup Form'!$AF194="Yes",'Item Setup Form'!$E194,"")</f>
        <v/>
      </c>
      <c r="B190" s="70" t="str">
        <f>IF('Item Setup Form'!$AF194="Yes",'Item Setup Form'!D194,"")</f>
        <v/>
      </c>
      <c r="C190" s="81" t="str">
        <f>IF('Item Setup Form'!$AF194="Yes",'Item Setup Form'!L194,"")</f>
        <v/>
      </c>
      <c r="D190" s="81" t="str">
        <f>IF('Item Setup Form'!$AF194="Yes",'Item Setup Form'!M194,"")</f>
        <v/>
      </c>
      <c r="E190" s="70"/>
      <c r="F190" s="70" t="str">
        <f>IF('Item Setup Form'!$AF194="Yes",'Item Setup Form'!G194,"")</f>
        <v/>
      </c>
      <c r="G190" s="70" t="str">
        <f>IF('Item Setup Form'!$AF194="Yes",'Item Setup Form'!H194,"")</f>
        <v/>
      </c>
      <c r="H190" s="70" t="str">
        <f>IF('Item Setup Form'!$AF194="Yes",'Item Setup Form'!V194,"")</f>
        <v/>
      </c>
      <c r="I190" s="70"/>
      <c r="J190" s="70" t="str">
        <f>IF('Item Setup Form'!$AF194="Yes",'Item Setup Form'!U194,"")</f>
        <v/>
      </c>
      <c r="K190" s="70" t="str">
        <f>IF('Item Setup Form'!$AF194="Yes",'Item Setup Form'!V194,"")</f>
        <v/>
      </c>
      <c r="L190" s="70"/>
      <c r="M190" s="70" t="str">
        <f>IF('Item Setup Form'!$AF194="Yes",'Item Setup Form'!A194,"")</f>
        <v/>
      </c>
      <c r="N190" s="70"/>
      <c r="O190" s="70"/>
      <c r="P190" s="70"/>
      <c r="Q190" s="70"/>
      <c r="R190" s="70"/>
      <c r="S190" s="70"/>
      <c r="T190" s="70"/>
      <c r="U190" s="70"/>
      <c r="V190" s="70"/>
      <c r="W190" s="70"/>
      <c r="X190" s="70"/>
      <c r="Y190" s="70"/>
      <c r="Z190" s="70"/>
    </row>
    <row r="191" spans="1:26">
      <c r="A191" s="70" t="str">
        <f>IF('Item Setup Form'!$AF195="Yes",'Item Setup Form'!$E195,"")</f>
        <v/>
      </c>
      <c r="B191" s="70" t="str">
        <f>IF('Item Setup Form'!$AF195="Yes",'Item Setup Form'!D195,"")</f>
        <v/>
      </c>
      <c r="C191" s="81" t="str">
        <f>IF('Item Setup Form'!$AF195="Yes",'Item Setup Form'!L195,"")</f>
        <v/>
      </c>
      <c r="D191" s="81" t="str">
        <f>IF('Item Setup Form'!$AF195="Yes",'Item Setup Form'!M195,"")</f>
        <v/>
      </c>
      <c r="E191" s="70"/>
      <c r="F191" s="70" t="str">
        <f>IF('Item Setup Form'!$AF195="Yes",'Item Setup Form'!G195,"")</f>
        <v/>
      </c>
      <c r="G191" s="70" t="str">
        <f>IF('Item Setup Form'!$AF195="Yes",'Item Setup Form'!H195,"")</f>
        <v/>
      </c>
      <c r="H191" s="70" t="str">
        <f>IF('Item Setup Form'!$AF195="Yes",'Item Setup Form'!V195,"")</f>
        <v/>
      </c>
      <c r="I191" s="70"/>
      <c r="J191" s="70" t="str">
        <f>IF('Item Setup Form'!$AF195="Yes",'Item Setup Form'!U195,"")</f>
        <v/>
      </c>
      <c r="K191" s="70" t="str">
        <f>IF('Item Setup Form'!$AF195="Yes",'Item Setup Form'!V195,"")</f>
        <v/>
      </c>
      <c r="L191" s="70"/>
      <c r="M191" s="70" t="str">
        <f>IF('Item Setup Form'!$AF195="Yes",'Item Setup Form'!A195,"")</f>
        <v/>
      </c>
      <c r="N191" s="70"/>
      <c r="O191" s="70"/>
      <c r="P191" s="70"/>
      <c r="Q191" s="70"/>
      <c r="R191" s="70"/>
      <c r="S191" s="70"/>
      <c r="T191" s="70"/>
      <c r="U191" s="70"/>
      <c r="V191" s="70"/>
      <c r="W191" s="70"/>
      <c r="X191" s="70"/>
      <c r="Y191" s="70"/>
      <c r="Z191" s="70"/>
    </row>
    <row r="192" spans="1:26">
      <c r="A192" s="70" t="str">
        <f>IF('Item Setup Form'!$AF196="Yes",'Item Setup Form'!$E196,"")</f>
        <v/>
      </c>
      <c r="B192" s="70" t="str">
        <f>IF('Item Setup Form'!$AF196="Yes",'Item Setup Form'!D196,"")</f>
        <v/>
      </c>
      <c r="C192" s="81" t="str">
        <f>IF('Item Setup Form'!$AF196="Yes",'Item Setup Form'!L196,"")</f>
        <v/>
      </c>
      <c r="D192" s="81" t="str">
        <f>IF('Item Setup Form'!$AF196="Yes",'Item Setup Form'!M196,"")</f>
        <v/>
      </c>
      <c r="E192" s="70"/>
      <c r="F192" s="70" t="str">
        <f>IF('Item Setup Form'!$AF196="Yes",'Item Setup Form'!G196,"")</f>
        <v/>
      </c>
      <c r="G192" s="70" t="str">
        <f>IF('Item Setup Form'!$AF196="Yes",'Item Setup Form'!H196,"")</f>
        <v/>
      </c>
      <c r="H192" s="70" t="str">
        <f>IF('Item Setup Form'!$AF196="Yes",'Item Setup Form'!V196,"")</f>
        <v/>
      </c>
      <c r="I192" s="70"/>
      <c r="J192" s="70" t="str">
        <f>IF('Item Setup Form'!$AF196="Yes",'Item Setup Form'!U196,"")</f>
        <v/>
      </c>
      <c r="K192" s="70" t="str">
        <f>IF('Item Setup Form'!$AF196="Yes",'Item Setup Form'!V196,"")</f>
        <v/>
      </c>
      <c r="L192" s="70"/>
      <c r="M192" s="70" t="str">
        <f>IF('Item Setup Form'!$AF196="Yes",'Item Setup Form'!A196,"")</f>
        <v/>
      </c>
      <c r="N192" s="70"/>
      <c r="O192" s="70"/>
      <c r="P192" s="70"/>
      <c r="Q192" s="70"/>
      <c r="R192" s="70"/>
      <c r="S192" s="70"/>
      <c r="T192" s="70"/>
      <c r="U192" s="70"/>
      <c r="V192" s="70"/>
      <c r="W192" s="70"/>
      <c r="X192" s="70"/>
      <c r="Y192" s="70"/>
      <c r="Z192" s="70"/>
    </row>
    <row r="193" spans="1:26">
      <c r="A193" s="70" t="str">
        <f>IF('Item Setup Form'!$AF197="Yes",'Item Setup Form'!$E197,"")</f>
        <v/>
      </c>
      <c r="B193" s="70" t="str">
        <f>IF('Item Setup Form'!$AF197="Yes",'Item Setup Form'!D197,"")</f>
        <v/>
      </c>
      <c r="C193" s="81" t="str">
        <f>IF('Item Setup Form'!$AF197="Yes",'Item Setup Form'!L197,"")</f>
        <v/>
      </c>
      <c r="D193" s="81" t="str">
        <f>IF('Item Setup Form'!$AF197="Yes",'Item Setup Form'!M197,"")</f>
        <v/>
      </c>
      <c r="E193" s="70"/>
      <c r="F193" s="70" t="str">
        <f>IF('Item Setup Form'!$AF197="Yes",'Item Setup Form'!G197,"")</f>
        <v/>
      </c>
      <c r="G193" s="70" t="str">
        <f>IF('Item Setup Form'!$AF197="Yes",'Item Setup Form'!H197,"")</f>
        <v/>
      </c>
      <c r="H193" s="70" t="str">
        <f>IF('Item Setup Form'!$AF197="Yes",'Item Setup Form'!V197,"")</f>
        <v/>
      </c>
      <c r="I193" s="70"/>
      <c r="J193" s="70" t="str">
        <f>IF('Item Setup Form'!$AF197="Yes",'Item Setup Form'!U197,"")</f>
        <v/>
      </c>
      <c r="K193" s="70" t="str">
        <f>IF('Item Setup Form'!$AF197="Yes",'Item Setup Form'!V197,"")</f>
        <v/>
      </c>
      <c r="L193" s="70"/>
      <c r="M193" s="70" t="str">
        <f>IF('Item Setup Form'!$AF197="Yes",'Item Setup Form'!A197,"")</f>
        <v/>
      </c>
      <c r="N193" s="70"/>
      <c r="O193" s="70"/>
      <c r="P193" s="70"/>
      <c r="Q193" s="70"/>
      <c r="R193" s="70"/>
      <c r="S193" s="70"/>
      <c r="T193" s="70"/>
      <c r="U193" s="70"/>
      <c r="V193" s="70"/>
      <c r="W193" s="70"/>
      <c r="X193" s="70"/>
      <c r="Y193" s="70"/>
      <c r="Z193" s="70"/>
    </row>
    <row r="194" spans="1:26">
      <c r="A194" s="70" t="str">
        <f>IF('Item Setup Form'!$AF198="Yes",'Item Setup Form'!$E198,"")</f>
        <v/>
      </c>
      <c r="B194" s="70" t="str">
        <f>IF('Item Setup Form'!$AF198="Yes",'Item Setup Form'!D198,"")</f>
        <v/>
      </c>
      <c r="C194" s="81" t="str">
        <f>IF('Item Setup Form'!$AF198="Yes",'Item Setup Form'!L198,"")</f>
        <v/>
      </c>
      <c r="D194" s="81" t="str">
        <f>IF('Item Setup Form'!$AF198="Yes",'Item Setup Form'!M198,"")</f>
        <v/>
      </c>
      <c r="E194" s="70"/>
      <c r="F194" s="70" t="str">
        <f>IF('Item Setup Form'!$AF198="Yes",'Item Setup Form'!G198,"")</f>
        <v/>
      </c>
      <c r="G194" s="70" t="str">
        <f>IF('Item Setup Form'!$AF198="Yes",'Item Setup Form'!H198,"")</f>
        <v/>
      </c>
      <c r="H194" s="70" t="str">
        <f>IF('Item Setup Form'!$AF198="Yes",'Item Setup Form'!V198,"")</f>
        <v/>
      </c>
      <c r="I194" s="70"/>
      <c r="J194" s="70" t="str">
        <f>IF('Item Setup Form'!$AF198="Yes",'Item Setup Form'!U198,"")</f>
        <v/>
      </c>
      <c r="K194" s="70" t="str">
        <f>IF('Item Setup Form'!$AF198="Yes",'Item Setup Form'!V198,"")</f>
        <v/>
      </c>
      <c r="L194" s="70"/>
      <c r="M194" s="70" t="str">
        <f>IF('Item Setup Form'!$AF198="Yes",'Item Setup Form'!A198,"")</f>
        <v/>
      </c>
      <c r="N194" s="70"/>
      <c r="O194" s="70"/>
      <c r="P194" s="70"/>
      <c r="Q194" s="70"/>
      <c r="R194" s="70"/>
      <c r="S194" s="70"/>
      <c r="T194" s="70"/>
      <c r="U194" s="70"/>
      <c r="V194" s="70"/>
      <c r="W194" s="70"/>
      <c r="X194" s="70"/>
      <c r="Y194" s="70"/>
      <c r="Z194" s="70"/>
    </row>
    <row r="195" spans="1:26">
      <c r="A195" s="70" t="str">
        <f>IF('Item Setup Form'!$AF199="Yes",'Item Setup Form'!$E199,"")</f>
        <v/>
      </c>
      <c r="B195" s="70" t="str">
        <f>IF('Item Setup Form'!$AF199="Yes",'Item Setup Form'!D199,"")</f>
        <v/>
      </c>
      <c r="C195" s="81" t="str">
        <f>IF('Item Setup Form'!$AF199="Yes",'Item Setup Form'!L199,"")</f>
        <v/>
      </c>
      <c r="D195" s="81" t="str">
        <f>IF('Item Setup Form'!$AF199="Yes",'Item Setup Form'!M199,"")</f>
        <v/>
      </c>
      <c r="E195" s="70"/>
      <c r="F195" s="70" t="str">
        <f>IF('Item Setup Form'!$AF199="Yes",'Item Setup Form'!G199,"")</f>
        <v/>
      </c>
      <c r="G195" s="70" t="str">
        <f>IF('Item Setup Form'!$AF199="Yes",'Item Setup Form'!H199,"")</f>
        <v/>
      </c>
      <c r="H195" s="70" t="str">
        <f>IF('Item Setup Form'!$AF199="Yes",'Item Setup Form'!V199,"")</f>
        <v/>
      </c>
      <c r="I195" s="70"/>
      <c r="J195" s="70" t="str">
        <f>IF('Item Setup Form'!$AF199="Yes",'Item Setup Form'!U199,"")</f>
        <v/>
      </c>
      <c r="K195" s="70" t="str">
        <f>IF('Item Setup Form'!$AF199="Yes",'Item Setup Form'!V199,"")</f>
        <v/>
      </c>
      <c r="L195" s="70"/>
      <c r="M195" s="70" t="str">
        <f>IF('Item Setup Form'!$AF199="Yes",'Item Setup Form'!A199,"")</f>
        <v/>
      </c>
      <c r="N195" s="70"/>
      <c r="O195" s="70"/>
      <c r="P195" s="70"/>
      <c r="Q195" s="70"/>
      <c r="R195" s="70"/>
      <c r="S195" s="70"/>
      <c r="T195" s="70"/>
      <c r="U195" s="70"/>
      <c r="V195" s="70"/>
      <c r="W195" s="70"/>
      <c r="X195" s="70"/>
      <c r="Y195" s="70"/>
      <c r="Z195" s="70"/>
    </row>
    <row r="196" spans="1:26">
      <c r="A196" s="70" t="str">
        <f>IF('Item Setup Form'!$AF200="Yes",'Item Setup Form'!$E200,"")</f>
        <v/>
      </c>
      <c r="B196" s="70" t="str">
        <f>IF('Item Setup Form'!$AF200="Yes",'Item Setup Form'!D200,"")</f>
        <v/>
      </c>
      <c r="C196" s="81" t="str">
        <f>IF('Item Setup Form'!$AF200="Yes",'Item Setup Form'!L200,"")</f>
        <v/>
      </c>
      <c r="D196" s="81" t="str">
        <f>IF('Item Setup Form'!$AF200="Yes",'Item Setup Form'!M200,"")</f>
        <v/>
      </c>
      <c r="E196" s="70"/>
      <c r="F196" s="70" t="str">
        <f>IF('Item Setup Form'!$AF200="Yes",'Item Setup Form'!G200,"")</f>
        <v/>
      </c>
      <c r="G196" s="70" t="str">
        <f>IF('Item Setup Form'!$AF200="Yes",'Item Setup Form'!H200,"")</f>
        <v/>
      </c>
      <c r="H196" s="70" t="str">
        <f>IF('Item Setup Form'!$AF200="Yes",'Item Setup Form'!V200,"")</f>
        <v/>
      </c>
      <c r="I196" s="70"/>
      <c r="J196" s="70" t="str">
        <f>IF('Item Setup Form'!$AF200="Yes",'Item Setup Form'!U200,"")</f>
        <v/>
      </c>
      <c r="K196" s="70" t="str">
        <f>IF('Item Setup Form'!$AF200="Yes",'Item Setup Form'!V200,"")</f>
        <v/>
      </c>
      <c r="L196" s="70"/>
      <c r="M196" s="70" t="str">
        <f>IF('Item Setup Form'!$AF200="Yes",'Item Setup Form'!A200,"")</f>
        <v/>
      </c>
      <c r="N196" s="70"/>
      <c r="O196" s="70"/>
      <c r="P196" s="70"/>
      <c r="Q196" s="70"/>
      <c r="R196" s="70"/>
      <c r="S196" s="70"/>
      <c r="T196" s="70"/>
      <c r="U196" s="70"/>
      <c r="V196" s="70"/>
      <c r="W196" s="70"/>
      <c r="X196" s="70"/>
      <c r="Y196" s="70"/>
      <c r="Z196" s="70"/>
    </row>
    <row r="197" spans="1:26">
      <c r="A197" s="70" t="str">
        <f>IF('Item Setup Form'!$AF201="Yes",'Item Setup Form'!$E201,"")</f>
        <v/>
      </c>
      <c r="B197" s="70" t="str">
        <f>IF('Item Setup Form'!$AF201="Yes",'Item Setup Form'!D201,"")</f>
        <v/>
      </c>
      <c r="C197" s="81" t="str">
        <f>IF('Item Setup Form'!$AF201="Yes",'Item Setup Form'!L201,"")</f>
        <v/>
      </c>
      <c r="D197" s="81" t="str">
        <f>IF('Item Setup Form'!$AF201="Yes",'Item Setup Form'!M201,"")</f>
        <v/>
      </c>
      <c r="E197" s="70"/>
      <c r="F197" s="70" t="str">
        <f>IF('Item Setup Form'!$AF201="Yes",'Item Setup Form'!G201,"")</f>
        <v/>
      </c>
      <c r="G197" s="70" t="str">
        <f>IF('Item Setup Form'!$AF201="Yes",'Item Setup Form'!H201,"")</f>
        <v/>
      </c>
      <c r="H197" s="70" t="str">
        <f>IF('Item Setup Form'!$AF201="Yes",'Item Setup Form'!V201,"")</f>
        <v/>
      </c>
      <c r="I197" s="70"/>
      <c r="J197" s="70" t="str">
        <f>IF('Item Setup Form'!$AF201="Yes",'Item Setup Form'!U201,"")</f>
        <v/>
      </c>
      <c r="K197" s="70" t="str">
        <f>IF('Item Setup Form'!$AF201="Yes",'Item Setup Form'!V201,"")</f>
        <v/>
      </c>
      <c r="L197" s="70"/>
      <c r="M197" s="70" t="str">
        <f>IF('Item Setup Form'!$AF201="Yes",'Item Setup Form'!A201,"")</f>
        <v/>
      </c>
      <c r="N197" s="70"/>
      <c r="O197" s="70"/>
      <c r="P197" s="70"/>
      <c r="Q197" s="70"/>
      <c r="R197" s="70"/>
      <c r="S197" s="70"/>
      <c r="T197" s="70"/>
      <c r="U197" s="70"/>
      <c r="V197" s="70"/>
      <c r="W197" s="70"/>
      <c r="X197" s="70"/>
      <c r="Y197" s="70"/>
      <c r="Z197" s="70"/>
    </row>
    <row r="198" spans="1:26">
      <c r="A198" s="70" t="str">
        <f>IF('Item Setup Form'!$AF202="Yes",'Item Setup Form'!$E202,"")</f>
        <v/>
      </c>
      <c r="B198" s="70" t="str">
        <f>IF('Item Setup Form'!$AF202="Yes",'Item Setup Form'!D202,"")</f>
        <v/>
      </c>
      <c r="C198" s="81" t="str">
        <f>IF('Item Setup Form'!$AF202="Yes",'Item Setup Form'!L202,"")</f>
        <v/>
      </c>
      <c r="D198" s="81" t="str">
        <f>IF('Item Setup Form'!$AF202="Yes",'Item Setup Form'!M202,"")</f>
        <v/>
      </c>
      <c r="E198" s="70"/>
      <c r="F198" s="70" t="str">
        <f>IF('Item Setup Form'!$AF202="Yes",'Item Setup Form'!G202,"")</f>
        <v/>
      </c>
      <c r="G198" s="70" t="str">
        <f>IF('Item Setup Form'!$AF202="Yes",'Item Setup Form'!H202,"")</f>
        <v/>
      </c>
      <c r="H198" s="70" t="str">
        <f>IF('Item Setup Form'!$AF202="Yes",'Item Setup Form'!V202,"")</f>
        <v/>
      </c>
      <c r="I198" s="70"/>
      <c r="J198" s="70" t="str">
        <f>IF('Item Setup Form'!$AF202="Yes",'Item Setup Form'!U202,"")</f>
        <v/>
      </c>
      <c r="K198" s="70" t="str">
        <f>IF('Item Setup Form'!$AF202="Yes",'Item Setup Form'!V202,"")</f>
        <v/>
      </c>
      <c r="L198" s="70"/>
      <c r="M198" s="70" t="str">
        <f>IF('Item Setup Form'!$AF202="Yes",'Item Setup Form'!A202,"")</f>
        <v/>
      </c>
      <c r="N198" s="70"/>
      <c r="O198" s="70"/>
      <c r="P198" s="70"/>
      <c r="Q198" s="70"/>
      <c r="R198" s="70"/>
      <c r="S198" s="70"/>
      <c r="T198" s="70"/>
      <c r="U198" s="70"/>
      <c r="V198" s="70"/>
      <c r="W198" s="70"/>
      <c r="X198" s="70"/>
      <c r="Y198" s="70"/>
      <c r="Z198" s="70"/>
    </row>
    <row r="199" spans="1:26">
      <c r="A199" s="70" t="str">
        <f>IF('Item Setup Form'!$AF203="Yes",'Item Setup Form'!$E203,"")</f>
        <v/>
      </c>
      <c r="B199" s="70" t="str">
        <f>IF('Item Setup Form'!$AF203="Yes",'Item Setup Form'!D203,"")</f>
        <v/>
      </c>
      <c r="C199" s="81" t="str">
        <f>IF('Item Setup Form'!$AF203="Yes",'Item Setup Form'!L203,"")</f>
        <v/>
      </c>
      <c r="D199" s="81" t="str">
        <f>IF('Item Setup Form'!$AF203="Yes",'Item Setup Form'!M203,"")</f>
        <v/>
      </c>
      <c r="E199" s="70"/>
      <c r="F199" s="70" t="str">
        <f>IF('Item Setup Form'!$AF203="Yes",'Item Setup Form'!G203,"")</f>
        <v/>
      </c>
      <c r="G199" s="70" t="str">
        <f>IF('Item Setup Form'!$AF203="Yes",'Item Setup Form'!H203,"")</f>
        <v/>
      </c>
      <c r="H199" s="70" t="str">
        <f>IF('Item Setup Form'!$AF203="Yes",'Item Setup Form'!V203,"")</f>
        <v/>
      </c>
      <c r="I199" s="70"/>
      <c r="J199" s="70" t="str">
        <f>IF('Item Setup Form'!$AF203="Yes",'Item Setup Form'!U203,"")</f>
        <v/>
      </c>
      <c r="K199" s="70" t="str">
        <f>IF('Item Setup Form'!$AF203="Yes",'Item Setup Form'!V203,"")</f>
        <v/>
      </c>
      <c r="L199" s="70"/>
      <c r="M199" s="70" t="str">
        <f>IF('Item Setup Form'!$AF203="Yes",'Item Setup Form'!A203,"")</f>
        <v/>
      </c>
      <c r="N199" s="70"/>
      <c r="O199" s="70"/>
      <c r="P199" s="70"/>
      <c r="Q199" s="70"/>
      <c r="R199" s="70"/>
      <c r="S199" s="70"/>
      <c r="T199" s="70"/>
      <c r="U199" s="70"/>
      <c r="V199" s="70"/>
      <c r="W199" s="70"/>
      <c r="X199" s="70"/>
      <c r="Y199" s="70"/>
      <c r="Z199" s="70"/>
    </row>
    <row r="200" spans="1:26">
      <c r="A200" s="70" t="str">
        <f>IF('Item Setup Form'!$AF204="Yes",'Item Setup Form'!$E204,"")</f>
        <v/>
      </c>
      <c r="B200" s="70" t="str">
        <f>IF('Item Setup Form'!$AF204="Yes",'Item Setup Form'!D204,"")</f>
        <v/>
      </c>
      <c r="C200" s="81" t="str">
        <f>IF('Item Setup Form'!$AF204="Yes",'Item Setup Form'!L204,"")</f>
        <v/>
      </c>
      <c r="D200" s="81" t="str">
        <f>IF('Item Setup Form'!$AF204="Yes",'Item Setup Form'!M204,"")</f>
        <v/>
      </c>
      <c r="E200" s="70"/>
      <c r="F200" s="70" t="str">
        <f>IF('Item Setup Form'!$AF204="Yes",'Item Setup Form'!G204,"")</f>
        <v/>
      </c>
      <c r="G200" s="70" t="str">
        <f>IF('Item Setup Form'!$AF204="Yes",'Item Setup Form'!H204,"")</f>
        <v/>
      </c>
      <c r="H200" s="70" t="str">
        <f>IF('Item Setup Form'!$AF204="Yes",'Item Setup Form'!V204,"")</f>
        <v/>
      </c>
      <c r="I200" s="70"/>
      <c r="J200" s="70" t="str">
        <f>IF('Item Setup Form'!$AF204="Yes",'Item Setup Form'!U204,"")</f>
        <v/>
      </c>
      <c r="K200" s="70" t="str">
        <f>IF('Item Setup Form'!$AF204="Yes",'Item Setup Form'!V204,"")</f>
        <v/>
      </c>
      <c r="L200" s="70"/>
      <c r="M200" s="70" t="str">
        <f>IF('Item Setup Form'!$AF204="Yes",'Item Setup Form'!A204,"")</f>
        <v/>
      </c>
      <c r="N200" s="70"/>
      <c r="O200" s="70"/>
      <c r="P200" s="70"/>
      <c r="Q200" s="70"/>
      <c r="R200" s="70"/>
      <c r="S200" s="70"/>
      <c r="T200" s="70"/>
      <c r="U200" s="70"/>
      <c r="V200" s="70"/>
      <c r="W200" s="70"/>
      <c r="X200" s="70"/>
      <c r="Y200" s="70"/>
      <c r="Z200" s="70"/>
    </row>
    <row r="201" spans="1:26">
      <c r="A201" s="70" t="str">
        <f>IF('Item Setup Form'!$AF205="Yes",'Item Setup Form'!$E205,"")</f>
        <v/>
      </c>
      <c r="B201" s="70" t="str">
        <f>IF('Item Setup Form'!$AF205="Yes",'Item Setup Form'!D205,"")</f>
        <v/>
      </c>
      <c r="C201" s="81" t="str">
        <f>IF('Item Setup Form'!$AF205="Yes",'Item Setup Form'!L205,"")</f>
        <v/>
      </c>
      <c r="D201" s="81" t="str">
        <f>IF('Item Setup Form'!$AF205="Yes",'Item Setup Form'!M205,"")</f>
        <v/>
      </c>
      <c r="E201" s="70"/>
      <c r="F201" s="70" t="str">
        <f>IF('Item Setup Form'!$AF205="Yes",'Item Setup Form'!G205,"")</f>
        <v/>
      </c>
      <c r="G201" s="70" t="str">
        <f>IF('Item Setup Form'!$AF205="Yes",'Item Setup Form'!H205,"")</f>
        <v/>
      </c>
      <c r="H201" s="70" t="str">
        <f>IF('Item Setup Form'!$AF205="Yes",'Item Setup Form'!V205,"")</f>
        <v/>
      </c>
      <c r="I201" s="70"/>
      <c r="J201" s="70" t="str">
        <f>IF('Item Setup Form'!$AF205="Yes",'Item Setup Form'!U205,"")</f>
        <v/>
      </c>
      <c r="K201" s="70" t="str">
        <f>IF('Item Setup Form'!$AF205="Yes",'Item Setup Form'!V205,"")</f>
        <v/>
      </c>
      <c r="L201" s="70"/>
      <c r="M201" s="70" t="str">
        <f>IF('Item Setup Form'!$AF205="Yes",'Item Setup Form'!A205,"")</f>
        <v/>
      </c>
      <c r="N201" s="70"/>
      <c r="O201" s="70"/>
      <c r="P201" s="70"/>
      <c r="Q201" s="70"/>
      <c r="R201" s="70"/>
      <c r="S201" s="70"/>
      <c r="T201" s="70"/>
      <c r="U201" s="70"/>
      <c r="V201" s="70"/>
      <c r="W201" s="70"/>
      <c r="X201" s="70"/>
      <c r="Y201" s="70"/>
      <c r="Z201" s="70"/>
    </row>
    <row r="202" spans="1:26">
      <c r="A202" s="70" t="str">
        <f>IF('Item Setup Form'!$AF206="Yes",'Item Setup Form'!$E206,"")</f>
        <v/>
      </c>
      <c r="B202" s="70" t="str">
        <f>IF('Item Setup Form'!$AF206="Yes",'Item Setup Form'!D206,"")</f>
        <v/>
      </c>
      <c r="C202" s="81" t="str">
        <f>IF('Item Setup Form'!$AF206="Yes",'Item Setup Form'!L206,"")</f>
        <v/>
      </c>
      <c r="D202" s="81" t="str">
        <f>IF('Item Setup Form'!$AF206="Yes",'Item Setup Form'!M206,"")</f>
        <v/>
      </c>
      <c r="E202" s="70"/>
      <c r="F202" s="70" t="str">
        <f>IF('Item Setup Form'!$AF206="Yes",'Item Setup Form'!G206,"")</f>
        <v/>
      </c>
      <c r="G202" s="70" t="str">
        <f>IF('Item Setup Form'!$AF206="Yes",'Item Setup Form'!H206,"")</f>
        <v/>
      </c>
      <c r="H202" s="70" t="str">
        <f>IF('Item Setup Form'!$AF206="Yes",'Item Setup Form'!V206,"")</f>
        <v/>
      </c>
      <c r="I202" s="70"/>
      <c r="J202" s="70" t="str">
        <f>IF('Item Setup Form'!$AF206="Yes",'Item Setup Form'!U206,"")</f>
        <v/>
      </c>
      <c r="K202" s="70" t="str">
        <f>IF('Item Setup Form'!$AF206="Yes",'Item Setup Form'!V206,"")</f>
        <v/>
      </c>
      <c r="L202" s="70"/>
      <c r="M202" s="70" t="str">
        <f>IF('Item Setup Form'!$AF206="Yes",'Item Setup Form'!A206,"")</f>
        <v/>
      </c>
      <c r="N202" s="70"/>
      <c r="O202" s="70"/>
      <c r="P202" s="70"/>
      <c r="Q202" s="70"/>
      <c r="R202" s="70"/>
      <c r="S202" s="70"/>
      <c r="T202" s="70"/>
      <c r="U202" s="70"/>
      <c r="V202" s="70"/>
      <c r="W202" s="70"/>
      <c r="X202" s="70"/>
      <c r="Y202" s="70"/>
      <c r="Z202" s="70"/>
    </row>
    <row r="203" spans="1:26">
      <c r="A203" s="70" t="str">
        <f>IF('Item Setup Form'!$AF207="Yes",'Item Setup Form'!$E207,"")</f>
        <v/>
      </c>
      <c r="B203" s="70" t="str">
        <f>IF('Item Setup Form'!$AF207="Yes",'Item Setup Form'!D207,"")</f>
        <v/>
      </c>
      <c r="C203" s="81" t="str">
        <f>IF('Item Setup Form'!$AF207="Yes",'Item Setup Form'!L207,"")</f>
        <v/>
      </c>
      <c r="D203" s="81" t="str">
        <f>IF('Item Setup Form'!$AF207="Yes",'Item Setup Form'!M207,"")</f>
        <v/>
      </c>
      <c r="E203" s="70"/>
      <c r="F203" s="70" t="str">
        <f>IF('Item Setup Form'!$AF207="Yes",'Item Setup Form'!G207,"")</f>
        <v/>
      </c>
      <c r="G203" s="70" t="str">
        <f>IF('Item Setup Form'!$AF207="Yes",'Item Setup Form'!H207,"")</f>
        <v/>
      </c>
      <c r="H203" s="70" t="str">
        <f>IF('Item Setup Form'!$AF207="Yes",'Item Setup Form'!V207,"")</f>
        <v/>
      </c>
      <c r="I203" s="70"/>
      <c r="J203" s="70" t="str">
        <f>IF('Item Setup Form'!$AF207="Yes",'Item Setup Form'!U207,"")</f>
        <v/>
      </c>
      <c r="K203" s="70" t="str">
        <f>IF('Item Setup Form'!$AF207="Yes",'Item Setup Form'!V207,"")</f>
        <v/>
      </c>
      <c r="L203" s="70"/>
      <c r="M203" s="70" t="str">
        <f>IF('Item Setup Form'!$AF207="Yes",'Item Setup Form'!A207,"")</f>
        <v/>
      </c>
      <c r="N203" s="70"/>
      <c r="O203" s="70"/>
      <c r="P203" s="70"/>
      <c r="Q203" s="70"/>
      <c r="R203" s="70"/>
      <c r="S203" s="70"/>
      <c r="T203" s="70"/>
      <c r="U203" s="70"/>
      <c r="V203" s="70"/>
      <c r="W203" s="70"/>
      <c r="X203" s="70"/>
      <c r="Y203" s="70"/>
      <c r="Z203" s="70"/>
    </row>
    <row r="204" spans="1:26">
      <c r="A204" s="70" t="str">
        <f>IF('Item Setup Form'!$AF208="Yes",'Item Setup Form'!$E208,"")</f>
        <v/>
      </c>
      <c r="B204" s="70" t="str">
        <f>IF('Item Setup Form'!$AF208="Yes",'Item Setup Form'!D208,"")</f>
        <v/>
      </c>
      <c r="C204" s="81" t="str">
        <f>IF('Item Setup Form'!$AF208="Yes",'Item Setup Form'!L208,"")</f>
        <v/>
      </c>
      <c r="D204" s="81" t="str">
        <f>IF('Item Setup Form'!$AF208="Yes",'Item Setup Form'!M208,"")</f>
        <v/>
      </c>
      <c r="E204" s="70"/>
      <c r="F204" s="70" t="str">
        <f>IF('Item Setup Form'!$AF208="Yes",'Item Setup Form'!G208,"")</f>
        <v/>
      </c>
      <c r="G204" s="70" t="str">
        <f>IF('Item Setup Form'!$AF208="Yes",'Item Setup Form'!H208,"")</f>
        <v/>
      </c>
      <c r="H204" s="70" t="str">
        <f>IF('Item Setup Form'!$AF208="Yes",'Item Setup Form'!V208,"")</f>
        <v/>
      </c>
      <c r="I204" s="70"/>
      <c r="J204" s="70" t="str">
        <f>IF('Item Setup Form'!$AF208="Yes",'Item Setup Form'!U208,"")</f>
        <v/>
      </c>
      <c r="K204" s="70" t="str">
        <f>IF('Item Setup Form'!$AF208="Yes",'Item Setup Form'!V208,"")</f>
        <v/>
      </c>
      <c r="L204" s="70"/>
      <c r="M204" s="70" t="str">
        <f>IF('Item Setup Form'!$AF208="Yes",'Item Setup Form'!A208,"")</f>
        <v/>
      </c>
      <c r="N204" s="70"/>
      <c r="O204" s="70"/>
      <c r="P204" s="70"/>
      <c r="Q204" s="70"/>
      <c r="R204" s="70"/>
      <c r="S204" s="70"/>
      <c r="T204" s="70"/>
      <c r="U204" s="70"/>
      <c r="V204" s="70"/>
      <c r="W204" s="70"/>
      <c r="X204" s="70"/>
      <c r="Y204" s="70"/>
      <c r="Z204" s="70"/>
    </row>
    <row r="205" spans="1:26">
      <c r="A205" s="70" t="str">
        <f>IF('Item Setup Form'!$AF209="Yes",'Item Setup Form'!$E209,"")</f>
        <v/>
      </c>
      <c r="B205" s="70" t="str">
        <f>IF('Item Setup Form'!$AF209="Yes",'Item Setup Form'!D209,"")</f>
        <v/>
      </c>
      <c r="C205" s="81" t="str">
        <f>IF('Item Setup Form'!$AF209="Yes",'Item Setup Form'!L209,"")</f>
        <v/>
      </c>
      <c r="D205" s="81" t="str">
        <f>IF('Item Setup Form'!$AF209="Yes",'Item Setup Form'!M209,"")</f>
        <v/>
      </c>
      <c r="E205" s="70"/>
      <c r="F205" s="70" t="str">
        <f>IF('Item Setup Form'!$AF209="Yes",'Item Setup Form'!G209,"")</f>
        <v/>
      </c>
      <c r="G205" s="70" t="str">
        <f>IF('Item Setup Form'!$AF209="Yes",'Item Setup Form'!H209,"")</f>
        <v/>
      </c>
      <c r="H205" s="70" t="str">
        <f>IF('Item Setup Form'!$AF209="Yes",'Item Setup Form'!V209,"")</f>
        <v/>
      </c>
      <c r="I205" s="70"/>
      <c r="J205" s="70" t="str">
        <f>IF('Item Setup Form'!$AF209="Yes",'Item Setup Form'!U209,"")</f>
        <v/>
      </c>
      <c r="K205" s="70" t="str">
        <f>IF('Item Setup Form'!$AF209="Yes",'Item Setup Form'!V209,"")</f>
        <v/>
      </c>
      <c r="L205" s="70"/>
      <c r="M205" s="70" t="str">
        <f>IF('Item Setup Form'!$AF209="Yes",'Item Setup Form'!A209,"")</f>
        <v/>
      </c>
      <c r="N205" s="70"/>
      <c r="O205" s="70"/>
      <c r="P205" s="70"/>
      <c r="Q205" s="70"/>
      <c r="R205" s="70"/>
      <c r="S205" s="70"/>
      <c r="T205" s="70"/>
      <c r="U205" s="70"/>
      <c r="V205" s="70"/>
      <c r="W205" s="70"/>
      <c r="X205" s="70"/>
      <c r="Y205" s="70"/>
      <c r="Z205" s="70"/>
    </row>
    <row r="206" spans="1:26">
      <c r="A206" s="70" t="str">
        <f>IF('Item Setup Form'!$AF210="Yes",'Item Setup Form'!$E210,"")</f>
        <v/>
      </c>
      <c r="B206" s="70" t="str">
        <f>IF('Item Setup Form'!$AF210="Yes",'Item Setup Form'!D210,"")</f>
        <v/>
      </c>
      <c r="C206" s="81" t="str">
        <f>IF('Item Setup Form'!$AF210="Yes",'Item Setup Form'!L210,"")</f>
        <v/>
      </c>
      <c r="D206" s="81" t="str">
        <f>IF('Item Setup Form'!$AF210="Yes",'Item Setup Form'!M210,"")</f>
        <v/>
      </c>
      <c r="E206" s="70"/>
      <c r="F206" s="70" t="str">
        <f>IF('Item Setup Form'!$AF210="Yes",'Item Setup Form'!G210,"")</f>
        <v/>
      </c>
      <c r="G206" s="70" t="str">
        <f>IF('Item Setup Form'!$AF210="Yes",'Item Setup Form'!H210,"")</f>
        <v/>
      </c>
      <c r="H206" s="70" t="str">
        <f>IF('Item Setup Form'!$AF210="Yes",'Item Setup Form'!V210,"")</f>
        <v/>
      </c>
      <c r="I206" s="70"/>
      <c r="J206" s="70" t="str">
        <f>IF('Item Setup Form'!$AF210="Yes",'Item Setup Form'!U210,"")</f>
        <v/>
      </c>
      <c r="K206" s="70" t="str">
        <f>IF('Item Setup Form'!$AF210="Yes",'Item Setup Form'!V210,"")</f>
        <v/>
      </c>
      <c r="L206" s="70"/>
      <c r="M206" s="70" t="str">
        <f>IF('Item Setup Form'!$AF210="Yes",'Item Setup Form'!A210,"")</f>
        <v/>
      </c>
      <c r="N206" s="70"/>
      <c r="O206" s="70"/>
      <c r="P206" s="70"/>
      <c r="Q206" s="70"/>
      <c r="R206" s="70"/>
      <c r="S206" s="70"/>
      <c r="T206" s="70"/>
      <c r="U206" s="70"/>
      <c r="V206" s="70"/>
      <c r="W206" s="70"/>
      <c r="X206" s="70"/>
      <c r="Y206" s="70"/>
      <c r="Z206" s="70"/>
    </row>
    <row r="207" spans="1:26">
      <c r="A207" s="70" t="str">
        <f>IF('Item Setup Form'!$AF211="Yes",'Item Setup Form'!$E211,"")</f>
        <v/>
      </c>
      <c r="B207" s="70" t="str">
        <f>IF('Item Setup Form'!$AF211="Yes",'Item Setup Form'!D211,"")</f>
        <v/>
      </c>
      <c r="C207" s="81" t="str">
        <f>IF('Item Setup Form'!$AF211="Yes",'Item Setup Form'!L211,"")</f>
        <v/>
      </c>
      <c r="D207" s="81" t="str">
        <f>IF('Item Setup Form'!$AF211="Yes",'Item Setup Form'!M211,"")</f>
        <v/>
      </c>
      <c r="E207" s="70"/>
      <c r="F207" s="70" t="str">
        <f>IF('Item Setup Form'!$AF211="Yes",'Item Setup Form'!G211,"")</f>
        <v/>
      </c>
      <c r="G207" s="70" t="str">
        <f>IF('Item Setup Form'!$AF211="Yes",'Item Setup Form'!H211,"")</f>
        <v/>
      </c>
      <c r="H207" s="70" t="str">
        <f>IF('Item Setup Form'!$AF211="Yes",'Item Setup Form'!V211,"")</f>
        <v/>
      </c>
      <c r="I207" s="70"/>
      <c r="J207" s="70" t="str">
        <f>IF('Item Setup Form'!$AF211="Yes",'Item Setup Form'!U211,"")</f>
        <v/>
      </c>
      <c r="K207" s="70" t="str">
        <f>IF('Item Setup Form'!$AF211="Yes",'Item Setup Form'!V211,"")</f>
        <v/>
      </c>
      <c r="L207" s="70"/>
      <c r="M207" s="70" t="str">
        <f>IF('Item Setup Form'!$AF211="Yes",'Item Setup Form'!A211,"")</f>
        <v/>
      </c>
      <c r="N207" s="70"/>
      <c r="O207" s="70"/>
      <c r="P207" s="70"/>
      <c r="Q207" s="70"/>
      <c r="R207" s="70"/>
      <c r="S207" s="70"/>
      <c r="T207" s="70"/>
      <c r="U207" s="70"/>
      <c r="V207" s="70"/>
      <c r="W207" s="70"/>
      <c r="X207" s="70"/>
      <c r="Y207" s="70"/>
      <c r="Z207" s="70"/>
    </row>
    <row r="208" spans="1:26">
      <c r="A208" s="70" t="str">
        <f>IF('Item Setup Form'!$AF212="Yes",'Item Setup Form'!$E212,"")</f>
        <v/>
      </c>
      <c r="B208" s="70" t="str">
        <f>IF('Item Setup Form'!$AF212="Yes",'Item Setup Form'!D212,"")</f>
        <v/>
      </c>
      <c r="C208" s="81" t="str">
        <f>IF('Item Setup Form'!$AF212="Yes",'Item Setup Form'!L212,"")</f>
        <v/>
      </c>
      <c r="D208" s="81" t="str">
        <f>IF('Item Setup Form'!$AF212="Yes",'Item Setup Form'!M212,"")</f>
        <v/>
      </c>
      <c r="E208" s="70"/>
      <c r="F208" s="70" t="str">
        <f>IF('Item Setup Form'!$AF212="Yes",'Item Setup Form'!G212,"")</f>
        <v/>
      </c>
      <c r="G208" s="70" t="str">
        <f>IF('Item Setup Form'!$AF212="Yes",'Item Setup Form'!H212,"")</f>
        <v/>
      </c>
      <c r="H208" s="70" t="str">
        <f>IF('Item Setup Form'!$AF212="Yes",'Item Setup Form'!V212,"")</f>
        <v/>
      </c>
      <c r="I208" s="70"/>
      <c r="J208" s="70" t="str">
        <f>IF('Item Setup Form'!$AF212="Yes",'Item Setup Form'!U212,"")</f>
        <v/>
      </c>
      <c r="K208" s="70" t="str">
        <f>IF('Item Setup Form'!$AF212="Yes",'Item Setup Form'!V212,"")</f>
        <v/>
      </c>
      <c r="L208" s="70"/>
      <c r="M208" s="70" t="str">
        <f>IF('Item Setup Form'!$AF212="Yes",'Item Setup Form'!A212,"")</f>
        <v/>
      </c>
      <c r="N208" s="70"/>
      <c r="O208" s="70"/>
      <c r="P208" s="70"/>
      <c r="Q208" s="70"/>
      <c r="R208" s="70"/>
      <c r="S208" s="70"/>
      <c r="T208" s="70"/>
      <c r="U208" s="70"/>
      <c r="V208" s="70"/>
      <c r="W208" s="70"/>
      <c r="X208" s="70"/>
      <c r="Y208" s="70"/>
      <c r="Z208" s="70"/>
    </row>
    <row r="209" spans="1:26">
      <c r="A209" s="70" t="str">
        <f>IF('Item Setup Form'!$AF213="Yes",'Item Setup Form'!$E213,"")</f>
        <v/>
      </c>
      <c r="B209" s="70" t="str">
        <f>IF('Item Setup Form'!$AF213="Yes",'Item Setup Form'!D213,"")</f>
        <v/>
      </c>
      <c r="C209" s="81" t="str">
        <f>IF('Item Setup Form'!$AF213="Yes",'Item Setup Form'!L213,"")</f>
        <v/>
      </c>
      <c r="D209" s="81" t="str">
        <f>IF('Item Setup Form'!$AF213="Yes",'Item Setup Form'!M213,"")</f>
        <v/>
      </c>
      <c r="E209" s="70"/>
      <c r="F209" s="70" t="str">
        <f>IF('Item Setup Form'!$AF213="Yes",'Item Setup Form'!G213,"")</f>
        <v/>
      </c>
      <c r="G209" s="70" t="str">
        <f>IF('Item Setup Form'!$AF213="Yes",'Item Setup Form'!H213,"")</f>
        <v/>
      </c>
      <c r="H209" s="70" t="str">
        <f>IF('Item Setup Form'!$AF213="Yes",'Item Setup Form'!V213,"")</f>
        <v/>
      </c>
      <c r="I209" s="70"/>
      <c r="J209" s="70" t="str">
        <f>IF('Item Setup Form'!$AF213="Yes",'Item Setup Form'!U213,"")</f>
        <v/>
      </c>
      <c r="K209" s="70" t="str">
        <f>IF('Item Setup Form'!$AF213="Yes",'Item Setup Form'!V213,"")</f>
        <v/>
      </c>
      <c r="L209" s="70"/>
      <c r="M209" s="70" t="str">
        <f>IF('Item Setup Form'!$AF213="Yes",'Item Setup Form'!A213,"")</f>
        <v/>
      </c>
      <c r="N209" s="70"/>
      <c r="O209" s="70"/>
      <c r="P209" s="70"/>
      <c r="Q209" s="70"/>
      <c r="R209" s="70"/>
      <c r="S209" s="70"/>
      <c r="T209" s="70"/>
      <c r="U209" s="70"/>
      <c r="V209" s="70"/>
      <c r="W209" s="70"/>
      <c r="X209" s="70"/>
      <c r="Y209" s="70"/>
      <c r="Z209" s="70"/>
    </row>
    <row r="210" spans="1:26">
      <c r="A210" s="70" t="str">
        <f>IF('Item Setup Form'!$AF214="Yes",'Item Setup Form'!$E214,"")</f>
        <v/>
      </c>
      <c r="B210" s="70" t="str">
        <f>IF('Item Setup Form'!$AF214="Yes",'Item Setup Form'!D214,"")</f>
        <v/>
      </c>
      <c r="C210" s="81" t="str">
        <f>IF('Item Setup Form'!$AF214="Yes",'Item Setup Form'!L214,"")</f>
        <v/>
      </c>
      <c r="D210" s="81" t="str">
        <f>IF('Item Setup Form'!$AF214="Yes",'Item Setup Form'!M214,"")</f>
        <v/>
      </c>
      <c r="E210" s="70"/>
      <c r="F210" s="70" t="str">
        <f>IF('Item Setup Form'!$AF214="Yes",'Item Setup Form'!G214,"")</f>
        <v/>
      </c>
      <c r="G210" s="70" t="str">
        <f>IF('Item Setup Form'!$AF214="Yes",'Item Setup Form'!H214,"")</f>
        <v/>
      </c>
      <c r="H210" s="70" t="str">
        <f>IF('Item Setup Form'!$AF214="Yes",'Item Setup Form'!V214,"")</f>
        <v/>
      </c>
      <c r="I210" s="70"/>
      <c r="J210" s="70" t="str">
        <f>IF('Item Setup Form'!$AF214="Yes",'Item Setup Form'!U214,"")</f>
        <v/>
      </c>
      <c r="K210" s="70" t="str">
        <f>IF('Item Setup Form'!$AF214="Yes",'Item Setup Form'!V214,"")</f>
        <v/>
      </c>
      <c r="L210" s="70"/>
      <c r="M210" s="70" t="str">
        <f>IF('Item Setup Form'!$AF214="Yes",'Item Setup Form'!A214,"")</f>
        <v/>
      </c>
      <c r="N210" s="70"/>
      <c r="O210" s="70"/>
      <c r="P210" s="70"/>
      <c r="Q210" s="70"/>
      <c r="R210" s="70"/>
      <c r="S210" s="70"/>
      <c r="T210" s="70"/>
      <c r="U210" s="70"/>
      <c r="V210" s="70"/>
      <c r="W210" s="70"/>
      <c r="X210" s="70"/>
      <c r="Y210" s="70"/>
      <c r="Z210" s="70"/>
    </row>
    <row r="211" spans="1:26">
      <c r="A211" s="70" t="str">
        <f>IF('Item Setup Form'!$AF215="Yes",'Item Setup Form'!$E215,"")</f>
        <v/>
      </c>
      <c r="B211" s="70" t="str">
        <f>IF('Item Setup Form'!$AF215="Yes",'Item Setup Form'!D215,"")</f>
        <v/>
      </c>
      <c r="C211" s="81" t="str">
        <f>IF('Item Setup Form'!$AF215="Yes",'Item Setup Form'!L215,"")</f>
        <v/>
      </c>
      <c r="D211" s="81" t="str">
        <f>IF('Item Setup Form'!$AF215="Yes",'Item Setup Form'!M215,"")</f>
        <v/>
      </c>
      <c r="E211" s="70"/>
      <c r="F211" s="70" t="str">
        <f>IF('Item Setup Form'!$AF215="Yes",'Item Setup Form'!G215,"")</f>
        <v/>
      </c>
      <c r="G211" s="70" t="str">
        <f>IF('Item Setup Form'!$AF215="Yes",'Item Setup Form'!H215,"")</f>
        <v/>
      </c>
      <c r="H211" s="70" t="str">
        <f>IF('Item Setup Form'!$AF215="Yes",'Item Setup Form'!V215,"")</f>
        <v/>
      </c>
      <c r="I211" s="70"/>
      <c r="J211" s="70" t="str">
        <f>IF('Item Setup Form'!$AF215="Yes",'Item Setup Form'!U215,"")</f>
        <v/>
      </c>
      <c r="K211" s="70" t="str">
        <f>IF('Item Setup Form'!$AF215="Yes",'Item Setup Form'!V215,"")</f>
        <v/>
      </c>
      <c r="L211" s="70"/>
      <c r="M211" s="70" t="str">
        <f>IF('Item Setup Form'!$AF215="Yes",'Item Setup Form'!A215,"")</f>
        <v/>
      </c>
      <c r="N211" s="70"/>
      <c r="O211" s="70"/>
      <c r="P211" s="70"/>
      <c r="Q211" s="70"/>
      <c r="R211" s="70"/>
      <c r="S211" s="70"/>
      <c r="T211" s="70"/>
      <c r="U211" s="70"/>
      <c r="V211" s="70"/>
      <c r="W211" s="70"/>
      <c r="X211" s="70"/>
      <c r="Y211" s="70"/>
      <c r="Z211" s="70"/>
    </row>
    <row r="212" spans="1:26">
      <c r="A212" s="70" t="str">
        <f>IF('Item Setup Form'!$AF216="Yes",'Item Setup Form'!$E216,"")</f>
        <v/>
      </c>
      <c r="B212" s="70" t="str">
        <f>IF('Item Setup Form'!$AF216="Yes",'Item Setup Form'!D216,"")</f>
        <v/>
      </c>
      <c r="C212" s="81" t="str">
        <f>IF('Item Setup Form'!$AF216="Yes",'Item Setup Form'!L216,"")</f>
        <v/>
      </c>
      <c r="D212" s="81" t="str">
        <f>IF('Item Setup Form'!$AF216="Yes",'Item Setup Form'!M216,"")</f>
        <v/>
      </c>
      <c r="E212" s="70"/>
      <c r="F212" s="70" t="str">
        <f>IF('Item Setup Form'!$AF216="Yes",'Item Setup Form'!G216,"")</f>
        <v/>
      </c>
      <c r="G212" s="70" t="str">
        <f>IF('Item Setup Form'!$AF216="Yes",'Item Setup Form'!H216,"")</f>
        <v/>
      </c>
      <c r="H212" s="70" t="str">
        <f>IF('Item Setup Form'!$AF216="Yes",'Item Setup Form'!V216,"")</f>
        <v/>
      </c>
      <c r="I212" s="70"/>
      <c r="J212" s="70" t="str">
        <f>IF('Item Setup Form'!$AF216="Yes",'Item Setup Form'!U216,"")</f>
        <v/>
      </c>
      <c r="K212" s="70" t="str">
        <f>IF('Item Setup Form'!$AF216="Yes",'Item Setup Form'!V216,"")</f>
        <v/>
      </c>
      <c r="L212" s="70"/>
      <c r="M212" s="70" t="str">
        <f>IF('Item Setup Form'!$AF216="Yes",'Item Setup Form'!A216,"")</f>
        <v/>
      </c>
      <c r="N212" s="70"/>
      <c r="O212" s="70"/>
      <c r="P212" s="70"/>
      <c r="Q212" s="70"/>
      <c r="R212" s="70"/>
      <c r="S212" s="70"/>
      <c r="T212" s="70"/>
      <c r="U212" s="70"/>
      <c r="V212" s="70"/>
      <c r="W212" s="70"/>
      <c r="X212" s="70"/>
      <c r="Y212" s="70"/>
      <c r="Z212" s="70"/>
    </row>
    <row r="213" spans="1:26">
      <c r="A213" s="70" t="str">
        <f>IF('Item Setup Form'!$AF217="Yes",'Item Setup Form'!$E217,"")</f>
        <v/>
      </c>
      <c r="B213" s="70" t="str">
        <f>IF('Item Setup Form'!$AF217="Yes",'Item Setup Form'!D217,"")</f>
        <v/>
      </c>
      <c r="C213" s="81" t="str">
        <f>IF('Item Setup Form'!$AF217="Yes",'Item Setup Form'!L217,"")</f>
        <v/>
      </c>
      <c r="D213" s="81" t="str">
        <f>IF('Item Setup Form'!$AF217="Yes",'Item Setup Form'!M217,"")</f>
        <v/>
      </c>
      <c r="E213" s="70"/>
      <c r="F213" s="70" t="str">
        <f>IF('Item Setup Form'!$AF217="Yes",'Item Setup Form'!G217,"")</f>
        <v/>
      </c>
      <c r="G213" s="70" t="str">
        <f>IF('Item Setup Form'!$AF217="Yes",'Item Setup Form'!H217,"")</f>
        <v/>
      </c>
      <c r="H213" s="70" t="str">
        <f>IF('Item Setup Form'!$AF217="Yes",'Item Setup Form'!V217,"")</f>
        <v/>
      </c>
      <c r="I213" s="70"/>
      <c r="J213" s="70" t="str">
        <f>IF('Item Setup Form'!$AF217="Yes",'Item Setup Form'!U217,"")</f>
        <v/>
      </c>
      <c r="K213" s="70" t="str">
        <f>IF('Item Setup Form'!$AF217="Yes",'Item Setup Form'!V217,"")</f>
        <v/>
      </c>
      <c r="L213" s="70"/>
      <c r="M213" s="70" t="str">
        <f>IF('Item Setup Form'!$AF217="Yes",'Item Setup Form'!A217,"")</f>
        <v/>
      </c>
      <c r="N213" s="70"/>
      <c r="O213" s="70"/>
      <c r="P213" s="70"/>
      <c r="Q213" s="70"/>
      <c r="R213" s="70"/>
      <c r="S213" s="70"/>
      <c r="T213" s="70"/>
      <c r="U213" s="70"/>
      <c r="V213" s="70"/>
      <c r="W213" s="70"/>
      <c r="X213" s="70"/>
      <c r="Y213" s="70"/>
      <c r="Z213" s="70"/>
    </row>
    <row r="214" spans="1:26">
      <c r="A214" s="70" t="str">
        <f>IF('Item Setup Form'!$AF218="Yes",'Item Setup Form'!$E218,"")</f>
        <v/>
      </c>
      <c r="B214" s="70" t="str">
        <f>IF('Item Setup Form'!$AF218="Yes",'Item Setup Form'!D218,"")</f>
        <v/>
      </c>
      <c r="C214" s="81" t="str">
        <f>IF('Item Setup Form'!$AF218="Yes",'Item Setup Form'!L218,"")</f>
        <v/>
      </c>
      <c r="D214" s="81" t="str">
        <f>IF('Item Setup Form'!$AF218="Yes",'Item Setup Form'!M218,"")</f>
        <v/>
      </c>
      <c r="E214" s="70"/>
      <c r="F214" s="70" t="str">
        <f>IF('Item Setup Form'!$AF218="Yes",'Item Setup Form'!G218,"")</f>
        <v/>
      </c>
      <c r="G214" s="70" t="str">
        <f>IF('Item Setup Form'!$AF218="Yes",'Item Setup Form'!H218,"")</f>
        <v/>
      </c>
      <c r="H214" s="70" t="str">
        <f>IF('Item Setup Form'!$AF218="Yes",'Item Setup Form'!V218,"")</f>
        <v/>
      </c>
      <c r="I214" s="70"/>
      <c r="J214" s="70" t="str">
        <f>IF('Item Setup Form'!$AF218="Yes",'Item Setup Form'!U218,"")</f>
        <v/>
      </c>
      <c r="K214" s="70" t="str">
        <f>IF('Item Setup Form'!$AF218="Yes",'Item Setup Form'!V218,"")</f>
        <v/>
      </c>
      <c r="L214" s="70"/>
      <c r="M214" s="70" t="str">
        <f>IF('Item Setup Form'!$AF218="Yes",'Item Setup Form'!A218,"")</f>
        <v/>
      </c>
      <c r="N214" s="70"/>
      <c r="O214" s="70"/>
      <c r="P214" s="70"/>
      <c r="Q214" s="70"/>
      <c r="R214" s="70"/>
      <c r="S214" s="70"/>
      <c r="T214" s="70"/>
      <c r="U214" s="70"/>
      <c r="V214" s="70"/>
      <c r="W214" s="70"/>
      <c r="X214" s="70"/>
      <c r="Y214" s="70"/>
      <c r="Z214" s="70"/>
    </row>
    <row r="215" spans="1:26">
      <c r="A215" s="70" t="str">
        <f>IF('Item Setup Form'!$AF219="Yes",'Item Setup Form'!$E219,"")</f>
        <v/>
      </c>
      <c r="B215" s="70" t="str">
        <f>IF('Item Setup Form'!$AF219="Yes",'Item Setup Form'!D219,"")</f>
        <v/>
      </c>
      <c r="C215" s="81" t="str">
        <f>IF('Item Setup Form'!$AF219="Yes",'Item Setup Form'!L219,"")</f>
        <v/>
      </c>
      <c r="D215" s="81" t="str">
        <f>IF('Item Setup Form'!$AF219="Yes",'Item Setup Form'!M219,"")</f>
        <v/>
      </c>
      <c r="E215" s="70"/>
      <c r="F215" s="70" t="str">
        <f>IF('Item Setup Form'!$AF219="Yes",'Item Setup Form'!G219,"")</f>
        <v/>
      </c>
      <c r="G215" s="70" t="str">
        <f>IF('Item Setup Form'!$AF219="Yes",'Item Setup Form'!H219,"")</f>
        <v/>
      </c>
      <c r="H215" s="70" t="str">
        <f>IF('Item Setup Form'!$AF219="Yes",'Item Setup Form'!V219,"")</f>
        <v/>
      </c>
      <c r="I215" s="70"/>
      <c r="J215" s="70" t="str">
        <f>IF('Item Setup Form'!$AF219="Yes",'Item Setup Form'!U219,"")</f>
        <v/>
      </c>
      <c r="K215" s="70" t="str">
        <f>IF('Item Setup Form'!$AF219="Yes",'Item Setup Form'!V219,"")</f>
        <v/>
      </c>
      <c r="L215" s="70"/>
      <c r="M215" s="70" t="str">
        <f>IF('Item Setup Form'!$AF219="Yes",'Item Setup Form'!A219,"")</f>
        <v/>
      </c>
      <c r="N215" s="70"/>
      <c r="O215" s="70"/>
      <c r="P215" s="70"/>
      <c r="Q215" s="70"/>
      <c r="R215" s="70"/>
      <c r="S215" s="70"/>
      <c r="T215" s="70"/>
      <c r="U215" s="70"/>
      <c r="V215" s="70"/>
      <c r="W215" s="70"/>
      <c r="X215" s="70"/>
      <c r="Y215" s="70"/>
      <c r="Z215" s="70"/>
    </row>
    <row r="216" spans="1:26">
      <c r="A216" s="70" t="str">
        <f>IF('Item Setup Form'!$AF220="Yes",'Item Setup Form'!$E220,"")</f>
        <v/>
      </c>
      <c r="B216" s="70" t="str">
        <f>IF('Item Setup Form'!$AF220="Yes",'Item Setup Form'!D220,"")</f>
        <v/>
      </c>
      <c r="C216" s="81" t="str">
        <f>IF('Item Setup Form'!$AF220="Yes",'Item Setup Form'!L220,"")</f>
        <v/>
      </c>
      <c r="D216" s="81" t="str">
        <f>IF('Item Setup Form'!$AF220="Yes",'Item Setup Form'!M220,"")</f>
        <v/>
      </c>
      <c r="E216" s="70"/>
      <c r="F216" s="70" t="str">
        <f>IF('Item Setup Form'!$AF220="Yes",'Item Setup Form'!G220,"")</f>
        <v/>
      </c>
      <c r="G216" s="70" t="str">
        <f>IF('Item Setup Form'!$AF220="Yes",'Item Setup Form'!H220,"")</f>
        <v/>
      </c>
      <c r="H216" s="70" t="str">
        <f>IF('Item Setup Form'!$AF220="Yes",'Item Setup Form'!V220,"")</f>
        <v/>
      </c>
      <c r="I216" s="70"/>
      <c r="J216" s="70" t="str">
        <f>IF('Item Setup Form'!$AF220="Yes",'Item Setup Form'!U220,"")</f>
        <v/>
      </c>
      <c r="K216" s="70" t="str">
        <f>IF('Item Setup Form'!$AF220="Yes",'Item Setup Form'!V220,"")</f>
        <v/>
      </c>
      <c r="L216" s="70"/>
      <c r="M216" s="70" t="str">
        <f>IF('Item Setup Form'!$AF220="Yes",'Item Setup Form'!A220,"")</f>
        <v/>
      </c>
      <c r="N216" s="70"/>
      <c r="O216" s="70"/>
      <c r="P216" s="70"/>
      <c r="Q216" s="70"/>
      <c r="R216" s="70"/>
      <c r="S216" s="70"/>
      <c r="T216" s="70"/>
      <c r="U216" s="70"/>
      <c r="V216" s="70"/>
      <c r="W216" s="70"/>
      <c r="X216" s="70"/>
      <c r="Y216" s="70"/>
      <c r="Z216" s="70"/>
    </row>
    <row r="217" spans="1:26">
      <c r="A217" s="70" t="str">
        <f>IF('Item Setup Form'!$AF221="Yes",'Item Setup Form'!$E221,"")</f>
        <v/>
      </c>
      <c r="B217" s="70" t="str">
        <f>IF('Item Setup Form'!$AF221="Yes",'Item Setup Form'!D221,"")</f>
        <v/>
      </c>
      <c r="C217" s="81" t="str">
        <f>IF('Item Setup Form'!$AF221="Yes",'Item Setup Form'!L221,"")</f>
        <v/>
      </c>
      <c r="D217" s="81" t="str">
        <f>IF('Item Setup Form'!$AF221="Yes",'Item Setup Form'!M221,"")</f>
        <v/>
      </c>
      <c r="E217" s="70"/>
      <c r="F217" s="70" t="str">
        <f>IF('Item Setup Form'!$AF221="Yes",'Item Setup Form'!G221,"")</f>
        <v/>
      </c>
      <c r="G217" s="70" t="str">
        <f>IF('Item Setup Form'!$AF221="Yes",'Item Setup Form'!H221,"")</f>
        <v/>
      </c>
      <c r="H217" s="70" t="str">
        <f>IF('Item Setup Form'!$AF221="Yes",'Item Setup Form'!V221,"")</f>
        <v/>
      </c>
      <c r="I217" s="70"/>
      <c r="J217" s="70" t="str">
        <f>IF('Item Setup Form'!$AF221="Yes",'Item Setup Form'!U221,"")</f>
        <v/>
      </c>
      <c r="K217" s="70" t="str">
        <f>IF('Item Setup Form'!$AF221="Yes",'Item Setup Form'!V221,"")</f>
        <v/>
      </c>
      <c r="L217" s="70"/>
      <c r="M217" s="70" t="str">
        <f>IF('Item Setup Form'!$AF221="Yes",'Item Setup Form'!A221,"")</f>
        <v/>
      </c>
      <c r="N217" s="70"/>
      <c r="O217" s="70"/>
      <c r="P217" s="70"/>
      <c r="Q217" s="70"/>
      <c r="R217" s="70"/>
      <c r="S217" s="70"/>
      <c r="T217" s="70"/>
      <c r="U217" s="70"/>
      <c r="V217" s="70"/>
      <c r="W217" s="70"/>
      <c r="X217" s="70"/>
      <c r="Y217" s="70"/>
      <c r="Z217" s="70"/>
    </row>
    <row r="218" spans="1:26">
      <c r="A218" s="70" t="str">
        <f>IF('Item Setup Form'!$AF222="Yes",'Item Setup Form'!$E222,"")</f>
        <v/>
      </c>
      <c r="B218" s="70" t="str">
        <f>IF('Item Setup Form'!$AF222="Yes",'Item Setup Form'!D222,"")</f>
        <v/>
      </c>
      <c r="C218" s="81" t="str">
        <f>IF('Item Setup Form'!$AF222="Yes",'Item Setup Form'!L222,"")</f>
        <v/>
      </c>
      <c r="D218" s="81" t="str">
        <f>IF('Item Setup Form'!$AF222="Yes",'Item Setup Form'!M222,"")</f>
        <v/>
      </c>
      <c r="E218" s="70"/>
      <c r="F218" s="70" t="str">
        <f>IF('Item Setup Form'!$AF222="Yes",'Item Setup Form'!G222,"")</f>
        <v/>
      </c>
      <c r="G218" s="70" t="str">
        <f>IF('Item Setup Form'!$AF222="Yes",'Item Setup Form'!H222,"")</f>
        <v/>
      </c>
      <c r="H218" s="70" t="str">
        <f>IF('Item Setup Form'!$AF222="Yes",'Item Setup Form'!V222,"")</f>
        <v/>
      </c>
      <c r="I218" s="70"/>
      <c r="J218" s="70" t="str">
        <f>IF('Item Setup Form'!$AF222="Yes",'Item Setup Form'!U222,"")</f>
        <v/>
      </c>
      <c r="K218" s="70" t="str">
        <f>IF('Item Setup Form'!$AF222="Yes",'Item Setup Form'!V222,"")</f>
        <v/>
      </c>
      <c r="L218" s="70"/>
      <c r="M218" s="70" t="str">
        <f>IF('Item Setup Form'!$AF222="Yes",'Item Setup Form'!A222,"")</f>
        <v/>
      </c>
      <c r="N218" s="70"/>
      <c r="O218" s="70"/>
      <c r="P218" s="70"/>
      <c r="Q218" s="70"/>
      <c r="R218" s="70"/>
      <c r="S218" s="70"/>
      <c r="T218" s="70"/>
      <c r="U218" s="70"/>
      <c r="V218" s="70"/>
      <c r="W218" s="70"/>
      <c r="X218" s="70"/>
      <c r="Y218" s="70"/>
      <c r="Z218" s="70"/>
    </row>
    <row r="219" spans="1:26">
      <c r="A219" s="70" t="str">
        <f>IF('Item Setup Form'!$AF223="Yes",'Item Setup Form'!$E223,"")</f>
        <v/>
      </c>
      <c r="B219" s="70" t="str">
        <f>IF('Item Setup Form'!$AF223="Yes",'Item Setup Form'!D223,"")</f>
        <v/>
      </c>
      <c r="C219" s="81" t="str">
        <f>IF('Item Setup Form'!$AF223="Yes",'Item Setup Form'!L223,"")</f>
        <v/>
      </c>
      <c r="D219" s="81" t="str">
        <f>IF('Item Setup Form'!$AF223="Yes",'Item Setup Form'!M223,"")</f>
        <v/>
      </c>
      <c r="E219" s="70"/>
      <c r="F219" s="70" t="str">
        <f>IF('Item Setup Form'!$AF223="Yes",'Item Setup Form'!G223,"")</f>
        <v/>
      </c>
      <c r="G219" s="70" t="str">
        <f>IF('Item Setup Form'!$AF223="Yes",'Item Setup Form'!H223,"")</f>
        <v/>
      </c>
      <c r="H219" s="70" t="str">
        <f>IF('Item Setup Form'!$AF223="Yes",'Item Setup Form'!V223,"")</f>
        <v/>
      </c>
      <c r="I219" s="70"/>
      <c r="J219" s="70" t="str">
        <f>IF('Item Setup Form'!$AF223="Yes",'Item Setup Form'!U223,"")</f>
        <v/>
      </c>
      <c r="K219" s="70" t="str">
        <f>IF('Item Setup Form'!$AF223="Yes",'Item Setup Form'!V223,"")</f>
        <v/>
      </c>
      <c r="L219" s="70"/>
      <c r="M219" s="70" t="str">
        <f>IF('Item Setup Form'!$AF223="Yes",'Item Setup Form'!A223,"")</f>
        <v/>
      </c>
      <c r="N219" s="70"/>
      <c r="O219" s="70"/>
      <c r="P219" s="70"/>
      <c r="Q219" s="70"/>
      <c r="R219" s="70"/>
      <c r="S219" s="70"/>
      <c r="T219" s="70"/>
      <c r="U219" s="70"/>
      <c r="V219" s="70"/>
      <c r="W219" s="70"/>
      <c r="X219" s="70"/>
      <c r="Y219" s="70"/>
      <c r="Z219" s="70"/>
    </row>
    <row r="220" spans="1:26">
      <c r="A220" s="70" t="str">
        <f>IF('Item Setup Form'!$AF224="Yes",'Item Setup Form'!$E224,"")</f>
        <v/>
      </c>
      <c r="B220" s="70" t="str">
        <f>IF('Item Setup Form'!$AF224="Yes",'Item Setup Form'!D224,"")</f>
        <v/>
      </c>
      <c r="C220" s="81" t="str">
        <f>IF('Item Setup Form'!$AF224="Yes",'Item Setup Form'!L224,"")</f>
        <v/>
      </c>
      <c r="D220" s="81" t="str">
        <f>IF('Item Setup Form'!$AF224="Yes",'Item Setup Form'!M224,"")</f>
        <v/>
      </c>
      <c r="E220" s="70"/>
      <c r="F220" s="70" t="str">
        <f>IF('Item Setup Form'!$AF224="Yes",'Item Setup Form'!G224,"")</f>
        <v/>
      </c>
      <c r="G220" s="70" t="str">
        <f>IF('Item Setup Form'!$AF224="Yes",'Item Setup Form'!H224,"")</f>
        <v/>
      </c>
      <c r="H220" s="70" t="str">
        <f>IF('Item Setup Form'!$AF224="Yes",'Item Setup Form'!V224,"")</f>
        <v/>
      </c>
      <c r="I220" s="70"/>
      <c r="J220" s="70" t="str">
        <f>IF('Item Setup Form'!$AF224="Yes",'Item Setup Form'!U224,"")</f>
        <v/>
      </c>
      <c r="K220" s="70" t="str">
        <f>IF('Item Setup Form'!$AF224="Yes",'Item Setup Form'!V224,"")</f>
        <v/>
      </c>
      <c r="L220" s="70"/>
      <c r="M220" s="70" t="str">
        <f>IF('Item Setup Form'!$AF224="Yes",'Item Setup Form'!A224,"")</f>
        <v/>
      </c>
      <c r="N220" s="70"/>
      <c r="O220" s="70"/>
      <c r="P220" s="70"/>
      <c r="Q220" s="70"/>
      <c r="R220" s="70"/>
      <c r="S220" s="70"/>
      <c r="T220" s="70"/>
      <c r="U220" s="70"/>
      <c r="V220" s="70"/>
      <c r="W220" s="70"/>
      <c r="X220" s="70"/>
      <c r="Y220" s="70"/>
      <c r="Z220" s="70"/>
    </row>
    <row r="221" spans="1:26">
      <c r="A221" s="70" t="str">
        <f>IF('Item Setup Form'!$AF225="Yes",'Item Setup Form'!$E225,"")</f>
        <v/>
      </c>
      <c r="B221" s="70" t="str">
        <f>IF('Item Setup Form'!$AF225="Yes",'Item Setup Form'!D225,"")</f>
        <v/>
      </c>
      <c r="C221" s="81" t="str">
        <f>IF('Item Setup Form'!$AF225="Yes",'Item Setup Form'!L225,"")</f>
        <v/>
      </c>
      <c r="D221" s="81" t="str">
        <f>IF('Item Setup Form'!$AF225="Yes",'Item Setup Form'!M225,"")</f>
        <v/>
      </c>
      <c r="E221" s="70"/>
      <c r="F221" s="70" t="str">
        <f>IF('Item Setup Form'!$AF225="Yes",'Item Setup Form'!G225,"")</f>
        <v/>
      </c>
      <c r="G221" s="70" t="str">
        <f>IF('Item Setup Form'!$AF225="Yes",'Item Setup Form'!H225,"")</f>
        <v/>
      </c>
      <c r="H221" s="70" t="str">
        <f>IF('Item Setup Form'!$AF225="Yes",'Item Setup Form'!V225,"")</f>
        <v/>
      </c>
      <c r="I221" s="70"/>
      <c r="J221" s="70" t="str">
        <f>IF('Item Setup Form'!$AF225="Yes",'Item Setup Form'!U225,"")</f>
        <v/>
      </c>
      <c r="K221" s="70" t="str">
        <f>IF('Item Setup Form'!$AF225="Yes",'Item Setup Form'!V225,"")</f>
        <v/>
      </c>
      <c r="L221" s="70"/>
      <c r="M221" s="70" t="str">
        <f>IF('Item Setup Form'!$AF225="Yes",'Item Setup Form'!A225,"")</f>
        <v/>
      </c>
      <c r="N221" s="70"/>
      <c r="O221" s="70"/>
      <c r="P221" s="70"/>
      <c r="Q221" s="70"/>
      <c r="R221" s="70"/>
      <c r="S221" s="70"/>
      <c r="T221" s="70"/>
      <c r="U221" s="70"/>
      <c r="V221" s="70"/>
      <c r="W221" s="70"/>
      <c r="X221" s="70"/>
      <c r="Y221" s="70"/>
      <c r="Z221" s="70"/>
    </row>
    <row r="222" spans="1:26">
      <c r="A222" s="70" t="str">
        <f>IF('Item Setup Form'!$AF226="Yes",'Item Setup Form'!$E226,"")</f>
        <v/>
      </c>
      <c r="B222" s="70" t="str">
        <f>IF('Item Setup Form'!$AF226="Yes",'Item Setup Form'!D226,"")</f>
        <v/>
      </c>
      <c r="C222" s="81" t="str">
        <f>IF('Item Setup Form'!$AF226="Yes",'Item Setup Form'!L226,"")</f>
        <v/>
      </c>
      <c r="D222" s="81" t="str">
        <f>IF('Item Setup Form'!$AF226="Yes",'Item Setup Form'!M226,"")</f>
        <v/>
      </c>
      <c r="E222" s="70"/>
      <c r="F222" s="70" t="str">
        <f>IF('Item Setup Form'!$AF226="Yes",'Item Setup Form'!G226,"")</f>
        <v/>
      </c>
      <c r="G222" s="70" t="str">
        <f>IF('Item Setup Form'!$AF226="Yes",'Item Setup Form'!H226,"")</f>
        <v/>
      </c>
      <c r="H222" s="70" t="str">
        <f>IF('Item Setup Form'!$AF226="Yes",'Item Setup Form'!V226,"")</f>
        <v/>
      </c>
      <c r="I222" s="70"/>
      <c r="J222" s="70" t="str">
        <f>IF('Item Setup Form'!$AF226="Yes",'Item Setup Form'!U226,"")</f>
        <v/>
      </c>
      <c r="K222" s="70" t="str">
        <f>IF('Item Setup Form'!$AF226="Yes",'Item Setup Form'!V226,"")</f>
        <v/>
      </c>
      <c r="L222" s="70"/>
      <c r="M222" s="70" t="str">
        <f>IF('Item Setup Form'!$AF226="Yes",'Item Setup Form'!A226,"")</f>
        <v/>
      </c>
      <c r="N222" s="70"/>
      <c r="O222" s="70"/>
      <c r="P222" s="70"/>
      <c r="Q222" s="70"/>
      <c r="R222" s="70"/>
      <c r="S222" s="70"/>
      <c r="T222" s="70"/>
      <c r="U222" s="70"/>
      <c r="V222" s="70"/>
      <c r="W222" s="70"/>
      <c r="X222" s="70"/>
      <c r="Y222" s="70"/>
      <c r="Z222" s="70"/>
    </row>
    <row r="223" spans="1:26">
      <c r="A223" s="70" t="str">
        <f>IF('Item Setup Form'!$AF227="Yes",'Item Setup Form'!$E227,"")</f>
        <v/>
      </c>
      <c r="B223" s="70" t="str">
        <f>IF('Item Setup Form'!$AF227="Yes",'Item Setup Form'!D227,"")</f>
        <v/>
      </c>
      <c r="C223" s="81" t="str">
        <f>IF('Item Setup Form'!$AF227="Yes",'Item Setup Form'!L227,"")</f>
        <v/>
      </c>
      <c r="D223" s="81" t="str">
        <f>IF('Item Setup Form'!$AF227="Yes",'Item Setup Form'!M227,"")</f>
        <v/>
      </c>
      <c r="E223" s="70"/>
      <c r="F223" s="70" t="str">
        <f>IF('Item Setup Form'!$AF227="Yes",'Item Setup Form'!G227,"")</f>
        <v/>
      </c>
      <c r="G223" s="70" t="str">
        <f>IF('Item Setup Form'!$AF227="Yes",'Item Setup Form'!H227,"")</f>
        <v/>
      </c>
      <c r="H223" s="70" t="str">
        <f>IF('Item Setup Form'!$AF227="Yes",'Item Setup Form'!V227,"")</f>
        <v/>
      </c>
      <c r="I223" s="70"/>
      <c r="J223" s="70" t="str">
        <f>IF('Item Setup Form'!$AF227="Yes",'Item Setup Form'!U227,"")</f>
        <v/>
      </c>
      <c r="K223" s="70" t="str">
        <f>IF('Item Setup Form'!$AF227="Yes",'Item Setup Form'!V227,"")</f>
        <v/>
      </c>
      <c r="L223" s="70"/>
      <c r="M223" s="70" t="str">
        <f>IF('Item Setup Form'!$AF227="Yes",'Item Setup Form'!A227,"")</f>
        <v/>
      </c>
      <c r="N223" s="70"/>
      <c r="O223" s="70"/>
      <c r="P223" s="70"/>
      <c r="Q223" s="70"/>
      <c r="R223" s="70"/>
      <c r="S223" s="70"/>
      <c r="T223" s="70"/>
      <c r="U223" s="70"/>
      <c r="V223" s="70"/>
      <c r="W223" s="70"/>
      <c r="X223" s="70"/>
      <c r="Y223" s="70"/>
      <c r="Z223" s="70"/>
    </row>
    <row r="224" spans="1:26">
      <c r="A224" s="70" t="str">
        <f>IF('Item Setup Form'!$AF228="Yes",'Item Setup Form'!$E228,"")</f>
        <v/>
      </c>
      <c r="B224" s="70" t="str">
        <f>IF('Item Setup Form'!$AF228="Yes",'Item Setup Form'!D228,"")</f>
        <v/>
      </c>
      <c r="C224" s="81" t="str">
        <f>IF('Item Setup Form'!$AF228="Yes",'Item Setup Form'!L228,"")</f>
        <v/>
      </c>
      <c r="D224" s="81" t="str">
        <f>IF('Item Setup Form'!$AF228="Yes",'Item Setup Form'!M228,"")</f>
        <v/>
      </c>
      <c r="E224" s="70"/>
      <c r="F224" s="70" t="str">
        <f>IF('Item Setup Form'!$AF228="Yes",'Item Setup Form'!G228,"")</f>
        <v/>
      </c>
      <c r="G224" s="70" t="str">
        <f>IF('Item Setup Form'!$AF228="Yes",'Item Setup Form'!H228,"")</f>
        <v/>
      </c>
      <c r="H224" s="70" t="str">
        <f>IF('Item Setup Form'!$AF228="Yes",'Item Setup Form'!V228,"")</f>
        <v/>
      </c>
      <c r="I224" s="70"/>
      <c r="J224" s="70" t="str">
        <f>IF('Item Setup Form'!$AF228="Yes",'Item Setup Form'!U228,"")</f>
        <v/>
      </c>
      <c r="K224" s="70" t="str">
        <f>IF('Item Setup Form'!$AF228="Yes",'Item Setup Form'!V228,"")</f>
        <v/>
      </c>
      <c r="L224" s="70"/>
      <c r="M224" s="70" t="str">
        <f>IF('Item Setup Form'!$AF228="Yes",'Item Setup Form'!A228,"")</f>
        <v/>
      </c>
      <c r="N224" s="70"/>
      <c r="O224" s="70"/>
      <c r="P224" s="70"/>
      <c r="Q224" s="70"/>
      <c r="R224" s="70"/>
      <c r="S224" s="70"/>
      <c r="T224" s="70"/>
      <c r="U224" s="70"/>
      <c r="V224" s="70"/>
      <c r="W224" s="70"/>
      <c r="X224" s="70"/>
      <c r="Y224" s="70"/>
      <c r="Z224" s="70"/>
    </row>
    <row r="225" spans="1:26">
      <c r="A225" s="70" t="str">
        <f>IF('Item Setup Form'!$AF229="Yes",'Item Setup Form'!$E229,"")</f>
        <v/>
      </c>
      <c r="B225" s="70" t="str">
        <f>IF('Item Setup Form'!$AF229="Yes",'Item Setup Form'!D229,"")</f>
        <v/>
      </c>
      <c r="C225" s="81" t="str">
        <f>IF('Item Setup Form'!$AF229="Yes",'Item Setup Form'!L229,"")</f>
        <v/>
      </c>
      <c r="D225" s="81" t="str">
        <f>IF('Item Setup Form'!$AF229="Yes",'Item Setup Form'!M229,"")</f>
        <v/>
      </c>
      <c r="E225" s="70"/>
      <c r="F225" s="70" t="str">
        <f>IF('Item Setup Form'!$AF229="Yes",'Item Setup Form'!G229,"")</f>
        <v/>
      </c>
      <c r="G225" s="70" t="str">
        <f>IF('Item Setup Form'!$AF229="Yes",'Item Setup Form'!H229,"")</f>
        <v/>
      </c>
      <c r="H225" s="70" t="str">
        <f>IF('Item Setup Form'!$AF229="Yes",'Item Setup Form'!V229,"")</f>
        <v/>
      </c>
      <c r="I225" s="70"/>
      <c r="J225" s="70" t="str">
        <f>IF('Item Setup Form'!$AF229="Yes",'Item Setup Form'!U229,"")</f>
        <v/>
      </c>
      <c r="K225" s="70" t="str">
        <f>IF('Item Setup Form'!$AF229="Yes",'Item Setup Form'!V229,"")</f>
        <v/>
      </c>
      <c r="L225" s="70"/>
      <c r="M225" s="70" t="str">
        <f>IF('Item Setup Form'!$AF229="Yes",'Item Setup Form'!A229,"")</f>
        <v/>
      </c>
      <c r="N225" s="70"/>
      <c r="O225" s="70"/>
      <c r="P225" s="70"/>
      <c r="Q225" s="70"/>
      <c r="R225" s="70"/>
      <c r="S225" s="70"/>
      <c r="T225" s="70"/>
      <c r="U225" s="70"/>
      <c r="V225" s="70"/>
      <c r="W225" s="70"/>
      <c r="X225" s="70"/>
      <c r="Y225" s="70"/>
      <c r="Z225" s="70"/>
    </row>
    <row r="226" spans="1:26">
      <c r="A226" s="70" t="str">
        <f>IF('Item Setup Form'!$AF230="Yes",'Item Setup Form'!$E230,"")</f>
        <v/>
      </c>
      <c r="B226" s="70" t="str">
        <f>IF('Item Setup Form'!$AF230="Yes",'Item Setup Form'!D230,"")</f>
        <v/>
      </c>
      <c r="C226" s="81" t="str">
        <f>IF('Item Setup Form'!$AF230="Yes",'Item Setup Form'!L230,"")</f>
        <v/>
      </c>
      <c r="D226" s="81" t="str">
        <f>IF('Item Setup Form'!$AF230="Yes",'Item Setup Form'!M230,"")</f>
        <v/>
      </c>
      <c r="E226" s="70"/>
      <c r="F226" s="70" t="str">
        <f>IF('Item Setup Form'!$AF230="Yes",'Item Setup Form'!G230,"")</f>
        <v/>
      </c>
      <c r="G226" s="70" t="str">
        <f>IF('Item Setup Form'!$AF230="Yes",'Item Setup Form'!H230,"")</f>
        <v/>
      </c>
      <c r="H226" s="70" t="str">
        <f>IF('Item Setup Form'!$AF230="Yes",'Item Setup Form'!V230,"")</f>
        <v/>
      </c>
      <c r="I226" s="70"/>
      <c r="J226" s="70" t="str">
        <f>IF('Item Setup Form'!$AF230="Yes",'Item Setup Form'!U230,"")</f>
        <v/>
      </c>
      <c r="K226" s="70" t="str">
        <f>IF('Item Setup Form'!$AF230="Yes",'Item Setup Form'!V230,"")</f>
        <v/>
      </c>
      <c r="L226" s="70"/>
      <c r="M226" s="70" t="str">
        <f>IF('Item Setup Form'!$AF230="Yes",'Item Setup Form'!A230,"")</f>
        <v/>
      </c>
      <c r="N226" s="70"/>
      <c r="O226" s="70"/>
      <c r="P226" s="70"/>
      <c r="Q226" s="70"/>
      <c r="R226" s="70"/>
      <c r="S226" s="70"/>
      <c r="T226" s="70"/>
      <c r="U226" s="70"/>
      <c r="V226" s="70"/>
      <c r="W226" s="70"/>
      <c r="X226" s="70"/>
      <c r="Y226" s="70"/>
      <c r="Z226" s="70"/>
    </row>
    <row r="227" spans="1:26">
      <c r="A227" s="70" t="str">
        <f>IF('Item Setup Form'!$AF231="Yes",'Item Setup Form'!$E231,"")</f>
        <v/>
      </c>
      <c r="B227" s="70" t="str">
        <f>IF('Item Setup Form'!$AF231="Yes",'Item Setup Form'!D231,"")</f>
        <v/>
      </c>
      <c r="C227" s="81" t="str">
        <f>IF('Item Setup Form'!$AF231="Yes",'Item Setup Form'!L231,"")</f>
        <v/>
      </c>
      <c r="D227" s="81" t="str">
        <f>IF('Item Setup Form'!$AF231="Yes",'Item Setup Form'!M231,"")</f>
        <v/>
      </c>
      <c r="E227" s="70"/>
      <c r="F227" s="70" t="str">
        <f>IF('Item Setup Form'!$AF231="Yes",'Item Setup Form'!G231,"")</f>
        <v/>
      </c>
      <c r="G227" s="70" t="str">
        <f>IF('Item Setup Form'!$AF231="Yes",'Item Setup Form'!H231,"")</f>
        <v/>
      </c>
      <c r="H227" s="70" t="str">
        <f>IF('Item Setup Form'!$AF231="Yes",'Item Setup Form'!V231,"")</f>
        <v/>
      </c>
      <c r="I227" s="70"/>
      <c r="J227" s="70" t="str">
        <f>IF('Item Setup Form'!$AF231="Yes",'Item Setup Form'!U231,"")</f>
        <v/>
      </c>
      <c r="K227" s="70" t="str">
        <f>IF('Item Setup Form'!$AF231="Yes",'Item Setup Form'!V231,"")</f>
        <v/>
      </c>
      <c r="L227" s="70"/>
      <c r="M227" s="70" t="str">
        <f>IF('Item Setup Form'!$AF231="Yes",'Item Setup Form'!A231,"")</f>
        <v/>
      </c>
      <c r="N227" s="70"/>
      <c r="O227" s="70"/>
      <c r="P227" s="70"/>
      <c r="Q227" s="70"/>
      <c r="R227" s="70"/>
      <c r="S227" s="70"/>
      <c r="T227" s="70"/>
      <c r="U227" s="70"/>
      <c r="V227" s="70"/>
      <c r="W227" s="70"/>
      <c r="X227" s="70"/>
      <c r="Y227" s="70"/>
      <c r="Z227" s="70"/>
    </row>
    <row r="228" spans="1:26">
      <c r="A228" s="70" t="str">
        <f>IF('Item Setup Form'!$AF232="Yes",'Item Setup Form'!$E232,"")</f>
        <v/>
      </c>
      <c r="B228" s="70" t="str">
        <f>IF('Item Setup Form'!$AF232="Yes",'Item Setup Form'!D232,"")</f>
        <v/>
      </c>
      <c r="C228" s="81" t="str">
        <f>IF('Item Setup Form'!$AF232="Yes",'Item Setup Form'!L232,"")</f>
        <v/>
      </c>
      <c r="D228" s="81" t="str">
        <f>IF('Item Setup Form'!$AF232="Yes",'Item Setup Form'!M232,"")</f>
        <v/>
      </c>
      <c r="E228" s="70"/>
      <c r="F228" s="70" t="str">
        <f>IF('Item Setup Form'!$AF232="Yes",'Item Setup Form'!G232,"")</f>
        <v/>
      </c>
      <c r="G228" s="70" t="str">
        <f>IF('Item Setup Form'!$AF232="Yes",'Item Setup Form'!H232,"")</f>
        <v/>
      </c>
      <c r="H228" s="70" t="str">
        <f>IF('Item Setup Form'!$AF232="Yes",'Item Setup Form'!V232,"")</f>
        <v/>
      </c>
      <c r="I228" s="70"/>
      <c r="J228" s="70" t="str">
        <f>IF('Item Setup Form'!$AF232="Yes",'Item Setup Form'!U232,"")</f>
        <v/>
      </c>
      <c r="K228" s="70" t="str">
        <f>IF('Item Setup Form'!$AF232="Yes",'Item Setup Form'!V232,"")</f>
        <v/>
      </c>
      <c r="L228" s="70"/>
      <c r="M228" s="70" t="str">
        <f>IF('Item Setup Form'!$AF232="Yes",'Item Setup Form'!A232,"")</f>
        <v/>
      </c>
      <c r="N228" s="70"/>
      <c r="O228" s="70"/>
      <c r="P228" s="70"/>
      <c r="Q228" s="70"/>
      <c r="R228" s="70"/>
      <c r="S228" s="70"/>
      <c r="T228" s="70"/>
      <c r="U228" s="70"/>
      <c r="V228" s="70"/>
      <c r="W228" s="70"/>
      <c r="X228" s="70"/>
      <c r="Y228" s="70"/>
      <c r="Z228" s="70"/>
    </row>
    <row r="229" spans="1:26">
      <c r="A229" s="70" t="str">
        <f>IF('Item Setup Form'!$AF233="Yes",'Item Setup Form'!$E233,"")</f>
        <v/>
      </c>
      <c r="B229" s="70" t="str">
        <f>IF('Item Setup Form'!$AF233="Yes",'Item Setup Form'!D233,"")</f>
        <v/>
      </c>
      <c r="C229" s="81" t="str">
        <f>IF('Item Setup Form'!$AF233="Yes",'Item Setup Form'!L233,"")</f>
        <v/>
      </c>
      <c r="D229" s="81" t="str">
        <f>IF('Item Setup Form'!$AF233="Yes",'Item Setup Form'!M233,"")</f>
        <v/>
      </c>
      <c r="E229" s="70"/>
      <c r="F229" s="70" t="str">
        <f>IF('Item Setup Form'!$AF233="Yes",'Item Setup Form'!G233,"")</f>
        <v/>
      </c>
      <c r="G229" s="70" t="str">
        <f>IF('Item Setup Form'!$AF233="Yes",'Item Setup Form'!H233,"")</f>
        <v/>
      </c>
      <c r="H229" s="70" t="str">
        <f>IF('Item Setup Form'!$AF233="Yes",'Item Setup Form'!V233,"")</f>
        <v/>
      </c>
      <c r="I229" s="70"/>
      <c r="J229" s="70" t="str">
        <f>IF('Item Setup Form'!$AF233="Yes",'Item Setup Form'!U233,"")</f>
        <v/>
      </c>
      <c r="K229" s="70" t="str">
        <f>IF('Item Setup Form'!$AF233="Yes",'Item Setup Form'!V233,"")</f>
        <v/>
      </c>
      <c r="L229" s="70"/>
      <c r="M229" s="70" t="str">
        <f>IF('Item Setup Form'!$AF233="Yes",'Item Setup Form'!A233,"")</f>
        <v/>
      </c>
      <c r="N229" s="70"/>
      <c r="O229" s="70"/>
      <c r="P229" s="70"/>
      <c r="Q229" s="70"/>
      <c r="R229" s="70"/>
      <c r="S229" s="70"/>
      <c r="T229" s="70"/>
      <c r="U229" s="70"/>
      <c r="V229" s="70"/>
      <c r="W229" s="70"/>
      <c r="X229" s="70"/>
      <c r="Y229" s="70"/>
      <c r="Z229" s="70"/>
    </row>
    <row r="230" spans="1:26">
      <c r="A230" s="70" t="str">
        <f>IF('Item Setup Form'!$AF234="Yes",'Item Setup Form'!$E234,"")</f>
        <v/>
      </c>
      <c r="B230" s="70" t="str">
        <f>IF('Item Setup Form'!$AF234="Yes",'Item Setup Form'!D234,"")</f>
        <v/>
      </c>
      <c r="C230" s="81" t="str">
        <f>IF('Item Setup Form'!$AF234="Yes",'Item Setup Form'!L234,"")</f>
        <v/>
      </c>
      <c r="D230" s="81" t="str">
        <f>IF('Item Setup Form'!$AF234="Yes",'Item Setup Form'!M234,"")</f>
        <v/>
      </c>
      <c r="E230" s="70"/>
      <c r="F230" s="70" t="str">
        <f>IF('Item Setup Form'!$AF234="Yes",'Item Setup Form'!G234,"")</f>
        <v/>
      </c>
      <c r="G230" s="70" t="str">
        <f>IF('Item Setup Form'!$AF234="Yes",'Item Setup Form'!H234,"")</f>
        <v/>
      </c>
      <c r="H230" s="70" t="str">
        <f>IF('Item Setup Form'!$AF234="Yes",'Item Setup Form'!V234,"")</f>
        <v/>
      </c>
      <c r="I230" s="70"/>
      <c r="J230" s="70" t="str">
        <f>IF('Item Setup Form'!$AF234="Yes",'Item Setup Form'!U234,"")</f>
        <v/>
      </c>
      <c r="K230" s="70" t="str">
        <f>IF('Item Setup Form'!$AF234="Yes",'Item Setup Form'!V234,"")</f>
        <v/>
      </c>
      <c r="L230" s="70"/>
      <c r="M230" s="70" t="str">
        <f>IF('Item Setup Form'!$AF234="Yes",'Item Setup Form'!A234,"")</f>
        <v/>
      </c>
      <c r="N230" s="70"/>
      <c r="O230" s="70"/>
      <c r="P230" s="70"/>
      <c r="Q230" s="70"/>
      <c r="R230" s="70"/>
      <c r="S230" s="70"/>
      <c r="T230" s="70"/>
      <c r="U230" s="70"/>
      <c r="V230" s="70"/>
      <c r="W230" s="70"/>
      <c r="X230" s="70"/>
      <c r="Y230" s="70"/>
      <c r="Z230" s="70"/>
    </row>
    <row r="231" spans="1:26">
      <c r="A231" s="70" t="str">
        <f>IF('Item Setup Form'!$AF235="Yes",'Item Setup Form'!$E235,"")</f>
        <v/>
      </c>
      <c r="B231" s="70" t="str">
        <f>IF('Item Setup Form'!$AF235="Yes",'Item Setup Form'!D235,"")</f>
        <v/>
      </c>
      <c r="C231" s="81" t="str">
        <f>IF('Item Setup Form'!$AF235="Yes",'Item Setup Form'!L235,"")</f>
        <v/>
      </c>
      <c r="D231" s="81" t="str">
        <f>IF('Item Setup Form'!$AF235="Yes",'Item Setup Form'!M235,"")</f>
        <v/>
      </c>
      <c r="E231" s="70"/>
      <c r="F231" s="70" t="str">
        <f>IF('Item Setup Form'!$AF235="Yes",'Item Setup Form'!G235,"")</f>
        <v/>
      </c>
      <c r="G231" s="70" t="str">
        <f>IF('Item Setup Form'!$AF235="Yes",'Item Setup Form'!H235,"")</f>
        <v/>
      </c>
      <c r="H231" s="70" t="str">
        <f>IF('Item Setup Form'!$AF235="Yes",'Item Setup Form'!V235,"")</f>
        <v/>
      </c>
      <c r="I231" s="70"/>
      <c r="J231" s="70" t="str">
        <f>IF('Item Setup Form'!$AF235="Yes",'Item Setup Form'!U235,"")</f>
        <v/>
      </c>
      <c r="K231" s="70" t="str">
        <f>IF('Item Setup Form'!$AF235="Yes",'Item Setup Form'!V235,"")</f>
        <v/>
      </c>
      <c r="L231" s="70"/>
      <c r="M231" s="70" t="str">
        <f>IF('Item Setup Form'!$AF235="Yes",'Item Setup Form'!A235,"")</f>
        <v/>
      </c>
      <c r="N231" s="70"/>
      <c r="O231" s="70"/>
      <c r="P231" s="70"/>
      <c r="Q231" s="70"/>
      <c r="R231" s="70"/>
      <c r="S231" s="70"/>
      <c r="T231" s="70"/>
      <c r="U231" s="70"/>
      <c r="V231" s="70"/>
      <c r="W231" s="70"/>
      <c r="X231" s="70"/>
      <c r="Y231" s="70"/>
      <c r="Z231" s="70"/>
    </row>
    <row r="232" spans="1:26">
      <c r="A232" s="70" t="str">
        <f>IF('Item Setup Form'!$AF236="Yes",'Item Setup Form'!$E236,"")</f>
        <v/>
      </c>
      <c r="B232" s="70" t="str">
        <f>IF('Item Setup Form'!$AF236="Yes",'Item Setup Form'!D236,"")</f>
        <v/>
      </c>
      <c r="C232" s="81" t="str">
        <f>IF('Item Setup Form'!$AF236="Yes",'Item Setup Form'!L236,"")</f>
        <v/>
      </c>
      <c r="D232" s="81" t="str">
        <f>IF('Item Setup Form'!$AF236="Yes",'Item Setup Form'!M236,"")</f>
        <v/>
      </c>
      <c r="E232" s="70"/>
      <c r="F232" s="70" t="str">
        <f>IF('Item Setup Form'!$AF236="Yes",'Item Setup Form'!G236,"")</f>
        <v/>
      </c>
      <c r="G232" s="70" t="str">
        <f>IF('Item Setup Form'!$AF236="Yes",'Item Setup Form'!H236,"")</f>
        <v/>
      </c>
      <c r="H232" s="70" t="str">
        <f>IF('Item Setup Form'!$AF236="Yes",'Item Setup Form'!V236,"")</f>
        <v/>
      </c>
      <c r="I232" s="70"/>
      <c r="J232" s="70" t="str">
        <f>IF('Item Setup Form'!$AF236="Yes",'Item Setup Form'!U236,"")</f>
        <v/>
      </c>
      <c r="K232" s="70" t="str">
        <f>IF('Item Setup Form'!$AF236="Yes",'Item Setup Form'!V236,"")</f>
        <v/>
      </c>
      <c r="L232" s="70"/>
      <c r="M232" s="70" t="str">
        <f>IF('Item Setup Form'!$AF236="Yes",'Item Setup Form'!A236,"")</f>
        <v/>
      </c>
      <c r="N232" s="70"/>
      <c r="O232" s="70"/>
      <c r="P232" s="70"/>
      <c r="Q232" s="70"/>
      <c r="R232" s="70"/>
      <c r="S232" s="70"/>
      <c r="T232" s="70"/>
      <c r="U232" s="70"/>
      <c r="V232" s="70"/>
      <c r="W232" s="70"/>
      <c r="X232" s="70"/>
      <c r="Y232" s="70"/>
      <c r="Z232" s="70"/>
    </row>
    <row r="233" spans="1:26">
      <c r="A233" s="70" t="str">
        <f>IF('Item Setup Form'!$AF237="Yes",'Item Setup Form'!$E237,"")</f>
        <v/>
      </c>
      <c r="B233" s="70" t="str">
        <f>IF('Item Setup Form'!$AF237="Yes",'Item Setup Form'!D237,"")</f>
        <v/>
      </c>
      <c r="C233" s="81" t="str">
        <f>IF('Item Setup Form'!$AF237="Yes",'Item Setup Form'!L237,"")</f>
        <v/>
      </c>
      <c r="D233" s="81" t="str">
        <f>IF('Item Setup Form'!$AF237="Yes",'Item Setup Form'!M237,"")</f>
        <v/>
      </c>
      <c r="E233" s="70"/>
      <c r="F233" s="70" t="str">
        <f>IF('Item Setup Form'!$AF237="Yes",'Item Setup Form'!G237,"")</f>
        <v/>
      </c>
      <c r="G233" s="70" t="str">
        <f>IF('Item Setup Form'!$AF237="Yes",'Item Setup Form'!H237,"")</f>
        <v/>
      </c>
      <c r="H233" s="70" t="str">
        <f>IF('Item Setup Form'!$AF237="Yes",'Item Setup Form'!V237,"")</f>
        <v/>
      </c>
      <c r="I233" s="70"/>
      <c r="J233" s="70" t="str">
        <f>IF('Item Setup Form'!$AF237="Yes",'Item Setup Form'!U237,"")</f>
        <v/>
      </c>
      <c r="K233" s="70" t="str">
        <f>IF('Item Setup Form'!$AF237="Yes",'Item Setup Form'!V237,"")</f>
        <v/>
      </c>
      <c r="L233" s="70"/>
      <c r="M233" s="70" t="str">
        <f>IF('Item Setup Form'!$AF237="Yes",'Item Setup Form'!A237,"")</f>
        <v/>
      </c>
      <c r="N233" s="70"/>
      <c r="O233" s="70"/>
      <c r="P233" s="70"/>
      <c r="Q233" s="70"/>
      <c r="R233" s="70"/>
      <c r="S233" s="70"/>
      <c r="T233" s="70"/>
      <c r="U233" s="70"/>
      <c r="V233" s="70"/>
      <c r="W233" s="70"/>
      <c r="X233" s="70"/>
      <c r="Y233" s="70"/>
      <c r="Z233" s="70"/>
    </row>
    <row r="234" spans="1:26">
      <c r="A234" s="70" t="str">
        <f>IF('Item Setup Form'!$AF238="Yes",'Item Setup Form'!$E238,"")</f>
        <v/>
      </c>
      <c r="B234" s="70" t="str">
        <f>IF('Item Setup Form'!$AF238="Yes",'Item Setup Form'!D238,"")</f>
        <v/>
      </c>
      <c r="C234" s="81" t="str">
        <f>IF('Item Setup Form'!$AF238="Yes",'Item Setup Form'!L238,"")</f>
        <v/>
      </c>
      <c r="D234" s="81" t="str">
        <f>IF('Item Setup Form'!$AF238="Yes",'Item Setup Form'!M238,"")</f>
        <v/>
      </c>
      <c r="E234" s="70"/>
      <c r="F234" s="70" t="str">
        <f>IF('Item Setup Form'!$AF238="Yes",'Item Setup Form'!G238,"")</f>
        <v/>
      </c>
      <c r="G234" s="70" t="str">
        <f>IF('Item Setup Form'!$AF238="Yes",'Item Setup Form'!H238,"")</f>
        <v/>
      </c>
      <c r="H234" s="70" t="str">
        <f>IF('Item Setup Form'!$AF238="Yes",'Item Setup Form'!V238,"")</f>
        <v/>
      </c>
      <c r="I234" s="70"/>
      <c r="J234" s="70" t="str">
        <f>IF('Item Setup Form'!$AF238="Yes",'Item Setup Form'!U238,"")</f>
        <v/>
      </c>
      <c r="K234" s="70" t="str">
        <f>IF('Item Setup Form'!$AF238="Yes",'Item Setup Form'!V238,"")</f>
        <v/>
      </c>
      <c r="L234" s="70"/>
      <c r="M234" s="70" t="str">
        <f>IF('Item Setup Form'!$AF238="Yes",'Item Setup Form'!A238,"")</f>
        <v/>
      </c>
      <c r="N234" s="70"/>
      <c r="O234" s="70"/>
      <c r="P234" s="70"/>
      <c r="Q234" s="70"/>
      <c r="R234" s="70"/>
      <c r="S234" s="70"/>
      <c r="T234" s="70"/>
      <c r="U234" s="70"/>
      <c r="V234" s="70"/>
      <c r="W234" s="70"/>
      <c r="X234" s="70"/>
      <c r="Y234" s="70"/>
      <c r="Z234" s="70"/>
    </row>
    <row r="235" spans="1:26">
      <c r="A235" s="70" t="str">
        <f>IF('Item Setup Form'!$AF239="Yes",'Item Setup Form'!$E239,"")</f>
        <v/>
      </c>
      <c r="B235" s="70" t="str">
        <f>IF('Item Setup Form'!$AF239="Yes",'Item Setup Form'!D239,"")</f>
        <v/>
      </c>
      <c r="C235" s="81" t="str">
        <f>IF('Item Setup Form'!$AF239="Yes",'Item Setup Form'!L239,"")</f>
        <v/>
      </c>
      <c r="D235" s="81" t="str">
        <f>IF('Item Setup Form'!$AF239="Yes",'Item Setup Form'!M239,"")</f>
        <v/>
      </c>
      <c r="E235" s="70"/>
      <c r="F235" s="70" t="str">
        <f>IF('Item Setup Form'!$AF239="Yes",'Item Setup Form'!G239,"")</f>
        <v/>
      </c>
      <c r="G235" s="70" t="str">
        <f>IF('Item Setup Form'!$AF239="Yes",'Item Setup Form'!H239,"")</f>
        <v/>
      </c>
      <c r="H235" s="70" t="str">
        <f>IF('Item Setup Form'!$AF239="Yes",'Item Setup Form'!V239,"")</f>
        <v/>
      </c>
      <c r="I235" s="70"/>
      <c r="J235" s="70" t="str">
        <f>IF('Item Setup Form'!$AF239="Yes",'Item Setup Form'!U239,"")</f>
        <v/>
      </c>
      <c r="K235" s="70" t="str">
        <f>IF('Item Setup Form'!$AF239="Yes",'Item Setup Form'!V239,"")</f>
        <v/>
      </c>
      <c r="L235" s="70"/>
      <c r="M235" s="70" t="str">
        <f>IF('Item Setup Form'!$AF239="Yes",'Item Setup Form'!A239,"")</f>
        <v/>
      </c>
      <c r="N235" s="70"/>
      <c r="O235" s="70"/>
      <c r="P235" s="70"/>
      <c r="Q235" s="70"/>
      <c r="R235" s="70"/>
      <c r="S235" s="70"/>
      <c r="T235" s="70"/>
      <c r="U235" s="70"/>
      <c r="V235" s="70"/>
      <c r="W235" s="70"/>
      <c r="X235" s="70"/>
      <c r="Y235" s="70"/>
      <c r="Z235" s="70"/>
    </row>
    <row r="236" spans="1:26">
      <c r="A236" s="70" t="str">
        <f>IF('Item Setup Form'!$AF240="Yes",'Item Setup Form'!$E240,"")</f>
        <v/>
      </c>
      <c r="B236" s="70" t="str">
        <f>IF('Item Setup Form'!$AF240="Yes",'Item Setup Form'!D240,"")</f>
        <v/>
      </c>
      <c r="C236" s="81" t="str">
        <f>IF('Item Setup Form'!$AF240="Yes",'Item Setup Form'!L240,"")</f>
        <v/>
      </c>
      <c r="D236" s="81" t="str">
        <f>IF('Item Setup Form'!$AF240="Yes",'Item Setup Form'!M240,"")</f>
        <v/>
      </c>
      <c r="E236" s="70"/>
      <c r="F236" s="70" t="str">
        <f>IF('Item Setup Form'!$AF240="Yes",'Item Setup Form'!G240,"")</f>
        <v/>
      </c>
      <c r="G236" s="70" t="str">
        <f>IF('Item Setup Form'!$AF240="Yes",'Item Setup Form'!H240,"")</f>
        <v/>
      </c>
      <c r="H236" s="70" t="str">
        <f>IF('Item Setup Form'!$AF240="Yes",'Item Setup Form'!V240,"")</f>
        <v/>
      </c>
      <c r="I236" s="70"/>
      <c r="J236" s="70" t="str">
        <f>IF('Item Setup Form'!$AF240="Yes",'Item Setup Form'!U240,"")</f>
        <v/>
      </c>
      <c r="K236" s="70" t="str">
        <f>IF('Item Setup Form'!$AF240="Yes",'Item Setup Form'!V240,"")</f>
        <v/>
      </c>
      <c r="L236" s="70"/>
      <c r="M236" s="70" t="str">
        <f>IF('Item Setup Form'!$AF240="Yes",'Item Setup Form'!A240,"")</f>
        <v/>
      </c>
      <c r="N236" s="70"/>
      <c r="O236" s="70"/>
      <c r="P236" s="70"/>
      <c r="Q236" s="70"/>
      <c r="R236" s="70"/>
      <c r="S236" s="70"/>
      <c r="T236" s="70"/>
      <c r="U236" s="70"/>
      <c r="V236" s="70"/>
      <c r="W236" s="70"/>
      <c r="X236" s="70"/>
      <c r="Y236" s="70"/>
      <c r="Z236" s="70"/>
    </row>
    <row r="237" spans="1:26">
      <c r="A237" s="70" t="str">
        <f>IF('Item Setup Form'!$AF241="Yes",'Item Setup Form'!$E241,"")</f>
        <v/>
      </c>
      <c r="B237" s="70" t="str">
        <f>IF('Item Setup Form'!$AF241="Yes",'Item Setup Form'!D241,"")</f>
        <v/>
      </c>
      <c r="C237" s="81" t="str">
        <f>IF('Item Setup Form'!$AF241="Yes",'Item Setup Form'!L241,"")</f>
        <v/>
      </c>
      <c r="D237" s="81" t="str">
        <f>IF('Item Setup Form'!$AF241="Yes",'Item Setup Form'!M241,"")</f>
        <v/>
      </c>
      <c r="E237" s="70"/>
      <c r="F237" s="70" t="str">
        <f>IF('Item Setup Form'!$AF241="Yes",'Item Setup Form'!G241,"")</f>
        <v/>
      </c>
      <c r="G237" s="70" t="str">
        <f>IF('Item Setup Form'!$AF241="Yes",'Item Setup Form'!H241,"")</f>
        <v/>
      </c>
      <c r="H237" s="70" t="str">
        <f>IF('Item Setup Form'!$AF241="Yes",'Item Setup Form'!V241,"")</f>
        <v/>
      </c>
      <c r="I237" s="70"/>
      <c r="J237" s="70" t="str">
        <f>IF('Item Setup Form'!$AF241="Yes",'Item Setup Form'!U241,"")</f>
        <v/>
      </c>
      <c r="K237" s="70" t="str">
        <f>IF('Item Setup Form'!$AF241="Yes",'Item Setup Form'!V241,"")</f>
        <v/>
      </c>
      <c r="L237" s="70"/>
      <c r="M237" s="70" t="str">
        <f>IF('Item Setup Form'!$AF241="Yes",'Item Setup Form'!A241,"")</f>
        <v/>
      </c>
      <c r="N237" s="70"/>
      <c r="O237" s="70"/>
      <c r="P237" s="70"/>
      <c r="Q237" s="70"/>
      <c r="R237" s="70"/>
      <c r="S237" s="70"/>
      <c r="T237" s="70"/>
      <c r="U237" s="70"/>
      <c r="V237" s="70"/>
      <c r="W237" s="70"/>
      <c r="X237" s="70"/>
      <c r="Y237" s="70"/>
      <c r="Z237" s="70"/>
    </row>
    <row r="238" spans="1:26">
      <c r="A238" s="70" t="str">
        <f>IF('Item Setup Form'!$AF242="Yes",'Item Setup Form'!$E242,"")</f>
        <v/>
      </c>
      <c r="B238" s="70" t="str">
        <f>IF('Item Setup Form'!$AF242="Yes",'Item Setup Form'!D242,"")</f>
        <v/>
      </c>
      <c r="C238" s="81" t="str">
        <f>IF('Item Setup Form'!$AF242="Yes",'Item Setup Form'!L242,"")</f>
        <v/>
      </c>
      <c r="D238" s="81" t="str">
        <f>IF('Item Setup Form'!$AF242="Yes",'Item Setup Form'!M242,"")</f>
        <v/>
      </c>
      <c r="E238" s="70"/>
      <c r="F238" s="70" t="str">
        <f>IF('Item Setup Form'!$AF242="Yes",'Item Setup Form'!G242,"")</f>
        <v/>
      </c>
      <c r="G238" s="70" t="str">
        <f>IF('Item Setup Form'!$AF242="Yes",'Item Setup Form'!H242,"")</f>
        <v/>
      </c>
      <c r="H238" s="70" t="str">
        <f>IF('Item Setup Form'!$AF242="Yes",'Item Setup Form'!V242,"")</f>
        <v/>
      </c>
      <c r="I238" s="70"/>
      <c r="J238" s="70" t="str">
        <f>IF('Item Setup Form'!$AF242="Yes",'Item Setup Form'!U242,"")</f>
        <v/>
      </c>
      <c r="K238" s="70" t="str">
        <f>IF('Item Setup Form'!$AF242="Yes",'Item Setup Form'!V242,"")</f>
        <v/>
      </c>
      <c r="L238" s="70"/>
      <c r="M238" s="70" t="str">
        <f>IF('Item Setup Form'!$AF242="Yes",'Item Setup Form'!A242,"")</f>
        <v/>
      </c>
      <c r="N238" s="70"/>
      <c r="O238" s="70"/>
      <c r="P238" s="70"/>
      <c r="Q238" s="70"/>
      <c r="R238" s="70"/>
      <c r="S238" s="70"/>
      <c r="T238" s="70"/>
      <c r="U238" s="70"/>
      <c r="V238" s="70"/>
      <c r="W238" s="70"/>
      <c r="X238" s="70"/>
      <c r="Y238" s="70"/>
      <c r="Z238" s="70"/>
    </row>
    <row r="239" spans="1:26">
      <c r="A239" s="70" t="str">
        <f>IF('Item Setup Form'!$AF243="Yes",'Item Setup Form'!$E243,"")</f>
        <v/>
      </c>
      <c r="B239" s="70" t="str">
        <f>IF('Item Setup Form'!$AF243="Yes",'Item Setup Form'!D243,"")</f>
        <v/>
      </c>
      <c r="C239" s="81" t="str">
        <f>IF('Item Setup Form'!$AF243="Yes",'Item Setup Form'!L243,"")</f>
        <v/>
      </c>
      <c r="D239" s="81" t="str">
        <f>IF('Item Setup Form'!$AF243="Yes",'Item Setup Form'!M243,"")</f>
        <v/>
      </c>
      <c r="E239" s="70"/>
      <c r="F239" s="70" t="str">
        <f>IF('Item Setup Form'!$AF243="Yes",'Item Setup Form'!G243,"")</f>
        <v/>
      </c>
      <c r="G239" s="70" t="str">
        <f>IF('Item Setup Form'!$AF243="Yes",'Item Setup Form'!H243,"")</f>
        <v/>
      </c>
      <c r="H239" s="70" t="str">
        <f>IF('Item Setup Form'!$AF243="Yes",'Item Setup Form'!V243,"")</f>
        <v/>
      </c>
      <c r="I239" s="70"/>
      <c r="J239" s="70" t="str">
        <f>IF('Item Setup Form'!$AF243="Yes",'Item Setup Form'!U243,"")</f>
        <v/>
      </c>
      <c r="K239" s="70" t="str">
        <f>IF('Item Setup Form'!$AF243="Yes",'Item Setup Form'!V243,"")</f>
        <v/>
      </c>
      <c r="L239" s="70"/>
      <c r="M239" s="70" t="str">
        <f>IF('Item Setup Form'!$AF243="Yes",'Item Setup Form'!A243,"")</f>
        <v/>
      </c>
      <c r="N239" s="70"/>
      <c r="O239" s="70"/>
      <c r="P239" s="70"/>
      <c r="Q239" s="70"/>
      <c r="R239" s="70"/>
      <c r="S239" s="70"/>
      <c r="T239" s="70"/>
      <c r="U239" s="70"/>
      <c r="V239" s="70"/>
      <c r="W239" s="70"/>
      <c r="X239" s="70"/>
      <c r="Y239" s="70"/>
      <c r="Z239" s="70"/>
    </row>
    <row r="240" spans="1:26">
      <c r="A240" s="70" t="str">
        <f>IF('Item Setup Form'!$AF244="Yes",'Item Setup Form'!$E244,"")</f>
        <v/>
      </c>
      <c r="B240" s="70" t="str">
        <f>IF('Item Setup Form'!$AF244="Yes",'Item Setup Form'!D244,"")</f>
        <v/>
      </c>
      <c r="C240" s="81" t="str">
        <f>IF('Item Setup Form'!$AF244="Yes",'Item Setup Form'!L244,"")</f>
        <v/>
      </c>
      <c r="D240" s="81" t="str">
        <f>IF('Item Setup Form'!$AF244="Yes",'Item Setup Form'!M244,"")</f>
        <v/>
      </c>
      <c r="E240" s="70"/>
      <c r="F240" s="70" t="str">
        <f>IF('Item Setup Form'!$AF244="Yes",'Item Setup Form'!G244,"")</f>
        <v/>
      </c>
      <c r="G240" s="70" t="str">
        <f>IF('Item Setup Form'!$AF244="Yes",'Item Setup Form'!H244,"")</f>
        <v/>
      </c>
      <c r="H240" s="70" t="str">
        <f>IF('Item Setup Form'!$AF244="Yes",'Item Setup Form'!V244,"")</f>
        <v/>
      </c>
      <c r="I240" s="70"/>
      <c r="J240" s="70" t="str">
        <f>IF('Item Setup Form'!$AF244="Yes",'Item Setup Form'!U244,"")</f>
        <v/>
      </c>
      <c r="K240" s="70" t="str">
        <f>IF('Item Setup Form'!$AF244="Yes",'Item Setup Form'!V244,"")</f>
        <v/>
      </c>
      <c r="L240" s="70"/>
      <c r="M240" s="70" t="str">
        <f>IF('Item Setup Form'!$AF244="Yes",'Item Setup Form'!A244,"")</f>
        <v/>
      </c>
      <c r="N240" s="70"/>
      <c r="O240" s="70"/>
      <c r="P240" s="70"/>
      <c r="Q240" s="70"/>
      <c r="R240" s="70"/>
      <c r="S240" s="70"/>
      <c r="T240" s="70"/>
      <c r="U240" s="70"/>
      <c r="V240" s="70"/>
      <c r="W240" s="70"/>
      <c r="X240" s="70"/>
      <c r="Y240" s="70"/>
      <c r="Z240" s="70"/>
    </row>
    <row r="241" spans="1:26">
      <c r="A241" s="70" t="str">
        <f>IF('Item Setup Form'!$AF245="Yes",'Item Setup Form'!$E245,"")</f>
        <v/>
      </c>
      <c r="B241" s="70" t="str">
        <f>IF('Item Setup Form'!$AF245="Yes",'Item Setup Form'!D245,"")</f>
        <v/>
      </c>
      <c r="C241" s="81" t="str">
        <f>IF('Item Setup Form'!$AF245="Yes",'Item Setup Form'!L245,"")</f>
        <v/>
      </c>
      <c r="D241" s="81" t="str">
        <f>IF('Item Setup Form'!$AF245="Yes",'Item Setup Form'!M245,"")</f>
        <v/>
      </c>
      <c r="E241" s="70"/>
      <c r="F241" s="70" t="str">
        <f>IF('Item Setup Form'!$AF245="Yes",'Item Setup Form'!G245,"")</f>
        <v/>
      </c>
      <c r="G241" s="70" t="str">
        <f>IF('Item Setup Form'!$AF245="Yes",'Item Setup Form'!H245,"")</f>
        <v/>
      </c>
      <c r="H241" s="70" t="str">
        <f>IF('Item Setup Form'!$AF245="Yes",'Item Setup Form'!V245,"")</f>
        <v/>
      </c>
      <c r="I241" s="70"/>
      <c r="J241" s="70" t="str">
        <f>IF('Item Setup Form'!$AF245="Yes",'Item Setup Form'!U245,"")</f>
        <v/>
      </c>
      <c r="K241" s="70" t="str">
        <f>IF('Item Setup Form'!$AF245="Yes",'Item Setup Form'!V245,"")</f>
        <v/>
      </c>
      <c r="L241" s="70"/>
      <c r="M241" s="70" t="str">
        <f>IF('Item Setup Form'!$AF245="Yes",'Item Setup Form'!A245,"")</f>
        <v/>
      </c>
      <c r="N241" s="70"/>
      <c r="O241" s="70"/>
      <c r="P241" s="70"/>
      <c r="Q241" s="70"/>
      <c r="R241" s="70"/>
      <c r="S241" s="70"/>
      <c r="T241" s="70"/>
      <c r="U241" s="70"/>
      <c r="V241" s="70"/>
      <c r="W241" s="70"/>
      <c r="X241" s="70"/>
      <c r="Y241" s="70"/>
      <c r="Z241" s="70"/>
    </row>
    <row r="242" spans="1:26">
      <c r="A242" s="70" t="str">
        <f>IF('Item Setup Form'!$AF246="Yes",'Item Setup Form'!$E246,"")</f>
        <v/>
      </c>
      <c r="B242" s="70" t="str">
        <f>IF('Item Setup Form'!$AF246="Yes",'Item Setup Form'!D246,"")</f>
        <v/>
      </c>
      <c r="C242" s="81" t="str">
        <f>IF('Item Setup Form'!$AF246="Yes",'Item Setup Form'!L246,"")</f>
        <v/>
      </c>
      <c r="D242" s="81" t="str">
        <f>IF('Item Setup Form'!$AF246="Yes",'Item Setup Form'!M246,"")</f>
        <v/>
      </c>
      <c r="E242" s="70"/>
      <c r="F242" s="70" t="str">
        <f>IF('Item Setup Form'!$AF246="Yes",'Item Setup Form'!G246,"")</f>
        <v/>
      </c>
      <c r="G242" s="70" t="str">
        <f>IF('Item Setup Form'!$AF246="Yes",'Item Setup Form'!H246,"")</f>
        <v/>
      </c>
      <c r="H242" s="70" t="str">
        <f>IF('Item Setup Form'!$AF246="Yes",'Item Setup Form'!V246,"")</f>
        <v/>
      </c>
      <c r="I242" s="70"/>
      <c r="J242" s="70" t="str">
        <f>IF('Item Setup Form'!$AF246="Yes",'Item Setup Form'!U246,"")</f>
        <v/>
      </c>
      <c r="K242" s="70" t="str">
        <f>IF('Item Setup Form'!$AF246="Yes",'Item Setup Form'!V246,"")</f>
        <v/>
      </c>
      <c r="L242" s="70"/>
      <c r="M242" s="70" t="str">
        <f>IF('Item Setup Form'!$AF246="Yes",'Item Setup Form'!A246,"")</f>
        <v/>
      </c>
      <c r="N242" s="70"/>
      <c r="O242" s="70"/>
      <c r="P242" s="70"/>
      <c r="Q242" s="70"/>
      <c r="R242" s="70"/>
      <c r="S242" s="70"/>
      <c r="T242" s="70"/>
      <c r="U242" s="70"/>
      <c r="V242" s="70"/>
      <c r="W242" s="70"/>
      <c r="X242" s="70"/>
      <c r="Y242" s="70"/>
      <c r="Z242" s="70"/>
    </row>
    <row r="243" spans="1:26">
      <c r="A243" s="70" t="str">
        <f>IF('Item Setup Form'!$AF247="Yes",'Item Setup Form'!$E247,"")</f>
        <v/>
      </c>
      <c r="B243" s="70" t="str">
        <f>IF('Item Setup Form'!$AF247="Yes",'Item Setup Form'!D247,"")</f>
        <v/>
      </c>
      <c r="C243" s="81" t="str">
        <f>IF('Item Setup Form'!$AF247="Yes",'Item Setup Form'!L247,"")</f>
        <v/>
      </c>
      <c r="D243" s="81" t="str">
        <f>IF('Item Setup Form'!$AF247="Yes",'Item Setup Form'!M247,"")</f>
        <v/>
      </c>
      <c r="E243" s="70"/>
      <c r="F243" s="70" t="str">
        <f>IF('Item Setup Form'!$AF247="Yes",'Item Setup Form'!G247,"")</f>
        <v/>
      </c>
      <c r="G243" s="70" t="str">
        <f>IF('Item Setup Form'!$AF247="Yes",'Item Setup Form'!H247,"")</f>
        <v/>
      </c>
      <c r="H243" s="70" t="str">
        <f>IF('Item Setup Form'!$AF247="Yes",'Item Setup Form'!V247,"")</f>
        <v/>
      </c>
      <c r="I243" s="70"/>
      <c r="J243" s="70" t="str">
        <f>IF('Item Setup Form'!$AF247="Yes",'Item Setup Form'!U247,"")</f>
        <v/>
      </c>
      <c r="K243" s="70" t="str">
        <f>IF('Item Setup Form'!$AF247="Yes",'Item Setup Form'!V247,"")</f>
        <v/>
      </c>
      <c r="L243" s="70"/>
      <c r="M243" s="70" t="str">
        <f>IF('Item Setup Form'!$AF247="Yes",'Item Setup Form'!A247,"")</f>
        <v/>
      </c>
      <c r="N243" s="70"/>
      <c r="O243" s="70"/>
      <c r="P243" s="70"/>
      <c r="Q243" s="70"/>
      <c r="R243" s="70"/>
      <c r="S243" s="70"/>
      <c r="T243" s="70"/>
      <c r="U243" s="70"/>
      <c r="V243" s="70"/>
      <c r="W243" s="70"/>
      <c r="X243" s="70"/>
      <c r="Y243" s="70"/>
      <c r="Z243" s="70"/>
    </row>
    <row r="244" spans="1:26">
      <c r="A244" s="70" t="str">
        <f>IF('Item Setup Form'!$AF248="Yes",'Item Setup Form'!$E248,"")</f>
        <v/>
      </c>
      <c r="B244" s="70" t="str">
        <f>IF('Item Setup Form'!$AF248="Yes",'Item Setup Form'!D248,"")</f>
        <v/>
      </c>
      <c r="C244" s="81" t="str">
        <f>IF('Item Setup Form'!$AF248="Yes",'Item Setup Form'!L248,"")</f>
        <v/>
      </c>
      <c r="D244" s="81" t="str">
        <f>IF('Item Setup Form'!$AF248="Yes",'Item Setup Form'!M248,"")</f>
        <v/>
      </c>
      <c r="E244" s="70"/>
      <c r="F244" s="70" t="str">
        <f>IF('Item Setup Form'!$AF248="Yes",'Item Setup Form'!G248,"")</f>
        <v/>
      </c>
      <c r="G244" s="70" t="str">
        <f>IF('Item Setup Form'!$AF248="Yes",'Item Setup Form'!H248,"")</f>
        <v/>
      </c>
      <c r="H244" s="70" t="str">
        <f>IF('Item Setup Form'!$AF248="Yes",'Item Setup Form'!V248,"")</f>
        <v/>
      </c>
      <c r="I244" s="70"/>
      <c r="J244" s="70" t="str">
        <f>IF('Item Setup Form'!$AF248="Yes",'Item Setup Form'!U248,"")</f>
        <v/>
      </c>
      <c r="K244" s="70" t="str">
        <f>IF('Item Setup Form'!$AF248="Yes",'Item Setup Form'!V248,"")</f>
        <v/>
      </c>
      <c r="L244" s="70"/>
      <c r="M244" s="70" t="str">
        <f>IF('Item Setup Form'!$AF248="Yes",'Item Setup Form'!A248,"")</f>
        <v/>
      </c>
      <c r="N244" s="70"/>
      <c r="O244" s="70"/>
      <c r="P244" s="70"/>
      <c r="Q244" s="70"/>
      <c r="R244" s="70"/>
      <c r="S244" s="70"/>
      <c r="T244" s="70"/>
      <c r="U244" s="70"/>
      <c r="V244" s="70"/>
      <c r="W244" s="70"/>
      <c r="X244" s="70"/>
      <c r="Y244" s="70"/>
      <c r="Z244" s="70"/>
    </row>
    <row r="245" spans="1:26">
      <c r="A245" s="70" t="str">
        <f>IF('Item Setup Form'!$AF249="Yes",'Item Setup Form'!$E249,"")</f>
        <v/>
      </c>
      <c r="B245" s="70" t="str">
        <f>IF('Item Setup Form'!$AF249="Yes",'Item Setup Form'!D249,"")</f>
        <v/>
      </c>
      <c r="C245" s="81" t="str">
        <f>IF('Item Setup Form'!$AF249="Yes",'Item Setup Form'!L249,"")</f>
        <v/>
      </c>
      <c r="D245" s="81" t="str">
        <f>IF('Item Setup Form'!$AF249="Yes",'Item Setup Form'!M249,"")</f>
        <v/>
      </c>
      <c r="E245" s="70"/>
      <c r="F245" s="70" t="str">
        <f>IF('Item Setup Form'!$AF249="Yes",'Item Setup Form'!G249,"")</f>
        <v/>
      </c>
      <c r="G245" s="70" t="str">
        <f>IF('Item Setup Form'!$AF249="Yes",'Item Setup Form'!H249,"")</f>
        <v/>
      </c>
      <c r="H245" s="70" t="str">
        <f>IF('Item Setup Form'!$AF249="Yes",'Item Setup Form'!V249,"")</f>
        <v/>
      </c>
      <c r="I245" s="70"/>
      <c r="J245" s="70" t="str">
        <f>IF('Item Setup Form'!$AF249="Yes",'Item Setup Form'!U249,"")</f>
        <v/>
      </c>
      <c r="K245" s="70" t="str">
        <f>IF('Item Setup Form'!$AF249="Yes",'Item Setup Form'!V249,"")</f>
        <v/>
      </c>
      <c r="L245" s="70"/>
      <c r="M245" s="70" t="str">
        <f>IF('Item Setup Form'!$AF249="Yes",'Item Setup Form'!A249,"")</f>
        <v/>
      </c>
      <c r="N245" s="70"/>
      <c r="O245" s="70"/>
      <c r="P245" s="70"/>
      <c r="Q245" s="70"/>
      <c r="R245" s="70"/>
      <c r="S245" s="70"/>
      <c r="T245" s="70"/>
      <c r="U245" s="70"/>
      <c r="V245" s="70"/>
      <c r="W245" s="70"/>
      <c r="X245" s="70"/>
      <c r="Y245" s="70"/>
      <c r="Z245" s="70"/>
    </row>
    <row r="246" spans="1:26">
      <c r="A246" s="70" t="str">
        <f>IF('Item Setup Form'!$AF250="Yes",'Item Setup Form'!$E250,"")</f>
        <v/>
      </c>
      <c r="B246" s="70" t="str">
        <f>IF('Item Setup Form'!$AF250="Yes",'Item Setup Form'!D250,"")</f>
        <v/>
      </c>
      <c r="C246" s="81" t="str">
        <f>IF('Item Setup Form'!$AF250="Yes",'Item Setup Form'!L250,"")</f>
        <v/>
      </c>
      <c r="D246" s="81" t="str">
        <f>IF('Item Setup Form'!$AF250="Yes",'Item Setup Form'!M250,"")</f>
        <v/>
      </c>
      <c r="E246" s="70"/>
      <c r="F246" s="70" t="str">
        <f>IF('Item Setup Form'!$AF250="Yes",'Item Setup Form'!G250,"")</f>
        <v/>
      </c>
      <c r="G246" s="70" t="str">
        <f>IF('Item Setup Form'!$AF250="Yes",'Item Setup Form'!H250,"")</f>
        <v/>
      </c>
      <c r="H246" s="70" t="str">
        <f>IF('Item Setup Form'!$AF250="Yes",'Item Setup Form'!V250,"")</f>
        <v/>
      </c>
      <c r="I246" s="70"/>
      <c r="J246" s="70" t="str">
        <f>IF('Item Setup Form'!$AF250="Yes",'Item Setup Form'!U250,"")</f>
        <v/>
      </c>
      <c r="K246" s="70" t="str">
        <f>IF('Item Setup Form'!$AF250="Yes",'Item Setup Form'!V250,"")</f>
        <v/>
      </c>
      <c r="L246" s="70"/>
      <c r="M246" s="70" t="str">
        <f>IF('Item Setup Form'!$AF250="Yes",'Item Setup Form'!A250,"")</f>
        <v/>
      </c>
      <c r="N246" s="70"/>
      <c r="O246" s="70"/>
      <c r="P246" s="70"/>
      <c r="Q246" s="70"/>
      <c r="R246" s="70"/>
      <c r="S246" s="70"/>
      <c r="T246" s="70"/>
      <c r="U246" s="70"/>
      <c r="V246" s="70"/>
      <c r="W246" s="70"/>
      <c r="X246" s="70"/>
      <c r="Y246" s="70"/>
      <c r="Z246" s="70"/>
    </row>
    <row r="247" spans="1:26">
      <c r="A247" s="70" t="str">
        <f>IF('Item Setup Form'!$AF251="Yes",'Item Setup Form'!$E251,"")</f>
        <v/>
      </c>
      <c r="B247" s="70" t="str">
        <f>IF('Item Setup Form'!$AF251="Yes",'Item Setup Form'!D251,"")</f>
        <v/>
      </c>
      <c r="C247" s="81" t="str">
        <f>IF('Item Setup Form'!$AF251="Yes",'Item Setup Form'!L251,"")</f>
        <v/>
      </c>
      <c r="D247" s="81" t="str">
        <f>IF('Item Setup Form'!$AF251="Yes",'Item Setup Form'!M251,"")</f>
        <v/>
      </c>
      <c r="E247" s="70"/>
      <c r="F247" s="70" t="str">
        <f>IF('Item Setup Form'!$AF251="Yes",'Item Setup Form'!G251,"")</f>
        <v/>
      </c>
      <c r="G247" s="70" t="str">
        <f>IF('Item Setup Form'!$AF251="Yes",'Item Setup Form'!H251,"")</f>
        <v/>
      </c>
      <c r="H247" s="70" t="str">
        <f>IF('Item Setup Form'!$AF251="Yes",'Item Setup Form'!V251,"")</f>
        <v/>
      </c>
      <c r="I247" s="70"/>
      <c r="J247" s="70" t="str">
        <f>IF('Item Setup Form'!$AF251="Yes",'Item Setup Form'!U251,"")</f>
        <v/>
      </c>
      <c r="K247" s="70" t="str">
        <f>IF('Item Setup Form'!$AF251="Yes",'Item Setup Form'!V251,"")</f>
        <v/>
      </c>
      <c r="L247" s="70"/>
      <c r="M247" s="70" t="str">
        <f>IF('Item Setup Form'!$AF251="Yes",'Item Setup Form'!A251,"")</f>
        <v/>
      </c>
      <c r="N247" s="70"/>
      <c r="O247" s="70"/>
      <c r="P247" s="70"/>
      <c r="Q247" s="70"/>
      <c r="R247" s="70"/>
      <c r="S247" s="70"/>
      <c r="T247" s="70"/>
      <c r="U247" s="70"/>
      <c r="V247" s="70"/>
      <c r="W247" s="70"/>
      <c r="X247" s="70"/>
      <c r="Y247" s="70"/>
      <c r="Z247" s="70"/>
    </row>
    <row r="248" spans="1:26">
      <c r="A248" s="70" t="str">
        <f>IF('Item Setup Form'!$AF252="Yes",'Item Setup Form'!$E252,"")</f>
        <v/>
      </c>
      <c r="B248" s="70" t="str">
        <f>IF('Item Setup Form'!$AF252="Yes",'Item Setup Form'!D252,"")</f>
        <v/>
      </c>
      <c r="C248" s="81" t="str">
        <f>IF('Item Setup Form'!$AF252="Yes",'Item Setup Form'!L252,"")</f>
        <v/>
      </c>
      <c r="D248" s="81" t="str">
        <f>IF('Item Setup Form'!$AF252="Yes",'Item Setup Form'!M252,"")</f>
        <v/>
      </c>
      <c r="E248" s="70"/>
      <c r="F248" s="70" t="str">
        <f>IF('Item Setup Form'!$AF252="Yes",'Item Setup Form'!G252,"")</f>
        <v/>
      </c>
      <c r="G248" s="70" t="str">
        <f>IF('Item Setup Form'!$AF252="Yes",'Item Setup Form'!H252,"")</f>
        <v/>
      </c>
      <c r="H248" s="70" t="str">
        <f>IF('Item Setup Form'!$AF252="Yes",'Item Setup Form'!V252,"")</f>
        <v/>
      </c>
      <c r="I248" s="70"/>
      <c r="J248" s="70" t="str">
        <f>IF('Item Setup Form'!$AF252="Yes",'Item Setup Form'!U252,"")</f>
        <v/>
      </c>
      <c r="K248" s="70" t="str">
        <f>IF('Item Setup Form'!$AF252="Yes",'Item Setup Form'!V252,"")</f>
        <v/>
      </c>
      <c r="L248" s="70"/>
      <c r="M248" s="70" t="str">
        <f>IF('Item Setup Form'!$AF252="Yes",'Item Setup Form'!A252,"")</f>
        <v/>
      </c>
      <c r="N248" s="70"/>
      <c r="O248" s="70"/>
      <c r="P248" s="70"/>
      <c r="Q248" s="70"/>
      <c r="R248" s="70"/>
      <c r="S248" s="70"/>
      <c r="T248" s="70"/>
      <c r="U248" s="70"/>
      <c r="V248" s="70"/>
      <c r="W248" s="70"/>
      <c r="X248" s="70"/>
      <c r="Y248" s="70"/>
      <c r="Z248" s="70"/>
    </row>
    <row r="249" spans="1:26">
      <c r="A249" s="70" t="str">
        <f>IF('Item Setup Form'!$AF253="Yes",'Item Setup Form'!$E253,"")</f>
        <v/>
      </c>
      <c r="B249" s="70" t="str">
        <f>IF('Item Setup Form'!$AF253="Yes",'Item Setup Form'!D253,"")</f>
        <v/>
      </c>
      <c r="C249" s="81" t="str">
        <f>IF('Item Setup Form'!$AF253="Yes",'Item Setup Form'!L253,"")</f>
        <v/>
      </c>
      <c r="D249" s="81" t="str">
        <f>IF('Item Setup Form'!$AF253="Yes",'Item Setup Form'!M253,"")</f>
        <v/>
      </c>
      <c r="E249" s="70"/>
      <c r="F249" s="70" t="str">
        <f>IF('Item Setup Form'!$AF253="Yes",'Item Setup Form'!G253,"")</f>
        <v/>
      </c>
      <c r="G249" s="70" t="str">
        <f>IF('Item Setup Form'!$AF253="Yes",'Item Setup Form'!H253,"")</f>
        <v/>
      </c>
      <c r="H249" s="70" t="str">
        <f>IF('Item Setup Form'!$AF253="Yes",'Item Setup Form'!V253,"")</f>
        <v/>
      </c>
      <c r="I249" s="70"/>
      <c r="J249" s="70" t="str">
        <f>IF('Item Setup Form'!$AF253="Yes",'Item Setup Form'!U253,"")</f>
        <v/>
      </c>
      <c r="K249" s="70" t="str">
        <f>IF('Item Setup Form'!$AF253="Yes",'Item Setup Form'!V253,"")</f>
        <v/>
      </c>
      <c r="L249" s="70"/>
      <c r="M249" s="70" t="str">
        <f>IF('Item Setup Form'!$AF253="Yes",'Item Setup Form'!A253,"")</f>
        <v/>
      </c>
      <c r="N249" s="70"/>
      <c r="O249" s="70"/>
      <c r="P249" s="70"/>
      <c r="Q249" s="70"/>
      <c r="R249" s="70"/>
      <c r="S249" s="70"/>
      <c r="T249" s="70"/>
      <c r="U249" s="70"/>
      <c r="V249" s="70"/>
      <c r="W249" s="70"/>
      <c r="X249" s="70"/>
      <c r="Y249" s="70"/>
      <c r="Z249" s="70"/>
    </row>
    <row r="250" spans="1:26">
      <c r="A250" s="70" t="str">
        <f>IF('Item Setup Form'!$AF254="Yes",'Item Setup Form'!$E254,"")</f>
        <v/>
      </c>
      <c r="B250" s="70" t="str">
        <f>IF('Item Setup Form'!$AF254="Yes",'Item Setup Form'!D254,"")</f>
        <v/>
      </c>
      <c r="C250" s="81" t="str">
        <f>IF('Item Setup Form'!$AF254="Yes",'Item Setup Form'!L254,"")</f>
        <v/>
      </c>
      <c r="D250" s="81" t="str">
        <f>IF('Item Setup Form'!$AF254="Yes",'Item Setup Form'!M254,"")</f>
        <v/>
      </c>
      <c r="E250" s="70"/>
      <c r="F250" s="70" t="str">
        <f>IF('Item Setup Form'!$AF254="Yes",'Item Setup Form'!G254,"")</f>
        <v/>
      </c>
      <c r="G250" s="70" t="str">
        <f>IF('Item Setup Form'!$AF254="Yes",'Item Setup Form'!H254,"")</f>
        <v/>
      </c>
      <c r="H250" s="70" t="str">
        <f>IF('Item Setup Form'!$AF254="Yes",'Item Setup Form'!V254,"")</f>
        <v/>
      </c>
      <c r="I250" s="70"/>
      <c r="J250" s="70" t="str">
        <f>IF('Item Setup Form'!$AF254="Yes",'Item Setup Form'!U254,"")</f>
        <v/>
      </c>
      <c r="K250" s="70" t="str">
        <f>IF('Item Setup Form'!$AF254="Yes",'Item Setup Form'!V254,"")</f>
        <v/>
      </c>
      <c r="L250" s="70"/>
      <c r="M250" s="70" t="str">
        <f>IF('Item Setup Form'!$AF254="Yes",'Item Setup Form'!A254,"")</f>
        <v/>
      </c>
      <c r="N250" s="70"/>
      <c r="O250" s="70"/>
      <c r="P250" s="70"/>
      <c r="Q250" s="70"/>
      <c r="R250" s="70"/>
      <c r="S250" s="70"/>
      <c r="T250" s="70"/>
      <c r="U250" s="70"/>
      <c r="V250" s="70"/>
      <c r="W250" s="70"/>
      <c r="X250" s="70"/>
      <c r="Y250" s="70"/>
      <c r="Z250" s="70"/>
    </row>
    <row r="251" spans="1:26">
      <c r="A251" s="70" t="str">
        <f>IF('Item Setup Form'!$AF255="Yes",'Item Setup Form'!$E255,"")</f>
        <v/>
      </c>
      <c r="B251" s="70" t="str">
        <f>IF('Item Setup Form'!$AF255="Yes",'Item Setup Form'!D255,"")</f>
        <v/>
      </c>
      <c r="C251" s="81" t="str">
        <f>IF('Item Setup Form'!$AF255="Yes",'Item Setup Form'!L255,"")</f>
        <v/>
      </c>
      <c r="D251" s="81" t="str">
        <f>IF('Item Setup Form'!$AF255="Yes",'Item Setup Form'!M255,"")</f>
        <v/>
      </c>
      <c r="E251" s="70"/>
      <c r="F251" s="70" t="str">
        <f>IF('Item Setup Form'!$AF255="Yes",'Item Setup Form'!G255,"")</f>
        <v/>
      </c>
      <c r="G251" s="70" t="str">
        <f>IF('Item Setup Form'!$AF255="Yes",'Item Setup Form'!H255,"")</f>
        <v/>
      </c>
      <c r="H251" s="70" t="str">
        <f>IF('Item Setup Form'!$AF255="Yes",'Item Setup Form'!V255,"")</f>
        <v/>
      </c>
      <c r="I251" s="70"/>
      <c r="J251" s="70" t="str">
        <f>IF('Item Setup Form'!$AF255="Yes",'Item Setup Form'!U255,"")</f>
        <v/>
      </c>
      <c r="K251" s="70" t="str">
        <f>IF('Item Setup Form'!$AF255="Yes",'Item Setup Form'!V255,"")</f>
        <v/>
      </c>
      <c r="L251" s="70"/>
      <c r="M251" s="70" t="str">
        <f>IF('Item Setup Form'!$AF255="Yes",'Item Setup Form'!A255,"")</f>
        <v/>
      </c>
      <c r="N251" s="70"/>
      <c r="O251" s="70"/>
      <c r="P251" s="70"/>
      <c r="Q251" s="70"/>
      <c r="R251" s="70"/>
      <c r="S251" s="70"/>
      <c r="T251" s="70"/>
      <c r="U251" s="70"/>
      <c r="V251" s="70"/>
      <c r="W251" s="70"/>
      <c r="X251" s="70"/>
      <c r="Y251" s="70"/>
      <c r="Z251" s="70"/>
    </row>
    <row r="252" spans="1:26">
      <c r="A252" s="70" t="str">
        <f>IF('Item Setup Form'!$AF256="Yes",'Item Setup Form'!$E256,"")</f>
        <v/>
      </c>
      <c r="B252" s="70" t="str">
        <f>IF('Item Setup Form'!$AF256="Yes",'Item Setup Form'!D256,"")</f>
        <v/>
      </c>
      <c r="C252" s="81" t="str">
        <f>IF('Item Setup Form'!$AF256="Yes",'Item Setup Form'!L256,"")</f>
        <v/>
      </c>
      <c r="D252" s="81" t="str">
        <f>IF('Item Setup Form'!$AF256="Yes",'Item Setup Form'!M256,"")</f>
        <v/>
      </c>
      <c r="E252" s="70"/>
      <c r="F252" s="70" t="str">
        <f>IF('Item Setup Form'!$AF256="Yes",'Item Setup Form'!G256,"")</f>
        <v/>
      </c>
      <c r="G252" s="70" t="str">
        <f>IF('Item Setup Form'!$AF256="Yes",'Item Setup Form'!H256,"")</f>
        <v/>
      </c>
      <c r="H252" s="70" t="str">
        <f>IF('Item Setup Form'!$AF256="Yes",'Item Setup Form'!V256,"")</f>
        <v/>
      </c>
      <c r="I252" s="70"/>
      <c r="J252" s="70" t="str">
        <f>IF('Item Setup Form'!$AF256="Yes",'Item Setup Form'!U256,"")</f>
        <v/>
      </c>
      <c r="K252" s="70" t="str">
        <f>IF('Item Setup Form'!$AF256="Yes",'Item Setup Form'!V256,"")</f>
        <v/>
      </c>
      <c r="L252" s="70"/>
      <c r="M252" s="70" t="str">
        <f>IF('Item Setup Form'!$AF256="Yes",'Item Setup Form'!A256,"")</f>
        <v/>
      </c>
      <c r="N252" s="70"/>
      <c r="O252" s="70"/>
      <c r="P252" s="70"/>
      <c r="Q252" s="70"/>
      <c r="R252" s="70"/>
      <c r="S252" s="70"/>
      <c r="T252" s="70"/>
      <c r="U252" s="70"/>
      <c r="V252" s="70"/>
      <c r="W252" s="70"/>
      <c r="X252" s="70"/>
      <c r="Y252" s="70"/>
      <c r="Z252" s="70"/>
    </row>
    <row r="253" spans="1:26">
      <c r="A253" s="70" t="str">
        <f>IF('Item Setup Form'!$AF257="Yes",'Item Setup Form'!$E257,"")</f>
        <v/>
      </c>
      <c r="B253" s="70" t="str">
        <f>IF('Item Setup Form'!$AF257="Yes",'Item Setup Form'!D257,"")</f>
        <v/>
      </c>
      <c r="C253" s="81" t="str">
        <f>IF('Item Setup Form'!$AF257="Yes",'Item Setup Form'!L257,"")</f>
        <v/>
      </c>
      <c r="D253" s="81" t="str">
        <f>IF('Item Setup Form'!$AF257="Yes",'Item Setup Form'!M257,"")</f>
        <v/>
      </c>
      <c r="E253" s="70"/>
      <c r="F253" s="70" t="str">
        <f>IF('Item Setup Form'!$AF257="Yes",'Item Setup Form'!G257,"")</f>
        <v/>
      </c>
      <c r="G253" s="70" t="str">
        <f>IF('Item Setup Form'!$AF257="Yes",'Item Setup Form'!H257,"")</f>
        <v/>
      </c>
      <c r="H253" s="70" t="str">
        <f>IF('Item Setup Form'!$AF257="Yes",'Item Setup Form'!V257,"")</f>
        <v/>
      </c>
      <c r="I253" s="70"/>
      <c r="J253" s="70" t="str">
        <f>IF('Item Setup Form'!$AF257="Yes",'Item Setup Form'!U257,"")</f>
        <v/>
      </c>
      <c r="K253" s="70" t="str">
        <f>IF('Item Setup Form'!$AF257="Yes",'Item Setup Form'!V257,"")</f>
        <v/>
      </c>
      <c r="L253" s="70"/>
      <c r="M253" s="70" t="str">
        <f>IF('Item Setup Form'!$AF257="Yes",'Item Setup Form'!A257,"")</f>
        <v/>
      </c>
      <c r="N253" s="70"/>
      <c r="O253" s="70"/>
      <c r="P253" s="70"/>
      <c r="Q253" s="70"/>
      <c r="R253" s="70"/>
      <c r="S253" s="70"/>
      <c r="T253" s="70"/>
      <c r="U253" s="70"/>
      <c r="V253" s="70"/>
      <c r="W253" s="70"/>
      <c r="X253" s="70"/>
      <c r="Y253" s="70"/>
      <c r="Z253" s="70"/>
    </row>
    <row r="254" spans="1:26">
      <c r="A254" s="70" t="str">
        <f>IF('Item Setup Form'!$AF258="Yes",'Item Setup Form'!$E258,"")</f>
        <v/>
      </c>
      <c r="B254" s="70" t="str">
        <f>IF('Item Setup Form'!$AF258="Yes",'Item Setup Form'!D258,"")</f>
        <v/>
      </c>
      <c r="C254" s="81" t="str">
        <f>IF('Item Setup Form'!$AF258="Yes",'Item Setup Form'!L258,"")</f>
        <v/>
      </c>
      <c r="D254" s="81" t="str">
        <f>IF('Item Setup Form'!$AF258="Yes",'Item Setup Form'!M258,"")</f>
        <v/>
      </c>
      <c r="E254" s="70"/>
      <c r="F254" s="70" t="str">
        <f>IF('Item Setup Form'!$AF258="Yes",'Item Setup Form'!G258,"")</f>
        <v/>
      </c>
      <c r="G254" s="70" t="str">
        <f>IF('Item Setup Form'!$AF258="Yes",'Item Setup Form'!H258,"")</f>
        <v/>
      </c>
      <c r="H254" s="70" t="str">
        <f>IF('Item Setup Form'!$AF258="Yes",'Item Setup Form'!V258,"")</f>
        <v/>
      </c>
      <c r="I254" s="70"/>
      <c r="J254" s="70" t="str">
        <f>IF('Item Setup Form'!$AF258="Yes",'Item Setup Form'!U258,"")</f>
        <v/>
      </c>
      <c r="K254" s="70" t="str">
        <f>IF('Item Setup Form'!$AF258="Yes",'Item Setup Form'!V258,"")</f>
        <v/>
      </c>
      <c r="L254" s="70"/>
      <c r="M254" s="70" t="str">
        <f>IF('Item Setup Form'!$AF258="Yes",'Item Setup Form'!A258,"")</f>
        <v/>
      </c>
      <c r="N254" s="70"/>
      <c r="O254" s="70"/>
      <c r="P254" s="70"/>
      <c r="Q254" s="70"/>
      <c r="R254" s="70"/>
      <c r="S254" s="70"/>
      <c r="T254" s="70"/>
      <c r="U254" s="70"/>
      <c r="V254" s="70"/>
      <c r="W254" s="70"/>
      <c r="X254" s="70"/>
      <c r="Y254" s="70"/>
      <c r="Z254" s="70"/>
    </row>
    <row r="255" spans="1:26">
      <c r="A255" s="70" t="str">
        <f>IF('Item Setup Form'!$AF259="Yes",'Item Setup Form'!$E259,"")</f>
        <v/>
      </c>
      <c r="B255" s="70" t="str">
        <f>IF('Item Setup Form'!$AF259="Yes",'Item Setup Form'!D259,"")</f>
        <v/>
      </c>
      <c r="C255" s="81" t="str">
        <f>IF('Item Setup Form'!$AF259="Yes",'Item Setup Form'!L259,"")</f>
        <v/>
      </c>
      <c r="D255" s="81" t="str">
        <f>IF('Item Setup Form'!$AF259="Yes",'Item Setup Form'!M259,"")</f>
        <v/>
      </c>
      <c r="E255" s="70"/>
      <c r="F255" s="70" t="str">
        <f>IF('Item Setup Form'!$AF259="Yes",'Item Setup Form'!G259,"")</f>
        <v/>
      </c>
      <c r="G255" s="70" t="str">
        <f>IF('Item Setup Form'!$AF259="Yes",'Item Setup Form'!H259,"")</f>
        <v/>
      </c>
      <c r="H255" s="70" t="str">
        <f>IF('Item Setup Form'!$AF259="Yes",'Item Setup Form'!V259,"")</f>
        <v/>
      </c>
      <c r="I255" s="70"/>
      <c r="J255" s="70" t="str">
        <f>IF('Item Setup Form'!$AF259="Yes",'Item Setup Form'!U259,"")</f>
        <v/>
      </c>
      <c r="K255" s="70" t="str">
        <f>IF('Item Setup Form'!$AF259="Yes",'Item Setup Form'!V259,"")</f>
        <v/>
      </c>
      <c r="L255" s="70"/>
      <c r="M255" s="70" t="str">
        <f>IF('Item Setup Form'!$AF259="Yes",'Item Setup Form'!A259,"")</f>
        <v/>
      </c>
      <c r="N255" s="70"/>
      <c r="O255" s="70"/>
      <c r="P255" s="70"/>
      <c r="Q255" s="70"/>
      <c r="R255" s="70"/>
      <c r="S255" s="70"/>
      <c r="T255" s="70"/>
      <c r="U255" s="70"/>
      <c r="V255" s="70"/>
      <c r="W255" s="70"/>
      <c r="X255" s="70"/>
      <c r="Y255" s="70"/>
      <c r="Z255" s="70"/>
    </row>
    <row r="256" spans="1:26">
      <c r="A256" s="70" t="str">
        <f>IF('Item Setup Form'!$AF260="Yes",'Item Setup Form'!$E260,"")</f>
        <v/>
      </c>
      <c r="B256" s="70" t="str">
        <f>IF('Item Setup Form'!$AF260="Yes",'Item Setup Form'!D260,"")</f>
        <v/>
      </c>
      <c r="C256" s="81" t="str">
        <f>IF('Item Setup Form'!$AF260="Yes",'Item Setup Form'!L260,"")</f>
        <v/>
      </c>
      <c r="D256" s="81" t="str">
        <f>IF('Item Setup Form'!$AF260="Yes",'Item Setup Form'!M260,"")</f>
        <v/>
      </c>
      <c r="E256" s="70"/>
      <c r="F256" s="70" t="str">
        <f>IF('Item Setup Form'!$AF260="Yes",'Item Setup Form'!G260,"")</f>
        <v/>
      </c>
      <c r="G256" s="70" t="str">
        <f>IF('Item Setup Form'!$AF260="Yes",'Item Setup Form'!H260,"")</f>
        <v/>
      </c>
      <c r="H256" s="70" t="str">
        <f>IF('Item Setup Form'!$AF260="Yes",'Item Setup Form'!V260,"")</f>
        <v/>
      </c>
      <c r="I256" s="70"/>
      <c r="J256" s="70" t="str">
        <f>IF('Item Setup Form'!$AF260="Yes",'Item Setup Form'!U260,"")</f>
        <v/>
      </c>
      <c r="K256" s="70" t="str">
        <f>IF('Item Setup Form'!$AF260="Yes",'Item Setup Form'!V260,"")</f>
        <v/>
      </c>
      <c r="L256" s="70"/>
      <c r="M256" s="70" t="str">
        <f>IF('Item Setup Form'!$AF260="Yes",'Item Setup Form'!A260,"")</f>
        <v/>
      </c>
      <c r="N256" s="70"/>
      <c r="O256" s="70"/>
      <c r="P256" s="70"/>
      <c r="Q256" s="70"/>
      <c r="R256" s="70"/>
      <c r="S256" s="70"/>
      <c r="T256" s="70"/>
      <c r="U256" s="70"/>
      <c r="V256" s="70"/>
      <c r="W256" s="70"/>
      <c r="X256" s="70"/>
      <c r="Y256" s="70"/>
      <c r="Z256" s="70"/>
    </row>
    <row r="257" spans="1:26">
      <c r="A257" s="70" t="str">
        <f>IF('Item Setup Form'!$AF261="Yes",'Item Setup Form'!$E261,"")</f>
        <v/>
      </c>
      <c r="B257" s="70" t="str">
        <f>IF('Item Setup Form'!$AF261="Yes",'Item Setup Form'!D261,"")</f>
        <v/>
      </c>
      <c r="C257" s="81" t="str">
        <f>IF('Item Setup Form'!$AF261="Yes",'Item Setup Form'!L261,"")</f>
        <v/>
      </c>
      <c r="D257" s="81" t="str">
        <f>IF('Item Setup Form'!$AF261="Yes",'Item Setup Form'!M261,"")</f>
        <v/>
      </c>
      <c r="E257" s="70"/>
      <c r="F257" s="70" t="str">
        <f>IF('Item Setup Form'!$AF261="Yes",'Item Setup Form'!G261,"")</f>
        <v/>
      </c>
      <c r="G257" s="70" t="str">
        <f>IF('Item Setup Form'!$AF261="Yes",'Item Setup Form'!H261,"")</f>
        <v/>
      </c>
      <c r="H257" s="70" t="str">
        <f>IF('Item Setup Form'!$AF261="Yes",'Item Setup Form'!V261,"")</f>
        <v/>
      </c>
      <c r="I257" s="70"/>
      <c r="J257" s="70" t="str">
        <f>IF('Item Setup Form'!$AF261="Yes",'Item Setup Form'!U261,"")</f>
        <v/>
      </c>
      <c r="K257" s="70" t="str">
        <f>IF('Item Setup Form'!$AF261="Yes",'Item Setup Form'!V261,"")</f>
        <v/>
      </c>
      <c r="L257" s="70"/>
      <c r="M257" s="70" t="str">
        <f>IF('Item Setup Form'!$AF261="Yes",'Item Setup Form'!A261,"")</f>
        <v/>
      </c>
      <c r="N257" s="70"/>
      <c r="O257" s="70"/>
      <c r="P257" s="70"/>
      <c r="Q257" s="70"/>
      <c r="R257" s="70"/>
      <c r="S257" s="70"/>
      <c r="T257" s="70"/>
      <c r="U257" s="70"/>
      <c r="V257" s="70"/>
      <c r="W257" s="70"/>
      <c r="X257" s="70"/>
      <c r="Y257" s="70"/>
      <c r="Z257" s="70"/>
    </row>
    <row r="258" spans="1:26">
      <c r="A258" s="70" t="str">
        <f>IF('Item Setup Form'!$AF262="Yes",'Item Setup Form'!$E262,"")</f>
        <v/>
      </c>
      <c r="B258" s="70" t="str">
        <f>IF('Item Setup Form'!$AF262="Yes",'Item Setup Form'!D262,"")</f>
        <v/>
      </c>
      <c r="C258" s="81" t="str">
        <f>IF('Item Setup Form'!$AF262="Yes",'Item Setup Form'!L262,"")</f>
        <v/>
      </c>
      <c r="D258" s="81" t="str">
        <f>IF('Item Setup Form'!$AF262="Yes",'Item Setup Form'!M262,"")</f>
        <v/>
      </c>
      <c r="E258" s="70"/>
      <c r="F258" s="70" t="str">
        <f>IF('Item Setup Form'!$AF262="Yes",'Item Setup Form'!G262,"")</f>
        <v/>
      </c>
      <c r="G258" s="70" t="str">
        <f>IF('Item Setup Form'!$AF262="Yes",'Item Setup Form'!H262,"")</f>
        <v/>
      </c>
      <c r="H258" s="70" t="str">
        <f>IF('Item Setup Form'!$AF262="Yes",'Item Setup Form'!V262,"")</f>
        <v/>
      </c>
      <c r="I258" s="70"/>
      <c r="J258" s="70" t="str">
        <f>IF('Item Setup Form'!$AF262="Yes",'Item Setup Form'!U262,"")</f>
        <v/>
      </c>
      <c r="K258" s="70" t="str">
        <f>IF('Item Setup Form'!$AF262="Yes",'Item Setup Form'!V262,"")</f>
        <v/>
      </c>
      <c r="L258" s="70"/>
      <c r="M258" s="70" t="str">
        <f>IF('Item Setup Form'!$AF262="Yes",'Item Setup Form'!A262,"")</f>
        <v/>
      </c>
      <c r="N258" s="70"/>
      <c r="O258" s="70"/>
      <c r="P258" s="70"/>
      <c r="Q258" s="70"/>
      <c r="R258" s="70"/>
      <c r="S258" s="70"/>
      <c r="T258" s="70"/>
      <c r="U258" s="70"/>
      <c r="V258" s="70"/>
      <c r="W258" s="70"/>
      <c r="X258" s="70"/>
      <c r="Y258" s="70"/>
      <c r="Z258" s="70"/>
    </row>
    <row r="259" spans="1:26">
      <c r="A259" s="70" t="str">
        <f>IF('Item Setup Form'!$AF263="Yes",'Item Setup Form'!$E263,"")</f>
        <v/>
      </c>
      <c r="B259" s="70" t="str">
        <f>IF('Item Setup Form'!$AF263="Yes",'Item Setup Form'!D263,"")</f>
        <v/>
      </c>
      <c r="C259" s="81" t="str">
        <f>IF('Item Setup Form'!$AF263="Yes",'Item Setup Form'!L263,"")</f>
        <v/>
      </c>
      <c r="D259" s="81" t="str">
        <f>IF('Item Setup Form'!$AF263="Yes",'Item Setup Form'!M263,"")</f>
        <v/>
      </c>
      <c r="E259" s="70"/>
      <c r="F259" s="70" t="str">
        <f>IF('Item Setup Form'!$AF263="Yes",'Item Setup Form'!G263,"")</f>
        <v/>
      </c>
      <c r="G259" s="70" t="str">
        <f>IF('Item Setup Form'!$AF263="Yes",'Item Setup Form'!H263,"")</f>
        <v/>
      </c>
      <c r="H259" s="70" t="str">
        <f>IF('Item Setup Form'!$AF263="Yes",'Item Setup Form'!V263,"")</f>
        <v/>
      </c>
      <c r="I259" s="70"/>
      <c r="J259" s="70" t="str">
        <f>IF('Item Setup Form'!$AF263="Yes",'Item Setup Form'!U263,"")</f>
        <v/>
      </c>
      <c r="K259" s="70" t="str">
        <f>IF('Item Setup Form'!$AF263="Yes",'Item Setup Form'!V263,"")</f>
        <v/>
      </c>
      <c r="L259" s="70"/>
      <c r="M259" s="70" t="str">
        <f>IF('Item Setup Form'!$AF263="Yes",'Item Setup Form'!A263,"")</f>
        <v/>
      </c>
      <c r="N259" s="70"/>
      <c r="O259" s="70"/>
      <c r="P259" s="70"/>
      <c r="Q259" s="70"/>
      <c r="R259" s="70"/>
      <c r="S259" s="70"/>
      <c r="T259" s="70"/>
      <c r="U259" s="70"/>
      <c r="V259" s="70"/>
      <c r="W259" s="70"/>
      <c r="X259" s="70"/>
      <c r="Y259" s="70"/>
      <c r="Z259" s="70"/>
    </row>
    <row r="260" spans="1:26">
      <c r="A260" s="70" t="str">
        <f>IF('Item Setup Form'!$AF264="Yes",'Item Setup Form'!$E264,"")</f>
        <v/>
      </c>
      <c r="B260" s="70" t="str">
        <f>IF('Item Setup Form'!$AF264="Yes",'Item Setup Form'!D264,"")</f>
        <v/>
      </c>
      <c r="C260" s="81" t="str">
        <f>IF('Item Setup Form'!$AF264="Yes",'Item Setup Form'!L264,"")</f>
        <v/>
      </c>
      <c r="D260" s="81" t="str">
        <f>IF('Item Setup Form'!$AF264="Yes",'Item Setup Form'!M264,"")</f>
        <v/>
      </c>
      <c r="E260" s="70"/>
      <c r="F260" s="70" t="str">
        <f>IF('Item Setup Form'!$AF264="Yes",'Item Setup Form'!G264,"")</f>
        <v/>
      </c>
      <c r="G260" s="70" t="str">
        <f>IF('Item Setup Form'!$AF264="Yes",'Item Setup Form'!H264,"")</f>
        <v/>
      </c>
      <c r="H260" s="70" t="str">
        <f>IF('Item Setup Form'!$AF264="Yes",'Item Setup Form'!V264,"")</f>
        <v/>
      </c>
      <c r="I260" s="70"/>
      <c r="J260" s="70" t="str">
        <f>IF('Item Setup Form'!$AF264="Yes",'Item Setup Form'!U264,"")</f>
        <v/>
      </c>
      <c r="K260" s="70" t="str">
        <f>IF('Item Setup Form'!$AF264="Yes",'Item Setup Form'!V264,"")</f>
        <v/>
      </c>
      <c r="L260" s="70"/>
      <c r="M260" s="70" t="str">
        <f>IF('Item Setup Form'!$AF264="Yes",'Item Setup Form'!A264,"")</f>
        <v/>
      </c>
      <c r="N260" s="70"/>
      <c r="O260" s="70"/>
      <c r="P260" s="70"/>
      <c r="Q260" s="70"/>
      <c r="R260" s="70"/>
      <c r="S260" s="70"/>
      <c r="T260" s="70"/>
      <c r="U260" s="70"/>
      <c r="V260" s="70"/>
      <c r="W260" s="70"/>
      <c r="X260" s="70"/>
      <c r="Y260" s="70"/>
      <c r="Z260" s="70"/>
    </row>
    <row r="261" spans="1:26">
      <c r="A261" s="70" t="str">
        <f>IF('Item Setup Form'!$AF265="Yes",'Item Setup Form'!$E265,"")</f>
        <v/>
      </c>
      <c r="B261" s="70" t="str">
        <f>IF('Item Setup Form'!$AF265="Yes",'Item Setup Form'!D265,"")</f>
        <v/>
      </c>
      <c r="C261" s="81" t="str">
        <f>IF('Item Setup Form'!$AF265="Yes",'Item Setup Form'!L265,"")</f>
        <v/>
      </c>
      <c r="D261" s="81" t="str">
        <f>IF('Item Setup Form'!$AF265="Yes",'Item Setup Form'!M265,"")</f>
        <v/>
      </c>
      <c r="E261" s="70"/>
      <c r="F261" s="70" t="str">
        <f>IF('Item Setup Form'!$AF265="Yes",'Item Setup Form'!G265,"")</f>
        <v/>
      </c>
      <c r="G261" s="70" t="str">
        <f>IF('Item Setup Form'!$AF265="Yes",'Item Setup Form'!H265,"")</f>
        <v/>
      </c>
      <c r="H261" s="70" t="str">
        <f>IF('Item Setup Form'!$AF265="Yes",'Item Setup Form'!V265,"")</f>
        <v/>
      </c>
      <c r="I261" s="70"/>
      <c r="J261" s="70" t="str">
        <f>IF('Item Setup Form'!$AF265="Yes",'Item Setup Form'!U265,"")</f>
        <v/>
      </c>
      <c r="K261" s="70" t="str">
        <f>IF('Item Setup Form'!$AF265="Yes",'Item Setup Form'!V265,"")</f>
        <v/>
      </c>
      <c r="L261" s="70"/>
      <c r="M261" s="70" t="str">
        <f>IF('Item Setup Form'!$AF265="Yes",'Item Setup Form'!A265,"")</f>
        <v/>
      </c>
      <c r="N261" s="70"/>
      <c r="O261" s="70"/>
      <c r="P261" s="70"/>
      <c r="Q261" s="70"/>
      <c r="R261" s="70"/>
      <c r="S261" s="70"/>
      <c r="T261" s="70"/>
      <c r="U261" s="70"/>
      <c r="V261" s="70"/>
      <c r="W261" s="70"/>
      <c r="X261" s="70"/>
      <c r="Y261" s="70"/>
      <c r="Z261" s="70"/>
    </row>
    <row r="262" spans="1:26">
      <c r="A262" s="70" t="str">
        <f>IF('Item Setup Form'!$AF266="Yes",'Item Setup Form'!$E266,"")</f>
        <v/>
      </c>
      <c r="B262" s="70" t="str">
        <f>IF('Item Setup Form'!$AF266="Yes",'Item Setup Form'!D266,"")</f>
        <v/>
      </c>
      <c r="C262" s="81" t="str">
        <f>IF('Item Setup Form'!$AF266="Yes",'Item Setup Form'!L266,"")</f>
        <v/>
      </c>
      <c r="D262" s="81" t="str">
        <f>IF('Item Setup Form'!$AF266="Yes",'Item Setup Form'!M266,"")</f>
        <v/>
      </c>
      <c r="E262" s="70"/>
      <c r="F262" s="70" t="str">
        <f>IF('Item Setup Form'!$AF266="Yes",'Item Setup Form'!G266,"")</f>
        <v/>
      </c>
      <c r="G262" s="70" t="str">
        <f>IF('Item Setup Form'!$AF266="Yes",'Item Setup Form'!H266,"")</f>
        <v/>
      </c>
      <c r="H262" s="70" t="str">
        <f>IF('Item Setup Form'!$AF266="Yes",'Item Setup Form'!V266,"")</f>
        <v/>
      </c>
      <c r="I262" s="70"/>
      <c r="J262" s="70" t="str">
        <f>IF('Item Setup Form'!$AF266="Yes",'Item Setup Form'!U266,"")</f>
        <v/>
      </c>
      <c r="K262" s="70" t="str">
        <f>IF('Item Setup Form'!$AF266="Yes",'Item Setup Form'!V266,"")</f>
        <v/>
      </c>
      <c r="L262" s="70"/>
      <c r="M262" s="70" t="str">
        <f>IF('Item Setup Form'!$AF266="Yes",'Item Setup Form'!A266,"")</f>
        <v/>
      </c>
      <c r="N262" s="70"/>
      <c r="O262" s="70"/>
      <c r="P262" s="70"/>
      <c r="Q262" s="70"/>
      <c r="R262" s="70"/>
      <c r="S262" s="70"/>
      <c r="T262" s="70"/>
      <c r="U262" s="70"/>
      <c r="V262" s="70"/>
      <c r="W262" s="70"/>
      <c r="X262" s="70"/>
      <c r="Y262" s="70"/>
      <c r="Z262" s="70"/>
    </row>
    <row r="263" spans="1:26">
      <c r="A263" s="70" t="str">
        <f>IF('Item Setup Form'!$AF267="Yes",'Item Setup Form'!$E267,"")</f>
        <v/>
      </c>
      <c r="B263" s="70" t="str">
        <f>IF('Item Setup Form'!$AF267="Yes",'Item Setup Form'!D267,"")</f>
        <v/>
      </c>
      <c r="C263" s="81" t="str">
        <f>IF('Item Setup Form'!$AF267="Yes",'Item Setup Form'!L267,"")</f>
        <v/>
      </c>
      <c r="D263" s="81" t="str">
        <f>IF('Item Setup Form'!$AF267="Yes",'Item Setup Form'!M267,"")</f>
        <v/>
      </c>
      <c r="E263" s="70"/>
      <c r="F263" s="70" t="str">
        <f>IF('Item Setup Form'!$AF267="Yes",'Item Setup Form'!G267,"")</f>
        <v/>
      </c>
      <c r="G263" s="70" t="str">
        <f>IF('Item Setup Form'!$AF267="Yes",'Item Setup Form'!H267,"")</f>
        <v/>
      </c>
      <c r="H263" s="70" t="str">
        <f>IF('Item Setup Form'!$AF267="Yes",'Item Setup Form'!V267,"")</f>
        <v/>
      </c>
      <c r="I263" s="70"/>
      <c r="J263" s="70" t="str">
        <f>IF('Item Setup Form'!$AF267="Yes",'Item Setup Form'!U267,"")</f>
        <v/>
      </c>
      <c r="K263" s="70" t="str">
        <f>IF('Item Setup Form'!$AF267="Yes",'Item Setup Form'!V267,"")</f>
        <v/>
      </c>
      <c r="L263" s="70"/>
      <c r="M263" s="70" t="str">
        <f>IF('Item Setup Form'!$AF267="Yes",'Item Setup Form'!A267,"")</f>
        <v/>
      </c>
      <c r="N263" s="70"/>
      <c r="O263" s="70"/>
      <c r="P263" s="70"/>
      <c r="Q263" s="70"/>
      <c r="R263" s="70"/>
      <c r="S263" s="70"/>
      <c r="T263" s="70"/>
      <c r="U263" s="70"/>
      <c r="V263" s="70"/>
      <c r="W263" s="70"/>
      <c r="X263" s="70"/>
      <c r="Y263" s="70"/>
      <c r="Z263" s="70"/>
    </row>
    <row r="264" spans="1:26">
      <c r="A264" s="70" t="str">
        <f>IF('Item Setup Form'!$AF268="Yes",'Item Setup Form'!$E268,"")</f>
        <v/>
      </c>
      <c r="B264" s="70" t="str">
        <f>IF('Item Setup Form'!$AF268="Yes",'Item Setup Form'!D268,"")</f>
        <v/>
      </c>
      <c r="C264" s="81" t="str">
        <f>IF('Item Setup Form'!$AF268="Yes",'Item Setup Form'!L268,"")</f>
        <v/>
      </c>
      <c r="D264" s="81" t="str">
        <f>IF('Item Setup Form'!$AF268="Yes",'Item Setup Form'!M268,"")</f>
        <v/>
      </c>
      <c r="E264" s="70"/>
      <c r="F264" s="70" t="str">
        <f>IF('Item Setup Form'!$AF268="Yes",'Item Setup Form'!G268,"")</f>
        <v/>
      </c>
      <c r="G264" s="70" t="str">
        <f>IF('Item Setup Form'!$AF268="Yes",'Item Setup Form'!H268,"")</f>
        <v/>
      </c>
      <c r="H264" s="70" t="str">
        <f>IF('Item Setup Form'!$AF268="Yes",'Item Setup Form'!V268,"")</f>
        <v/>
      </c>
      <c r="I264" s="70"/>
      <c r="J264" s="70" t="str">
        <f>IF('Item Setup Form'!$AF268="Yes",'Item Setup Form'!U268,"")</f>
        <v/>
      </c>
      <c r="K264" s="70" t="str">
        <f>IF('Item Setup Form'!$AF268="Yes",'Item Setup Form'!V268,"")</f>
        <v/>
      </c>
      <c r="L264" s="70"/>
      <c r="M264" s="70" t="str">
        <f>IF('Item Setup Form'!$AF268="Yes",'Item Setup Form'!A268,"")</f>
        <v/>
      </c>
      <c r="N264" s="70"/>
      <c r="O264" s="70"/>
      <c r="P264" s="70"/>
      <c r="Q264" s="70"/>
      <c r="R264" s="70"/>
      <c r="S264" s="70"/>
      <c r="T264" s="70"/>
      <c r="U264" s="70"/>
      <c r="V264" s="70"/>
      <c r="W264" s="70"/>
      <c r="X264" s="70"/>
      <c r="Y264" s="70"/>
      <c r="Z264" s="70"/>
    </row>
    <row r="265" spans="1:26">
      <c r="A265" s="70" t="str">
        <f>IF('Item Setup Form'!$AF269="Yes",'Item Setup Form'!$E269,"")</f>
        <v/>
      </c>
      <c r="B265" s="70" t="str">
        <f>IF('Item Setup Form'!$AF269="Yes",'Item Setup Form'!D269,"")</f>
        <v/>
      </c>
      <c r="C265" s="81" t="str">
        <f>IF('Item Setup Form'!$AF269="Yes",'Item Setup Form'!L269,"")</f>
        <v/>
      </c>
      <c r="D265" s="81" t="str">
        <f>IF('Item Setup Form'!$AF269="Yes",'Item Setup Form'!M269,"")</f>
        <v/>
      </c>
      <c r="E265" s="70"/>
      <c r="F265" s="70" t="str">
        <f>IF('Item Setup Form'!$AF269="Yes",'Item Setup Form'!G269,"")</f>
        <v/>
      </c>
      <c r="G265" s="70" t="str">
        <f>IF('Item Setup Form'!$AF269="Yes",'Item Setup Form'!H269,"")</f>
        <v/>
      </c>
      <c r="H265" s="70" t="str">
        <f>IF('Item Setup Form'!$AF269="Yes",'Item Setup Form'!V269,"")</f>
        <v/>
      </c>
      <c r="I265" s="70"/>
      <c r="J265" s="70" t="str">
        <f>IF('Item Setup Form'!$AF269="Yes",'Item Setup Form'!U269,"")</f>
        <v/>
      </c>
      <c r="K265" s="70" t="str">
        <f>IF('Item Setup Form'!$AF269="Yes",'Item Setup Form'!V269,"")</f>
        <v/>
      </c>
      <c r="L265" s="70"/>
      <c r="M265" s="70" t="str">
        <f>IF('Item Setup Form'!$AF269="Yes",'Item Setup Form'!A269,"")</f>
        <v/>
      </c>
      <c r="N265" s="70"/>
      <c r="O265" s="70"/>
      <c r="P265" s="70"/>
      <c r="Q265" s="70"/>
      <c r="R265" s="70"/>
      <c r="S265" s="70"/>
      <c r="T265" s="70"/>
      <c r="U265" s="70"/>
      <c r="V265" s="70"/>
      <c r="W265" s="70"/>
      <c r="X265" s="70"/>
      <c r="Y265" s="70"/>
      <c r="Z265" s="70"/>
    </row>
    <row r="266" spans="1:26">
      <c r="A266" s="70" t="str">
        <f>IF('Item Setup Form'!$AF270="Yes",'Item Setup Form'!$E270,"")</f>
        <v/>
      </c>
      <c r="B266" s="70" t="str">
        <f>IF('Item Setup Form'!$AF270="Yes",'Item Setup Form'!D270,"")</f>
        <v/>
      </c>
      <c r="C266" s="81" t="str">
        <f>IF('Item Setup Form'!$AF270="Yes",'Item Setup Form'!L270,"")</f>
        <v/>
      </c>
      <c r="D266" s="81" t="str">
        <f>IF('Item Setup Form'!$AF270="Yes",'Item Setup Form'!M270,"")</f>
        <v/>
      </c>
      <c r="E266" s="70"/>
      <c r="F266" s="70" t="str">
        <f>IF('Item Setup Form'!$AF270="Yes",'Item Setup Form'!G270,"")</f>
        <v/>
      </c>
      <c r="G266" s="70" t="str">
        <f>IF('Item Setup Form'!$AF270="Yes",'Item Setup Form'!H270,"")</f>
        <v/>
      </c>
      <c r="H266" s="70" t="str">
        <f>IF('Item Setup Form'!$AF270="Yes",'Item Setup Form'!V270,"")</f>
        <v/>
      </c>
      <c r="I266" s="70"/>
      <c r="J266" s="70" t="str">
        <f>IF('Item Setup Form'!$AF270="Yes",'Item Setup Form'!U270,"")</f>
        <v/>
      </c>
      <c r="K266" s="70" t="str">
        <f>IF('Item Setup Form'!$AF270="Yes",'Item Setup Form'!V270,"")</f>
        <v/>
      </c>
      <c r="L266" s="70"/>
      <c r="M266" s="70" t="str">
        <f>IF('Item Setup Form'!$AF270="Yes",'Item Setup Form'!A270,"")</f>
        <v/>
      </c>
      <c r="N266" s="70"/>
      <c r="O266" s="70"/>
      <c r="P266" s="70"/>
      <c r="Q266" s="70"/>
      <c r="R266" s="70"/>
      <c r="S266" s="70"/>
      <c r="T266" s="70"/>
      <c r="U266" s="70"/>
      <c r="V266" s="70"/>
      <c r="W266" s="70"/>
      <c r="X266" s="70"/>
      <c r="Y266" s="70"/>
      <c r="Z266" s="70"/>
    </row>
    <row r="267" spans="1:26">
      <c r="A267" s="70" t="str">
        <f>IF('Item Setup Form'!$AF271="Yes",'Item Setup Form'!$E271,"")</f>
        <v/>
      </c>
      <c r="B267" s="70" t="str">
        <f>IF('Item Setup Form'!$AF271="Yes",'Item Setup Form'!D271,"")</f>
        <v/>
      </c>
      <c r="C267" s="81" t="str">
        <f>IF('Item Setup Form'!$AF271="Yes",'Item Setup Form'!L271,"")</f>
        <v/>
      </c>
      <c r="D267" s="81" t="str">
        <f>IF('Item Setup Form'!$AF271="Yes",'Item Setup Form'!M271,"")</f>
        <v/>
      </c>
      <c r="E267" s="70"/>
      <c r="F267" s="70" t="str">
        <f>IF('Item Setup Form'!$AF271="Yes",'Item Setup Form'!G271,"")</f>
        <v/>
      </c>
      <c r="G267" s="70" t="str">
        <f>IF('Item Setup Form'!$AF271="Yes",'Item Setup Form'!H271,"")</f>
        <v/>
      </c>
      <c r="H267" s="70" t="str">
        <f>IF('Item Setup Form'!$AF271="Yes",'Item Setup Form'!V271,"")</f>
        <v/>
      </c>
      <c r="I267" s="70"/>
      <c r="J267" s="70" t="str">
        <f>IF('Item Setup Form'!$AF271="Yes",'Item Setup Form'!U271,"")</f>
        <v/>
      </c>
      <c r="K267" s="70" t="str">
        <f>IF('Item Setup Form'!$AF271="Yes",'Item Setup Form'!V271,"")</f>
        <v/>
      </c>
      <c r="L267" s="70"/>
      <c r="M267" s="70" t="str">
        <f>IF('Item Setup Form'!$AF271="Yes",'Item Setup Form'!A271,"")</f>
        <v/>
      </c>
      <c r="N267" s="70"/>
      <c r="O267" s="70"/>
      <c r="P267" s="70"/>
      <c r="Q267" s="70"/>
      <c r="R267" s="70"/>
      <c r="S267" s="70"/>
      <c r="T267" s="70"/>
      <c r="U267" s="70"/>
      <c r="V267" s="70"/>
      <c r="W267" s="70"/>
      <c r="X267" s="70"/>
      <c r="Y267" s="70"/>
      <c r="Z267" s="70"/>
    </row>
    <row r="268" spans="1:26">
      <c r="A268" s="70" t="str">
        <f>IF('Item Setup Form'!$AF272="Yes",'Item Setup Form'!$E272,"")</f>
        <v/>
      </c>
      <c r="B268" s="70" t="str">
        <f>IF('Item Setup Form'!$AF272="Yes",'Item Setup Form'!D272,"")</f>
        <v/>
      </c>
      <c r="C268" s="81" t="str">
        <f>IF('Item Setup Form'!$AF272="Yes",'Item Setup Form'!L272,"")</f>
        <v/>
      </c>
      <c r="D268" s="81" t="str">
        <f>IF('Item Setup Form'!$AF272="Yes",'Item Setup Form'!M272,"")</f>
        <v/>
      </c>
      <c r="E268" s="70"/>
      <c r="F268" s="70" t="str">
        <f>IF('Item Setup Form'!$AF272="Yes",'Item Setup Form'!G272,"")</f>
        <v/>
      </c>
      <c r="G268" s="70" t="str">
        <f>IF('Item Setup Form'!$AF272="Yes",'Item Setup Form'!H272,"")</f>
        <v/>
      </c>
      <c r="H268" s="70" t="str">
        <f>IF('Item Setup Form'!$AF272="Yes",'Item Setup Form'!V272,"")</f>
        <v/>
      </c>
      <c r="I268" s="70"/>
      <c r="J268" s="70" t="str">
        <f>IF('Item Setup Form'!$AF272="Yes",'Item Setup Form'!U272,"")</f>
        <v/>
      </c>
      <c r="K268" s="70" t="str">
        <f>IF('Item Setup Form'!$AF272="Yes",'Item Setup Form'!V272,"")</f>
        <v/>
      </c>
      <c r="L268" s="70"/>
      <c r="M268" s="70" t="str">
        <f>IF('Item Setup Form'!$AF272="Yes",'Item Setup Form'!A272,"")</f>
        <v/>
      </c>
      <c r="N268" s="70"/>
      <c r="O268" s="70"/>
      <c r="P268" s="70"/>
      <c r="Q268" s="70"/>
      <c r="R268" s="70"/>
      <c r="S268" s="70"/>
      <c r="T268" s="70"/>
      <c r="U268" s="70"/>
      <c r="V268" s="70"/>
      <c r="W268" s="70"/>
      <c r="X268" s="70"/>
      <c r="Y268" s="70"/>
      <c r="Z268" s="70"/>
    </row>
    <row r="269" spans="1:26">
      <c r="A269" s="70" t="str">
        <f>IF('Item Setup Form'!$AF273="Yes",'Item Setup Form'!$E273,"")</f>
        <v/>
      </c>
      <c r="B269" s="70" t="str">
        <f>IF('Item Setup Form'!$AF273="Yes",'Item Setup Form'!D273,"")</f>
        <v/>
      </c>
      <c r="C269" s="81" t="str">
        <f>IF('Item Setup Form'!$AF273="Yes",'Item Setup Form'!L273,"")</f>
        <v/>
      </c>
      <c r="D269" s="81" t="str">
        <f>IF('Item Setup Form'!$AF273="Yes",'Item Setup Form'!M273,"")</f>
        <v/>
      </c>
      <c r="E269" s="70"/>
      <c r="F269" s="70" t="str">
        <f>IF('Item Setup Form'!$AF273="Yes",'Item Setup Form'!G273,"")</f>
        <v/>
      </c>
      <c r="G269" s="70" t="str">
        <f>IF('Item Setup Form'!$AF273="Yes",'Item Setup Form'!H273,"")</f>
        <v/>
      </c>
      <c r="H269" s="70" t="str">
        <f>IF('Item Setup Form'!$AF273="Yes",'Item Setup Form'!V273,"")</f>
        <v/>
      </c>
      <c r="I269" s="70"/>
      <c r="J269" s="70" t="str">
        <f>IF('Item Setup Form'!$AF273="Yes",'Item Setup Form'!U273,"")</f>
        <v/>
      </c>
      <c r="K269" s="70" t="str">
        <f>IF('Item Setup Form'!$AF273="Yes",'Item Setup Form'!V273,"")</f>
        <v/>
      </c>
      <c r="L269" s="70"/>
      <c r="M269" s="70" t="str">
        <f>IF('Item Setup Form'!$AF273="Yes",'Item Setup Form'!A273,"")</f>
        <v/>
      </c>
      <c r="N269" s="70"/>
      <c r="O269" s="70"/>
      <c r="P269" s="70"/>
      <c r="Q269" s="70"/>
      <c r="R269" s="70"/>
      <c r="S269" s="70"/>
      <c r="T269" s="70"/>
      <c r="U269" s="70"/>
      <c r="V269" s="70"/>
      <c r="W269" s="70"/>
      <c r="X269" s="70"/>
      <c r="Y269" s="70"/>
      <c r="Z269" s="70"/>
    </row>
    <row r="270" spans="1:26">
      <c r="A270" s="70" t="str">
        <f>IF('Item Setup Form'!$AF274="Yes",'Item Setup Form'!$E274,"")</f>
        <v/>
      </c>
      <c r="B270" s="70" t="str">
        <f>IF('Item Setup Form'!$AF274="Yes",'Item Setup Form'!D274,"")</f>
        <v/>
      </c>
      <c r="C270" s="81" t="str">
        <f>IF('Item Setup Form'!$AF274="Yes",'Item Setup Form'!L274,"")</f>
        <v/>
      </c>
      <c r="D270" s="81" t="str">
        <f>IF('Item Setup Form'!$AF274="Yes",'Item Setup Form'!M274,"")</f>
        <v/>
      </c>
      <c r="E270" s="70"/>
      <c r="F270" s="70" t="str">
        <f>IF('Item Setup Form'!$AF274="Yes",'Item Setup Form'!G274,"")</f>
        <v/>
      </c>
      <c r="G270" s="70" t="str">
        <f>IF('Item Setup Form'!$AF274="Yes",'Item Setup Form'!H274,"")</f>
        <v/>
      </c>
      <c r="H270" s="70" t="str">
        <f>IF('Item Setup Form'!$AF274="Yes",'Item Setup Form'!V274,"")</f>
        <v/>
      </c>
      <c r="I270" s="70"/>
      <c r="J270" s="70" t="str">
        <f>IF('Item Setup Form'!$AF274="Yes",'Item Setup Form'!U274,"")</f>
        <v/>
      </c>
      <c r="K270" s="70" t="str">
        <f>IF('Item Setup Form'!$AF274="Yes",'Item Setup Form'!V274,"")</f>
        <v/>
      </c>
      <c r="L270" s="70"/>
      <c r="M270" s="70" t="str">
        <f>IF('Item Setup Form'!$AF274="Yes",'Item Setup Form'!A274,"")</f>
        <v/>
      </c>
      <c r="N270" s="70"/>
      <c r="O270" s="70"/>
      <c r="P270" s="70"/>
      <c r="Q270" s="70"/>
      <c r="R270" s="70"/>
      <c r="S270" s="70"/>
      <c r="T270" s="70"/>
      <c r="U270" s="70"/>
      <c r="V270" s="70"/>
      <c r="W270" s="70"/>
      <c r="X270" s="70"/>
      <c r="Y270" s="70"/>
      <c r="Z270" s="70"/>
    </row>
    <row r="271" spans="1:26">
      <c r="A271" s="70" t="str">
        <f>IF('Item Setup Form'!$AF275="Yes",'Item Setup Form'!$E275,"")</f>
        <v/>
      </c>
      <c r="B271" s="70" t="str">
        <f>IF('Item Setup Form'!$AF275="Yes",'Item Setup Form'!D275,"")</f>
        <v/>
      </c>
      <c r="C271" s="81" t="str">
        <f>IF('Item Setup Form'!$AF275="Yes",'Item Setup Form'!L275,"")</f>
        <v/>
      </c>
      <c r="D271" s="81" t="str">
        <f>IF('Item Setup Form'!$AF275="Yes",'Item Setup Form'!M275,"")</f>
        <v/>
      </c>
      <c r="E271" s="70"/>
      <c r="F271" s="70" t="str">
        <f>IF('Item Setup Form'!$AF275="Yes",'Item Setup Form'!G275,"")</f>
        <v/>
      </c>
      <c r="G271" s="70" t="str">
        <f>IF('Item Setup Form'!$AF275="Yes",'Item Setup Form'!H275,"")</f>
        <v/>
      </c>
      <c r="H271" s="70" t="str">
        <f>IF('Item Setup Form'!$AF275="Yes",'Item Setup Form'!V275,"")</f>
        <v/>
      </c>
      <c r="I271" s="70"/>
      <c r="J271" s="70" t="str">
        <f>IF('Item Setup Form'!$AF275="Yes",'Item Setup Form'!U275,"")</f>
        <v/>
      </c>
      <c r="K271" s="70" t="str">
        <f>IF('Item Setup Form'!$AF275="Yes",'Item Setup Form'!V275,"")</f>
        <v/>
      </c>
      <c r="L271" s="70"/>
      <c r="M271" s="70" t="str">
        <f>IF('Item Setup Form'!$AF275="Yes",'Item Setup Form'!A275,"")</f>
        <v/>
      </c>
      <c r="N271" s="70"/>
      <c r="O271" s="70"/>
      <c r="P271" s="70"/>
      <c r="Q271" s="70"/>
      <c r="R271" s="70"/>
      <c r="S271" s="70"/>
      <c r="T271" s="70"/>
      <c r="U271" s="70"/>
      <c r="V271" s="70"/>
      <c r="W271" s="70"/>
      <c r="X271" s="70"/>
      <c r="Y271" s="70"/>
      <c r="Z271" s="70"/>
    </row>
    <row r="272" spans="1:26">
      <c r="A272" s="70" t="str">
        <f>IF('Item Setup Form'!$AF276="Yes",'Item Setup Form'!$E276,"")</f>
        <v/>
      </c>
      <c r="B272" s="70" t="str">
        <f>IF('Item Setup Form'!$AF276="Yes",'Item Setup Form'!D276,"")</f>
        <v/>
      </c>
      <c r="C272" s="81" t="str">
        <f>IF('Item Setup Form'!$AF276="Yes",'Item Setup Form'!L276,"")</f>
        <v/>
      </c>
      <c r="D272" s="81" t="str">
        <f>IF('Item Setup Form'!$AF276="Yes",'Item Setup Form'!M276,"")</f>
        <v/>
      </c>
      <c r="E272" s="70"/>
      <c r="F272" s="70" t="str">
        <f>IF('Item Setup Form'!$AF276="Yes",'Item Setup Form'!G276,"")</f>
        <v/>
      </c>
      <c r="G272" s="70" t="str">
        <f>IF('Item Setup Form'!$AF276="Yes",'Item Setup Form'!H276,"")</f>
        <v/>
      </c>
      <c r="H272" s="70" t="str">
        <f>IF('Item Setup Form'!$AF276="Yes",'Item Setup Form'!V276,"")</f>
        <v/>
      </c>
      <c r="I272" s="70"/>
      <c r="J272" s="70" t="str">
        <f>IF('Item Setup Form'!$AF276="Yes",'Item Setup Form'!U276,"")</f>
        <v/>
      </c>
      <c r="K272" s="70" t="str">
        <f>IF('Item Setup Form'!$AF276="Yes",'Item Setup Form'!V276,"")</f>
        <v/>
      </c>
      <c r="L272" s="70"/>
      <c r="M272" s="70" t="str">
        <f>IF('Item Setup Form'!$AF276="Yes",'Item Setup Form'!A276,"")</f>
        <v/>
      </c>
      <c r="N272" s="70"/>
      <c r="O272" s="70"/>
      <c r="P272" s="70"/>
      <c r="Q272" s="70"/>
      <c r="R272" s="70"/>
      <c r="S272" s="70"/>
      <c r="T272" s="70"/>
      <c r="U272" s="70"/>
      <c r="V272" s="70"/>
      <c r="W272" s="70"/>
      <c r="X272" s="70"/>
      <c r="Y272" s="70"/>
      <c r="Z272" s="70"/>
    </row>
    <row r="273" spans="1:26">
      <c r="A273" s="70" t="str">
        <f>IF('Item Setup Form'!$AF277="Yes",'Item Setup Form'!$E277,"")</f>
        <v/>
      </c>
      <c r="B273" s="70" t="str">
        <f>IF('Item Setup Form'!$AF277="Yes",'Item Setup Form'!D277,"")</f>
        <v/>
      </c>
      <c r="C273" s="81" t="str">
        <f>IF('Item Setup Form'!$AF277="Yes",'Item Setup Form'!L277,"")</f>
        <v/>
      </c>
      <c r="D273" s="81" t="str">
        <f>IF('Item Setup Form'!$AF277="Yes",'Item Setup Form'!M277,"")</f>
        <v/>
      </c>
      <c r="E273" s="70"/>
      <c r="F273" s="70" t="str">
        <f>IF('Item Setup Form'!$AF277="Yes",'Item Setup Form'!G277,"")</f>
        <v/>
      </c>
      <c r="G273" s="70" t="str">
        <f>IF('Item Setup Form'!$AF277="Yes",'Item Setup Form'!H277,"")</f>
        <v/>
      </c>
      <c r="H273" s="70" t="str">
        <f>IF('Item Setup Form'!$AF277="Yes",'Item Setup Form'!V277,"")</f>
        <v/>
      </c>
      <c r="I273" s="70"/>
      <c r="J273" s="70" t="str">
        <f>IF('Item Setup Form'!$AF277="Yes",'Item Setup Form'!U277,"")</f>
        <v/>
      </c>
      <c r="K273" s="70" t="str">
        <f>IF('Item Setup Form'!$AF277="Yes",'Item Setup Form'!V277,"")</f>
        <v/>
      </c>
      <c r="L273" s="70"/>
      <c r="M273" s="70" t="str">
        <f>IF('Item Setup Form'!$AF277="Yes",'Item Setup Form'!A277,"")</f>
        <v/>
      </c>
      <c r="N273" s="70"/>
      <c r="O273" s="70"/>
      <c r="P273" s="70"/>
      <c r="Q273" s="70"/>
      <c r="R273" s="70"/>
      <c r="S273" s="70"/>
      <c r="T273" s="70"/>
      <c r="U273" s="70"/>
      <c r="V273" s="70"/>
      <c r="W273" s="70"/>
      <c r="X273" s="70"/>
      <c r="Y273" s="70"/>
      <c r="Z273" s="70"/>
    </row>
    <row r="274" spans="1:26">
      <c r="A274" s="70" t="str">
        <f>IF('Item Setup Form'!$AF278="Yes",'Item Setup Form'!$E278,"")</f>
        <v/>
      </c>
      <c r="B274" s="70" t="str">
        <f>IF('Item Setup Form'!$AF278="Yes",'Item Setup Form'!D278,"")</f>
        <v/>
      </c>
      <c r="C274" s="81" t="str">
        <f>IF('Item Setup Form'!$AF278="Yes",'Item Setup Form'!L278,"")</f>
        <v/>
      </c>
      <c r="D274" s="81" t="str">
        <f>IF('Item Setup Form'!$AF278="Yes",'Item Setup Form'!M278,"")</f>
        <v/>
      </c>
      <c r="E274" s="70"/>
      <c r="F274" s="70" t="str">
        <f>IF('Item Setup Form'!$AF278="Yes",'Item Setup Form'!G278,"")</f>
        <v/>
      </c>
      <c r="G274" s="70" t="str">
        <f>IF('Item Setup Form'!$AF278="Yes",'Item Setup Form'!H278,"")</f>
        <v/>
      </c>
      <c r="H274" s="70" t="str">
        <f>IF('Item Setup Form'!$AF278="Yes",'Item Setup Form'!V278,"")</f>
        <v/>
      </c>
      <c r="I274" s="70"/>
      <c r="J274" s="70" t="str">
        <f>IF('Item Setup Form'!$AF278="Yes",'Item Setup Form'!U278,"")</f>
        <v/>
      </c>
      <c r="K274" s="70" t="str">
        <f>IF('Item Setup Form'!$AF278="Yes",'Item Setup Form'!V278,"")</f>
        <v/>
      </c>
      <c r="L274" s="70"/>
      <c r="M274" s="70" t="str">
        <f>IF('Item Setup Form'!$AF278="Yes",'Item Setup Form'!A278,"")</f>
        <v/>
      </c>
      <c r="N274" s="70"/>
      <c r="O274" s="70"/>
      <c r="P274" s="70"/>
      <c r="Q274" s="70"/>
      <c r="R274" s="70"/>
      <c r="S274" s="70"/>
      <c r="T274" s="70"/>
      <c r="U274" s="70"/>
      <c r="V274" s="70"/>
      <c r="W274" s="70"/>
      <c r="X274" s="70"/>
      <c r="Y274" s="70"/>
      <c r="Z274" s="70"/>
    </row>
    <row r="275" spans="1:26">
      <c r="A275" s="70" t="str">
        <f>IF('Item Setup Form'!$AF279="Yes",'Item Setup Form'!$E279,"")</f>
        <v/>
      </c>
      <c r="B275" s="70" t="str">
        <f>IF('Item Setup Form'!$AF279="Yes",'Item Setup Form'!D279,"")</f>
        <v/>
      </c>
      <c r="C275" s="81" t="str">
        <f>IF('Item Setup Form'!$AF279="Yes",'Item Setup Form'!L279,"")</f>
        <v/>
      </c>
      <c r="D275" s="81" t="str">
        <f>IF('Item Setup Form'!$AF279="Yes",'Item Setup Form'!M279,"")</f>
        <v/>
      </c>
      <c r="E275" s="70"/>
      <c r="F275" s="70" t="str">
        <f>IF('Item Setup Form'!$AF279="Yes",'Item Setup Form'!G279,"")</f>
        <v/>
      </c>
      <c r="G275" s="70" t="str">
        <f>IF('Item Setup Form'!$AF279="Yes",'Item Setup Form'!H279,"")</f>
        <v/>
      </c>
      <c r="H275" s="70" t="str">
        <f>IF('Item Setup Form'!$AF279="Yes",'Item Setup Form'!V279,"")</f>
        <v/>
      </c>
      <c r="I275" s="70"/>
      <c r="J275" s="70" t="str">
        <f>IF('Item Setup Form'!$AF279="Yes",'Item Setup Form'!U279,"")</f>
        <v/>
      </c>
      <c r="K275" s="70" t="str">
        <f>IF('Item Setup Form'!$AF279="Yes",'Item Setup Form'!V279,"")</f>
        <v/>
      </c>
      <c r="L275" s="70"/>
      <c r="M275" s="70" t="str">
        <f>IF('Item Setup Form'!$AF279="Yes",'Item Setup Form'!A279,"")</f>
        <v/>
      </c>
      <c r="N275" s="70"/>
      <c r="O275" s="70"/>
      <c r="P275" s="70"/>
      <c r="Q275" s="70"/>
      <c r="R275" s="70"/>
      <c r="S275" s="70"/>
      <c r="T275" s="70"/>
      <c r="U275" s="70"/>
      <c r="V275" s="70"/>
      <c r="W275" s="70"/>
      <c r="X275" s="70"/>
      <c r="Y275" s="70"/>
      <c r="Z275" s="70"/>
    </row>
    <row r="276" spans="1:26">
      <c r="A276" s="70" t="str">
        <f>IF('Item Setup Form'!$AF280="Yes",'Item Setup Form'!$E280,"")</f>
        <v/>
      </c>
      <c r="B276" s="70" t="str">
        <f>IF('Item Setup Form'!$AF280="Yes",'Item Setup Form'!D280,"")</f>
        <v/>
      </c>
      <c r="C276" s="81" t="str">
        <f>IF('Item Setup Form'!$AF280="Yes",'Item Setup Form'!L280,"")</f>
        <v/>
      </c>
      <c r="D276" s="81" t="str">
        <f>IF('Item Setup Form'!$AF280="Yes",'Item Setup Form'!M280,"")</f>
        <v/>
      </c>
      <c r="E276" s="70"/>
      <c r="F276" s="70" t="str">
        <f>IF('Item Setup Form'!$AF280="Yes",'Item Setup Form'!G280,"")</f>
        <v/>
      </c>
      <c r="G276" s="70" t="str">
        <f>IF('Item Setup Form'!$AF280="Yes",'Item Setup Form'!H280,"")</f>
        <v/>
      </c>
      <c r="H276" s="70" t="str">
        <f>IF('Item Setup Form'!$AF280="Yes",'Item Setup Form'!V280,"")</f>
        <v/>
      </c>
      <c r="I276" s="70"/>
      <c r="J276" s="70" t="str">
        <f>IF('Item Setup Form'!$AF280="Yes",'Item Setup Form'!U280,"")</f>
        <v/>
      </c>
      <c r="K276" s="70" t="str">
        <f>IF('Item Setup Form'!$AF280="Yes",'Item Setup Form'!V280,"")</f>
        <v/>
      </c>
      <c r="L276" s="70"/>
      <c r="M276" s="70" t="str">
        <f>IF('Item Setup Form'!$AF280="Yes",'Item Setup Form'!A280,"")</f>
        <v/>
      </c>
      <c r="N276" s="70"/>
      <c r="O276" s="70"/>
      <c r="P276" s="70"/>
      <c r="Q276" s="70"/>
      <c r="R276" s="70"/>
      <c r="S276" s="70"/>
      <c r="T276" s="70"/>
      <c r="U276" s="70"/>
      <c r="V276" s="70"/>
      <c r="W276" s="70"/>
      <c r="X276" s="70"/>
      <c r="Y276" s="70"/>
      <c r="Z276" s="70"/>
    </row>
    <row r="277" spans="1:26">
      <c r="A277" s="70" t="str">
        <f>IF('Item Setup Form'!$AF281="Yes",'Item Setup Form'!$E281,"")</f>
        <v/>
      </c>
      <c r="B277" s="70" t="str">
        <f>IF('Item Setup Form'!$AF281="Yes",'Item Setup Form'!D281,"")</f>
        <v/>
      </c>
      <c r="C277" s="81" t="str">
        <f>IF('Item Setup Form'!$AF281="Yes",'Item Setup Form'!L281,"")</f>
        <v/>
      </c>
      <c r="D277" s="81" t="str">
        <f>IF('Item Setup Form'!$AF281="Yes",'Item Setup Form'!M281,"")</f>
        <v/>
      </c>
      <c r="E277" s="70"/>
      <c r="F277" s="70" t="str">
        <f>IF('Item Setup Form'!$AF281="Yes",'Item Setup Form'!G281,"")</f>
        <v/>
      </c>
      <c r="G277" s="70" t="str">
        <f>IF('Item Setup Form'!$AF281="Yes",'Item Setup Form'!H281,"")</f>
        <v/>
      </c>
      <c r="H277" s="70" t="str">
        <f>IF('Item Setup Form'!$AF281="Yes",'Item Setup Form'!V281,"")</f>
        <v/>
      </c>
      <c r="I277" s="70"/>
      <c r="J277" s="70" t="str">
        <f>IF('Item Setup Form'!$AF281="Yes",'Item Setup Form'!U281,"")</f>
        <v/>
      </c>
      <c r="K277" s="70" t="str">
        <f>IF('Item Setup Form'!$AF281="Yes",'Item Setup Form'!V281,"")</f>
        <v/>
      </c>
      <c r="L277" s="70"/>
      <c r="M277" s="70" t="str">
        <f>IF('Item Setup Form'!$AF281="Yes",'Item Setup Form'!A281,"")</f>
        <v/>
      </c>
      <c r="N277" s="70"/>
      <c r="O277" s="70"/>
      <c r="P277" s="70"/>
      <c r="Q277" s="70"/>
      <c r="R277" s="70"/>
      <c r="S277" s="70"/>
      <c r="T277" s="70"/>
      <c r="U277" s="70"/>
      <c r="V277" s="70"/>
      <c r="W277" s="70"/>
      <c r="X277" s="70"/>
      <c r="Y277" s="70"/>
      <c r="Z277" s="70"/>
    </row>
    <row r="278" spans="1:26">
      <c r="A278" s="70" t="str">
        <f>IF('Item Setup Form'!$AF282="Yes",'Item Setup Form'!$E282,"")</f>
        <v/>
      </c>
      <c r="B278" s="70" t="str">
        <f>IF('Item Setup Form'!$AF282="Yes",'Item Setup Form'!D282,"")</f>
        <v/>
      </c>
      <c r="C278" s="81" t="str">
        <f>IF('Item Setup Form'!$AF282="Yes",'Item Setup Form'!L282,"")</f>
        <v/>
      </c>
      <c r="D278" s="81" t="str">
        <f>IF('Item Setup Form'!$AF282="Yes",'Item Setup Form'!M282,"")</f>
        <v/>
      </c>
      <c r="E278" s="70"/>
      <c r="F278" s="70" t="str">
        <f>IF('Item Setup Form'!$AF282="Yes",'Item Setup Form'!G282,"")</f>
        <v/>
      </c>
      <c r="G278" s="70" t="str">
        <f>IF('Item Setup Form'!$AF282="Yes",'Item Setup Form'!H282,"")</f>
        <v/>
      </c>
      <c r="H278" s="70" t="str">
        <f>IF('Item Setup Form'!$AF282="Yes",'Item Setup Form'!V282,"")</f>
        <v/>
      </c>
      <c r="I278" s="70"/>
      <c r="J278" s="70" t="str">
        <f>IF('Item Setup Form'!$AF282="Yes",'Item Setup Form'!U282,"")</f>
        <v/>
      </c>
      <c r="K278" s="70" t="str">
        <f>IF('Item Setup Form'!$AF282="Yes",'Item Setup Form'!V282,"")</f>
        <v/>
      </c>
      <c r="L278" s="70"/>
      <c r="M278" s="70" t="str">
        <f>IF('Item Setup Form'!$AF282="Yes",'Item Setup Form'!A282,"")</f>
        <v/>
      </c>
      <c r="N278" s="70"/>
      <c r="O278" s="70"/>
      <c r="P278" s="70"/>
      <c r="Q278" s="70"/>
      <c r="R278" s="70"/>
      <c r="S278" s="70"/>
      <c r="T278" s="70"/>
      <c r="U278" s="70"/>
      <c r="V278" s="70"/>
      <c r="W278" s="70"/>
      <c r="X278" s="70"/>
      <c r="Y278" s="70"/>
      <c r="Z278" s="70"/>
    </row>
    <row r="279" spans="1:26">
      <c r="A279" s="70" t="str">
        <f>IF('Item Setup Form'!$AF283="Yes",'Item Setup Form'!$E283,"")</f>
        <v/>
      </c>
      <c r="B279" s="70" t="str">
        <f>IF('Item Setup Form'!$AF283="Yes",'Item Setup Form'!D283,"")</f>
        <v/>
      </c>
      <c r="C279" s="81" t="str">
        <f>IF('Item Setup Form'!$AF283="Yes",'Item Setup Form'!L283,"")</f>
        <v/>
      </c>
      <c r="D279" s="81" t="str">
        <f>IF('Item Setup Form'!$AF283="Yes",'Item Setup Form'!M283,"")</f>
        <v/>
      </c>
      <c r="E279" s="70"/>
      <c r="F279" s="70" t="str">
        <f>IF('Item Setup Form'!$AF283="Yes",'Item Setup Form'!G283,"")</f>
        <v/>
      </c>
      <c r="G279" s="70" t="str">
        <f>IF('Item Setup Form'!$AF283="Yes",'Item Setup Form'!H283,"")</f>
        <v/>
      </c>
      <c r="H279" s="70" t="str">
        <f>IF('Item Setup Form'!$AF283="Yes",'Item Setup Form'!V283,"")</f>
        <v/>
      </c>
      <c r="I279" s="70"/>
      <c r="J279" s="70" t="str">
        <f>IF('Item Setup Form'!$AF283="Yes",'Item Setup Form'!U283,"")</f>
        <v/>
      </c>
      <c r="K279" s="70" t="str">
        <f>IF('Item Setup Form'!$AF283="Yes",'Item Setup Form'!V283,"")</f>
        <v/>
      </c>
      <c r="L279" s="70"/>
      <c r="M279" s="70" t="str">
        <f>IF('Item Setup Form'!$AF283="Yes",'Item Setup Form'!A283,"")</f>
        <v/>
      </c>
      <c r="N279" s="70"/>
      <c r="O279" s="70"/>
      <c r="P279" s="70"/>
      <c r="Q279" s="70"/>
      <c r="R279" s="70"/>
      <c r="S279" s="70"/>
      <c r="T279" s="70"/>
      <c r="U279" s="70"/>
      <c r="V279" s="70"/>
      <c r="W279" s="70"/>
      <c r="X279" s="70"/>
      <c r="Y279" s="70"/>
      <c r="Z279" s="70"/>
    </row>
    <row r="280" spans="1:26">
      <c r="A280" s="70" t="str">
        <f>IF('Item Setup Form'!$AF284="Yes",'Item Setup Form'!$E284,"")</f>
        <v/>
      </c>
      <c r="B280" s="70" t="str">
        <f>IF('Item Setup Form'!$AF284="Yes",'Item Setup Form'!D284,"")</f>
        <v/>
      </c>
      <c r="C280" s="81" t="str">
        <f>IF('Item Setup Form'!$AF284="Yes",'Item Setup Form'!L284,"")</f>
        <v/>
      </c>
      <c r="D280" s="81" t="str">
        <f>IF('Item Setup Form'!$AF284="Yes",'Item Setup Form'!M284,"")</f>
        <v/>
      </c>
      <c r="E280" s="70"/>
      <c r="F280" s="70" t="str">
        <f>IF('Item Setup Form'!$AF284="Yes",'Item Setup Form'!G284,"")</f>
        <v/>
      </c>
      <c r="G280" s="70" t="str">
        <f>IF('Item Setup Form'!$AF284="Yes",'Item Setup Form'!H284,"")</f>
        <v/>
      </c>
      <c r="H280" s="70" t="str">
        <f>IF('Item Setup Form'!$AF284="Yes",'Item Setup Form'!V284,"")</f>
        <v/>
      </c>
      <c r="I280" s="70"/>
      <c r="J280" s="70" t="str">
        <f>IF('Item Setup Form'!$AF284="Yes",'Item Setup Form'!U284,"")</f>
        <v/>
      </c>
      <c r="K280" s="70" t="str">
        <f>IF('Item Setup Form'!$AF284="Yes",'Item Setup Form'!V284,"")</f>
        <v/>
      </c>
      <c r="L280" s="70"/>
      <c r="M280" s="70" t="str">
        <f>IF('Item Setup Form'!$AF284="Yes",'Item Setup Form'!A284,"")</f>
        <v/>
      </c>
      <c r="N280" s="70"/>
      <c r="O280" s="70"/>
      <c r="P280" s="70"/>
      <c r="Q280" s="70"/>
      <c r="R280" s="70"/>
      <c r="S280" s="70"/>
      <c r="T280" s="70"/>
      <c r="U280" s="70"/>
      <c r="V280" s="70"/>
      <c r="W280" s="70"/>
      <c r="X280" s="70"/>
      <c r="Y280" s="70"/>
      <c r="Z280" s="70"/>
    </row>
    <row r="281" spans="1:26">
      <c r="A281" s="70" t="str">
        <f>IF('Item Setup Form'!$AF285="Yes",'Item Setup Form'!$E285,"")</f>
        <v/>
      </c>
      <c r="B281" s="70" t="str">
        <f>IF('Item Setup Form'!$AF285="Yes",'Item Setup Form'!D285,"")</f>
        <v/>
      </c>
      <c r="C281" s="81" t="str">
        <f>IF('Item Setup Form'!$AF285="Yes",'Item Setup Form'!L285,"")</f>
        <v/>
      </c>
      <c r="D281" s="81" t="str">
        <f>IF('Item Setup Form'!$AF285="Yes",'Item Setup Form'!M285,"")</f>
        <v/>
      </c>
      <c r="E281" s="70"/>
      <c r="F281" s="70" t="str">
        <f>IF('Item Setup Form'!$AF285="Yes",'Item Setup Form'!G285,"")</f>
        <v/>
      </c>
      <c r="G281" s="70" t="str">
        <f>IF('Item Setup Form'!$AF285="Yes",'Item Setup Form'!H285,"")</f>
        <v/>
      </c>
      <c r="H281" s="70" t="str">
        <f>IF('Item Setup Form'!$AF285="Yes",'Item Setup Form'!V285,"")</f>
        <v/>
      </c>
      <c r="I281" s="70"/>
      <c r="J281" s="70" t="str">
        <f>IF('Item Setup Form'!$AF285="Yes",'Item Setup Form'!U285,"")</f>
        <v/>
      </c>
      <c r="K281" s="70" t="str">
        <f>IF('Item Setup Form'!$AF285="Yes",'Item Setup Form'!V285,"")</f>
        <v/>
      </c>
      <c r="L281" s="70"/>
      <c r="M281" s="70" t="str">
        <f>IF('Item Setup Form'!$AF285="Yes",'Item Setup Form'!A285,"")</f>
        <v/>
      </c>
      <c r="N281" s="70"/>
      <c r="O281" s="70"/>
      <c r="P281" s="70"/>
      <c r="Q281" s="70"/>
      <c r="R281" s="70"/>
      <c r="S281" s="70"/>
      <c r="T281" s="70"/>
      <c r="U281" s="70"/>
      <c r="V281" s="70"/>
      <c r="W281" s="70"/>
      <c r="X281" s="70"/>
      <c r="Y281" s="70"/>
      <c r="Z281" s="70"/>
    </row>
    <row r="282" spans="1:26">
      <c r="A282" s="70" t="str">
        <f>IF('Item Setup Form'!$AF286="Yes",'Item Setup Form'!$E286,"")</f>
        <v/>
      </c>
      <c r="B282" s="70" t="str">
        <f>IF('Item Setup Form'!$AF286="Yes",'Item Setup Form'!D286,"")</f>
        <v/>
      </c>
      <c r="C282" s="81" t="str">
        <f>IF('Item Setup Form'!$AF286="Yes",'Item Setup Form'!L286,"")</f>
        <v/>
      </c>
      <c r="D282" s="81" t="str">
        <f>IF('Item Setup Form'!$AF286="Yes",'Item Setup Form'!M286,"")</f>
        <v/>
      </c>
      <c r="E282" s="70"/>
      <c r="F282" s="70" t="str">
        <f>IF('Item Setup Form'!$AF286="Yes",'Item Setup Form'!G286,"")</f>
        <v/>
      </c>
      <c r="G282" s="70" t="str">
        <f>IF('Item Setup Form'!$AF286="Yes",'Item Setup Form'!H286,"")</f>
        <v/>
      </c>
      <c r="H282" s="70" t="str">
        <f>IF('Item Setup Form'!$AF286="Yes",'Item Setup Form'!V286,"")</f>
        <v/>
      </c>
      <c r="I282" s="70"/>
      <c r="J282" s="70" t="str">
        <f>IF('Item Setup Form'!$AF286="Yes",'Item Setup Form'!U286,"")</f>
        <v/>
      </c>
      <c r="K282" s="70" t="str">
        <f>IF('Item Setup Form'!$AF286="Yes",'Item Setup Form'!V286,"")</f>
        <v/>
      </c>
      <c r="L282" s="70"/>
      <c r="M282" s="70" t="str">
        <f>IF('Item Setup Form'!$AF286="Yes",'Item Setup Form'!A286,"")</f>
        <v/>
      </c>
      <c r="N282" s="70"/>
      <c r="O282" s="70"/>
      <c r="P282" s="70"/>
      <c r="Q282" s="70"/>
      <c r="R282" s="70"/>
      <c r="S282" s="70"/>
      <c r="T282" s="70"/>
      <c r="U282" s="70"/>
      <c r="V282" s="70"/>
      <c r="W282" s="70"/>
      <c r="X282" s="70"/>
      <c r="Y282" s="70"/>
      <c r="Z282" s="70"/>
    </row>
    <row r="283" spans="1:26">
      <c r="A283" s="70" t="str">
        <f>IF('Item Setup Form'!$AF287="Yes",'Item Setup Form'!$E287,"")</f>
        <v/>
      </c>
      <c r="B283" s="70" t="str">
        <f>IF('Item Setup Form'!$AF287="Yes",'Item Setup Form'!D287,"")</f>
        <v/>
      </c>
      <c r="C283" s="81" t="str">
        <f>IF('Item Setup Form'!$AF287="Yes",'Item Setup Form'!L287,"")</f>
        <v/>
      </c>
      <c r="D283" s="81" t="str">
        <f>IF('Item Setup Form'!$AF287="Yes",'Item Setup Form'!M287,"")</f>
        <v/>
      </c>
      <c r="E283" s="70"/>
      <c r="F283" s="70" t="str">
        <f>IF('Item Setup Form'!$AF287="Yes",'Item Setup Form'!G287,"")</f>
        <v/>
      </c>
      <c r="G283" s="70" t="str">
        <f>IF('Item Setup Form'!$AF287="Yes",'Item Setup Form'!H287,"")</f>
        <v/>
      </c>
      <c r="H283" s="70" t="str">
        <f>IF('Item Setup Form'!$AF287="Yes",'Item Setup Form'!V287,"")</f>
        <v/>
      </c>
      <c r="I283" s="70"/>
      <c r="J283" s="70" t="str">
        <f>IF('Item Setup Form'!$AF287="Yes",'Item Setup Form'!U287,"")</f>
        <v/>
      </c>
      <c r="K283" s="70" t="str">
        <f>IF('Item Setup Form'!$AF287="Yes",'Item Setup Form'!V287,"")</f>
        <v/>
      </c>
      <c r="L283" s="70"/>
      <c r="M283" s="70" t="str">
        <f>IF('Item Setup Form'!$AF287="Yes",'Item Setup Form'!A287,"")</f>
        <v/>
      </c>
      <c r="N283" s="70"/>
      <c r="O283" s="70"/>
      <c r="P283" s="70"/>
      <c r="Q283" s="70"/>
      <c r="R283" s="70"/>
      <c r="S283" s="70"/>
      <c r="T283" s="70"/>
      <c r="U283" s="70"/>
      <c r="V283" s="70"/>
      <c r="W283" s="70"/>
      <c r="X283" s="70"/>
      <c r="Y283" s="70"/>
      <c r="Z283" s="70"/>
    </row>
    <row r="284" spans="1:26">
      <c r="A284" s="70" t="str">
        <f>IF('Item Setup Form'!$AF288="Yes",'Item Setup Form'!$E288,"")</f>
        <v/>
      </c>
      <c r="B284" s="70" t="str">
        <f>IF('Item Setup Form'!$AF288="Yes",'Item Setup Form'!D288,"")</f>
        <v/>
      </c>
      <c r="C284" s="81" t="str">
        <f>IF('Item Setup Form'!$AF288="Yes",'Item Setup Form'!L288,"")</f>
        <v/>
      </c>
      <c r="D284" s="81" t="str">
        <f>IF('Item Setup Form'!$AF288="Yes",'Item Setup Form'!M288,"")</f>
        <v/>
      </c>
      <c r="E284" s="70"/>
      <c r="F284" s="70" t="str">
        <f>IF('Item Setup Form'!$AF288="Yes",'Item Setup Form'!G288,"")</f>
        <v/>
      </c>
      <c r="G284" s="70" t="str">
        <f>IF('Item Setup Form'!$AF288="Yes",'Item Setup Form'!H288,"")</f>
        <v/>
      </c>
      <c r="H284" s="70" t="str">
        <f>IF('Item Setup Form'!$AF288="Yes",'Item Setup Form'!V288,"")</f>
        <v/>
      </c>
      <c r="I284" s="70"/>
      <c r="J284" s="70" t="str">
        <f>IF('Item Setup Form'!$AF288="Yes",'Item Setup Form'!U288,"")</f>
        <v/>
      </c>
      <c r="K284" s="70" t="str">
        <f>IF('Item Setup Form'!$AF288="Yes",'Item Setup Form'!V288,"")</f>
        <v/>
      </c>
      <c r="L284" s="70"/>
      <c r="M284" s="70" t="str">
        <f>IF('Item Setup Form'!$AF288="Yes",'Item Setup Form'!A288,"")</f>
        <v/>
      </c>
      <c r="N284" s="70"/>
      <c r="O284" s="70"/>
      <c r="P284" s="70"/>
      <c r="Q284" s="70"/>
      <c r="R284" s="70"/>
      <c r="S284" s="70"/>
      <c r="T284" s="70"/>
      <c r="U284" s="70"/>
      <c r="V284" s="70"/>
      <c r="W284" s="70"/>
      <c r="X284" s="70"/>
      <c r="Y284" s="70"/>
      <c r="Z284" s="70"/>
    </row>
    <row r="285" spans="1:26">
      <c r="A285" s="70" t="str">
        <f>IF('Item Setup Form'!$AF289="Yes",'Item Setup Form'!$E289,"")</f>
        <v/>
      </c>
      <c r="B285" s="70" t="str">
        <f>IF('Item Setup Form'!$AF289="Yes",'Item Setup Form'!D289,"")</f>
        <v/>
      </c>
      <c r="C285" s="81" t="str">
        <f>IF('Item Setup Form'!$AF289="Yes",'Item Setup Form'!L289,"")</f>
        <v/>
      </c>
      <c r="D285" s="81" t="str">
        <f>IF('Item Setup Form'!$AF289="Yes",'Item Setup Form'!M289,"")</f>
        <v/>
      </c>
      <c r="E285" s="70"/>
      <c r="F285" s="70" t="str">
        <f>IF('Item Setup Form'!$AF289="Yes",'Item Setup Form'!G289,"")</f>
        <v/>
      </c>
      <c r="G285" s="70" t="str">
        <f>IF('Item Setup Form'!$AF289="Yes",'Item Setup Form'!H289,"")</f>
        <v/>
      </c>
      <c r="H285" s="70" t="str">
        <f>IF('Item Setup Form'!$AF289="Yes",'Item Setup Form'!V289,"")</f>
        <v/>
      </c>
      <c r="I285" s="70"/>
      <c r="J285" s="70" t="str">
        <f>IF('Item Setup Form'!$AF289="Yes",'Item Setup Form'!U289,"")</f>
        <v/>
      </c>
      <c r="K285" s="70" t="str">
        <f>IF('Item Setup Form'!$AF289="Yes",'Item Setup Form'!V289,"")</f>
        <v/>
      </c>
      <c r="L285" s="70"/>
      <c r="M285" s="70" t="str">
        <f>IF('Item Setup Form'!$AF289="Yes",'Item Setup Form'!A289,"")</f>
        <v/>
      </c>
      <c r="N285" s="70"/>
      <c r="O285" s="70"/>
      <c r="P285" s="70"/>
      <c r="Q285" s="70"/>
      <c r="R285" s="70"/>
      <c r="S285" s="70"/>
      <c r="T285" s="70"/>
      <c r="U285" s="70"/>
      <c r="V285" s="70"/>
      <c r="W285" s="70"/>
      <c r="X285" s="70"/>
      <c r="Y285" s="70"/>
      <c r="Z285" s="70"/>
    </row>
    <row r="286" spans="1:26">
      <c r="A286" s="70" t="str">
        <f>IF('Item Setup Form'!$AF290="Yes",'Item Setup Form'!$E290,"")</f>
        <v/>
      </c>
      <c r="B286" s="70" t="str">
        <f>IF('Item Setup Form'!$AF290="Yes",'Item Setup Form'!D290,"")</f>
        <v/>
      </c>
      <c r="C286" s="81" t="str">
        <f>IF('Item Setup Form'!$AF290="Yes",'Item Setup Form'!L290,"")</f>
        <v/>
      </c>
      <c r="D286" s="81" t="str">
        <f>IF('Item Setup Form'!$AF290="Yes",'Item Setup Form'!M290,"")</f>
        <v/>
      </c>
      <c r="E286" s="70"/>
      <c r="F286" s="70" t="str">
        <f>IF('Item Setup Form'!$AF290="Yes",'Item Setup Form'!G290,"")</f>
        <v/>
      </c>
      <c r="G286" s="70" t="str">
        <f>IF('Item Setup Form'!$AF290="Yes",'Item Setup Form'!H290,"")</f>
        <v/>
      </c>
      <c r="H286" s="70" t="str">
        <f>IF('Item Setup Form'!$AF290="Yes",'Item Setup Form'!V290,"")</f>
        <v/>
      </c>
      <c r="I286" s="70"/>
      <c r="J286" s="70" t="str">
        <f>IF('Item Setup Form'!$AF290="Yes",'Item Setup Form'!U290,"")</f>
        <v/>
      </c>
      <c r="K286" s="70" t="str">
        <f>IF('Item Setup Form'!$AF290="Yes",'Item Setup Form'!V290,"")</f>
        <v/>
      </c>
      <c r="L286" s="70"/>
      <c r="M286" s="70" t="str">
        <f>IF('Item Setup Form'!$AF290="Yes",'Item Setup Form'!A290,"")</f>
        <v/>
      </c>
      <c r="N286" s="70"/>
      <c r="O286" s="70"/>
      <c r="P286" s="70"/>
      <c r="Q286" s="70"/>
      <c r="R286" s="70"/>
      <c r="S286" s="70"/>
      <c r="T286" s="70"/>
      <c r="U286" s="70"/>
      <c r="V286" s="70"/>
      <c r="W286" s="70"/>
      <c r="X286" s="70"/>
      <c r="Y286" s="70"/>
      <c r="Z286" s="70"/>
    </row>
    <row r="287" spans="1:26">
      <c r="A287" s="70" t="str">
        <f>IF('Item Setup Form'!$AF291="Yes",'Item Setup Form'!$E291,"")</f>
        <v/>
      </c>
      <c r="B287" s="70" t="str">
        <f>IF('Item Setup Form'!$AF291="Yes",'Item Setup Form'!D291,"")</f>
        <v/>
      </c>
      <c r="C287" s="81" t="str">
        <f>IF('Item Setup Form'!$AF291="Yes",'Item Setup Form'!L291,"")</f>
        <v/>
      </c>
      <c r="D287" s="81" t="str">
        <f>IF('Item Setup Form'!$AF291="Yes",'Item Setup Form'!M291,"")</f>
        <v/>
      </c>
      <c r="E287" s="70"/>
      <c r="F287" s="70" t="str">
        <f>IF('Item Setup Form'!$AF291="Yes",'Item Setup Form'!G291,"")</f>
        <v/>
      </c>
      <c r="G287" s="70" t="str">
        <f>IF('Item Setup Form'!$AF291="Yes",'Item Setup Form'!H291,"")</f>
        <v/>
      </c>
      <c r="H287" s="70" t="str">
        <f>IF('Item Setup Form'!$AF291="Yes",'Item Setup Form'!V291,"")</f>
        <v/>
      </c>
      <c r="I287" s="70"/>
      <c r="J287" s="70" t="str">
        <f>IF('Item Setup Form'!$AF291="Yes",'Item Setup Form'!U291,"")</f>
        <v/>
      </c>
      <c r="K287" s="70" t="str">
        <f>IF('Item Setup Form'!$AF291="Yes",'Item Setup Form'!V291,"")</f>
        <v/>
      </c>
      <c r="L287" s="70"/>
      <c r="M287" s="70" t="str">
        <f>IF('Item Setup Form'!$AF291="Yes",'Item Setup Form'!A291,"")</f>
        <v/>
      </c>
      <c r="N287" s="70"/>
      <c r="O287" s="70"/>
      <c r="P287" s="70"/>
      <c r="Q287" s="70"/>
      <c r="R287" s="70"/>
      <c r="S287" s="70"/>
      <c r="T287" s="70"/>
      <c r="U287" s="70"/>
      <c r="V287" s="70"/>
      <c r="W287" s="70"/>
      <c r="X287" s="70"/>
      <c r="Y287" s="70"/>
      <c r="Z287" s="70"/>
    </row>
    <row r="288" spans="1:26">
      <c r="A288" s="70" t="str">
        <f>IF('Item Setup Form'!$AF292="Yes",'Item Setup Form'!$E292,"")</f>
        <v/>
      </c>
      <c r="B288" s="70" t="str">
        <f>IF('Item Setup Form'!$AF292="Yes",'Item Setup Form'!D292,"")</f>
        <v/>
      </c>
      <c r="C288" s="81" t="str">
        <f>IF('Item Setup Form'!$AF292="Yes",'Item Setup Form'!L292,"")</f>
        <v/>
      </c>
      <c r="D288" s="81" t="str">
        <f>IF('Item Setup Form'!$AF292="Yes",'Item Setup Form'!M292,"")</f>
        <v/>
      </c>
      <c r="E288" s="70"/>
      <c r="F288" s="70" t="str">
        <f>IF('Item Setup Form'!$AF292="Yes",'Item Setup Form'!G292,"")</f>
        <v/>
      </c>
      <c r="G288" s="70" t="str">
        <f>IF('Item Setup Form'!$AF292="Yes",'Item Setup Form'!H292,"")</f>
        <v/>
      </c>
      <c r="H288" s="70" t="str">
        <f>IF('Item Setup Form'!$AF292="Yes",'Item Setup Form'!V292,"")</f>
        <v/>
      </c>
      <c r="I288" s="70"/>
      <c r="J288" s="70" t="str">
        <f>IF('Item Setup Form'!$AF292="Yes",'Item Setup Form'!U292,"")</f>
        <v/>
      </c>
      <c r="K288" s="70" t="str">
        <f>IF('Item Setup Form'!$AF292="Yes",'Item Setup Form'!V292,"")</f>
        <v/>
      </c>
      <c r="L288" s="70"/>
      <c r="M288" s="70" t="str">
        <f>IF('Item Setup Form'!$AF292="Yes",'Item Setup Form'!A292,"")</f>
        <v/>
      </c>
      <c r="N288" s="70"/>
      <c r="O288" s="70"/>
      <c r="P288" s="70"/>
      <c r="Q288" s="70"/>
      <c r="R288" s="70"/>
      <c r="S288" s="70"/>
      <c r="T288" s="70"/>
      <c r="U288" s="70"/>
      <c r="V288" s="70"/>
      <c r="W288" s="70"/>
      <c r="X288" s="70"/>
      <c r="Y288" s="70"/>
      <c r="Z288" s="70"/>
    </row>
    <row r="289" spans="1:26">
      <c r="A289" s="70" t="str">
        <f>IF('Item Setup Form'!$AF293="Yes",'Item Setup Form'!$E293,"")</f>
        <v/>
      </c>
      <c r="B289" s="70" t="str">
        <f>IF('Item Setup Form'!$AF293="Yes",'Item Setup Form'!D293,"")</f>
        <v/>
      </c>
      <c r="C289" s="81" t="str">
        <f>IF('Item Setup Form'!$AF293="Yes",'Item Setup Form'!L293,"")</f>
        <v/>
      </c>
      <c r="D289" s="81" t="str">
        <f>IF('Item Setup Form'!$AF293="Yes",'Item Setup Form'!M293,"")</f>
        <v/>
      </c>
      <c r="E289" s="70"/>
      <c r="F289" s="70" t="str">
        <f>IF('Item Setup Form'!$AF293="Yes",'Item Setup Form'!G293,"")</f>
        <v/>
      </c>
      <c r="G289" s="70" t="str">
        <f>IF('Item Setup Form'!$AF293="Yes",'Item Setup Form'!H293,"")</f>
        <v/>
      </c>
      <c r="H289" s="70" t="str">
        <f>IF('Item Setup Form'!$AF293="Yes",'Item Setup Form'!V293,"")</f>
        <v/>
      </c>
      <c r="I289" s="70"/>
      <c r="J289" s="70" t="str">
        <f>IF('Item Setup Form'!$AF293="Yes",'Item Setup Form'!U293,"")</f>
        <v/>
      </c>
      <c r="K289" s="70" t="str">
        <f>IF('Item Setup Form'!$AF293="Yes",'Item Setup Form'!V293,"")</f>
        <v/>
      </c>
      <c r="L289" s="70"/>
      <c r="M289" s="70" t="str">
        <f>IF('Item Setup Form'!$AF293="Yes",'Item Setup Form'!A293,"")</f>
        <v/>
      </c>
      <c r="N289" s="70"/>
      <c r="O289" s="70"/>
      <c r="P289" s="70"/>
      <c r="Q289" s="70"/>
      <c r="R289" s="70"/>
      <c r="S289" s="70"/>
      <c r="T289" s="70"/>
      <c r="U289" s="70"/>
      <c r="V289" s="70"/>
      <c r="W289" s="70"/>
      <c r="X289" s="70"/>
      <c r="Y289" s="70"/>
      <c r="Z289" s="70"/>
    </row>
    <row r="290" spans="1:26">
      <c r="A290" s="70" t="str">
        <f>IF('Item Setup Form'!$AF294="Yes",'Item Setup Form'!$E294,"")</f>
        <v/>
      </c>
      <c r="B290" s="70" t="str">
        <f>IF('Item Setup Form'!$AF294="Yes",'Item Setup Form'!D294,"")</f>
        <v/>
      </c>
      <c r="C290" s="81" t="str">
        <f>IF('Item Setup Form'!$AF294="Yes",'Item Setup Form'!L294,"")</f>
        <v/>
      </c>
      <c r="D290" s="81" t="str">
        <f>IF('Item Setup Form'!$AF294="Yes",'Item Setup Form'!M294,"")</f>
        <v/>
      </c>
      <c r="E290" s="70"/>
      <c r="F290" s="70" t="str">
        <f>IF('Item Setup Form'!$AF294="Yes",'Item Setup Form'!G294,"")</f>
        <v/>
      </c>
      <c r="G290" s="70" t="str">
        <f>IF('Item Setup Form'!$AF294="Yes",'Item Setup Form'!H294,"")</f>
        <v/>
      </c>
      <c r="H290" s="70" t="str">
        <f>IF('Item Setup Form'!$AF294="Yes",'Item Setup Form'!V294,"")</f>
        <v/>
      </c>
      <c r="I290" s="70"/>
      <c r="J290" s="70" t="str">
        <f>IF('Item Setup Form'!$AF294="Yes",'Item Setup Form'!U294,"")</f>
        <v/>
      </c>
      <c r="K290" s="70" t="str">
        <f>IF('Item Setup Form'!$AF294="Yes",'Item Setup Form'!V294,"")</f>
        <v/>
      </c>
      <c r="L290" s="70"/>
      <c r="M290" s="70" t="str">
        <f>IF('Item Setup Form'!$AF294="Yes",'Item Setup Form'!A294,"")</f>
        <v/>
      </c>
      <c r="N290" s="70"/>
      <c r="O290" s="70"/>
      <c r="P290" s="70"/>
      <c r="Q290" s="70"/>
      <c r="R290" s="70"/>
      <c r="S290" s="70"/>
      <c r="T290" s="70"/>
      <c r="U290" s="70"/>
      <c r="V290" s="70"/>
      <c r="W290" s="70"/>
      <c r="X290" s="70"/>
      <c r="Y290" s="70"/>
      <c r="Z290" s="70"/>
    </row>
    <row r="291" spans="1:26">
      <c r="A291" s="70" t="str">
        <f>IF('Item Setup Form'!$AF295="Yes",'Item Setup Form'!$E295,"")</f>
        <v/>
      </c>
      <c r="B291" s="70" t="str">
        <f>IF('Item Setup Form'!$AF295="Yes",'Item Setup Form'!D295,"")</f>
        <v/>
      </c>
      <c r="C291" s="81" t="str">
        <f>IF('Item Setup Form'!$AF295="Yes",'Item Setup Form'!L295,"")</f>
        <v/>
      </c>
      <c r="D291" s="81" t="str">
        <f>IF('Item Setup Form'!$AF295="Yes",'Item Setup Form'!M295,"")</f>
        <v/>
      </c>
      <c r="E291" s="70"/>
      <c r="F291" s="70" t="str">
        <f>IF('Item Setup Form'!$AF295="Yes",'Item Setup Form'!G295,"")</f>
        <v/>
      </c>
      <c r="G291" s="70" t="str">
        <f>IF('Item Setup Form'!$AF295="Yes",'Item Setup Form'!H295,"")</f>
        <v/>
      </c>
      <c r="H291" s="70" t="str">
        <f>IF('Item Setup Form'!$AF295="Yes",'Item Setup Form'!V295,"")</f>
        <v/>
      </c>
      <c r="I291" s="70"/>
      <c r="J291" s="70" t="str">
        <f>IF('Item Setup Form'!$AF295="Yes",'Item Setup Form'!U295,"")</f>
        <v/>
      </c>
      <c r="K291" s="70" t="str">
        <f>IF('Item Setup Form'!$AF295="Yes",'Item Setup Form'!V295,"")</f>
        <v/>
      </c>
      <c r="L291" s="70"/>
      <c r="M291" s="70" t="str">
        <f>IF('Item Setup Form'!$AF295="Yes",'Item Setup Form'!A295,"")</f>
        <v/>
      </c>
      <c r="N291" s="70"/>
      <c r="O291" s="70"/>
      <c r="P291" s="70"/>
      <c r="Q291" s="70"/>
      <c r="R291" s="70"/>
      <c r="S291" s="70"/>
      <c r="T291" s="70"/>
      <c r="U291" s="70"/>
      <c r="V291" s="70"/>
      <c r="W291" s="70"/>
      <c r="X291" s="70"/>
      <c r="Y291" s="70"/>
      <c r="Z291" s="70"/>
    </row>
    <row r="292" spans="1:26">
      <c r="A292" s="70" t="str">
        <f>IF('Item Setup Form'!$AF296="Yes",'Item Setup Form'!$E296,"")</f>
        <v/>
      </c>
      <c r="B292" s="70" t="str">
        <f>IF('Item Setup Form'!$AF296="Yes",'Item Setup Form'!D296,"")</f>
        <v/>
      </c>
      <c r="C292" s="81" t="str">
        <f>IF('Item Setup Form'!$AF296="Yes",'Item Setup Form'!L296,"")</f>
        <v/>
      </c>
      <c r="D292" s="81" t="str">
        <f>IF('Item Setup Form'!$AF296="Yes",'Item Setup Form'!M296,"")</f>
        <v/>
      </c>
      <c r="E292" s="70"/>
      <c r="F292" s="70" t="str">
        <f>IF('Item Setup Form'!$AF296="Yes",'Item Setup Form'!G296,"")</f>
        <v/>
      </c>
      <c r="G292" s="70" t="str">
        <f>IF('Item Setup Form'!$AF296="Yes",'Item Setup Form'!H296,"")</f>
        <v/>
      </c>
      <c r="H292" s="70" t="str">
        <f>IF('Item Setup Form'!$AF296="Yes",'Item Setup Form'!V296,"")</f>
        <v/>
      </c>
      <c r="I292" s="70"/>
      <c r="J292" s="70" t="str">
        <f>IF('Item Setup Form'!$AF296="Yes",'Item Setup Form'!U296,"")</f>
        <v/>
      </c>
      <c r="K292" s="70" t="str">
        <f>IF('Item Setup Form'!$AF296="Yes",'Item Setup Form'!V296,"")</f>
        <v/>
      </c>
      <c r="L292" s="70"/>
      <c r="M292" s="70" t="str">
        <f>IF('Item Setup Form'!$AF296="Yes",'Item Setup Form'!A296,"")</f>
        <v/>
      </c>
      <c r="N292" s="70"/>
      <c r="O292" s="70"/>
      <c r="P292" s="70"/>
      <c r="Q292" s="70"/>
      <c r="R292" s="70"/>
      <c r="S292" s="70"/>
      <c r="T292" s="70"/>
      <c r="U292" s="70"/>
      <c r="V292" s="70"/>
      <c r="W292" s="70"/>
      <c r="X292" s="70"/>
      <c r="Y292" s="70"/>
      <c r="Z292" s="70"/>
    </row>
    <row r="293" spans="1:26">
      <c r="A293" s="70" t="str">
        <f>IF('Item Setup Form'!$AF297="Yes",'Item Setup Form'!$E297,"")</f>
        <v/>
      </c>
      <c r="B293" s="70" t="str">
        <f>IF('Item Setup Form'!$AF297="Yes",'Item Setup Form'!D297,"")</f>
        <v/>
      </c>
      <c r="C293" s="81" t="str">
        <f>IF('Item Setup Form'!$AF297="Yes",'Item Setup Form'!L297,"")</f>
        <v/>
      </c>
      <c r="D293" s="81" t="str">
        <f>IF('Item Setup Form'!$AF297="Yes",'Item Setup Form'!M297,"")</f>
        <v/>
      </c>
      <c r="E293" s="70"/>
      <c r="F293" s="70" t="str">
        <f>IF('Item Setup Form'!$AF297="Yes",'Item Setup Form'!G297,"")</f>
        <v/>
      </c>
      <c r="G293" s="70" t="str">
        <f>IF('Item Setup Form'!$AF297="Yes",'Item Setup Form'!H297,"")</f>
        <v/>
      </c>
      <c r="H293" s="70" t="str">
        <f>IF('Item Setup Form'!$AF297="Yes",'Item Setup Form'!V297,"")</f>
        <v/>
      </c>
      <c r="I293" s="70"/>
      <c r="J293" s="70" t="str">
        <f>IF('Item Setup Form'!$AF297="Yes",'Item Setup Form'!U297,"")</f>
        <v/>
      </c>
      <c r="K293" s="70" t="str">
        <f>IF('Item Setup Form'!$AF297="Yes",'Item Setup Form'!V297,"")</f>
        <v/>
      </c>
      <c r="L293" s="70"/>
      <c r="M293" s="70" t="str">
        <f>IF('Item Setup Form'!$AF297="Yes",'Item Setup Form'!A297,"")</f>
        <v/>
      </c>
      <c r="N293" s="70"/>
      <c r="O293" s="70"/>
      <c r="P293" s="70"/>
      <c r="Q293" s="70"/>
      <c r="R293" s="70"/>
      <c r="S293" s="70"/>
      <c r="T293" s="70"/>
      <c r="U293" s="70"/>
      <c r="V293" s="70"/>
      <c r="W293" s="70"/>
      <c r="X293" s="70"/>
      <c r="Y293" s="70"/>
      <c r="Z293" s="70"/>
    </row>
    <row r="294" spans="1:26">
      <c r="A294" s="70" t="str">
        <f>IF('Item Setup Form'!$AF298="Yes",'Item Setup Form'!$E298,"")</f>
        <v/>
      </c>
      <c r="B294" s="70" t="str">
        <f>IF('Item Setup Form'!$AF298="Yes",'Item Setup Form'!D298,"")</f>
        <v/>
      </c>
      <c r="C294" s="81" t="str">
        <f>IF('Item Setup Form'!$AF298="Yes",'Item Setup Form'!L298,"")</f>
        <v/>
      </c>
      <c r="D294" s="81" t="str">
        <f>IF('Item Setup Form'!$AF298="Yes",'Item Setup Form'!M298,"")</f>
        <v/>
      </c>
      <c r="E294" s="70"/>
      <c r="F294" s="70" t="str">
        <f>IF('Item Setup Form'!$AF298="Yes",'Item Setup Form'!G298,"")</f>
        <v/>
      </c>
      <c r="G294" s="70" t="str">
        <f>IF('Item Setup Form'!$AF298="Yes",'Item Setup Form'!H298,"")</f>
        <v/>
      </c>
      <c r="H294" s="70" t="str">
        <f>IF('Item Setup Form'!$AF298="Yes",'Item Setup Form'!V298,"")</f>
        <v/>
      </c>
      <c r="I294" s="70"/>
      <c r="J294" s="70" t="str">
        <f>IF('Item Setup Form'!$AF298="Yes",'Item Setup Form'!U298,"")</f>
        <v/>
      </c>
      <c r="K294" s="70" t="str">
        <f>IF('Item Setup Form'!$AF298="Yes",'Item Setup Form'!V298,"")</f>
        <v/>
      </c>
      <c r="L294" s="70"/>
      <c r="M294" s="70" t="str">
        <f>IF('Item Setup Form'!$AF298="Yes",'Item Setup Form'!A298,"")</f>
        <v/>
      </c>
      <c r="N294" s="70"/>
      <c r="O294" s="70"/>
      <c r="P294" s="70"/>
      <c r="Q294" s="70"/>
      <c r="R294" s="70"/>
      <c r="S294" s="70"/>
      <c r="T294" s="70"/>
      <c r="U294" s="70"/>
      <c r="V294" s="70"/>
      <c r="W294" s="70"/>
      <c r="X294" s="70"/>
      <c r="Y294" s="70"/>
      <c r="Z294" s="70"/>
    </row>
    <row r="295" spans="1:26">
      <c r="A295" s="70" t="str">
        <f>IF('Item Setup Form'!$AF299="Yes",'Item Setup Form'!$E299,"")</f>
        <v/>
      </c>
      <c r="B295" s="70" t="str">
        <f>IF('Item Setup Form'!$AF299="Yes",'Item Setup Form'!D299,"")</f>
        <v/>
      </c>
      <c r="C295" s="81" t="str">
        <f>IF('Item Setup Form'!$AF299="Yes",'Item Setup Form'!L299,"")</f>
        <v/>
      </c>
      <c r="D295" s="81" t="str">
        <f>IF('Item Setup Form'!$AF299="Yes",'Item Setup Form'!M299,"")</f>
        <v/>
      </c>
      <c r="E295" s="70"/>
      <c r="F295" s="70" t="str">
        <f>IF('Item Setup Form'!$AF299="Yes",'Item Setup Form'!G299,"")</f>
        <v/>
      </c>
      <c r="G295" s="70" t="str">
        <f>IF('Item Setup Form'!$AF299="Yes",'Item Setup Form'!H299,"")</f>
        <v/>
      </c>
      <c r="H295" s="70" t="str">
        <f>IF('Item Setup Form'!$AF299="Yes",'Item Setup Form'!V299,"")</f>
        <v/>
      </c>
      <c r="I295" s="70"/>
      <c r="J295" s="70" t="str">
        <f>IF('Item Setup Form'!$AF299="Yes",'Item Setup Form'!U299,"")</f>
        <v/>
      </c>
      <c r="K295" s="70" t="str">
        <f>IF('Item Setup Form'!$AF299="Yes",'Item Setup Form'!V299,"")</f>
        <v/>
      </c>
      <c r="L295" s="70"/>
      <c r="M295" s="70" t="str">
        <f>IF('Item Setup Form'!$AF299="Yes",'Item Setup Form'!A299,"")</f>
        <v/>
      </c>
      <c r="N295" s="70"/>
      <c r="O295" s="70"/>
      <c r="P295" s="70"/>
      <c r="Q295" s="70"/>
      <c r="R295" s="70"/>
      <c r="S295" s="70"/>
      <c r="T295" s="70"/>
      <c r="U295" s="70"/>
      <c r="V295" s="70"/>
      <c r="W295" s="70"/>
      <c r="X295" s="70"/>
      <c r="Y295" s="70"/>
      <c r="Z295" s="70"/>
    </row>
    <row r="296" spans="1:26">
      <c r="A296" s="70" t="str">
        <f>IF('Item Setup Form'!$AF300="Yes",'Item Setup Form'!$E300,"")</f>
        <v/>
      </c>
      <c r="B296" s="70" t="str">
        <f>IF('Item Setup Form'!$AF300="Yes",'Item Setup Form'!D300,"")</f>
        <v/>
      </c>
      <c r="C296" s="81" t="str">
        <f>IF('Item Setup Form'!$AF300="Yes",'Item Setup Form'!L300,"")</f>
        <v/>
      </c>
      <c r="D296" s="81" t="str">
        <f>IF('Item Setup Form'!$AF300="Yes",'Item Setup Form'!M300,"")</f>
        <v/>
      </c>
      <c r="E296" s="70"/>
      <c r="F296" s="70" t="str">
        <f>IF('Item Setup Form'!$AF300="Yes",'Item Setup Form'!G300,"")</f>
        <v/>
      </c>
      <c r="G296" s="70" t="str">
        <f>IF('Item Setup Form'!$AF300="Yes",'Item Setup Form'!H300,"")</f>
        <v/>
      </c>
      <c r="H296" s="70" t="str">
        <f>IF('Item Setup Form'!$AF300="Yes",'Item Setup Form'!V300,"")</f>
        <v/>
      </c>
      <c r="I296" s="70"/>
      <c r="J296" s="70" t="str">
        <f>IF('Item Setup Form'!$AF300="Yes",'Item Setup Form'!U300,"")</f>
        <v/>
      </c>
      <c r="K296" s="70" t="str">
        <f>IF('Item Setup Form'!$AF300="Yes",'Item Setup Form'!V300,"")</f>
        <v/>
      </c>
      <c r="L296" s="70"/>
      <c r="M296" s="70" t="str">
        <f>IF('Item Setup Form'!$AF300="Yes",'Item Setup Form'!A300,"")</f>
        <v/>
      </c>
      <c r="N296" s="70"/>
      <c r="O296" s="70"/>
      <c r="P296" s="70"/>
      <c r="Q296" s="70"/>
      <c r="R296" s="70"/>
      <c r="S296" s="70"/>
      <c r="T296" s="70"/>
      <c r="U296" s="70"/>
      <c r="V296" s="70"/>
      <c r="W296" s="70"/>
      <c r="X296" s="70"/>
      <c r="Y296" s="70"/>
      <c r="Z296" s="70"/>
    </row>
    <row r="297" spans="1:26">
      <c r="A297" s="70" t="str">
        <f>IF('Item Setup Form'!$AF301="Yes",'Item Setup Form'!$E301,"")</f>
        <v/>
      </c>
      <c r="B297" s="70" t="str">
        <f>IF('Item Setup Form'!$AF301="Yes",'Item Setup Form'!D301,"")</f>
        <v/>
      </c>
      <c r="C297" s="81" t="str">
        <f>IF('Item Setup Form'!$AF301="Yes",'Item Setup Form'!L301,"")</f>
        <v/>
      </c>
      <c r="D297" s="81" t="str">
        <f>IF('Item Setup Form'!$AF301="Yes",'Item Setup Form'!M301,"")</f>
        <v/>
      </c>
      <c r="E297" s="70"/>
      <c r="F297" s="70" t="str">
        <f>IF('Item Setup Form'!$AF301="Yes",'Item Setup Form'!G301,"")</f>
        <v/>
      </c>
      <c r="G297" s="70" t="str">
        <f>IF('Item Setup Form'!$AF301="Yes",'Item Setup Form'!H301,"")</f>
        <v/>
      </c>
      <c r="H297" s="70" t="str">
        <f>IF('Item Setup Form'!$AF301="Yes",'Item Setup Form'!V301,"")</f>
        <v/>
      </c>
      <c r="I297" s="70"/>
      <c r="J297" s="70" t="str">
        <f>IF('Item Setup Form'!$AF301="Yes",'Item Setup Form'!U301,"")</f>
        <v/>
      </c>
      <c r="K297" s="70" t="str">
        <f>IF('Item Setup Form'!$AF301="Yes",'Item Setup Form'!V301,"")</f>
        <v/>
      </c>
      <c r="L297" s="70"/>
      <c r="M297" s="70" t="str">
        <f>IF('Item Setup Form'!$AF301="Yes",'Item Setup Form'!A301,"")</f>
        <v/>
      </c>
      <c r="N297" s="70"/>
      <c r="O297" s="70"/>
      <c r="P297" s="70"/>
      <c r="Q297" s="70"/>
      <c r="R297" s="70"/>
      <c r="S297" s="70"/>
      <c r="T297" s="70"/>
      <c r="U297" s="70"/>
      <c r="V297" s="70"/>
      <c r="W297" s="70"/>
      <c r="X297" s="70"/>
      <c r="Y297" s="70"/>
      <c r="Z297" s="70"/>
    </row>
    <row r="298" spans="1:26">
      <c r="A298" s="70" t="str">
        <f>IF('Item Setup Form'!$AF302="Yes",'Item Setup Form'!$E302,"")</f>
        <v/>
      </c>
      <c r="B298" s="70" t="str">
        <f>IF('Item Setup Form'!$AF302="Yes",'Item Setup Form'!D302,"")</f>
        <v/>
      </c>
      <c r="C298" s="81" t="str">
        <f>IF('Item Setup Form'!$AF302="Yes",'Item Setup Form'!L302,"")</f>
        <v/>
      </c>
      <c r="D298" s="81" t="str">
        <f>IF('Item Setup Form'!$AF302="Yes",'Item Setup Form'!M302,"")</f>
        <v/>
      </c>
      <c r="E298" s="70"/>
      <c r="F298" s="70" t="str">
        <f>IF('Item Setup Form'!$AF302="Yes",'Item Setup Form'!G302,"")</f>
        <v/>
      </c>
      <c r="G298" s="70" t="str">
        <f>IF('Item Setup Form'!$AF302="Yes",'Item Setup Form'!H302,"")</f>
        <v/>
      </c>
      <c r="H298" s="70" t="str">
        <f>IF('Item Setup Form'!$AF302="Yes",'Item Setup Form'!V302,"")</f>
        <v/>
      </c>
      <c r="I298" s="70"/>
      <c r="J298" s="70" t="str">
        <f>IF('Item Setup Form'!$AF302="Yes",'Item Setup Form'!U302,"")</f>
        <v/>
      </c>
      <c r="K298" s="70" t="str">
        <f>IF('Item Setup Form'!$AF302="Yes",'Item Setup Form'!V302,"")</f>
        <v/>
      </c>
      <c r="L298" s="70"/>
      <c r="M298" s="70" t="str">
        <f>IF('Item Setup Form'!$AF302="Yes",'Item Setup Form'!A302,"")</f>
        <v/>
      </c>
      <c r="N298" s="70"/>
      <c r="O298" s="70"/>
      <c r="P298" s="70"/>
      <c r="Q298" s="70"/>
      <c r="R298" s="70"/>
      <c r="S298" s="70"/>
      <c r="T298" s="70"/>
      <c r="U298" s="70"/>
      <c r="V298" s="70"/>
      <c r="W298" s="70"/>
      <c r="X298" s="70"/>
      <c r="Y298" s="70"/>
      <c r="Z298" s="70"/>
    </row>
    <row r="299" spans="1:26">
      <c r="A299" s="70" t="str">
        <f>IF('Item Setup Form'!$AF303="Yes",'Item Setup Form'!$E303,"")</f>
        <v/>
      </c>
      <c r="B299" s="70" t="str">
        <f>IF('Item Setup Form'!$AF303="Yes",'Item Setup Form'!D303,"")</f>
        <v/>
      </c>
      <c r="C299" s="81" t="str">
        <f>IF('Item Setup Form'!$AF303="Yes",'Item Setup Form'!L303,"")</f>
        <v/>
      </c>
      <c r="D299" s="81" t="str">
        <f>IF('Item Setup Form'!$AF303="Yes",'Item Setup Form'!M303,"")</f>
        <v/>
      </c>
      <c r="E299" s="70"/>
      <c r="F299" s="70" t="str">
        <f>IF('Item Setup Form'!$AF303="Yes",'Item Setup Form'!G303,"")</f>
        <v/>
      </c>
      <c r="G299" s="70" t="str">
        <f>IF('Item Setup Form'!$AF303="Yes",'Item Setup Form'!H303,"")</f>
        <v/>
      </c>
      <c r="H299" s="70" t="str">
        <f>IF('Item Setup Form'!$AF303="Yes",'Item Setup Form'!V303,"")</f>
        <v/>
      </c>
      <c r="I299" s="70"/>
      <c r="J299" s="70" t="str">
        <f>IF('Item Setup Form'!$AF303="Yes",'Item Setup Form'!U303,"")</f>
        <v/>
      </c>
      <c r="K299" s="70" t="str">
        <f>IF('Item Setup Form'!$AF303="Yes",'Item Setup Form'!V303,"")</f>
        <v/>
      </c>
      <c r="L299" s="70"/>
      <c r="M299" s="70" t="str">
        <f>IF('Item Setup Form'!$AF303="Yes",'Item Setup Form'!A303,"")</f>
        <v/>
      </c>
      <c r="N299" s="70"/>
      <c r="O299" s="70"/>
      <c r="P299" s="70"/>
      <c r="Q299" s="70"/>
      <c r="R299" s="70"/>
      <c r="S299" s="70"/>
      <c r="T299" s="70"/>
      <c r="U299" s="70"/>
      <c r="V299" s="70"/>
      <c r="W299" s="70"/>
      <c r="X299" s="70"/>
      <c r="Y299" s="70"/>
      <c r="Z299" s="70"/>
    </row>
    <row r="300" spans="1:26">
      <c r="A300" s="70" t="str">
        <f>IF('Item Setup Form'!$AF304="Yes",'Item Setup Form'!$E304,"")</f>
        <v/>
      </c>
      <c r="B300" s="70" t="str">
        <f>IF('Item Setup Form'!$AF304="Yes",'Item Setup Form'!D304,"")</f>
        <v/>
      </c>
      <c r="C300" s="81" t="str">
        <f>IF('Item Setup Form'!$AF304="Yes",'Item Setup Form'!L304,"")</f>
        <v/>
      </c>
      <c r="D300" s="81" t="str">
        <f>IF('Item Setup Form'!$AF304="Yes",'Item Setup Form'!M304,"")</f>
        <v/>
      </c>
      <c r="E300" s="70"/>
      <c r="F300" s="70" t="str">
        <f>IF('Item Setup Form'!$AF304="Yes",'Item Setup Form'!G304,"")</f>
        <v/>
      </c>
      <c r="G300" s="70" t="str">
        <f>IF('Item Setup Form'!$AF304="Yes",'Item Setup Form'!H304,"")</f>
        <v/>
      </c>
      <c r="H300" s="70" t="str">
        <f>IF('Item Setup Form'!$AF304="Yes",'Item Setup Form'!V304,"")</f>
        <v/>
      </c>
      <c r="I300" s="70"/>
      <c r="J300" s="70" t="str">
        <f>IF('Item Setup Form'!$AF304="Yes",'Item Setup Form'!U304,"")</f>
        <v/>
      </c>
      <c r="K300" s="70" t="str">
        <f>IF('Item Setup Form'!$AF304="Yes",'Item Setup Form'!V304,"")</f>
        <v/>
      </c>
      <c r="L300" s="70"/>
      <c r="M300" s="70" t="str">
        <f>IF('Item Setup Form'!$AF304="Yes",'Item Setup Form'!A304,"")</f>
        <v/>
      </c>
      <c r="N300" s="70"/>
      <c r="O300" s="70"/>
      <c r="P300" s="70"/>
      <c r="Q300" s="70"/>
      <c r="R300" s="70"/>
      <c r="S300" s="70"/>
      <c r="T300" s="70"/>
      <c r="U300" s="70"/>
      <c r="V300" s="70"/>
      <c r="W300" s="70"/>
      <c r="X300" s="70"/>
      <c r="Y300" s="70"/>
      <c r="Z300" s="70"/>
    </row>
    <row r="301" spans="1:26">
      <c r="A301" s="70" t="str">
        <f>IF('Item Setup Form'!$AF305="Yes",'Item Setup Form'!$E305,"")</f>
        <v/>
      </c>
      <c r="B301" s="70" t="str">
        <f>IF('Item Setup Form'!$AF305="Yes",'Item Setup Form'!D305,"")</f>
        <v/>
      </c>
      <c r="C301" s="81" t="str">
        <f>IF('Item Setup Form'!$AF305="Yes",'Item Setup Form'!L305,"")</f>
        <v/>
      </c>
      <c r="D301" s="81" t="str">
        <f>IF('Item Setup Form'!$AF305="Yes",'Item Setup Form'!M305,"")</f>
        <v/>
      </c>
      <c r="E301" s="70"/>
      <c r="F301" s="70" t="str">
        <f>IF('Item Setup Form'!$AF305="Yes",'Item Setup Form'!G305,"")</f>
        <v/>
      </c>
      <c r="G301" s="70" t="str">
        <f>IF('Item Setup Form'!$AF305="Yes",'Item Setup Form'!H305,"")</f>
        <v/>
      </c>
      <c r="H301" s="70" t="str">
        <f>IF('Item Setup Form'!$AF305="Yes",'Item Setup Form'!V305,"")</f>
        <v/>
      </c>
      <c r="I301" s="70"/>
      <c r="J301" s="70" t="str">
        <f>IF('Item Setup Form'!$AF305="Yes",'Item Setup Form'!U305,"")</f>
        <v/>
      </c>
      <c r="K301" s="70" t="str">
        <f>IF('Item Setup Form'!$AF305="Yes",'Item Setup Form'!V305,"")</f>
        <v/>
      </c>
      <c r="L301" s="70"/>
      <c r="M301" s="70" t="str">
        <f>IF('Item Setup Form'!$AF305="Yes",'Item Setup Form'!A305,"")</f>
        <v/>
      </c>
      <c r="N301" s="70"/>
      <c r="O301" s="70"/>
      <c r="P301" s="70"/>
      <c r="Q301" s="70"/>
      <c r="R301" s="70"/>
      <c r="S301" s="70"/>
      <c r="T301" s="70"/>
      <c r="U301" s="70"/>
      <c r="V301" s="70"/>
      <c r="W301" s="70"/>
      <c r="X301" s="70"/>
      <c r="Y301" s="70"/>
      <c r="Z301" s="70"/>
    </row>
    <row r="302" spans="1:26">
      <c r="A302" s="70" t="str">
        <f>IF('Item Setup Form'!$AF306="Yes",'Item Setup Form'!$E306,"")</f>
        <v/>
      </c>
      <c r="B302" s="70" t="str">
        <f>IF('Item Setup Form'!$AF306="Yes",'Item Setup Form'!D306,"")</f>
        <v/>
      </c>
      <c r="C302" s="81" t="str">
        <f>IF('Item Setup Form'!$AF306="Yes",'Item Setup Form'!L306,"")</f>
        <v/>
      </c>
      <c r="D302" s="81" t="str">
        <f>IF('Item Setup Form'!$AF306="Yes",'Item Setup Form'!M306,"")</f>
        <v/>
      </c>
      <c r="E302" s="70"/>
      <c r="F302" s="70" t="str">
        <f>IF('Item Setup Form'!$AF306="Yes",'Item Setup Form'!G306,"")</f>
        <v/>
      </c>
      <c r="G302" s="70" t="str">
        <f>IF('Item Setup Form'!$AF306="Yes",'Item Setup Form'!H306,"")</f>
        <v/>
      </c>
      <c r="H302" s="70" t="str">
        <f>IF('Item Setup Form'!$AF306="Yes",'Item Setup Form'!V306,"")</f>
        <v/>
      </c>
      <c r="I302" s="70"/>
      <c r="J302" s="70" t="str">
        <f>IF('Item Setup Form'!$AF306="Yes",'Item Setup Form'!U306,"")</f>
        <v/>
      </c>
      <c r="K302" s="70" t="str">
        <f>IF('Item Setup Form'!$AF306="Yes",'Item Setup Form'!V306,"")</f>
        <v/>
      </c>
      <c r="L302" s="70"/>
      <c r="M302" s="70" t="str">
        <f>IF('Item Setup Form'!$AF306="Yes",'Item Setup Form'!A306,"")</f>
        <v/>
      </c>
      <c r="N302" s="70"/>
      <c r="O302" s="70"/>
      <c r="P302" s="70"/>
      <c r="Q302" s="70"/>
      <c r="R302" s="70"/>
      <c r="S302" s="70"/>
      <c r="T302" s="70"/>
      <c r="U302" s="70"/>
      <c r="V302" s="70"/>
      <c r="W302" s="70"/>
      <c r="X302" s="70"/>
      <c r="Y302" s="70"/>
      <c r="Z302" s="70"/>
    </row>
    <row r="303" spans="1:26">
      <c r="A303" s="70" t="str">
        <f>IF('Item Setup Form'!$AF307="Yes",'Item Setup Form'!$E307,"")</f>
        <v/>
      </c>
      <c r="B303" s="70" t="str">
        <f>IF('Item Setup Form'!$AF307="Yes",'Item Setup Form'!D307,"")</f>
        <v/>
      </c>
      <c r="C303" s="81" t="str">
        <f>IF('Item Setup Form'!$AF307="Yes",'Item Setup Form'!L307,"")</f>
        <v/>
      </c>
      <c r="D303" s="81" t="str">
        <f>IF('Item Setup Form'!$AF307="Yes",'Item Setup Form'!M307,"")</f>
        <v/>
      </c>
      <c r="E303" s="70"/>
      <c r="F303" s="70" t="str">
        <f>IF('Item Setup Form'!$AF307="Yes",'Item Setup Form'!G307,"")</f>
        <v/>
      </c>
      <c r="G303" s="70" t="str">
        <f>IF('Item Setup Form'!$AF307="Yes",'Item Setup Form'!H307,"")</f>
        <v/>
      </c>
      <c r="H303" s="70" t="str">
        <f>IF('Item Setup Form'!$AF307="Yes",'Item Setup Form'!V307,"")</f>
        <v/>
      </c>
      <c r="I303" s="70"/>
      <c r="J303" s="70" t="str">
        <f>IF('Item Setup Form'!$AF307="Yes",'Item Setup Form'!U307,"")</f>
        <v/>
      </c>
      <c r="K303" s="70" t="str">
        <f>IF('Item Setup Form'!$AF307="Yes",'Item Setup Form'!V307,"")</f>
        <v/>
      </c>
      <c r="L303" s="70"/>
      <c r="M303" s="70" t="str">
        <f>IF('Item Setup Form'!$AF307="Yes",'Item Setup Form'!A307,"")</f>
        <v/>
      </c>
      <c r="N303" s="70"/>
      <c r="O303" s="70"/>
      <c r="P303" s="70"/>
      <c r="Q303" s="70"/>
      <c r="R303" s="70"/>
      <c r="S303" s="70"/>
      <c r="T303" s="70"/>
      <c r="U303" s="70"/>
      <c r="V303" s="70"/>
      <c r="W303" s="70"/>
      <c r="X303" s="70"/>
      <c r="Y303" s="70"/>
      <c r="Z303" s="70"/>
    </row>
    <row r="304" spans="1:26">
      <c r="A304" s="70" t="str">
        <f>IF('Item Setup Form'!$AF308="Yes",'Item Setup Form'!$E308,"")</f>
        <v/>
      </c>
      <c r="B304" s="70" t="str">
        <f>IF('Item Setup Form'!$AF308="Yes",'Item Setup Form'!D308,"")</f>
        <v/>
      </c>
      <c r="C304" s="81" t="str">
        <f>IF('Item Setup Form'!$AF308="Yes",'Item Setup Form'!L308,"")</f>
        <v/>
      </c>
      <c r="D304" s="81" t="str">
        <f>IF('Item Setup Form'!$AF308="Yes",'Item Setup Form'!M308,"")</f>
        <v/>
      </c>
      <c r="E304" s="70"/>
      <c r="F304" s="70" t="str">
        <f>IF('Item Setup Form'!$AF308="Yes",'Item Setup Form'!G308,"")</f>
        <v/>
      </c>
      <c r="G304" s="70" t="str">
        <f>IF('Item Setup Form'!$AF308="Yes",'Item Setup Form'!H308,"")</f>
        <v/>
      </c>
      <c r="H304" s="70" t="str">
        <f>IF('Item Setup Form'!$AF308="Yes",'Item Setup Form'!V308,"")</f>
        <v/>
      </c>
      <c r="I304" s="70"/>
      <c r="J304" s="70" t="str">
        <f>IF('Item Setup Form'!$AF308="Yes",'Item Setup Form'!U308,"")</f>
        <v/>
      </c>
      <c r="K304" s="70" t="str">
        <f>IF('Item Setup Form'!$AF308="Yes",'Item Setup Form'!V308,"")</f>
        <v/>
      </c>
      <c r="L304" s="70"/>
      <c r="M304" s="70" t="str">
        <f>IF('Item Setup Form'!$AF308="Yes",'Item Setup Form'!A308,"")</f>
        <v/>
      </c>
      <c r="N304" s="70"/>
      <c r="O304" s="70"/>
      <c r="P304" s="70"/>
      <c r="Q304" s="70"/>
      <c r="R304" s="70"/>
      <c r="S304" s="70"/>
      <c r="T304" s="70"/>
      <c r="U304" s="70"/>
      <c r="V304" s="70"/>
      <c r="W304" s="70"/>
      <c r="X304" s="70"/>
      <c r="Y304" s="70"/>
      <c r="Z304" s="70"/>
    </row>
    <row r="305" spans="1:26">
      <c r="A305" s="70" t="str">
        <f>IF('Item Setup Form'!$AF309="Yes",'Item Setup Form'!$E309,"")</f>
        <v/>
      </c>
      <c r="B305" s="70" t="str">
        <f>IF('Item Setup Form'!$AF309="Yes",'Item Setup Form'!D309,"")</f>
        <v/>
      </c>
      <c r="C305" s="81" t="str">
        <f>IF('Item Setup Form'!$AF309="Yes",'Item Setup Form'!L309,"")</f>
        <v/>
      </c>
      <c r="D305" s="81" t="str">
        <f>IF('Item Setup Form'!$AF309="Yes",'Item Setup Form'!M309,"")</f>
        <v/>
      </c>
      <c r="E305" s="70"/>
      <c r="F305" s="70" t="str">
        <f>IF('Item Setup Form'!$AF309="Yes",'Item Setup Form'!G309,"")</f>
        <v/>
      </c>
      <c r="G305" s="70" t="str">
        <f>IF('Item Setup Form'!$AF309="Yes",'Item Setup Form'!H309,"")</f>
        <v/>
      </c>
      <c r="H305" s="70" t="str">
        <f>IF('Item Setup Form'!$AF309="Yes",'Item Setup Form'!V309,"")</f>
        <v/>
      </c>
      <c r="I305" s="70"/>
      <c r="J305" s="70" t="str">
        <f>IF('Item Setup Form'!$AF309="Yes",'Item Setup Form'!U309,"")</f>
        <v/>
      </c>
      <c r="K305" s="70" t="str">
        <f>IF('Item Setup Form'!$AF309="Yes",'Item Setup Form'!V309,"")</f>
        <v/>
      </c>
      <c r="L305" s="70"/>
      <c r="M305" s="70" t="str">
        <f>IF('Item Setup Form'!$AF309="Yes",'Item Setup Form'!A309,"")</f>
        <v/>
      </c>
      <c r="N305" s="70"/>
      <c r="O305" s="70"/>
      <c r="P305" s="70"/>
      <c r="Q305" s="70"/>
      <c r="R305" s="70"/>
      <c r="S305" s="70"/>
      <c r="T305" s="70"/>
      <c r="U305" s="70"/>
      <c r="V305" s="70"/>
      <c r="W305" s="70"/>
      <c r="X305" s="70"/>
      <c r="Y305" s="70"/>
      <c r="Z305" s="70"/>
    </row>
    <row r="306" spans="1:26">
      <c r="A306" s="70" t="str">
        <f>IF('Item Setup Form'!$AF310="Yes",'Item Setup Form'!$E310,"")</f>
        <v/>
      </c>
      <c r="B306" s="70" t="str">
        <f>IF('Item Setup Form'!$AF310="Yes",'Item Setup Form'!D310,"")</f>
        <v/>
      </c>
      <c r="C306" s="81" t="str">
        <f>IF('Item Setup Form'!$AF310="Yes",'Item Setup Form'!L310,"")</f>
        <v/>
      </c>
      <c r="D306" s="81" t="str">
        <f>IF('Item Setup Form'!$AF310="Yes",'Item Setup Form'!M310,"")</f>
        <v/>
      </c>
      <c r="E306" s="70"/>
      <c r="F306" s="70" t="str">
        <f>IF('Item Setup Form'!$AF310="Yes",'Item Setup Form'!G310,"")</f>
        <v/>
      </c>
      <c r="G306" s="70" t="str">
        <f>IF('Item Setup Form'!$AF310="Yes",'Item Setup Form'!H310,"")</f>
        <v/>
      </c>
      <c r="H306" s="70" t="str">
        <f>IF('Item Setup Form'!$AF310="Yes",'Item Setup Form'!V310,"")</f>
        <v/>
      </c>
      <c r="I306" s="70"/>
      <c r="J306" s="70" t="str">
        <f>IF('Item Setup Form'!$AF310="Yes",'Item Setup Form'!U310,"")</f>
        <v/>
      </c>
      <c r="K306" s="70" t="str">
        <f>IF('Item Setup Form'!$AF310="Yes",'Item Setup Form'!V310,"")</f>
        <v/>
      </c>
      <c r="L306" s="70"/>
      <c r="M306" s="70" t="str">
        <f>IF('Item Setup Form'!$AF310="Yes",'Item Setup Form'!A310,"")</f>
        <v/>
      </c>
      <c r="N306" s="70"/>
      <c r="O306" s="70"/>
      <c r="P306" s="70"/>
      <c r="Q306" s="70"/>
      <c r="R306" s="70"/>
      <c r="S306" s="70"/>
      <c r="T306" s="70"/>
      <c r="U306" s="70"/>
      <c r="V306" s="70"/>
      <c r="W306" s="70"/>
      <c r="X306" s="70"/>
      <c r="Y306" s="70"/>
      <c r="Z306" s="70"/>
    </row>
    <row r="307" spans="1:26">
      <c r="A307" s="70" t="str">
        <f>IF('Item Setup Form'!$AF311="Yes",'Item Setup Form'!$E311,"")</f>
        <v/>
      </c>
      <c r="B307" s="70" t="str">
        <f>IF('Item Setup Form'!$AF311="Yes",'Item Setup Form'!D311,"")</f>
        <v/>
      </c>
      <c r="C307" s="81" t="str">
        <f>IF('Item Setup Form'!$AF311="Yes",'Item Setup Form'!L311,"")</f>
        <v/>
      </c>
      <c r="D307" s="81" t="str">
        <f>IF('Item Setup Form'!$AF311="Yes",'Item Setup Form'!M311,"")</f>
        <v/>
      </c>
      <c r="E307" s="70"/>
      <c r="F307" s="70" t="str">
        <f>IF('Item Setup Form'!$AF311="Yes",'Item Setup Form'!G311,"")</f>
        <v/>
      </c>
      <c r="G307" s="70" t="str">
        <f>IF('Item Setup Form'!$AF311="Yes",'Item Setup Form'!H311,"")</f>
        <v/>
      </c>
      <c r="H307" s="70" t="str">
        <f>IF('Item Setup Form'!$AF311="Yes",'Item Setup Form'!V311,"")</f>
        <v/>
      </c>
      <c r="I307" s="70"/>
      <c r="J307" s="70" t="str">
        <f>IF('Item Setup Form'!$AF311="Yes",'Item Setup Form'!U311,"")</f>
        <v/>
      </c>
      <c r="K307" s="70" t="str">
        <f>IF('Item Setup Form'!$AF311="Yes",'Item Setup Form'!V311,"")</f>
        <v/>
      </c>
      <c r="L307" s="70"/>
      <c r="M307" s="70" t="str">
        <f>IF('Item Setup Form'!$AF311="Yes",'Item Setup Form'!A311,"")</f>
        <v/>
      </c>
      <c r="N307" s="70"/>
      <c r="O307" s="70"/>
      <c r="P307" s="70"/>
      <c r="Q307" s="70"/>
      <c r="R307" s="70"/>
      <c r="S307" s="70"/>
      <c r="T307" s="70"/>
      <c r="U307" s="70"/>
      <c r="V307" s="70"/>
      <c r="W307" s="70"/>
      <c r="X307" s="70"/>
      <c r="Y307" s="70"/>
      <c r="Z307" s="70"/>
    </row>
    <row r="308" spans="1:26">
      <c r="A308" s="70" t="str">
        <f>IF('Item Setup Form'!$AF312="Yes",'Item Setup Form'!$E312,"")</f>
        <v/>
      </c>
      <c r="B308" s="70" t="str">
        <f>IF('Item Setup Form'!$AF312="Yes",'Item Setup Form'!D312,"")</f>
        <v/>
      </c>
      <c r="C308" s="81" t="str">
        <f>IF('Item Setup Form'!$AF312="Yes",'Item Setup Form'!L312,"")</f>
        <v/>
      </c>
      <c r="D308" s="81" t="str">
        <f>IF('Item Setup Form'!$AF312="Yes",'Item Setup Form'!M312,"")</f>
        <v/>
      </c>
      <c r="E308" s="70"/>
      <c r="F308" s="70" t="str">
        <f>IF('Item Setup Form'!$AF312="Yes",'Item Setup Form'!G312,"")</f>
        <v/>
      </c>
      <c r="G308" s="70" t="str">
        <f>IF('Item Setup Form'!$AF312="Yes",'Item Setup Form'!H312,"")</f>
        <v/>
      </c>
      <c r="H308" s="70" t="str">
        <f>IF('Item Setup Form'!$AF312="Yes",'Item Setup Form'!V312,"")</f>
        <v/>
      </c>
      <c r="I308" s="70"/>
      <c r="J308" s="70" t="str">
        <f>IF('Item Setup Form'!$AF312="Yes",'Item Setup Form'!U312,"")</f>
        <v/>
      </c>
      <c r="K308" s="70" t="str">
        <f>IF('Item Setup Form'!$AF312="Yes",'Item Setup Form'!V312,"")</f>
        <v/>
      </c>
      <c r="L308" s="70"/>
      <c r="M308" s="70" t="str">
        <f>IF('Item Setup Form'!$AF312="Yes",'Item Setup Form'!A312,"")</f>
        <v/>
      </c>
      <c r="N308" s="70"/>
      <c r="O308" s="70"/>
      <c r="P308" s="70"/>
      <c r="Q308" s="70"/>
      <c r="R308" s="70"/>
      <c r="S308" s="70"/>
      <c r="T308" s="70"/>
      <c r="U308" s="70"/>
      <c r="V308" s="70"/>
      <c r="W308" s="70"/>
      <c r="X308" s="70"/>
      <c r="Y308" s="70"/>
      <c r="Z308" s="70"/>
    </row>
    <row r="309" spans="1:26">
      <c r="A309" s="70" t="str">
        <f>IF('Item Setup Form'!$AF313="Yes",'Item Setup Form'!$E313,"")</f>
        <v/>
      </c>
      <c r="B309" s="70" t="str">
        <f>IF('Item Setup Form'!$AF313="Yes",'Item Setup Form'!D313,"")</f>
        <v/>
      </c>
      <c r="C309" s="81" t="str">
        <f>IF('Item Setup Form'!$AF313="Yes",'Item Setup Form'!L313,"")</f>
        <v/>
      </c>
      <c r="D309" s="81" t="str">
        <f>IF('Item Setup Form'!$AF313="Yes",'Item Setup Form'!M313,"")</f>
        <v/>
      </c>
      <c r="E309" s="70"/>
      <c r="F309" s="70" t="str">
        <f>IF('Item Setup Form'!$AF313="Yes",'Item Setup Form'!G313,"")</f>
        <v/>
      </c>
      <c r="G309" s="70" t="str">
        <f>IF('Item Setup Form'!$AF313="Yes",'Item Setup Form'!H313,"")</f>
        <v/>
      </c>
      <c r="H309" s="70" t="str">
        <f>IF('Item Setup Form'!$AF313="Yes",'Item Setup Form'!V313,"")</f>
        <v/>
      </c>
      <c r="I309" s="70"/>
      <c r="J309" s="70" t="str">
        <f>IF('Item Setup Form'!$AF313="Yes",'Item Setup Form'!U313,"")</f>
        <v/>
      </c>
      <c r="K309" s="70" t="str">
        <f>IF('Item Setup Form'!$AF313="Yes",'Item Setup Form'!V313,"")</f>
        <v/>
      </c>
      <c r="L309" s="70"/>
      <c r="M309" s="70" t="str">
        <f>IF('Item Setup Form'!$AF313="Yes",'Item Setup Form'!A313,"")</f>
        <v/>
      </c>
      <c r="N309" s="70"/>
      <c r="O309" s="70"/>
      <c r="P309" s="70"/>
      <c r="Q309" s="70"/>
      <c r="R309" s="70"/>
      <c r="S309" s="70"/>
      <c r="T309" s="70"/>
      <c r="U309" s="70"/>
      <c r="V309" s="70"/>
      <c r="W309" s="70"/>
      <c r="X309" s="70"/>
      <c r="Y309" s="70"/>
      <c r="Z309" s="70"/>
    </row>
    <row r="310" spans="1:26">
      <c r="A310" s="70" t="str">
        <f>IF('Item Setup Form'!$AF314="Yes",'Item Setup Form'!$E314,"")</f>
        <v/>
      </c>
      <c r="B310" s="70" t="str">
        <f>IF('Item Setup Form'!$AF314="Yes",'Item Setup Form'!D314,"")</f>
        <v/>
      </c>
      <c r="C310" s="81" t="str">
        <f>IF('Item Setup Form'!$AF314="Yes",'Item Setup Form'!L314,"")</f>
        <v/>
      </c>
      <c r="D310" s="81" t="str">
        <f>IF('Item Setup Form'!$AF314="Yes",'Item Setup Form'!M314,"")</f>
        <v/>
      </c>
      <c r="E310" s="70"/>
      <c r="F310" s="70" t="str">
        <f>IF('Item Setup Form'!$AF314="Yes",'Item Setup Form'!G314,"")</f>
        <v/>
      </c>
      <c r="G310" s="70" t="str">
        <f>IF('Item Setup Form'!$AF314="Yes",'Item Setup Form'!H314,"")</f>
        <v/>
      </c>
      <c r="H310" s="70" t="str">
        <f>IF('Item Setup Form'!$AF314="Yes",'Item Setup Form'!V314,"")</f>
        <v/>
      </c>
      <c r="I310" s="70"/>
      <c r="J310" s="70" t="str">
        <f>IF('Item Setup Form'!$AF314="Yes",'Item Setup Form'!U314,"")</f>
        <v/>
      </c>
      <c r="K310" s="70" t="str">
        <f>IF('Item Setup Form'!$AF314="Yes",'Item Setup Form'!V314,"")</f>
        <v/>
      </c>
      <c r="L310" s="70"/>
      <c r="M310" s="70" t="str">
        <f>IF('Item Setup Form'!$AF314="Yes",'Item Setup Form'!A314,"")</f>
        <v/>
      </c>
      <c r="N310" s="70"/>
      <c r="O310" s="70"/>
      <c r="P310" s="70"/>
      <c r="Q310" s="70"/>
      <c r="R310" s="70"/>
      <c r="S310" s="70"/>
      <c r="T310" s="70"/>
      <c r="U310" s="70"/>
      <c r="V310" s="70"/>
      <c r="W310" s="70"/>
      <c r="X310" s="70"/>
      <c r="Y310" s="70"/>
      <c r="Z310" s="70"/>
    </row>
    <row r="311" spans="1:26">
      <c r="A311" s="70" t="str">
        <f>IF('Item Setup Form'!$AF315="Yes",'Item Setup Form'!$E315,"")</f>
        <v/>
      </c>
      <c r="B311" s="70" t="str">
        <f>IF('Item Setup Form'!$AF315="Yes",'Item Setup Form'!D315,"")</f>
        <v/>
      </c>
      <c r="C311" s="81" t="str">
        <f>IF('Item Setup Form'!$AF315="Yes",'Item Setup Form'!L315,"")</f>
        <v/>
      </c>
      <c r="D311" s="81" t="str">
        <f>IF('Item Setup Form'!$AF315="Yes",'Item Setup Form'!M315,"")</f>
        <v/>
      </c>
      <c r="E311" s="70"/>
      <c r="F311" s="70" t="str">
        <f>IF('Item Setup Form'!$AF315="Yes",'Item Setup Form'!G315,"")</f>
        <v/>
      </c>
      <c r="G311" s="70" t="str">
        <f>IF('Item Setup Form'!$AF315="Yes",'Item Setup Form'!H315,"")</f>
        <v/>
      </c>
      <c r="H311" s="70" t="str">
        <f>IF('Item Setup Form'!$AF315="Yes",'Item Setup Form'!V315,"")</f>
        <v/>
      </c>
      <c r="I311" s="70"/>
      <c r="J311" s="70" t="str">
        <f>IF('Item Setup Form'!$AF315="Yes",'Item Setup Form'!U315,"")</f>
        <v/>
      </c>
      <c r="K311" s="70" t="str">
        <f>IF('Item Setup Form'!$AF315="Yes",'Item Setup Form'!V315,"")</f>
        <v/>
      </c>
      <c r="L311" s="70"/>
      <c r="M311" s="70" t="str">
        <f>IF('Item Setup Form'!$AF315="Yes",'Item Setup Form'!A315,"")</f>
        <v/>
      </c>
      <c r="N311" s="70"/>
      <c r="O311" s="70"/>
      <c r="P311" s="70"/>
      <c r="Q311" s="70"/>
      <c r="R311" s="70"/>
      <c r="S311" s="70"/>
      <c r="T311" s="70"/>
      <c r="U311" s="70"/>
      <c r="V311" s="70"/>
      <c r="W311" s="70"/>
      <c r="X311" s="70"/>
      <c r="Y311" s="70"/>
      <c r="Z311" s="70"/>
    </row>
    <row r="312" spans="1:26">
      <c r="A312" s="70" t="str">
        <f>IF('Item Setup Form'!$AF316="Yes",'Item Setup Form'!$E316,"")</f>
        <v/>
      </c>
      <c r="B312" s="70" t="str">
        <f>IF('Item Setup Form'!$AF316="Yes",'Item Setup Form'!D316,"")</f>
        <v/>
      </c>
      <c r="C312" s="81" t="str">
        <f>IF('Item Setup Form'!$AF316="Yes",'Item Setup Form'!L316,"")</f>
        <v/>
      </c>
      <c r="D312" s="81" t="str">
        <f>IF('Item Setup Form'!$AF316="Yes",'Item Setup Form'!M316,"")</f>
        <v/>
      </c>
      <c r="E312" s="70"/>
      <c r="F312" s="70" t="str">
        <f>IF('Item Setup Form'!$AF316="Yes",'Item Setup Form'!G316,"")</f>
        <v/>
      </c>
      <c r="G312" s="70" t="str">
        <f>IF('Item Setup Form'!$AF316="Yes",'Item Setup Form'!H316,"")</f>
        <v/>
      </c>
      <c r="H312" s="70" t="str">
        <f>IF('Item Setup Form'!$AF316="Yes",'Item Setup Form'!V316,"")</f>
        <v/>
      </c>
      <c r="I312" s="70"/>
      <c r="J312" s="70" t="str">
        <f>IF('Item Setup Form'!$AF316="Yes",'Item Setup Form'!U316,"")</f>
        <v/>
      </c>
      <c r="K312" s="70" t="str">
        <f>IF('Item Setup Form'!$AF316="Yes",'Item Setup Form'!V316,"")</f>
        <v/>
      </c>
      <c r="L312" s="70"/>
      <c r="M312" s="70" t="str">
        <f>IF('Item Setup Form'!$AF316="Yes",'Item Setup Form'!A316,"")</f>
        <v/>
      </c>
      <c r="N312" s="70"/>
      <c r="O312" s="70"/>
      <c r="P312" s="70"/>
      <c r="Q312" s="70"/>
      <c r="R312" s="70"/>
      <c r="S312" s="70"/>
      <c r="T312" s="70"/>
      <c r="U312" s="70"/>
      <c r="V312" s="70"/>
      <c r="W312" s="70"/>
      <c r="X312" s="70"/>
      <c r="Y312" s="70"/>
      <c r="Z312" s="70"/>
    </row>
    <row r="313" spans="1:26">
      <c r="A313" s="70" t="str">
        <f>IF('Item Setup Form'!$AF317="Yes",'Item Setup Form'!$E317,"")</f>
        <v/>
      </c>
      <c r="B313" s="70" t="str">
        <f>IF('Item Setup Form'!$AF317="Yes",'Item Setup Form'!D317,"")</f>
        <v/>
      </c>
      <c r="C313" s="81" t="str">
        <f>IF('Item Setup Form'!$AF317="Yes",'Item Setup Form'!L317,"")</f>
        <v/>
      </c>
      <c r="D313" s="81" t="str">
        <f>IF('Item Setup Form'!$AF317="Yes",'Item Setup Form'!M317,"")</f>
        <v/>
      </c>
      <c r="E313" s="70"/>
      <c r="F313" s="70" t="str">
        <f>IF('Item Setup Form'!$AF317="Yes",'Item Setup Form'!G317,"")</f>
        <v/>
      </c>
      <c r="G313" s="70" t="str">
        <f>IF('Item Setup Form'!$AF317="Yes",'Item Setup Form'!H317,"")</f>
        <v/>
      </c>
      <c r="H313" s="70" t="str">
        <f>IF('Item Setup Form'!$AF317="Yes",'Item Setup Form'!V317,"")</f>
        <v/>
      </c>
      <c r="I313" s="70"/>
      <c r="J313" s="70" t="str">
        <f>IF('Item Setup Form'!$AF317="Yes",'Item Setup Form'!U317,"")</f>
        <v/>
      </c>
      <c r="K313" s="70" t="str">
        <f>IF('Item Setup Form'!$AF317="Yes",'Item Setup Form'!V317,"")</f>
        <v/>
      </c>
      <c r="L313" s="70"/>
      <c r="M313" s="70" t="str">
        <f>IF('Item Setup Form'!$AF317="Yes",'Item Setup Form'!A317,"")</f>
        <v/>
      </c>
      <c r="N313" s="70"/>
      <c r="O313" s="70"/>
      <c r="P313" s="70"/>
      <c r="Q313" s="70"/>
      <c r="R313" s="70"/>
      <c r="S313" s="70"/>
      <c r="T313" s="70"/>
      <c r="U313" s="70"/>
      <c r="V313" s="70"/>
      <c r="W313" s="70"/>
      <c r="X313" s="70"/>
      <c r="Y313" s="70"/>
      <c r="Z313" s="70"/>
    </row>
    <row r="314" spans="1:26">
      <c r="A314" s="70" t="str">
        <f>IF('Item Setup Form'!$AF318="Yes",'Item Setup Form'!$E318,"")</f>
        <v/>
      </c>
      <c r="B314" s="70" t="str">
        <f>IF('Item Setup Form'!$AF318="Yes",'Item Setup Form'!D318,"")</f>
        <v/>
      </c>
      <c r="C314" s="81" t="str">
        <f>IF('Item Setup Form'!$AF318="Yes",'Item Setup Form'!L318,"")</f>
        <v/>
      </c>
      <c r="D314" s="81" t="str">
        <f>IF('Item Setup Form'!$AF318="Yes",'Item Setup Form'!M318,"")</f>
        <v/>
      </c>
      <c r="E314" s="70"/>
      <c r="F314" s="70" t="str">
        <f>IF('Item Setup Form'!$AF318="Yes",'Item Setup Form'!G318,"")</f>
        <v/>
      </c>
      <c r="G314" s="70" t="str">
        <f>IF('Item Setup Form'!$AF318="Yes",'Item Setup Form'!H318,"")</f>
        <v/>
      </c>
      <c r="H314" s="70" t="str">
        <f>IF('Item Setup Form'!$AF318="Yes",'Item Setup Form'!V318,"")</f>
        <v/>
      </c>
      <c r="I314" s="70"/>
      <c r="J314" s="70" t="str">
        <f>IF('Item Setup Form'!$AF318="Yes",'Item Setup Form'!U318,"")</f>
        <v/>
      </c>
      <c r="K314" s="70" t="str">
        <f>IF('Item Setup Form'!$AF318="Yes",'Item Setup Form'!V318,"")</f>
        <v/>
      </c>
      <c r="L314" s="70"/>
      <c r="M314" s="70" t="str">
        <f>IF('Item Setup Form'!$AF318="Yes",'Item Setup Form'!A318,"")</f>
        <v/>
      </c>
      <c r="N314" s="70"/>
      <c r="O314" s="70"/>
      <c r="P314" s="70"/>
      <c r="Q314" s="70"/>
      <c r="R314" s="70"/>
      <c r="S314" s="70"/>
      <c r="T314" s="70"/>
      <c r="U314" s="70"/>
      <c r="V314" s="70"/>
      <c r="W314" s="70"/>
      <c r="X314" s="70"/>
      <c r="Y314" s="70"/>
      <c r="Z314" s="70"/>
    </row>
    <row r="315" spans="1:26">
      <c r="A315" s="70" t="str">
        <f>IF('Item Setup Form'!$AF319="Yes",'Item Setup Form'!$E319,"")</f>
        <v/>
      </c>
      <c r="B315" s="70" t="str">
        <f>IF('Item Setup Form'!$AF319="Yes",'Item Setup Form'!D319,"")</f>
        <v/>
      </c>
      <c r="C315" s="81" t="str">
        <f>IF('Item Setup Form'!$AF319="Yes",'Item Setup Form'!L319,"")</f>
        <v/>
      </c>
      <c r="D315" s="81" t="str">
        <f>IF('Item Setup Form'!$AF319="Yes",'Item Setup Form'!M319,"")</f>
        <v/>
      </c>
      <c r="E315" s="70"/>
      <c r="F315" s="70" t="str">
        <f>IF('Item Setup Form'!$AF319="Yes",'Item Setup Form'!G319,"")</f>
        <v/>
      </c>
      <c r="G315" s="70" t="str">
        <f>IF('Item Setup Form'!$AF319="Yes",'Item Setup Form'!H319,"")</f>
        <v/>
      </c>
      <c r="H315" s="70" t="str">
        <f>IF('Item Setup Form'!$AF319="Yes",'Item Setup Form'!V319,"")</f>
        <v/>
      </c>
      <c r="I315" s="70"/>
      <c r="J315" s="70" t="str">
        <f>IF('Item Setup Form'!$AF319="Yes",'Item Setup Form'!U319,"")</f>
        <v/>
      </c>
      <c r="K315" s="70" t="str">
        <f>IF('Item Setup Form'!$AF319="Yes",'Item Setup Form'!V319,"")</f>
        <v/>
      </c>
      <c r="L315" s="70"/>
      <c r="M315" s="70" t="str">
        <f>IF('Item Setup Form'!$AF319="Yes",'Item Setup Form'!A319,"")</f>
        <v/>
      </c>
      <c r="N315" s="70"/>
      <c r="O315" s="70"/>
      <c r="P315" s="70"/>
      <c r="Q315" s="70"/>
      <c r="R315" s="70"/>
      <c r="S315" s="70"/>
      <c r="T315" s="70"/>
      <c r="U315" s="70"/>
      <c r="V315" s="70"/>
      <c r="W315" s="70"/>
      <c r="X315" s="70"/>
      <c r="Y315" s="70"/>
      <c r="Z315" s="70"/>
    </row>
    <row r="316" spans="1:26">
      <c r="A316" s="70" t="str">
        <f>IF('Item Setup Form'!$AF320="Yes",'Item Setup Form'!$E320,"")</f>
        <v/>
      </c>
      <c r="B316" s="70" t="str">
        <f>IF('Item Setup Form'!$AF320="Yes",'Item Setup Form'!D320,"")</f>
        <v/>
      </c>
      <c r="C316" s="81" t="str">
        <f>IF('Item Setup Form'!$AF320="Yes",'Item Setup Form'!L320,"")</f>
        <v/>
      </c>
      <c r="D316" s="81" t="str">
        <f>IF('Item Setup Form'!$AF320="Yes",'Item Setup Form'!M320,"")</f>
        <v/>
      </c>
      <c r="E316" s="70"/>
      <c r="F316" s="70" t="str">
        <f>IF('Item Setup Form'!$AF320="Yes",'Item Setup Form'!G320,"")</f>
        <v/>
      </c>
      <c r="G316" s="70" t="str">
        <f>IF('Item Setup Form'!$AF320="Yes",'Item Setup Form'!H320,"")</f>
        <v/>
      </c>
      <c r="H316" s="70" t="str">
        <f>IF('Item Setup Form'!$AF320="Yes",'Item Setup Form'!V320,"")</f>
        <v/>
      </c>
      <c r="I316" s="70"/>
      <c r="J316" s="70" t="str">
        <f>IF('Item Setup Form'!$AF320="Yes",'Item Setup Form'!U320,"")</f>
        <v/>
      </c>
      <c r="K316" s="70" t="str">
        <f>IF('Item Setup Form'!$AF320="Yes",'Item Setup Form'!V320,"")</f>
        <v/>
      </c>
      <c r="L316" s="70"/>
      <c r="M316" s="70" t="str">
        <f>IF('Item Setup Form'!$AF320="Yes",'Item Setup Form'!A320,"")</f>
        <v/>
      </c>
      <c r="N316" s="70"/>
      <c r="O316" s="70"/>
      <c r="P316" s="70"/>
      <c r="Q316" s="70"/>
      <c r="R316" s="70"/>
      <c r="S316" s="70"/>
      <c r="T316" s="70"/>
      <c r="U316" s="70"/>
      <c r="V316" s="70"/>
      <c r="W316" s="70"/>
      <c r="X316" s="70"/>
      <c r="Y316" s="70"/>
      <c r="Z316" s="70"/>
    </row>
    <row r="317" spans="1:26">
      <c r="A317" s="70" t="str">
        <f>IF('Item Setup Form'!$AF321="Yes",'Item Setup Form'!$E321,"")</f>
        <v/>
      </c>
      <c r="B317" s="70" t="str">
        <f>IF('Item Setup Form'!$AF321="Yes",'Item Setup Form'!D321,"")</f>
        <v/>
      </c>
      <c r="C317" s="81" t="str">
        <f>IF('Item Setup Form'!$AF321="Yes",'Item Setup Form'!L321,"")</f>
        <v/>
      </c>
      <c r="D317" s="81" t="str">
        <f>IF('Item Setup Form'!$AF321="Yes",'Item Setup Form'!M321,"")</f>
        <v/>
      </c>
      <c r="E317" s="70"/>
      <c r="F317" s="70" t="str">
        <f>IF('Item Setup Form'!$AF321="Yes",'Item Setup Form'!G321,"")</f>
        <v/>
      </c>
      <c r="G317" s="70" t="str">
        <f>IF('Item Setup Form'!$AF321="Yes",'Item Setup Form'!H321,"")</f>
        <v/>
      </c>
      <c r="H317" s="70" t="str">
        <f>IF('Item Setup Form'!$AF321="Yes",'Item Setup Form'!V321,"")</f>
        <v/>
      </c>
      <c r="I317" s="70"/>
      <c r="J317" s="70" t="str">
        <f>IF('Item Setup Form'!$AF321="Yes",'Item Setup Form'!U321,"")</f>
        <v/>
      </c>
      <c r="K317" s="70" t="str">
        <f>IF('Item Setup Form'!$AF321="Yes",'Item Setup Form'!V321,"")</f>
        <v/>
      </c>
      <c r="L317" s="70"/>
      <c r="M317" s="70" t="str">
        <f>IF('Item Setup Form'!$AF321="Yes",'Item Setup Form'!A321,"")</f>
        <v/>
      </c>
      <c r="N317" s="70"/>
      <c r="O317" s="70"/>
      <c r="P317" s="70"/>
      <c r="Q317" s="70"/>
      <c r="R317" s="70"/>
      <c r="S317" s="70"/>
      <c r="T317" s="70"/>
      <c r="U317" s="70"/>
      <c r="V317" s="70"/>
      <c r="W317" s="70"/>
      <c r="X317" s="70"/>
      <c r="Y317" s="70"/>
      <c r="Z317" s="70"/>
    </row>
    <row r="318" spans="1:26">
      <c r="A318" s="70" t="str">
        <f>IF('Item Setup Form'!$AF322="Yes",'Item Setup Form'!$E322,"")</f>
        <v/>
      </c>
      <c r="B318" s="70" t="str">
        <f>IF('Item Setup Form'!$AF322="Yes",'Item Setup Form'!D322,"")</f>
        <v/>
      </c>
      <c r="C318" s="81" t="str">
        <f>IF('Item Setup Form'!$AF322="Yes",'Item Setup Form'!L322,"")</f>
        <v/>
      </c>
      <c r="D318" s="81" t="str">
        <f>IF('Item Setup Form'!$AF322="Yes",'Item Setup Form'!M322,"")</f>
        <v/>
      </c>
      <c r="E318" s="70"/>
      <c r="F318" s="70" t="str">
        <f>IF('Item Setup Form'!$AF322="Yes",'Item Setup Form'!G322,"")</f>
        <v/>
      </c>
      <c r="G318" s="70" t="str">
        <f>IF('Item Setup Form'!$AF322="Yes",'Item Setup Form'!H322,"")</f>
        <v/>
      </c>
      <c r="H318" s="70" t="str">
        <f>IF('Item Setup Form'!$AF322="Yes",'Item Setup Form'!V322,"")</f>
        <v/>
      </c>
      <c r="I318" s="70"/>
      <c r="J318" s="70" t="str">
        <f>IF('Item Setup Form'!$AF322="Yes",'Item Setup Form'!U322,"")</f>
        <v/>
      </c>
      <c r="K318" s="70" t="str">
        <f>IF('Item Setup Form'!$AF322="Yes",'Item Setup Form'!V322,"")</f>
        <v/>
      </c>
      <c r="L318" s="70"/>
      <c r="M318" s="70" t="str">
        <f>IF('Item Setup Form'!$AF322="Yes",'Item Setup Form'!A322,"")</f>
        <v/>
      </c>
      <c r="N318" s="70"/>
      <c r="O318" s="70"/>
      <c r="P318" s="70"/>
      <c r="Q318" s="70"/>
      <c r="R318" s="70"/>
      <c r="S318" s="70"/>
      <c r="T318" s="70"/>
      <c r="U318" s="70"/>
      <c r="V318" s="70"/>
      <c r="W318" s="70"/>
      <c r="X318" s="70"/>
      <c r="Y318" s="70"/>
      <c r="Z318" s="70"/>
    </row>
    <row r="319" spans="1:26">
      <c r="A319" s="70" t="str">
        <f>IF('Item Setup Form'!$AF323="Yes",'Item Setup Form'!$E323,"")</f>
        <v/>
      </c>
      <c r="B319" s="70" t="str">
        <f>IF('Item Setup Form'!$AF323="Yes",'Item Setup Form'!D323,"")</f>
        <v/>
      </c>
      <c r="C319" s="81" t="str">
        <f>IF('Item Setup Form'!$AF323="Yes",'Item Setup Form'!L323,"")</f>
        <v/>
      </c>
      <c r="D319" s="81" t="str">
        <f>IF('Item Setup Form'!$AF323="Yes",'Item Setup Form'!M323,"")</f>
        <v/>
      </c>
      <c r="E319" s="70"/>
      <c r="F319" s="70" t="str">
        <f>IF('Item Setup Form'!$AF323="Yes",'Item Setup Form'!G323,"")</f>
        <v/>
      </c>
      <c r="G319" s="70" t="str">
        <f>IF('Item Setup Form'!$AF323="Yes",'Item Setup Form'!H323,"")</f>
        <v/>
      </c>
      <c r="H319" s="70" t="str">
        <f>IF('Item Setup Form'!$AF323="Yes",'Item Setup Form'!V323,"")</f>
        <v/>
      </c>
      <c r="I319" s="70"/>
      <c r="J319" s="70" t="str">
        <f>IF('Item Setup Form'!$AF323="Yes",'Item Setup Form'!U323,"")</f>
        <v/>
      </c>
      <c r="K319" s="70" t="str">
        <f>IF('Item Setup Form'!$AF323="Yes",'Item Setup Form'!V323,"")</f>
        <v/>
      </c>
      <c r="L319" s="70"/>
      <c r="M319" s="70" t="str">
        <f>IF('Item Setup Form'!$AF323="Yes",'Item Setup Form'!A323,"")</f>
        <v/>
      </c>
      <c r="N319" s="70"/>
      <c r="O319" s="70"/>
      <c r="P319" s="70"/>
      <c r="Q319" s="70"/>
      <c r="R319" s="70"/>
      <c r="S319" s="70"/>
      <c r="T319" s="70"/>
      <c r="U319" s="70"/>
      <c r="V319" s="70"/>
      <c r="W319" s="70"/>
      <c r="X319" s="70"/>
      <c r="Y319" s="70"/>
      <c r="Z319" s="70"/>
    </row>
    <row r="320" spans="1:26">
      <c r="A320" s="70" t="str">
        <f>IF('Item Setup Form'!$AF324="Yes",'Item Setup Form'!$E324,"")</f>
        <v/>
      </c>
      <c r="B320" s="70" t="str">
        <f>IF('Item Setup Form'!$AF324="Yes",'Item Setup Form'!D324,"")</f>
        <v/>
      </c>
      <c r="C320" s="81" t="str">
        <f>IF('Item Setup Form'!$AF324="Yes",'Item Setup Form'!L324,"")</f>
        <v/>
      </c>
      <c r="D320" s="81" t="str">
        <f>IF('Item Setup Form'!$AF324="Yes",'Item Setup Form'!M324,"")</f>
        <v/>
      </c>
      <c r="E320" s="70"/>
      <c r="F320" s="70" t="str">
        <f>IF('Item Setup Form'!$AF324="Yes",'Item Setup Form'!G324,"")</f>
        <v/>
      </c>
      <c r="G320" s="70" t="str">
        <f>IF('Item Setup Form'!$AF324="Yes",'Item Setup Form'!H324,"")</f>
        <v/>
      </c>
      <c r="H320" s="70" t="str">
        <f>IF('Item Setup Form'!$AF324="Yes",'Item Setup Form'!V324,"")</f>
        <v/>
      </c>
      <c r="I320" s="70"/>
      <c r="J320" s="70" t="str">
        <f>IF('Item Setup Form'!$AF324="Yes",'Item Setup Form'!U324,"")</f>
        <v/>
      </c>
      <c r="K320" s="70" t="str">
        <f>IF('Item Setup Form'!$AF324="Yes",'Item Setup Form'!V324,"")</f>
        <v/>
      </c>
      <c r="L320" s="70"/>
      <c r="M320" s="70" t="str">
        <f>IF('Item Setup Form'!$AF324="Yes",'Item Setup Form'!A324,"")</f>
        <v/>
      </c>
      <c r="N320" s="70"/>
      <c r="O320" s="70"/>
      <c r="P320" s="70"/>
      <c r="Q320" s="70"/>
      <c r="R320" s="70"/>
      <c r="S320" s="70"/>
      <c r="T320" s="70"/>
      <c r="U320" s="70"/>
      <c r="V320" s="70"/>
      <c r="W320" s="70"/>
      <c r="X320" s="70"/>
      <c r="Y320" s="70"/>
      <c r="Z320" s="70"/>
    </row>
    <row r="321" spans="1:26">
      <c r="A321" s="70" t="str">
        <f>IF('Item Setup Form'!$AF325="Yes",'Item Setup Form'!$E325,"")</f>
        <v/>
      </c>
      <c r="B321" s="70" t="str">
        <f>IF('Item Setup Form'!$AF325="Yes",'Item Setup Form'!D325,"")</f>
        <v/>
      </c>
      <c r="C321" s="81" t="str">
        <f>IF('Item Setup Form'!$AF325="Yes",'Item Setup Form'!L325,"")</f>
        <v/>
      </c>
      <c r="D321" s="81" t="str">
        <f>IF('Item Setup Form'!$AF325="Yes",'Item Setup Form'!M325,"")</f>
        <v/>
      </c>
      <c r="E321" s="70"/>
      <c r="F321" s="70" t="str">
        <f>IF('Item Setup Form'!$AF325="Yes",'Item Setup Form'!G325,"")</f>
        <v/>
      </c>
      <c r="G321" s="70" t="str">
        <f>IF('Item Setup Form'!$AF325="Yes",'Item Setup Form'!H325,"")</f>
        <v/>
      </c>
      <c r="H321" s="70" t="str">
        <f>IF('Item Setup Form'!$AF325="Yes",'Item Setup Form'!V325,"")</f>
        <v/>
      </c>
      <c r="I321" s="70"/>
      <c r="J321" s="70" t="str">
        <f>IF('Item Setup Form'!$AF325="Yes",'Item Setup Form'!U325,"")</f>
        <v/>
      </c>
      <c r="K321" s="70" t="str">
        <f>IF('Item Setup Form'!$AF325="Yes",'Item Setup Form'!V325,"")</f>
        <v/>
      </c>
      <c r="L321" s="70"/>
      <c r="M321" s="70" t="str">
        <f>IF('Item Setup Form'!$AF325="Yes",'Item Setup Form'!A325,"")</f>
        <v/>
      </c>
      <c r="N321" s="70"/>
      <c r="O321" s="70"/>
      <c r="P321" s="70"/>
      <c r="Q321" s="70"/>
      <c r="R321" s="70"/>
      <c r="S321" s="70"/>
      <c r="T321" s="70"/>
      <c r="U321" s="70"/>
      <c r="V321" s="70"/>
      <c r="W321" s="70"/>
      <c r="X321" s="70"/>
      <c r="Y321" s="70"/>
      <c r="Z321" s="70"/>
    </row>
    <row r="322" spans="1:26">
      <c r="A322" s="70" t="str">
        <f>IF('Item Setup Form'!$AF326="Yes",'Item Setup Form'!$E326,"")</f>
        <v/>
      </c>
      <c r="B322" s="70" t="str">
        <f>IF('Item Setup Form'!$AF326="Yes",'Item Setup Form'!D326,"")</f>
        <v/>
      </c>
      <c r="C322" s="81" t="str">
        <f>IF('Item Setup Form'!$AF326="Yes",'Item Setup Form'!L326,"")</f>
        <v/>
      </c>
      <c r="D322" s="81" t="str">
        <f>IF('Item Setup Form'!$AF326="Yes",'Item Setup Form'!M326,"")</f>
        <v/>
      </c>
      <c r="E322" s="70"/>
      <c r="F322" s="70" t="str">
        <f>IF('Item Setup Form'!$AF326="Yes",'Item Setup Form'!G326,"")</f>
        <v/>
      </c>
      <c r="G322" s="70" t="str">
        <f>IF('Item Setup Form'!$AF326="Yes",'Item Setup Form'!H326,"")</f>
        <v/>
      </c>
      <c r="H322" s="70" t="str">
        <f>IF('Item Setup Form'!$AF326="Yes",'Item Setup Form'!V326,"")</f>
        <v/>
      </c>
      <c r="I322" s="70"/>
      <c r="J322" s="70" t="str">
        <f>IF('Item Setup Form'!$AF326="Yes",'Item Setup Form'!U326,"")</f>
        <v/>
      </c>
      <c r="K322" s="70" t="str">
        <f>IF('Item Setup Form'!$AF326="Yes",'Item Setup Form'!V326,"")</f>
        <v/>
      </c>
      <c r="L322" s="70"/>
      <c r="M322" s="70" t="str">
        <f>IF('Item Setup Form'!$AF326="Yes",'Item Setup Form'!A326,"")</f>
        <v/>
      </c>
      <c r="N322" s="70"/>
      <c r="O322" s="70"/>
      <c r="P322" s="70"/>
      <c r="Q322" s="70"/>
      <c r="R322" s="70"/>
      <c r="S322" s="70"/>
      <c r="T322" s="70"/>
      <c r="U322" s="70"/>
      <c r="V322" s="70"/>
      <c r="W322" s="70"/>
      <c r="X322" s="70"/>
      <c r="Y322" s="70"/>
      <c r="Z322" s="70"/>
    </row>
    <row r="323" spans="1:26">
      <c r="A323" s="70" t="str">
        <f>IF('Item Setup Form'!$AF327="Yes",'Item Setup Form'!$E327,"")</f>
        <v/>
      </c>
      <c r="B323" s="70" t="str">
        <f>IF('Item Setup Form'!$AF327="Yes",'Item Setup Form'!D327,"")</f>
        <v/>
      </c>
      <c r="C323" s="81" t="str">
        <f>IF('Item Setup Form'!$AF327="Yes",'Item Setup Form'!L327,"")</f>
        <v/>
      </c>
      <c r="D323" s="81" t="str">
        <f>IF('Item Setup Form'!$AF327="Yes",'Item Setup Form'!M327,"")</f>
        <v/>
      </c>
      <c r="E323" s="70"/>
      <c r="F323" s="70" t="str">
        <f>IF('Item Setup Form'!$AF327="Yes",'Item Setup Form'!G327,"")</f>
        <v/>
      </c>
      <c r="G323" s="70" t="str">
        <f>IF('Item Setup Form'!$AF327="Yes",'Item Setup Form'!H327,"")</f>
        <v/>
      </c>
      <c r="H323" s="70" t="str">
        <f>IF('Item Setup Form'!$AF327="Yes",'Item Setup Form'!V327,"")</f>
        <v/>
      </c>
      <c r="I323" s="70"/>
      <c r="J323" s="70" t="str">
        <f>IF('Item Setup Form'!$AF327="Yes",'Item Setup Form'!U327,"")</f>
        <v/>
      </c>
      <c r="K323" s="70" t="str">
        <f>IF('Item Setup Form'!$AF327="Yes",'Item Setup Form'!V327,"")</f>
        <v/>
      </c>
      <c r="L323" s="70"/>
      <c r="M323" s="70" t="str">
        <f>IF('Item Setup Form'!$AF327="Yes",'Item Setup Form'!A327,"")</f>
        <v/>
      </c>
      <c r="N323" s="70"/>
      <c r="O323" s="70"/>
      <c r="P323" s="70"/>
      <c r="Q323" s="70"/>
      <c r="R323" s="70"/>
      <c r="S323" s="70"/>
      <c r="T323" s="70"/>
      <c r="U323" s="70"/>
      <c r="V323" s="70"/>
      <c r="W323" s="70"/>
      <c r="X323" s="70"/>
      <c r="Y323" s="70"/>
      <c r="Z323" s="70"/>
    </row>
    <row r="324" spans="1:26">
      <c r="A324" s="70" t="str">
        <f>IF('Item Setup Form'!$AF328="Yes",'Item Setup Form'!$E328,"")</f>
        <v/>
      </c>
      <c r="B324" s="70" t="str">
        <f>IF('Item Setup Form'!$AF328="Yes",'Item Setup Form'!D328,"")</f>
        <v/>
      </c>
      <c r="C324" s="81" t="str">
        <f>IF('Item Setup Form'!$AF328="Yes",'Item Setup Form'!L328,"")</f>
        <v/>
      </c>
      <c r="D324" s="81" t="str">
        <f>IF('Item Setup Form'!$AF328="Yes",'Item Setup Form'!M328,"")</f>
        <v/>
      </c>
      <c r="E324" s="70"/>
      <c r="F324" s="70" t="str">
        <f>IF('Item Setup Form'!$AF328="Yes",'Item Setup Form'!G328,"")</f>
        <v/>
      </c>
      <c r="G324" s="70" t="str">
        <f>IF('Item Setup Form'!$AF328="Yes",'Item Setup Form'!H328,"")</f>
        <v/>
      </c>
      <c r="H324" s="70" t="str">
        <f>IF('Item Setup Form'!$AF328="Yes",'Item Setup Form'!V328,"")</f>
        <v/>
      </c>
      <c r="I324" s="70"/>
      <c r="J324" s="70" t="str">
        <f>IF('Item Setup Form'!$AF328="Yes",'Item Setup Form'!U328,"")</f>
        <v/>
      </c>
      <c r="K324" s="70" t="str">
        <f>IF('Item Setup Form'!$AF328="Yes",'Item Setup Form'!V328,"")</f>
        <v/>
      </c>
      <c r="L324" s="70"/>
      <c r="M324" s="70" t="str">
        <f>IF('Item Setup Form'!$AF328="Yes",'Item Setup Form'!A328,"")</f>
        <v/>
      </c>
      <c r="N324" s="70"/>
      <c r="O324" s="70"/>
      <c r="P324" s="70"/>
      <c r="Q324" s="70"/>
      <c r="R324" s="70"/>
      <c r="S324" s="70"/>
      <c r="T324" s="70"/>
      <c r="U324" s="70"/>
      <c r="V324" s="70"/>
      <c r="W324" s="70"/>
      <c r="X324" s="70"/>
      <c r="Y324" s="70"/>
      <c r="Z324" s="70"/>
    </row>
    <row r="325" spans="1:26">
      <c r="A325" s="70" t="str">
        <f>IF('Item Setup Form'!$AF329="Yes",'Item Setup Form'!$E329,"")</f>
        <v/>
      </c>
      <c r="B325" s="70" t="str">
        <f>IF('Item Setup Form'!$AF329="Yes",'Item Setup Form'!D329,"")</f>
        <v/>
      </c>
      <c r="C325" s="81" t="str">
        <f>IF('Item Setup Form'!$AF329="Yes",'Item Setup Form'!L329,"")</f>
        <v/>
      </c>
      <c r="D325" s="81" t="str">
        <f>IF('Item Setup Form'!$AF329="Yes",'Item Setup Form'!M329,"")</f>
        <v/>
      </c>
      <c r="E325" s="70"/>
      <c r="F325" s="70" t="str">
        <f>IF('Item Setup Form'!$AF329="Yes",'Item Setup Form'!G329,"")</f>
        <v/>
      </c>
      <c r="G325" s="70" t="str">
        <f>IF('Item Setup Form'!$AF329="Yes",'Item Setup Form'!H329,"")</f>
        <v/>
      </c>
      <c r="H325" s="70" t="str">
        <f>IF('Item Setup Form'!$AF329="Yes",'Item Setup Form'!V329,"")</f>
        <v/>
      </c>
      <c r="I325" s="70"/>
      <c r="J325" s="70" t="str">
        <f>IF('Item Setup Form'!$AF329="Yes",'Item Setup Form'!U329,"")</f>
        <v/>
      </c>
      <c r="K325" s="70" t="str">
        <f>IF('Item Setup Form'!$AF329="Yes",'Item Setup Form'!V329,"")</f>
        <v/>
      </c>
      <c r="L325" s="70"/>
      <c r="M325" s="70" t="str">
        <f>IF('Item Setup Form'!$AF329="Yes",'Item Setup Form'!A329,"")</f>
        <v/>
      </c>
      <c r="N325" s="70"/>
      <c r="O325" s="70"/>
      <c r="P325" s="70"/>
      <c r="Q325" s="70"/>
      <c r="R325" s="70"/>
      <c r="S325" s="70"/>
      <c r="T325" s="70"/>
      <c r="U325" s="70"/>
      <c r="V325" s="70"/>
      <c r="W325" s="70"/>
      <c r="X325" s="70"/>
      <c r="Y325" s="70"/>
      <c r="Z325" s="70"/>
    </row>
    <row r="326" spans="1:26">
      <c r="A326" s="70" t="str">
        <f>IF('Item Setup Form'!$AF330="Yes",'Item Setup Form'!$E330,"")</f>
        <v/>
      </c>
      <c r="B326" s="70" t="str">
        <f>IF('Item Setup Form'!$AF330="Yes",'Item Setup Form'!D330,"")</f>
        <v/>
      </c>
      <c r="C326" s="81" t="str">
        <f>IF('Item Setup Form'!$AF330="Yes",'Item Setup Form'!L330,"")</f>
        <v/>
      </c>
      <c r="D326" s="81" t="str">
        <f>IF('Item Setup Form'!$AF330="Yes",'Item Setup Form'!M330,"")</f>
        <v/>
      </c>
      <c r="E326" s="70"/>
      <c r="F326" s="70" t="str">
        <f>IF('Item Setup Form'!$AF330="Yes",'Item Setup Form'!G330,"")</f>
        <v/>
      </c>
      <c r="G326" s="70" t="str">
        <f>IF('Item Setup Form'!$AF330="Yes",'Item Setup Form'!H330,"")</f>
        <v/>
      </c>
      <c r="H326" s="70" t="str">
        <f>IF('Item Setup Form'!$AF330="Yes",'Item Setup Form'!V330,"")</f>
        <v/>
      </c>
      <c r="I326" s="70"/>
      <c r="J326" s="70" t="str">
        <f>IF('Item Setup Form'!$AF330="Yes",'Item Setup Form'!U330,"")</f>
        <v/>
      </c>
      <c r="K326" s="70" t="str">
        <f>IF('Item Setup Form'!$AF330="Yes",'Item Setup Form'!V330,"")</f>
        <v/>
      </c>
      <c r="L326" s="70"/>
      <c r="M326" s="70" t="str">
        <f>IF('Item Setup Form'!$AF330="Yes",'Item Setup Form'!A330,"")</f>
        <v/>
      </c>
      <c r="N326" s="70"/>
      <c r="O326" s="70"/>
      <c r="P326" s="70"/>
      <c r="Q326" s="70"/>
      <c r="R326" s="70"/>
      <c r="S326" s="70"/>
      <c r="T326" s="70"/>
      <c r="U326" s="70"/>
      <c r="V326" s="70"/>
      <c r="W326" s="70"/>
      <c r="X326" s="70"/>
      <c r="Y326" s="70"/>
      <c r="Z326" s="70"/>
    </row>
    <row r="327" spans="1:26">
      <c r="A327" s="70" t="str">
        <f>IF('Item Setup Form'!$AF331="Yes",'Item Setup Form'!$E331,"")</f>
        <v/>
      </c>
      <c r="B327" s="70" t="str">
        <f>IF('Item Setup Form'!$AF331="Yes",'Item Setup Form'!D331,"")</f>
        <v/>
      </c>
      <c r="C327" s="81" t="str">
        <f>IF('Item Setup Form'!$AF331="Yes",'Item Setup Form'!L331,"")</f>
        <v/>
      </c>
      <c r="D327" s="81" t="str">
        <f>IF('Item Setup Form'!$AF331="Yes",'Item Setup Form'!M331,"")</f>
        <v/>
      </c>
      <c r="E327" s="70"/>
      <c r="F327" s="70" t="str">
        <f>IF('Item Setup Form'!$AF331="Yes",'Item Setup Form'!G331,"")</f>
        <v/>
      </c>
      <c r="G327" s="70" t="str">
        <f>IF('Item Setup Form'!$AF331="Yes",'Item Setup Form'!H331,"")</f>
        <v/>
      </c>
      <c r="H327" s="70" t="str">
        <f>IF('Item Setup Form'!$AF331="Yes",'Item Setup Form'!V331,"")</f>
        <v/>
      </c>
      <c r="I327" s="70"/>
      <c r="J327" s="70" t="str">
        <f>IF('Item Setup Form'!$AF331="Yes",'Item Setup Form'!U331,"")</f>
        <v/>
      </c>
      <c r="K327" s="70" t="str">
        <f>IF('Item Setup Form'!$AF331="Yes",'Item Setup Form'!V331,"")</f>
        <v/>
      </c>
      <c r="L327" s="70"/>
      <c r="M327" s="70" t="str">
        <f>IF('Item Setup Form'!$AF331="Yes",'Item Setup Form'!A331,"")</f>
        <v/>
      </c>
      <c r="N327" s="70"/>
      <c r="O327" s="70"/>
      <c r="P327" s="70"/>
      <c r="Q327" s="70"/>
      <c r="R327" s="70"/>
      <c r="S327" s="70"/>
      <c r="T327" s="70"/>
      <c r="U327" s="70"/>
      <c r="V327" s="70"/>
      <c r="W327" s="70"/>
      <c r="X327" s="70"/>
      <c r="Y327" s="70"/>
      <c r="Z327" s="70"/>
    </row>
    <row r="328" spans="1:26">
      <c r="A328" s="70" t="str">
        <f>IF('Item Setup Form'!$AF332="Yes",'Item Setup Form'!$E332,"")</f>
        <v/>
      </c>
      <c r="B328" s="70" t="str">
        <f>IF('Item Setup Form'!$AF332="Yes",'Item Setup Form'!D332,"")</f>
        <v/>
      </c>
      <c r="C328" s="81" t="str">
        <f>IF('Item Setup Form'!$AF332="Yes",'Item Setup Form'!L332,"")</f>
        <v/>
      </c>
      <c r="D328" s="81" t="str">
        <f>IF('Item Setup Form'!$AF332="Yes",'Item Setup Form'!M332,"")</f>
        <v/>
      </c>
      <c r="E328" s="70"/>
      <c r="F328" s="70" t="str">
        <f>IF('Item Setup Form'!$AF332="Yes",'Item Setup Form'!G332,"")</f>
        <v/>
      </c>
      <c r="G328" s="70" t="str">
        <f>IF('Item Setup Form'!$AF332="Yes",'Item Setup Form'!H332,"")</f>
        <v/>
      </c>
      <c r="H328" s="70" t="str">
        <f>IF('Item Setup Form'!$AF332="Yes",'Item Setup Form'!V332,"")</f>
        <v/>
      </c>
      <c r="I328" s="70"/>
      <c r="J328" s="70" t="str">
        <f>IF('Item Setup Form'!$AF332="Yes",'Item Setup Form'!U332,"")</f>
        <v/>
      </c>
      <c r="K328" s="70" t="str">
        <f>IF('Item Setup Form'!$AF332="Yes",'Item Setup Form'!V332,"")</f>
        <v/>
      </c>
      <c r="L328" s="70"/>
      <c r="M328" s="70" t="str">
        <f>IF('Item Setup Form'!$AF332="Yes",'Item Setup Form'!A332,"")</f>
        <v/>
      </c>
      <c r="N328" s="70"/>
      <c r="O328" s="70"/>
      <c r="P328" s="70"/>
      <c r="Q328" s="70"/>
      <c r="R328" s="70"/>
      <c r="S328" s="70"/>
      <c r="T328" s="70"/>
      <c r="U328" s="70"/>
      <c r="V328" s="70"/>
      <c r="W328" s="70"/>
      <c r="X328" s="70"/>
      <c r="Y328" s="70"/>
      <c r="Z328" s="70"/>
    </row>
    <row r="329" spans="1:26">
      <c r="A329" s="70" t="str">
        <f>IF('Item Setup Form'!$AF333="Yes",'Item Setup Form'!$E333,"")</f>
        <v/>
      </c>
      <c r="B329" s="70" t="str">
        <f>IF('Item Setup Form'!$AF333="Yes",'Item Setup Form'!D333,"")</f>
        <v/>
      </c>
      <c r="C329" s="81" t="str">
        <f>IF('Item Setup Form'!$AF333="Yes",'Item Setup Form'!L333,"")</f>
        <v/>
      </c>
      <c r="D329" s="81" t="str">
        <f>IF('Item Setup Form'!$AF333="Yes",'Item Setup Form'!M333,"")</f>
        <v/>
      </c>
      <c r="E329" s="70"/>
      <c r="F329" s="70" t="str">
        <f>IF('Item Setup Form'!$AF333="Yes",'Item Setup Form'!G333,"")</f>
        <v/>
      </c>
      <c r="G329" s="70" t="str">
        <f>IF('Item Setup Form'!$AF333="Yes",'Item Setup Form'!H333,"")</f>
        <v/>
      </c>
      <c r="H329" s="70" t="str">
        <f>IF('Item Setup Form'!$AF333="Yes",'Item Setup Form'!V333,"")</f>
        <v/>
      </c>
      <c r="I329" s="70"/>
      <c r="J329" s="70" t="str">
        <f>IF('Item Setup Form'!$AF333="Yes",'Item Setup Form'!U333,"")</f>
        <v/>
      </c>
      <c r="K329" s="70" t="str">
        <f>IF('Item Setup Form'!$AF333="Yes",'Item Setup Form'!V333,"")</f>
        <v/>
      </c>
      <c r="L329" s="70"/>
      <c r="M329" s="70" t="str">
        <f>IF('Item Setup Form'!$AF333="Yes",'Item Setup Form'!A333,"")</f>
        <v/>
      </c>
      <c r="N329" s="70"/>
      <c r="O329" s="70"/>
      <c r="P329" s="70"/>
      <c r="Q329" s="70"/>
      <c r="R329" s="70"/>
      <c r="S329" s="70"/>
      <c r="T329" s="70"/>
      <c r="U329" s="70"/>
      <c r="V329" s="70"/>
      <c r="W329" s="70"/>
      <c r="X329" s="70"/>
      <c r="Y329" s="70"/>
      <c r="Z329" s="70"/>
    </row>
    <row r="330" spans="1:26">
      <c r="A330" s="70" t="str">
        <f>IF('Item Setup Form'!$AF334="Yes",'Item Setup Form'!$E334,"")</f>
        <v/>
      </c>
      <c r="B330" s="70" t="str">
        <f>IF('Item Setup Form'!$AF334="Yes",'Item Setup Form'!D334,"")</f>
        <v/>
      </c>
      <c r="C330" s="81" t="str">
        <f>IF('Item Setup Form'!$AF334="Yes",'Item Setup Form'!L334,"")</f>
        <v/>
      </c>
      <c r="D330" s="81" t="str">
        <f>IF('Item Setup Form'!$AF334="Yes",'Item Setup Form'!M334,"")</f>
        <v/>
      </c>
      <c r="E330" s="70"/>
      <c r="F330" s="70" t="str">
        <f>IF('Item Setup Form'!$AF334="Yes",'Item Setup Form'!G334,"")</f>
        <v/>
      </c>
      <c r="G330" s="70" t="str">
        <f>IF('Item Setup Form'!$AF334="Yes",'Item Setup Form'!H334,"")</f>
        <v/>
      </c>
      <c r="H330" s="70" t="str">
        <f>IF('Item Setup Form'!$AF334="Yes",'Item Setup Form'!V334,"")</f>
        <v/>
      </c>
      <c r="I330" s="70"/>
      <c r="J330" s="70" t="str">
        <f>IF('Item Setup Form'!$AF334="Yes",'Item Setup Form'!U334,"")</f>
        <v/>
      </c>
      <c r="K330" s="70" t="str">
        <f>IF('Item Setup Form'!$AF334="Yes",'Item Setup Form'!V334,"")</f>
        <v/>
      </c>
      <c r="L330" s="70"/>
      <c r="M330" s="70" t="str">
        <f>IF('Item Setup Form'!$AF334="Yes",'Item Setup Form'!A334,"")</f>
        <v/>
      </c>
      <c r="N330" s="70"/>
      <c r="O330" s="70"/>
      <c r="P330" s="70"/>
      <c r="Q330" s="70"/>
      <c r="R330" s="70"/>
      <c r="S330" s="70"/>
      <c r="T330" s="70"/>
      <c r="U330" s="70"/>
      <c r="V330" s="70"/>
      <c r="W330" s="70"/>
      <c r="X330" s="70"/>
      <c r="Y330" s="70"/>
      <c r="Z330" s="70"/>
    </row>
    <row r="331" spans="1:26">
      <c r="A331" s="70" t="str">
        <f>IF('Item Setup Form'!$AF335="Yes",'Item Setup Form'!$E335,"")</f>
        <v/>
      </c>
      <c r="B331" s="70" t="str">
        <f>IF('Item Setup Form'!$AF335="Yes",'Item Setup Form'!D335,"")</f>
        <v/>
      </c>
      <c r="C331" s="81" t="str">
        <f>IF('Item Setup Form'!$AF335="Yes",'Item Setup Form'!L335,"")</f>
        <v/>
      </c>
      <c r="D331" s="81" t="str">
        <f>IF('Item Setup Form'!$AF335="Yes",'Item Setup Form'!M335,"")</f>
        <v/>
      </c>
      <c r="E331" s="70"/>
      <c r="F331" s="70" t="str">
        <f>IF('Item Setup Form'!$AF335="Yes",'Item Setup Form'!G335,"")</f>
        <v/>
      </c>
      <c r="G331" s="70" t="str">
        <f>IF('Item Setup Form'!$AF335="Yes",'Item Setup Form'!H335,"")</f>
        <v/>
      </c>
      <c r="H331" s="70" t="str">
        <f>IF('Item Setup Form'!$AF335="Yes",'Item Setup Form'!V335,"")</f>
        <v/>
      </c>
      <c r="I331" s="70"/>
      <c r="J331" s="70" t="str">
        <f>IF('Item Setup Form'!$AF335="Yes",'Item Setup Form'!U335,"")</f>
        <v/>
      </c>
      <c r="K331" s="70" t="str">
        <f>IF('Item Setup Form'!$AF335="Yes",'Item Setup Form'!V335,"")</f>
        <v/>
      </c>
      <c r="L331" s="70"/>
      <c r="M331" s="70" t="str">
        <f>IF('Item Setup Form'!$AF335="Yes",'Item Setup Form'!A335,"")</f>
        <v/>
      </c>
      <c r="N331" s="70"/>
      <c r="O331" s="70"/>
      <c r="P331" s="70"/>
      <c r="Q331" s="70"/>
      <c r="R331" s="70"/>
      <c r="S331" s="70"/>
      <c r="T331" s="70"/>
      <c r="U331" s="70"/>
      <c r="V331" s="70"/>
      <c r="W331" s="70"/>
      <c r="X331" s="70"/>
      <c r="Y331" s="70"/>
      <c r="Z331" s="70"/>
    </row>
    <row r="332" spans="1:26">
      <c r="A332" s="70" t="str">
        <f>IF('Item Setup Form'!$AF336="Yes",'Item Setup Form'!$E336,"")</f>
        <v/>
      </c>
      <c r="B332" s="70" t="str">
        <f>IF('Item Setup Form'!$AF336="Yes",'Item Setup Form'!D336,"")</f>
        <v/>
      </c>
      <c r="C332" s="81" t="str">
        <f>IF('Item Setup Form'!$AF336="Yes",'Item Setup Form'!L336,"")</f>
        <v/>
      </c>
      <c r="D332" s="81" t="str">
        <f>IF('Item Setup Form'!$AF336="Yes",'Item Setup Form'!M336,"")</f>
        <v/>
      </c>
      <c r="E332" s="70"/>
      <c r="F332" s="70" t="str">
        <f>IF('Item Setup Form'!$AF336="Yes",'Item Setup Form'!G336,"")</f>
        <v/>
      </c>
      <c r="G332" s="70" t="str">
        <f>IF('Item Setup Form'!$AF336="Yes",'Item Setup Form'!H336,"")</f>
        <v/>
      </c>
      <c r="H332" s="70" t="str">
        <f>IF('Item Setup Form'!$AF336="Yes",'Item Setup Form'!V336,"")</f>
        <v/>
      </c>
      <c r="I332" s="70"/>
      <c r="J332" s="70" t="str">
        <f>IF('Item Setup Form'!$AF336="Yes",'Item Setup Form'!U336,"")</f>
        <v/>
      </c>
      <c r="K332" s="70" t="str">
        <f>IF('Item Setup Form'!$AF336="Yes",'Item Setup Form'!V336,"")</f>
        <v/>
      </c>
      <c r="L332" s="70"/>
      <c r="M332" s="70" t="str">
        <f>IF('Item Setup Form'!$AF336="Yes",'Item Setup Form'!A336,"")</f>
        <v/>
      </c>
      <c r="N332" s="70"/>
      <c r="O332" s="70"/>
      <c r="P332" s="70"/>
      <c r="Q332" s="70"/>
      <c r="R332" s="70"/>
      <c r="S332" s="70"/>
      <c r="T332" s="70"/>
      <c r="U332" s="70"/>
      <c r="V332" s="70"/>
      <c r="W332" s="70"/>
      <c r="X332" s="70"/>
      <c r="Y332" s="70"/>
      <c r="Z332" s="70"/>
    </row>
    <row r="333" spans="1:26">
      <c r="A333" s="70" t="str">
        <f>IF('Item Setup Form'!$AF337="Yes",'Item Setup Form'!$E337,"")</f>
        <v/>
      </c>
      <c r="B333" s="70" t="str">
        <f>IF('Item Setup Form'!$AF337="Yes",'Item Setup Form'!D337,"")</f>
        <v/>
      </c>
      <c r="C333" s="81" t="str">
        <f>IF('Item Setup Form'!$AF337="Yes",'Item Setup Form'!L337,"")</f>
        <v/>
      </c>
      <c r="D333" s="81" t="str">
        <f>IF('Item Setup Form'!$AF337="Yes",'Item Setup Form'!M337,"")</f>
        <v/>
      </c>
      <c r="E333" s="70"/>
      <c r="F333" s="70" t="str">
        <f>IF('Item Setup Form'!$AF337="Yes",'Item Setup Form'!G337,"")</f>
        <v/>
      </c>
      <c r="G333" s="70" t="str">
        <f>IF('Item Setup Form'!$AF337="Yes",'Item Setup Form'!H337,"")</f>
        <v/>
      </c>
      <c r="H333" s="70" t="str">
        <f>IF('Item Setup Form'!$AF337="Yes",'Item Setup Form'!V337,"")</f>
        <v/>
      </c>
      <c r="I333" s="70"/>
      <c r="J333" s="70" t="str">
        <f>IF('Item Setup Form'!$AF337="Yes",'Item Setup Form'!U337,"")</f>
        <v/>
      </c>
      <c r="K333" s="70" t="str">
        <f>IF('Item Setup Form'!$AF337="Yes",'Item Setup Form'!V337,"")</f>
        <v/>
      </c>
      <c r="L333" s="70"/>
      <c r="M333" s="70" t="str">
        <f>IF('Item Setup Form'!$AF337="Yes",'Item Setup Form'!A337,"")</f>
        <v/>
      </c>
      <c r="N333" s="70"/>
      <c r="O333" s="70"/>
      <c r="P333" s="70"/>
      <c r="Q333" s="70"/>
      <c r="R333" s="70"/>
      <c r="S333" s="70"/>
      <c r="T333" s="70"/>
      <c r="U333" s="70"/>
      <c r="V333" s="70"/>
      <c r="W333" s="70"/>
      <c r="X333" s="70"/>
      <c r="Y333" s="70"/>
      <c r="Z333" s="70"/>
    </row>
    <row r="334" spans="1:26">
      <c r="A334" s="70" t="str">
        <f>IF('Item Setup Form'!$AF338="Yes",'Item Setup Form'!$E338,"")</f>
        <v/>
      </c>
      <c r="B334" s="70" t="str">
        <f>IF('Item Setup Form'!$AF338="Yes",'Item Setup Form'!D338,"")</f>
        <v/>
      </c>
      <c r="C334" s="81" t="str">
        <f>IF('Item Setup Form'!$AF338="Yes",'Item Setup Form'!L338,"")</f>
        <v/>
      </c>
      <c r="D334" s="81" t="str">
        <f>IF('Item Setup Form'!$AF338="Yes",'Item Setup Form'!M338,"")</f>
        <v/>
      </c>
      <c r="E334" s="70"/>
      <c r="F334" s="70" t="str">
        <f>IF('Item Setup Form'!$AF338="Yes",'Item Setup Form'!G338,"")</f>
        <v/>
      </c>
      <c r="G334" s="70" t="str">
        <f>IF('Item Setup Form'!$AF338="Yes",'Item Setup Form'!H338,"")</f>
        <v/>
      </c>
      <c r="H334" s="70" t="str">
        <f>IF('Item Setup Form'!$AF338="Yes",'Item Setup Form'!V338,"")</f>
        <v/>
      </c>
      <c r="I334" s="70"/>
      <c r="J334" s="70" t="str">
        <f>IF('Item Setup Form'!$AF338="Yes",'Item Setup Form'!U338,"")</f>
        <v/>
      </c>
      <c r="K334" s="70" t="str">
        <f>IF('Item Setup Form'!$AF338="Yes",'Item Setup Form'!V338,"")</f>
        <v/>
      </c>
      <c r="L334" s="70"/>
      <c r="M334" s="70" t="str">
        <f>IF('Item Setup Form'!$AF338="Yes",'Item Setup Form'!A338,"")</f>
        <v/>
      </c>
      <c r="N334" s="70"/>
      <c r="O334" s="70"/>
      <c r="P334" s="70"/>
      <c r="Q334" s="70"/>
      <c r="R334" s="70"/>
      <c r="S334" s="70"/>
      <c r="T334" s="70"/>
      <c r="U334" s="70"/>
      <c r="V334" s="70"/>
      <c r="W334" s="70"/>
      <c r="X334" s="70"/>
      <c r="Y334" s="70"/>
      <c r="Z334" s="70"/>
    </row>
    <row r="335" spans="1:26">
      <c r="A335" s="70" t="str">
        <f>IF('Item Setup Form'!$AF339="Yes",'Item Setup Form'!$E339,"")</f>
        <v/>
      </c>
      <c r="B335" s="70" t="str">
        <f>IF('Item Setup Form'!$AF339="Yes",'Item Setup Form'!D339,"")</f>
        <v/>
      </c>
      <c r="C335" s="81" t="str">
        <f>IF('Item Setup Form'!$AF339="Yes",'Item Setup Form'!L339,"")</f>
        <v/>
      </c>
      <c r="D335" s="81" t="str">
        <f>IF('Item Setup Form'!$AF339="Yes",'Item Setup Form'!M339,"")</f>
        <v/>
      </c>
      <c r="E335" s="70"/>
      <c r="F335" s="70" t="str">
        <f>IF('Item Setup Form'!$AF339="Yes",'Item Setup Form'!G339,"")</f>
        <v/>
      </c>
      <c r="G335" s="70" t="str">
        <f>IF('Item Setup Form'!$AF339="Yes",'Item Setup Form'!H339,"")</f>
        <v/>
      </c>
      <c r="H335" s="70" t="str">
        <f>IF('Item Setup Form'!$AF339="Yes",'Item Setup Form'!V339,"")</f>
        <v/>
      </c>
      <c r="I335" s="70"/>
      <c r="J335" s="70" t="str">
        <f>IF('Item Setup Form'!$AF339="Yes",'Item Setup Form'!U339,"")</f>
        <v/>
      </c>
      <c r="K335" s="70" t="str">
        <f>IF('Item Setup Form'!$AF339="Yes",'Item Setup Form'!V339,"")</f>
        <v/>
      </c>
      <c r="L335" s="70"/>
      <c r="M335" s="70" t="str">
        <f>IF('Item Setup Form'!$AF339="Yes",'Item Setup Form'!A339,"")</f>
        <v/>
      </c>
      <c r="N335" s="70"/>
      <c r="O335" s="70"/>
      <c r="P335" s="70"/>
      <c r="Q335" s="70"/>
      <c r="R335" s="70"/>
      <c r="S335" s="70"/>
      <c r="T335" s="70"/>
      <c r="U335" s="70"/>
      <c r="V335" s="70"/>
      <c r="W335" s="70"/>
      <c r="X335" s="70"/>
      <c r="Y335" s="70"/>
      <c r="Z335" s="70"/>
    </row>
    <row r="336" spans="1:26">
      <c r="A336" s="70" t="str">
        <f>IF('Item Setup Form'!$AF340="Yes",'Item Setup Form'!$E340,"")</f>
        <v/>
      </c>
      <c r="B336" s="70" t="str">
        <f>IF('Item Setup Form'!$AF340="Yes",'Item Setup Form'!D340,"")</f>
        <v/>
      </c>
      <c r="C336" s="81" t="str">
        <f>IF('Item Setup Form'!$AF340="Yes",'Item Setup Form'!L340,"")</f>
        <v/>
      </c>
      <c r="D336" s="81" t="str">
        <f>IF('Item Setup Form'!$AF340="Yes",'Item Setup Form'!M340,"")</f>
        <v/>
      </c>
      <c r="E336" s="70"/>
      <c r="F336" s="70" t="str">
        <f>IF('Item Setup Form'!$AF340="Yes",'Item Setup Form'!G340,"")</f>
        <v/>
      </c>
      <c r="G336" s="70" t="str">
        <f>IF('Item Setup Form'!$AF340="Yes",'Item Setup Form'!H340,"")</f>
        <v/>
      </c>
      <c r="H336" s="70" t="str">
        <f>IF('Item Setup Form'!$AF340="Yes",'Item Setup Form'!V340,"")</f>
        <v/>
      </c>
      <c r="I336" s="70"/>
      <c r="J336" s="70" t="str">
        <f>IF('Item Setup Form'!$AF340="Yes",'Item Setup Form'!U340,"")</f>
        <v/>
      </c>
      <c r="K336" s="70" t="str">
        <f>IF('Item Setup Form'!$AF340="Yes",'Item Setup Form'!V340,"")</f>
        <v/>
      </c>
      <c r="L336" s="70"/>
      <c r="M336" s="70" t="str">
        <f>IF('Item Setup Form'!$AF340="Yes",'Item Setup Form'!A340,"")</f>
        <v/>
      </c>
      <c r="N336" s="70"/>
      <c r="O336" s="70"/>
      <c r="P336" s="70"/>
      <c r="Q336" s="70"/>
      <c r="R336" s="70"/>
      <c r="S336" s="70"/>
      <c r="T336" s="70"/>
      <c r="U336" s="70"/>
      <c r="V336" s="70"/>
      <c r="W336" s="70"/>
      <c r="X336" s="70"/>
      <c r="Y336" s="70"/>
      <c r="Z336" s="70"/>
    </row>
    <row r="337" spans="1:26">
      <c r="A337" s="70" t="str">
        <f>IF('Item Setup Form'!$AF341="Yes",'Item Setup Form'!$E341,"")</f>
        <v/>
      </c>
      <c r="B337" s="70" t="str">
        <f>IF('Item Setup Form'!$AF341="Yes",'Item Setup Form'!D341,"")</f>
        <v/>
      </c>
      <c r="C337" s="81" t="str">
        <f>IF('Item Setup Form'!$AF341="Yes",'Item Setup Form'!L341,"")</f>
        <v/>
      </c>
      <c r="D337" s="81" t="str">
        <f>IF('Item Setup Form'!$AF341="Yes",'Item Setup Form'!M341,"")</f>
        <v/>
      </c>
      <c r="E337" s="70"/>
      <c r="F337" s="70" t="str">
        <f>IF('Item Setup Form'!$AF341="Yes",'Item Setup Form'!G341,"")</f>
        <v/>
      </c>
      <c r="G337" s="70" t="str">
        <f>IF('Item Setup Form'!$AF341="Yes",'Item Setup Form'!H341,"")</f>
        <v/>
      </c>
      <c r="H337" s="70" t="str">
        <f>IF('Item Setup Form'!$AF341="Yes",'Item Setup Form'!V341,"")</f>
        <v/>
      </c>
      <c r="I337" s="70"/>
      <c r="J337" s="70" t="str">
        <f>IF('Item Setup Form'!$AF341="Yes",'Item Setup Form'!U341,"")</f>
        <v/>
      </c>
      <c r="K337" s="70" t="str">
        <f>IF('Item Setup Form'!$AF341="Yes",'Item Setup Form'!V341,"")</f>
        <v/>
      </c>
      <c r="L337" s="70"/>
      <c r="M337" s="70" t="str">
        <f>IF('Item Setup Form'!$AF341="Yes",'Item Setup Form'!A341,"")</f>
        <v/>
      </c>
      <c r="N337" s="70"/>
      <c r="O337" s="70"/>
      <c r="P337" s="70"/>
      <c r="Q337" s="70"/>
      <c r="R337" s="70"/>
      <c r="S337" s="70"/>
      <c r="T337" s="70"/>
      <c r="U337" s="70"/>
      <c r="V337" s="70"/>
      <c r="W337" s="70"/>
      <c r="X337" s="70"/>
      <c r="Y337" s="70"/>
      <c r="Z337" s="70"/>
    </row>
    <row r="338" spans="1:26">
      <c r="A338" s="70" t="str">
        <f>IF('Item Setup Form'!$AF342="Yes",'Item Setup Form'!$E342,"")</f>
        <v/>
      </c>
      <c r="B338" s="70" t="str">
        <f>IF('Item Setup Form'!$AF342="Yes",'Item Setup Form'!D342,"")</f>
        <v/>
      </c>
      <c r="C338" s="81" t="str">
        <f>IF('Item Setup Form'!$AF342="Yes",'Item Setup Form'!L342,"")</f>
        <v/>
      </c>
      <c r="D338" s="81" t="str">
        <f>IF('Item Setup Form'!$AF342="Yes",'Item Setup Form'!M342,"")</f>
        <v/>
      </c>
      <c r="E338" s="70"/>
      <c r="F338" s="70" t="str">
        <f>IF('Item Setup Form'!$AF342="Yes",'Item Setup Form'!G342,"")</f>
        <v/>
      </c>
      <c r="G338" s="70" t="str">
        <f>IF('Item Setup Form'!$AF342="Yes",'Item Setup Form'!H342,"")</f>
        <v/>
      </c>
      <c r="H338" s="70" t="str">
        <f>IF('Item Setup Form'!$AF342="Yes",'Item Setup Form'!V342,"")</f>
        <v/>
      </c>
      <c r="I338" s="70"/>
      <c r="J338" s="70" t="str">
        <f>IF('Item Setup Form'!$AF342="Yes",'Item Setup Form'!U342,"")</f>
        <v/>
      </c>
      <c r="K338" s="70" t="str">
        <f>IF('Item Setup Form'!$AF342="Yes",'Item Setup Form'!V342,"")</f>
        <v/>
      </c>
      <c r="L338" s="70"/>
      <c r="M338" s="70" t="str">
        <f>IF('Item Setup Form'!$AF342="Yes",'Item Setup Form'!A342,"")</f>
        <v/>
      </c>
      <c r="N338" s="70"/>
      <c r="O338" s="70"/>
      <c r="P338" s="70"/>
      <c r="Q338" s="70"/>
      <c r="R338" s="70"/>
      <c r="S338" s="70"/>
      <c r="T338" s="70"/>
      <c r="U338" s="70"/>
      <c r="V338" s="70"/>
      <c r="W338" s="70"/>
      <c r="X338" s="70"/>
      <c r="Y338" s="70"/>
      <c r="Z338" s="70"/>
    </row>
    <row r="339" spans="1:26">
      <c r="A339" s="70" t="str">
        <f>IF('Item Setup Form'!$AF343="Yes",'Item Setup Form'!$E343,"")</f>
        <v/>
      </c>
      <c r="B339" s="70" t="str">
        <f>IF('Item Setup Form'!$AF343="Yes",'Item Setup Form'!D343,"")</f>
        <v/>
      </c>
      <c r="C339" s="81" t="str">
        <f>IF('Item Setup Form'!$AF343="Yes",'Item Setup Form'!L343,"")</f>
        <v/>
      </c>
      <c r="D339" s="81" t="str">
        <f>IF('Item Setup Form'!$AF343="Yes",'Item Setup Form'!M343,"")</f>
        <v/>
      </c>
      <c r="E339" s="70"/>
      <c r="F339" s="70" t="str">
        <f>IF('Item Setup Form'!$AF343="Yes",'Item Setup Form'!G343,"")</f>
        <v/>
      </c>
      <c r="G339" s="70" t="str">
        <f>IF('Item Setup Form'!$AF343="Yes",'Item Setup Form'!H343,"")</f>
        <v/>
      </c>
      <c r="H339" s="70" t="str">
        <f>IF('Item Setup Form'!$AF343="Yes",'Item Setup Form'!V343,"")</f>
        <v/>
      </c>
      <c r="I339" s="70"/>
      <c r="J339" s="70" t="str">
        <f>IF('Item Setup Form'!$AF343="Yes",'Item Setup Form'!U343,"")</f>
        <v/>
      </c>
      <c r="K339" s="70" t="str">
        <f>IF('Item Setup Form'!$AF343="Yes",'Item Setup Form'!V343,"")</f>
        <v/>
      </c>
      <c r="L339" s="70"/>
      <c r="M339" s="70" t="str">
        <f>IF('Item Setup Form'!$AF343="Yes",'Item Setup Form'!A343,"")</f>
        <v/>
      </c>
      <c r="N339" s="70"/>
      <c r="O339" s="70"/>
      <c r="P339" s="70"/>
      <c r="Q339" s="70"/>
      <c r="R339" s="70"/>
      <c r="S339" s="70"/>
      <c r="T339" s="70"/>
      <c r="U339" s="70"/>
      <c r="V339" s="70"/>
      <c r="W339" s="70"/>
      <c r="X339" s="70"/>
      <c r="Y339" s="70"/>
      <c r="Z339" s="70"/>
    </row>
    <row r="340" spans="1:26">
      <c r="A340" s="70" t="str">
        <f>IF('Item Setup Form'!$AF344="Yes",'Item Setup Form'!$E344,"")</f>
        <v/>
      </c>
      <c r="B340" s="70" t="str">
        <f>IF('Item Setup Form'!$AF344="Yes",'Item Setup Form'!D344,"")</f>
        <v/>
      </c>
      <c r="C340" s="81" t="str">
        <f>IF('Item Setup Form'!$AF344="Yes",'Item Setup Form'!L344,"")</f>
        <v/>
      </c>
      <c r="D340" s="81" t="str">
        <f>IF('Item Setup Form'!$AF344="Yes",'Item Setup Form'!M344,"")</f>
        <v/>
      </c>
      <c r="E340" s="70"/>
      <c r="F340" s="70" t="str">
        <f>IF('Item Setup Form'!$AF344="Yes",'Item Setup Form'!G344,"")</f>
        <v/>
      </c>
      <c r="G340" s="70" t="str">
        <f>IF('Item Setup Form'!$AF344="Yes",'Item Setup Form'!H344,"")</f>
        <v/>
      </c>
      <c r="H340" s="70" t="str">
        <f>IF('Item Setup Form'!$AF344="Yes",'Item Setup Form'!V344,"")</f>
        <v/>
      </c>
      <c r="I340" s="70"/>
      <c r="J340" s="70" t="str">
        <f>IF('Item Setup Form'!$AF344="Yes",'Item Setup Form'!U344,"")</f>
        <v/>
      </c>
      <c r="K340" s="70" t="str">
        <f>IF('Item Setup Form'!$AF344="Yes",'Item Setup Form'!V344,"")</f>
        <v/>
      </c>
      <c r="L340" s="70"/>
      <c r="M340" s="70" t="str">
        <f>IF('Item Setup Form'!$AF344="Yes",'Item Setup Form'!A344,"")</f>
        <v/>
      </c>
      <c r="N340" s="70"/>
      <c r="O340" s="70"/>
      <c r="P340" s="70"/>
      <c r="Q340" s="70"/>
      <c r="R340" s="70"/>
      <c r="S340" s="70"/>
      <c r="T340" s="70"/>
      <c r="U340" s="70"/>
      <c r="V340" s="70"/>
      <c r="W340" s="70"/>
      <c r="X340" s="70"/>
      <c r="Y340" s="70"/>
      <c r="Z340" s="70"/>
    </row>
    <row r="341" spans="1:26">
      <c r="A341" s="70" t="str">
        <f>IF('Item Setup Form'!$AF345="Yes",'Item Setup Form'!$E345,"")</f>
        <v/>
      </c>
      <c r="B341" s="70" t="str">
        <f>IF('Item Setup Form'!$AF345="Yes",'Item Setup Form'!D345,"")</f>
        <v/>
      </c>
      <c r="C341" s="81" t="str">
        <f>IF('Item Setup Form'!$AF345="Yes",'Item Setup Form'!L345,"")</f>
        <v/>
      </c>
      <c r="D341" s="81" t="str">
        <f>IF('Item Setup Form'!$AF345="Yes",'Item Setup Form'!M345,"")</f>
        <v/>
      </c>
      <c r="E341" s="70"/>
      <c r="F341" s="70" t="str">
        <f>IF('Item Setup Form'!$AF345="Yes",'Item Setup Form'!G345,"")</f>
        <v/>
      </c>
      <c r="G341" s="70" t="str">
        <f>IF('Item Setup Form'!$AF345="Yes",'Item Setup Form'!H345,"")</f>
        <v/>
      </c>
      <c r="H341" s="70" t="str">
        <f>IF('Item Setup Form'!$AF345="Yes",'Item Setup Form'!V345,"")</f>
        <v/>
      </c>
      <c r="I341" s="70"/>
      <c r="J341" s="70" t="str">
        <f>IF('Item Setup Form'!$AF345="Yes",'Item Setup Form'!U345,"")</f>
        <v/>
      </c>
      <c r="K341" s="70" t="str">
        <f>IF('Item Setup Form'!$AF345="Yes",'Item Setup Form'!V345,"")</f>
        <v/>
      </c>
      <c r="L341" s="70"/>
      <c r="M341" s="70" t="str">
        <f>IF('Item Setup Form'!$AF345="Yes",'Item Setup Form'!A345,"")</f>
        <v/>
      </c>
      <c r="N341" s="70"/>
      <c r="O341" s="70"/>
      <c r="P341" s="70"/>
      <c r="Q341" s="70"/>
      <c r="R341" s="70"/>
      <c r="S341" s="70"/>
      <c r="T341" s="70"/>
      <c r="U341" s="70"/>
      <c r="V341" s="70"/>
      <c r="W341" s="70"/>
      <c r="X341" s="70"/>
      <c r="Y341" s="70"/>
      <c r="Z341" s="70"/>
    </row>
    <row r="342" spans="1:26">
      <c r="A342" s="70" t="str">
        <f>IF('Item Setup Form'!$AF346="Yes",'Item Setup Form'!$E346,"")</f>
        <v/>
      </c>
      <c r="B342" s="70" t="str">
        <f>IF('Item Setup Form'!$AF346="Yes",'Item Setup Form'!D346,"")</f>
        <v/>
      </c>
      <c r="C342" s="81" t="str">
        <f>IF('Item Setup Form'!$AF346="Yes",'Item Setup Form'!L346,"")</f>
        <v/>
      </c>
      <c r="D342" s="81" t="str">
        <f>IF('Item Setup Form'!$AF346="Yes",'Item Setup Form'!M346,"")</f>
        <v/>
      </c>
      <c r="E342" s="70"/>
      <c r="F342" s="70" t="str">
        <f>IF('Item Setup Form'!$AF346="Yes",'Item Setup Form'!G346,"")</f>
        <v/>
      </c>
      <c r="G342" s="70" t="str">
        <f>IF('Item Setup Form'!$AF346="Yes",'Item Setup Form'!H346,"")</f>
        <v/>
      </c>
      <c r="H342" s="70" t="str">
        <f>IF('Item Setup Form'!$AF346="Yes",'Item Setup Form'!V346,"")</f>
        <v/>
      </c>
      <c r="I342" s="70"/>
      <c r="J342" s="70" t="str">
        <f>IF('Item Setup Form'!$AF346="Yes",'Item Setup Form'!U346,"")</f>
        <v/>
      </c>
      <c r="K342" s="70" t="str">
        <f>IF('Item Setup Form'!$AF346="Yes",'Item Setup Form'!V346,"")</f>
        <v/>
      </c>
      <c r="L342" s="70"/>
      <c r="M342" s="70" t="str">
        <f>IF('Item Setup Form'!$AF346="Yes",'Item Setup Form'!A346,"")</f>
        <v/>
      </c>
      <c r="N342" s="70"/>
      <c r="O342" s="70"/>
      <c r="P342" s="70"/>
      <c r="Q342" s="70"/>
      <c r="R342" s="70"/>
      <c r="S342" s="70"/>
      <c r="T342" s="70"/>
      <c r="U342" s="70"/>
      <c r="V342" s="70"/>
      <c r="W342" s="70"/>
      <c r="X342" s="70"/>
      <c r="Y342" s="70"/>
      <c r="Z342" s="70"/>
    </row>
    <row r="343" spans="1:26">
      <c r="A343" s="70" t="str">
        <f>IF('Item Setup Form'!$AF347="Yes",'Item Setup Form'!$E347,"")</f>
        <v/>
      </c>
      <c r="B343" s="70" t="str">
        <f>IF('Item Setup Form'!$AF347="Yes",'Item Setup Form'!D347,"")</f>
        <v/>
      </c>
      <c r="C343" s="81" t="str">
        <f>IF('Item Setup Form'!$AF347="Yes",'Item Setup Form'!L347,"")</f>
        <v/>
      </c>
      <c r="D343" s="81" t="str">
        <f>IF('Item Setup Form'!$AF347="Yes",'Item Setup Form'!M347,"")</f>
        <v/>
      </c>
      <c r="E343" s="70"/>
      <c r="F343" s="70" t="str">
        <f>IF('Item Setup Form'!$AF347="Yes",'Item Setup Form'!G347,"")</f>
        <v/>
      </c>
      <c r="G343" s="70" t="str">
        <f>IF('Item Setup Form'!$AF347="Yes",'Item Setup Form'!H347,"")</f>
        <v/>
      </c>
      <c r="H343" s="70" t="str">
        <f>IF('Item Setup Form'!$AF347="Yes",'Item Setup Form'!V347,"")</f>
        <v/>
      </c>
      <c r="I343" s="70"/>
      <c r="J343" s="70" t="str">
        <f>IF('Item Setup Form'!$AF347="Yes",'Item Setup Form'!U347,"")</f>
        <v/>
      </c>
      <c r="K343" s="70" t="str">
        <f>IF('Item Setup Form'!$AF347="Yes",'Item Setup Form'!V347,"")</f>
        <v/>
      </c>
      <c r="L343" s="70"/>
      <c r="M343" s="70" t="str">
        <f>IF('Item Setup Form'!$AF347="Yes",'Item Setup Form'!A347,"")</f>
        <v/>
      </c>
      <c r="N343" s="70"/>
      <c r="O343" s="70"/>
      <c r="P343" s="70"/>
      <c r="Q343" s="70"/>
      <c r="R343" s="70"/>
      <c r="S343" s="70"/>
      <c r="T343" s="70"/>
      <c r="U343" s="70"/>
      <c r="V343" s="70"/>
      <c r="W343" s="70"/>
      <c r="X343" s="70"/>
      <c r="Y343" s="70"/>
      <c r="Z343" s="70"/>
    </row>
    <row r="344" spans="1:26">
      <c r="A344" s="70" t="str">
        <f>IF('Item Setup Form'!$AF348="Yes",'Item Setup Form'!$E348,"")</f>
        <v/>
      </c>
      <c r="B344" s="70" t="str">
        <f>IF('Item Setup Form'!$AF348="Yes",'Item Setup Form'!D348,"")</f>
        <v/>
      </c>
      <c r="C344" s="81" t="str">
        <f>IF('Item Setup Form'!$AF348="Yes",'Item Setup Form'!L348,"")</f>
        <v/>
      </c>
      <c r="D344" s="81" t="str">
        <f>IF('Item Setup Form'!$AF348="Yes",'Item Setup Form'!M348,"")</f>
        <v/>
      </c>
      <c r="E344" s="70"/>
      <c r="F344" s="70" t="str">
        <f>IF('Item Setup Form'!$AF348="Yes",'Item Setup Form'!G348,"")</f>
        <v/>
      </c>
      <c r="G344" s="70" t="str">
        <f>IF('Item Setup Form'!$AF348="Yes",'Item Setup Form'!H348,"")</f>
        <v/>
      </c>
      <c r="H344" s="70" t="str">
        <f>IF('Item Setup Form'!$AF348="Yes",'Item Setup Form'!V348,"")</f>
        <v/>
      </c>
      <c r="I344" s="70"/>
      <c r="J344" s="70" t="str">
        <f>IF('Item Setup Form'!$AF348="Yes",'Item Setup Form'!U348,"")</f>
        <v/>
      </c>
      <c r="K344" s="70" t="str">
        <f>IF('Item Setup Form'!$AF348="Yes",'Item Setup Form'!V348,"")</f>
        <v/>
      </c>
      <c r="L344" s="70"/>
      <c r="M344" s="70" t="str">
        <f>IF('Item Setup Form'!$AF348="Yes",'Item Setup Form'!A348,"")</f>
        <v/>
      </c>
      <c r="N344" s="70"/>
      <c r="O344" s="70"/>
      <c r="P344" s="70"/>
      <c r="Q344" s="70"/>
      <c r="R344" s="70"/>
      <c r="S344" s="70"/>
      <c r="T344" s="70"/>
      <c r="U344" s="70"/>
      <c r="V344" s="70"/>
      <c r="W344" s="70"/>
      <c r="X344" s="70"/>
      <c r="Y344" s="70"/>
      <c r="Z344" s="70"/>
    </row>
    <row r="345" spans="1:26">
      <c r="A345" s="70" t="str">
        <f>IF('Item Setup Form'!$AF349="Yes",'Item Setup Form'!$E349,"")</f>
        <v/>
      </c>
      <c r="B345" s="70" t="str">
        <f>IF('Item Setup Form'!$AF349="Yes",'Item Setup Form'!D349,"")</f>
        <v/>
      </c>
      <c r="C345" s="81" t="str">
        <f>IF('Item Setup Form'!$AF349="Yes",'Item Setup Form'!L349,"")</f>
        <v/>
      </c>
      <c r="D345" s="81" t="str">
        <f>IF('Item Setup Form'!$AF349="Yes",'Item Setup Form'!M349,"")</f>
        <v/>
      </c>
      <c r="E345" s="70"/>
      <c r="F345" s="70" t="str">
        <f>IF('Item Setup Form'!$AF349="Yes",'Item Setup Form'!G349,"")</f>
        <v/>
      </c>
      <c r="G345" s="70" t="str">
        <f>IF('Item Setup Form'!$AF349="Yes",'Item Setup Form'!H349,"")</f>
        <v/>
      </c>
      <c r="H345" s="70" t="str">
        <f>IF('Item Setup Form'!$AF349="Yes",'Item Setup Form'!V349,"")</f>
        <v/>
      </c>
      <c r="I345" s="70"/>
      <c r="J345" s="70" t="str">
        <f>IF('Item Setup Form'!$AF349="Yes",'Item Setup Form'!U349,"")</f>
        <v/>
      </c>
      <c r="K345" s="70" t="str">
        <f>IF('Item Setup Form'!$AF349="Yes",'Item Setup Form'!V349,"")</f>
        <v/>
      </c>
      <c r="L345" s="70"/>
      <c r="M345" s="70" t="str">
        <f>IF('Item Setup Form'!$AF349="Yes",'Item Setup Form'!A349,"")</f>
        <v/>
      </c>
      <c r="N345" s="70"/>
      <c r="O345" s="70"/>
      <c r="P345" s="70"/>
      <c r="Q345" s="70"/>
      <c r="R345" s="70"/>
      <c r="S345" s="70"/>
      <c r="T345" s="70"/>
      <c r="U345" s="70"/>
      <c r="V345" s="70"/>
      <c r="W345" s="70"/>
      <c r="X345" s="70"/>
      <c r="Y345" s="70"/>
      <c r="Z345" s="70"/>
    </row>
    <row r="346" spans="1:26">
      <c r="A346" s="70" t="str">
        <f>IF('Item Setup Form'!$AF350="Yes",'Item Setup Form'!$E350,"")</f>
        <v/>
      </c>
      <c r="B346" s="70" t="str">
        <f>IF('Item Setup Form'!$AF350="Yes",'Item Setup Form'!D350,"")</f>
        <v/>
      </c>
      <c r="C346" s="81" t="str">
        <f>IF('Item Setup Form'!$AF350="Yes",'Item Setup Form'!L350,"")</f>
        <v/>
      </c>
      <c r="D346" s="81" t="str">
        <f>IF('Item Setup Form'!$AF350="Yes",'Item Setup Form'!M350,"")</f>
        <v/>
      </c>
      <c r="E346" s="70"/>
      <c r="F346" s="70" t="str">
        <f>IF('Item Setup Form'!$AF350="Yes",'Item Setup Form'!G350,"")</f>
        <v/>
      </c>
      <c r="G346" s="70" t="str">
        <f>IF('Item Setup Form'!$AF350="Yes",'Item Setup Form'!H350,"")</f>
        <v/>
      </c>
      <c r="H346" s="70" t="str">
        <f>IF('Item Setup Form'!$AF350="Yes",'Item Setup Form'!V350,"")</f>
        <v/>
      </c>
      <c r="I346" s="70"/>
      <c r="J346" s="70" t="str">
        <f>IF('Item Setup Form'!$AF350="Yes",'Item Setup Form'!U350,"")</f>
        <v/>
      </c>
      <c r="K346" s="70" t="str">
        <f>IF('Item Setup Form'!$AF350="Yes",'Item Setup Form'!V350,"")</f>
        <v/>
      </c>
      <c r="L346" s="70"/>
      <c r="M346" s="70" t="str">
        <f>IF('Item Setup Form'!$AF350="Yes",'Item Setup Form'!A350,"")</f>
        <v/>
      </c>
      <c r="N346" s="70"/>
      <c r="O346" s="70"/>
      <c r="P346" s="70"/>
      <c r="Q346" s="70"/>
      <c r="R346" s="70"/>
      <c r="S346" s="70"/>
      <c r="T346" s="70"/>
      <c r="U346" s="70"/>
      <c r="V346" s="70"/>
      <c r="W346" s="70"/>
      <c r="X346" s="70"/>
      <c r="Y346" s="70"/>
      <c r="Z346" s="70"/>
    </row>
    <row r="347" spans="1:26">
      <c r="A347" s="70" t="str">
        <f>IF('Item Setup Form'!$AF351="Yes",'Item Setup Form'!$E351,"")</f>
        <v/>
      </c>
      <c r="B347" s="70" t="str">
        <f>IF('Item Setup Form'!$AF351="Yes",'Item Setup Form'!D351,"")</f>
        <v/>
      </c>
      <c r="C347" s="81" t="str">
        <f>IF('Item Setup Form'!$AF351="Yes",'Item Setup Form'!L351,"")</f>
        <v/>
      </c>
      <c r="D347" s="81" t="str">
        <f>IF('Item Setup Form'!$AF351="Yes",'Item Setup Form'!M351,"")</f>
        <v/>
      </c>
      <c r="E347" s="70"/>
      <c r="F347" s="70" t="str">
        <f>IF('Item Setup Form'!$AF351="Yes",'Item Setup Form'!G351,"")</f>
        <v/>
      </c>
      <c r="G347" s="70" t="str">
        <f>IF('Item Setup Form'!$AF351="Yes",'Item Setup Form'!H351,"")</f>
        <v/>
      </c>
      <c r="H347" s="70" t="str">
        <f>IF('Item Setup Form'!$AF351="Yes",'Item Setup Form'!V351,"")</f>
        <v/>
      </c>
      <c r="I347" s="70"/>
      <c r="J347" s="70" t="str">
        <f>IF('Item Setup Form'!$AF351="Yes",'Item Setup Form'!U351,"")</f>
        <v/>
      </c>
      <c r="K347" s="70" t="str">
        <f>IF('Item Setup Form'!$AF351="Yes",'Item Setup Form'!V351,"")</f>
        <v/>
      </c>
      <c r="L347" s="70"/>
      <c r="M347" s="70" t="str">
        <f>IF('Item Setup Form'!$AF351="Yes",'Item Setup Form'!A351,"")</f>
        <v/>
      </c>
      <c r="N347" s="70"/>
      <c r="O347" s="70"/>
      <c r="P347" s="70"/>
      <c r="Q347" s="70"/>
      <c r="R347" s="70"/>
      <c r="S347" s="70"/>
      <c r="T347" s="70"/>
      <c r="U347" s="70"/>
      <c r="V347" s="70"/>
      <c r="W347" s="70"/>
      <c r="X347" s="70"/>
      <c r="Y347" s="70"/>
      <c r="Z347" s="70"/>
    </row>
    <row r="348" spans="1:26">
      <c r="A348" s="70" t="str">
        <f>IF('Item Setup Form'!$AF352="Yes",'Item Setup Form'!$E352,"")</f>
        <v/>
      </c>
      <c r="B348" s="70" t="str">
        <f>IF('Item Setup Form'!$AF352="Yes",'Item Setup Form'!D352,"")</f>
        <v/>
      </c>
      <c r="C348" s="81" t="str">
        <f>IF('Item Setup Form'!$AF352="Yes",'Item Setup Form'!L352,"")</f>
        <v/>
      </c>
      <c r="D348" s="81" t="str">
        <f>IF('Item Setup Form'!$AF352="Yes",'Item Setup Form'!M352,"")</f>
        <v/>
      </c>
      <c r="E348" s="70"/>
      <c r="F348" s="70" t="str">
        <f>IF('Item Setup Form'!$AF352="Yes",'Item Setup Form'!G352,"")</f>
        <v/>
      </c>
      <c r="G348" s="70" t="str">
        <f>IF('Item Setup Form'!$AF352="Yes",'Item Setup Form'!H352,"")</f>
        <v/>
      </c>
      <c r="H348" s="70" t="str">
        <f>IF('Item Setup Form'!$AF352="Yes",'Item Setup Form'!V352,"")</f>
        <v/>
      </c>
      <c r="I348" s="70"/>
      <c r="J348" s="70" t="str">
        <f>IF('Item Setup Form'!$AF352="Yes",'Item Setup Form'!U352,"")</f>
        <v/>
      </c>
      <c r="K348" s="70" t="str">
        <f>IF('Item Setup Form'!$AF352="Yes",'Item Setup Form'!V352,"")</f>
        <v/>
      </c>
      <c r="L348" s="70"/>
      <c r="M348" s="70" t="str">
        <f>IF('Item Setup Form'!$AF352="Yes",'Item Setup Form'!A352,"")</f>
        <v/>
      </c>
      <c r="N348" s="70"/>
      <c r="O348" s="70"/>
      <c r="P348" s="70"/>
      <c r="Q348" s="70"/>
      <c r="R348" s="70"/>
      <c r="S348" s="70"/>
      <c r="T348" s="70"/>
      <c r="U348" s="70"/>
      <c r="V348" s="70"/>
      <c r="W348" s="70"/>
      <c r="X348" s="70"/>
      <c r="Y348" s="70"/>
      <c r="Z348" s="70"/>
    </row>
    <row r="349" spans="1:26">
      <c r="A349" s="70" t="str">
        <f>IF('Item Setup Form'!$AF353="Yes",'Item Setup Form'!$E353,"")</f>
        <v/>
      </c>
      <c r="B349" s="70" t="str">
        <f>IF('Item Setup Form'!$AF353="Yes",'Item Setup Form'!D353,"")</f>
        <v/>
      </c>
      <c r="C349" s="81" t="str">
        <f>IF('Item Setup Form'!$AF353="Yes",'Item Setup Form'!L353,"")</f>
        <v/>
      </c>
      <c r="D349" s="81" t="str">
        <f>IF('Item Setup Form'!$AF353="Yes",'Item Setup Form'!M353,"")</f>
        <v/>
      </c>
      <c r="E349" s="70"/>
      <c r="F349" s="70" t="str">
        <f>IF('Item Setup Form'!$AF353="Yes",'Item Setup Form'!G353,"")</f>
        <v/>
      </c>
      <c r="G349" s="70" t="str">
        <f>IF('Item Setup Form'!$AF353="Yes",'Item Setup Form'!H353,"")</f>
        <v/>
      </c>
      <c r="H349" s="70" t="str">
        <f>IF('Item Setup Form'!$AF353="Yes",'Item Setup Form'!V353,"")</f>
        <v/>
      </c>
      <c r="I349" s="70"/>
      <c r="J349" s="70" t="str">
        <f>IF('Item Setup Form'!$AF353="Yes",'Item Setup Form'!U353,"")</f>
        <v/>
      </c>
      <c r="K349" s="70" t="str">
        <f>IF('Item Setup Form'!$AF353="Yes",'Item Setup Form'!V353,"")</f>
        <v/>
      </c>
      <c r="L349" s="70"/>
      <c r="M349" s="70" t="str">
        <f>IF('Item Setup Form'!$AF353="Yes",'Item Setup Form'!A353,"")</f>
        <v/>
      </c>
      <c r="N349" s="70"/>
      <c r="O349" s="70"/>
      <c r="P349" s="70"/>
      <c r="Q349" s="70"/>
      <c r="R349" s="70"/>
      <c r="S349" s="70"/>
      <c r="T349" s="70"/>
      <c r="U349" s="70"/>
      <c r="V349" s="70"/>
      <c r="W349" s="70"/>
      <c r="X349" s="70"/>
      <c r="Y349" s="70"/>
      <c r="Z349" s="70"/>
    </row>
    <row r="350" spans="1:26">
      <c r="A350" s="70" t="str">
        <f>IF('Item Setup Form'!$AF354="Yes",'Item Setup Form'!$E354,"")</f>
        <v/>
      </c>
      <c r="B350" s="70" t="str">
        <f>IF('Item Setup Form'!$AF354="Yes",'Item Setup Form'!D354,"")</f>
        <v/>
      </c>
      <c r="C350" s="81" t="str">
        <f>IF('Item Setup Form'!$AF354="Yes",'Item Setup Form'!L354,"")</f>
        <v/>
      </c>
      <c r="D350" s="81" t="str">
        <f>IF('Item Setup Form'!$AF354="Yes",'Item Setup Form'!M354,"")</f>
        <v/>
      </c>
      <c r="E350" s="70"/>
      <c r="F350" s="70" t="str">
        <f>IF('Item Setup Form'!$AF354="Yes",'Item Setup Form'!G354,"")</f>
        <v/>
      </c>
      <c r="G350" s="70" t="str">
        <f>IF('Item Setup Form'!$AF354="Yes",'Item Setup Form'!H354,"")</f>
        <v/>
      </c>
      <c r="H350" s="70" t="str">
        <f>IF('Item Setup Form'!$AF354="Yes",'Item Setup Form'!V354,"")</f>
        <v/>
      </c>
      <c r="I350" s="70"/>
      <c r="J350" s="70" t="str">
        <f>IF('Item Setup Form'!$AF354="Yes",'Item Setup Form'!U354,"")</f>
        <v/>
      </c>
      <c r="K350" s="70" t="str">
        <f>IF('Item Setup Form'!$AF354="Yes",'Item Setup Form'!V354,"")</f>
        <v/>
      </c>
      <c r="L350" s="70"/>
      <c r="M350" s="70" t="str">
        <f>IF('Item Setup Form'!$AF354="Yes",'Item Setup Form'!A354,"")</f>
        <v/>
      </c>
      <c r="N350" s="70"/>
      <c r="O350" s="70"/>
      <c r="P350" s="70"/>
      <c r="Q350" s="70"/>
      <c r="R350" s="70"/>
      <c r="S350" s="70"/>
      <c r="T350" s="70"/>
      <c r="U350" s="70"/>
      <c r="V350" s="70"/>
      <c r="W350" s="70"/>
      <c r="X350" s="70"/>
      <c r="Y350" s="70"/>
      <c r="Z350" s="70"/>
    </row>
    <row r="351" spans="1:26">
      <c r="A351" s="70" t="str">
        <f>IF('Item Setup Form'!$AF355="Yes",'Item Setup Form'!$E355,"")</f>
        <v/>
      </c>
      <c r="B351" s="70" t="str">
        <f>IF('Item Setup Form'!$AF355="Yes",'Item Setup Form'!D355,"")</f>
        <v/>
      </c>
      <c r="C351" s="81" t="str">
        <f>IF('Item Setup Form'!$AF355="Yes",'Item Setup Form'!L355,"")</f>
        <v/>
      </c>
      <c r="D351" s="81" t="str">
        <f>IF('Item Setup Form'!$AF355="Yes",'Item Setup Form'!M355,"")</f>
        <v/>
      </c>
      <c r="E351" s="70"/>
      <c r="F351" s="70" t="str">
        <f>IF('Item Setup Form'!$AF355="Yes",'Item Setup Form'!G355,"")</f>
        <v/>
      </c>
      <c r="G351" s="70" t="str">
        <f>IF('Item Setup Form'!$AF355="Yes",'Item Setup Form'!H355,"")</f>
        <v/>
      </c>
      <c r="H351" s="70" t="str">
        <f>IF('Item Setup Form'!$AF355="Yes",'Item Setup Form'!V355,"")</f>
        <v/>
      </c>
      <c r="I351" s="70"/>
      <c r="J351" s="70" t="str">
        <f>IF('Item Setup Form'!$AF355="Yes",'Item Setup Form'!U355,"")</f>
        <v/>
      </c>
      <c r="K351" s="70" t="str">
        <f>IF('Item Setup Form'!$AF355="Yes",'Item Setup Form'!V355,"")</f>
        <v/>
      </c>
      <c r="L351" s="70"/>
      <c r="M351" s="70" t="str">
        <f>IF('Item Setup Form'!$AF355="Yes",'Item Setup Form'!A355,"")</f>
        <v/>
      </c>
      <c r="N351" s="70"/>
      <c r="O351" s="70"/>
      <c r="P351" s="70"/>
      <c r="Q351" s="70"/>
      <c r="R351" s="70"/>
      <c r="S351" s="70"/>
      <c r="T351" s="70"/>
      <c r="U351" s="70"/>
      <c r="V351" s="70"/>
      <c r="W351" s="70"/>
      <c r="X351" s="70"/>
      <c r="Y351" s="70"/>
      <c r="Z351" s="70"/>
    </row>
    <row r="352" spans="1:26">
      <c r="A352" s="70" t="str">
        <f>IF('Item Setup Form'!$AF356="Yes",'Item Setup Form'!$E356,"")</f>
        <v/>
      </c>
      <c r="B352" s="70" t="str">
        <f>IF('Item Setup Form'!$AF356="Yes",'Item Setup Form'!D356,"")</f>
        <v/>
      </c>
      <c r="C352" s="81" t="str">
        <f>IF('Item Setup Form'!$AF356="Yes",'Item Setup Form'!L356,"")</f>
        <v/>
      </c>
      <c r="D352" s="81" t="str">
        <f>IF('Item Setup Form'!$AF356="Yes",'Item Setup Form'!M356,"")</f>
        <v/>
      </c>
      <c r="E352" s="70"/>
      <c r="F352" s="70" t="str">
        <f>IF('Item Setup Form'!$AF356="Yes",'Item Setup Form'!G356,"")</f>
        <v/>
      </c>
      <c r="G352" s="70" t="str">
        <f>IF('Item Setup Form'!$AF356="Yes",'Item Setup Form'!H356,"")</f>
        <v/>
      </c>
      <c r="H352" s="70" t="str">
        <f>IF('Item Setup Form'!$AF356="Yes",'Item Setup Form'!V356,"")</f>
        <v/>
      </c>
      <c r="I352" s="70"/>
      <c r="J352" s="70" t="str">
        <f>IF('Item Setup Form'!$AF356="Yes",'Item Setup Form'!U356,"")</f>
        <v/>
      </c>
      <c r="K352" s="70" t="str">
        <f>IF('Item Setup Form'!$AF356="Yes",'Item Setup Form'!V356,"")</f>
        <v/>
      </c>
      <c r="L352" s="70"/>
      <c r="M352" s="70" t="str">
        <f>IF('Item Setup Form'!$AF356="Yes",'Item Setup Form'!A356,"")</f>
        <v/>
      </c>
      <c r="N352" s="70"/>
      <c r="O352" s="70"/>
      <c r="P352" s="70"/>
      <c r="Q352" s="70"/>
      <c r="R352" s="70"/>
      <c r="S352" s="70"/>
      <c r="T352" s="70"/>
      <c r="U352" s="70"/>
      <c r="V352" s="70"/>
      <c r="W352" s="70"/>
      <c r="X352" s="70"/>
      <c r="Y352" s="70"/>
      <c r="Z352" s="70"/>
    </row>
    <row r="353" spans="1:26">
      <c r="A353" s="70" t="str">
        <f>IF('Item Setup Form'!$AF357="Yes",'Item Setup Form'!$E357,"")</f>
        <v/>
      </c>
      <c r="B353" s="70" t="str">
        <f>IF('Item Setup Form'!$AF357="Yes",'Item Setup Form'!D357,"")</f>
        <v/>
      </c>
      <c r="C353" s="81" t="str">
        <f>IF('Item Setup Form'!$AF357="Yes",'Item Setup Form'!L357,"")</f>
        <v/>
      </c>
      <c r="D353" s="81" t="str">
        <f>IF('Item Setup Form'!$AF357="Yes",'Item Setup Form'!M357,"")</f>
        <v/>
      </c>
      <c r="E353" s="70"/>
      <c r="F353" s="70" t="str">
        <f>IF('Item Setup Form'!$AF357="Yes",'Item Setup Form'!G357,"")</f>
        <v/>
      </c>
      <c r="G353" s="70" t="str">
        <f>IF('Item Setup Form'!$AF357="Yes",'Item Setup Form'!H357,"")</f>
        <v/>
      </c>
      <c r="H353" s="70" t="str">
        <f>IF('Item Setup Form'!$AF357="Yes",'Item Setup Form'!V357,"")</f>
        <v/>
      </c>
      <c r="I353" s="70"/>
      <c r="J353" s="70" t="str">
        <f>IF('Item Setup Form'!$AF357="Yes",'Item Setup Form'!U357,"")</f>
        <v/>
      </c>
      <c r="K353" s="70" t="str">
        <f>IF('Item Setup Form'!$AF357="Yes",'Item Setup Form'!V357,"")</f>
        <v/>
      </c>
      <c r="L353" s="70"/>
      <c r="M353" s="70" t="str">
        <f>IF('Item Setup Form'!$AF357="Yes",'Item Setup Form'!A357,"")</f>
        <v/>
      </c>
      <c r="N353" s="70"/>
      <c r="O353" s="70"/>
      <c r="P353" s="70"/>
      <c r="Q353" s="70"/>
      <c r="R353" s="70"/>
      <c r="S353" s="70"/>
      <c r="T353" s="70"/>
      <c r="U353" s="70"/>
      <c r="V353" s="70"/>
      <c r="W353" s="70"/>
      <c r="X353" s="70"/>
      <c r="Y353" s="70"/>
      <c r="Z353" s="70"/>
    </row>
    <row r="354" spans="1:26">
      <c r="A354" s="70" t="str">
        <f>IF('Item Setup Form'!$AF358="Yes",'Item Setup Form'!$E358,"")</f>
        <v/>
      </c>
      <c r="B354" s="70" t="str">
        <f>IF('Item Setup Form'!$AF358="Yes",'Item Setup Form'!D358,"")</f>
        <v/>
      </c>
      <c r="C354" s="81" t="str">
        <f>IF('Item Setup Form'!$AF358="Yes",'Item Setup Form'!L358,"")</f>
        <v/>
      </c>
      <c r="D354" s="81" t="str">
        <f>IF('Item Setup Form'!$AF358="Yes",'Item Setup Form'!M358,"")</f>
        <v/>
      </c>
      <c r="E354" s="70"/>
      <c r="F354" s="70" t="str">
        <f>IF('Item Setup Form'!$AF358="Yes",'Item Setup Form'!G358,"")</f>
        <v/>
      </c>
      <c r="G354" s="70" t="str">
        <f>IF('Item Setup Form'!$AF358="Yes",'Item Setup Form'!H358,"")</f>
        <v/>
      </c>
      <c r="H354" s="70" t="str">
        <f>IF('Item Setup Form'!$AF358="Yes",'Item Setup Form'!V358,"")</f>
        <v/>
      </c>
      <c r="I354" s="70"/>
      <c r="J354" s="70" t="str">
        <f>IF('Item Setup Form'!$AF358="Yes",'Item Setup Form'!U358,"")</f>
        <v/>
      </c>
      <c r="K354" s="70" t="str">
        <f>IF('Item Setup Form'!$AF358="Yes",'Item Setup Form'!V358,"")</f>
        <v/>
      </c>
      <c r="L354" s="70"/>
      <c r="M354" s="70" t="str">
        <f>IF('Item Setup Form'!$AF358="Yes",'Item Setup Form'!A358,"")</f>
        <v/>
      </c>
      <c r="N354" s="70"/>
      <c r="O354" s="70"/>
      <c r="P354" s="70"/>
      <c r="Q354" s="70"/>
      <c r="R354" s="70"/>
      <c r="S354" s="70"/>
      <c r="T354" s="70"/>
      <c r="U354" s="70"/>
      <c r="V354" s="70"/>
      <c r="W354" s="70"/>
      <c r="X354" s="70"/>
      <c r="Y354" s="70"/>
      <c r="Z354" s="70"/>
    </row>
    <row r="355" spans="1:26">
      <c r="A355" s="70" t="str">
        <f>IF('Item Setup Form'!$AF359="Yes",'Item Setup Form'!$E359,"")</f>
        <v/>
      </c>
      <c r="B355" s="70" t="str">
        <f>IF('Item Setup Form'!$AF359="Yes",'Item Setup Form'!D359,"")</f>
        <v/>
      </c>
      <c r="C355" s="81" t="str">
        <f>IF('Item Setup Form'!$AF359="Yes",'Item Setup Form'!L359,"")</f>
        <v/>
      </c>
      <c r="D355" s="81" t="str">
        <f>IF('Item Setup Form'!$AF359="Yes",'Item Setup Form'!M359,"")</f>
        <v/>
      </c>
      <c r="E355" s="70"/>
      <c r="F355" s="70" t="str">
        <f>IF('Item Setup Form'!$AF359="Yes",'Item Setup Form'!G359,"")</f>
        <v/>
      </c>
      <c r="G355" s="70" t="str">
        <f>IF('Item Setup Form'!$AF359="Yes",'Item Setup Form'!H359,"")</f>
        <v/>
      </c>
      <c r="H355" s="70" t="str">
        <f>IF('Item Setup Form'!$AF359="Yes",'Item Setup Form'!V359,"")</f>
        <v/>
      </c>
      <c r="I355" s="70"/>
      <c r="J355" s="70" t="str">
        <f>IF('Item Setup Form'!$AF359="Yes",'Item Setup Form'!U359,"")</f>
        <v/>
      </c>
      <c r="K355" s="70" t="str">
        <f>IF('Item Setup Form'!$AF359="Yes",'Item Setup Form'!V359,"")</f>
        <v/>
      </c>
      <c r="L355" s="70"/>
      <c r="M355" s="70" t="str">
        <f>IF('Item Setup Form'!$AF359="Yes",'Item Setup Form'!A359,"")</f>
        <v/>
      </c>
      <c r="N355" s="70"/>
      <c r="O355" s="70"/>
      <c r="P355" s="70"/>
      <c r="Q355" s="70"/>
      <c r="R355" s="70"/>
      <c r="S355" s="70"/>
      <c r="T355" s="70"/>
      <c r="U355" s="70"/>
      <c r="V355" s="70"/>
      <c r="W355" s="70"/>
      <c r="X355" s="70"/>
      <c r="Y355" s="70"/>
      <c r="Z355" s="70"/>
    </row>
    <row r="356" spans="1:26">
      <c r="A356" s="70" t="str">
        <f>IF('Item Setup Form'!$AF360="Yes",'Item Setup Form'!$E360,"")</f>
        <v/>
      </c>
      <c r="B356" s="70" t="str">
        <f>IF('Item Setup Form'!$AF360="Yes",'Item Setup Form'!D360,"")</f>
        <v/>
      </c>
      <c r="C356" s="81" t="str">
        <f>IF('Item Setup Form'!$AF360="Yes",'Item Setup Form'!L360,"")</f>
        <v/>
      </c>
      <c r="D356" s="81" t="str">
        <f>IF('Item Setup Form'!$AF360="Yes",'Item Setup Form'!M360,"")</f>
        <v/>
      </c>
      <c r="E356" s="70"/>
      <c r="F356" s="70" t="str">
        <f>IF('Item Setup Form'!$AF360="Yes",'Item Setup Form'!G360,"")</f>
        <v/>
      </c>
      <c r="G356" s="70" t="str">
        <f>IF('Item Setup Form'!$AF360="Yes",'Item Setup Form'!H360,"")</f>
        <v/>
      </c>
      <c r="H356" s="70" t="str">
        <f>IF('Item Setup Form'!$AF360="Yes",'Item Setup Form'!V360,"")</f>
        <v/>
      </c>
      <c r="I356" s="70"/>
      <c r="J356" s="70" t="str">
        <f>IF('Item Setup Form'!$AF360="Yes",'Item Setup Form'!U360,"")</f>
        <v/>
      </c>
      <c r="K356" s="70" t="str">
        <f>IF('Item Setup Form'!$AF360="Yes",'Item Setup Form'!V360,"")</f>
        <v/>
      </c>
      <c r="L356" s="70"/>
      <c r="M356" s="70" t="str">
        <f>IF('Item Setup Form'!$AF360="Yes",'Item Setup Form'!A360,"")</f>
        <v/>
      </c>
      <c r="N356" s="70"/>
      <c r="O356" s="70"/>
      <c r="P356" s="70"/>
      <c r="Q356" s="70"/>
      <c r="R356" s="70"/>
      <c r="S356" s="70"/>
      <c r="T356" s="70"/>
      <c r="U356" s="70"/>
      <c r="V356" s="70"/>
      <c r="W356" s="70"/>
      <c r="X356" s="70"/>
      <c r="Y356" s="70"/>
      <c r="Z356" s="70"/>
    </row>
    <row r="357" spans="1:26">
      <c r="A357" s="70" t="str">
        <f>IF('Item Setup Form'!$AF361="Yes",'Item Setup Form'!$E361,"")</f>
        <v/>
      </c>
      <c r="B357" s="70" t="str">
        <f>IF('Item Setup Form'!$AF361="Yes",'Item Setup Form'!D361,"")</f>
        <v/>
      </c>
      <c r="C357" s="81" t="str">
        <f>IF('Item Setup Form'!$AF361="Yes",'Item Setup Form'!L361,"")</f>
        <v/>
      </c>
      <c r="D357" s="81" t="str">
        <f>IF('Item Setup Form'!$AF361="Yes",'Item Setup Form'!M361,"")</f>
        <v/>
      </c>
      <c r="E357" s="70"/>
      <c r="F357" s="70" t="str">
        <f>IF('Item Setup Form'!$AF361="Yes",'Item Setup Form'!G361,"")</f>
        <v/>
      </c>
      <c r="G357" s="70" t="str">
        <f>IF('Item Setup Form'!$AF361="Yes",'Item Setup Form'!H361,"")</f>
        <v/>
      </c>
      <c r="H357" s="70" t="str">
        <f>IF('Item Setup Form'!$AF361="Yes",'Item Setup Form'!V361,"")</f>
        <v/>
      </c>
      <c r="I357" s="70"/>
      <c r="J357" s="70" t="str">
        <f>IF('Item Setup Form'!$AF361="Yes",'Item Setup Form'!U361,"")</f>
        <v/>
      </c>
      <c r="K357" s="70" t="str">
        <f>IF('Item Setup Form'!$AF361="Yes",'Item Setup Form'!V361,"")</f>
        <v/>
      </c>
      <c r="L357" s="70"/>
      <c r="M357" s="70" t="str">
        <f>IF('Item Setup Form'!$AF361="Yes",'Item Setup Form'!A361,"")</f>
        <v/>
      </c>
      <c r="N357" s="70"/>
      <c r="O357" s="70"/>
      <c r="P357" s="70"/>
      <c r="Q357" s="70"/>
      <c r="R357" s="70"/>
      <c r="S357" s="70"/>
      <c r="T357" s="70"/>
      <c r="U357" s="70"/>
      <c r="V357" s="70"/>
      <c r="W357" s="70"/>
      <c r="X357" s="70"/>
      <c r="Y357" s="70"/>
      <c r="Z357" s="70"/>
    </row>
    <row r="358" spans="1:26">
      <c r="A358" s="70" t="str">
        <f>IF('Item Setup Form'!$AF362="Yes",'Item Setup Form'!$E362,"")</f>
        <v/>
      </c>
      <c r="B358" s="70" t="str">
        <f>IF('Item Setup Form'!$AF362="Yes",'Item Setup Form'!D362,"")</f>
        <v/>
      </c>
      <c r="C358" s="81" t="str">
        <f>IF('Item Setup Form'!$AF362="Yes",'Item Setup Form'!L362,"")</f>
        <v/>
      </c>
      <c r="D358" s="81" t="str">
        <f>IF('Item Setup Form'!$AF362="Yes",'Item Setup Form'!M362,"")</f>
        <v/>
      </c>
      <c r="E358" s="70"/>
      <c r="F358" s="70" t="str">
        <f>IF('Item Setup Form'!$AF362="Yes",'Item Setup Form'!G362,"")</f>
        <v/>
      </c>
      <c r="G358" s="70" t="str">
        <f>IF('Item Setup Form'!$AF362="Yes",'Item Setup Form'!H362,"")</f>
        <v/>
      </c>
      <c r="H358" s="70" t="str">
        <f>IF('Item Setup Form'!$AF362="Yes",'Item Setup Form'!V362,"")</f>
        <v/>
      </c>
      <c r="I358" s="70"/>
      <c r="J358" s="70" t="str">
        <f>IF('Item Setup Form'!$AF362="Yes",'Item Setup Form'!U362,"")</f>
        <v/>
      </c>
      <c r="K358" s="70" t="str">
        <f>IF('Item Setup Form'!$AF362="Yes",'Item Setup Form'!V362,"")</f>
        <v/>
      </c>
      <c r="L358" s="70"/>
      <c r="M358" s="70" t="str">
        <f>IF('Item Setup Form'!$AF362="Yes",'Item Setup Form'!A362,"")</f>
        <v/>
      </c>
      <c r="N358" s="70"/>
      <c r="O358" s="70"/>
      <c r="P358" s="70"/>
      <c r="Q358" s="70"/>
      <c r="R358" s="70"/>
      <c r="S358" s="70"/>
      <c r="T358" s="70"/>
      <c r="U358" s="70"/>
      <c r="V358" s="70"/>
      <c r="W358" s="70"/>
      <c r="X358" s="70"/>
      <c r="Y358" s="70"/>
      <c r="Z358" s="70"/>
    </row>
    <row r="359" spans="1:26">
      <c r="A359" s="70" t="str">
        <f>IF('Item Setup Form'!$AF363="Yes",'Item Setup Form'!$E363,"")</f>
        <v/>
      </c>
      <c r="B359" s="70" t="str">
        <f>IF('Item Setup Form'!$AF363="Yes",'Item Setup Form'!D363,"")</f>
        <v/>
      </c>
      <c r="C359" s="81" t="str">
        <f>IF('Item Setup Form'!$AF363="Yes",'Item Setup Form'!L363,"")</f>
        <v/>
      </c>
      <c r="D359" s="81" t="str">
        <f>IF('Item Setup Form'!$AF363="Yes",'Item Setup Form'!M363,"")</f>
        <v/>
      </c>
      <c r="E359" s="70"/>
      <c r="F359" s="70" t="str">
        <f>IF('Item Setup Form'!$AF363="Yes",'Item Setup Form'!G363,"")</f>
        <v/>
      </c>
      <c r="G359" s="70" t="str">
        <f>IF('Item Setup Form'!$AF363="Yes",'Item Setup Form'!H363,"")</f>
        <v/>
      </c>
      <c r="H359" s="70" t="str">
        <f>IF('Item Setup Form'!$AF363="Yes",'Item Setup Form'!V363,"")</f>
        <v/>
      </c>
      <c r="I359" s="70"/>
      <c r="J359" s="70" t="str">
        <f>IF('Item Setup Form'!$AF363="Yes",'Item Setup Form'!U363,"")</f>
        <v/>
      </c>
      <c r="K359" s="70" t="str">
        <f>IF('Item Setup Form'!$AF363="Yes",'Item Setup Form'!V363,"")</f>
        <v/>
      </c>
      <c r="L359" s="70"/>
      <c r="M359" s="70" t="str">
        <f>IF('Item Setup Form'!$AF363="Yes",'Item Setup Form'!A363,"")</f>
        <v/>
      </c>
      <c r="N359" s="70"/>
      <c r="O359" s="70"/>
      <c r="P359" s="70"/>
      <c r="Q359" s="70"/>
      <c r="R359" s="70"/>
      <c r="S359" s="70"/>
      <c r="T359" s="70"/>
      <c r="U359" s="70"/>
      <c r="V359" s="70"/>
      <c r="W359" s="70"/>
      <c r="X359" s="70"/>
      <c r="Y359" s="70"/>
      <c r="Z359" s="70"/>
    </row>
    <row r="360" spans="1:26">
      <c r="A360" s="70" t="str">
        <f>IF('Item Setup Form'!$AF364="Yes",'Item Setup Form'!$E364,"")</f>
        <v/>
      </c>
      <c r="B360" s="70" t="str">
        <f>IF('Item Setup Form'!$AF364="Yes",'Item Setup Form'!D364,"")</f>
        <v/>
      </c>
      <c r="C360" s="81" t="str">
        <f>IF('Item Setup Form'!$AF364="Yes",'Item Setup Form'!L364,"")</f>
        <v/>
      </c>
      <c r="D360" s="81" t="str">
        <f>IF('Item Setup Form'!$AF364="Yes",'Item Setup Form'!M364,"")</f>
        <v/>
      </c>
      <c r="E360" s="70"/>
      <c r="F360" s="70" t="str">
        <f>IF('Item Setup Form'!$AF364="Yes",'Item Setup Form'!G364,"")</f>
        <v/>
      </c>
      <c r="G360" s="70" t="str">
        <f>IF('Item Setup Form'!$AF364="Yes",'Item Setup Form'!H364,"")</f>
        <v/>
      </c>
      <c r="H360" s="70" t="str">
        <f>IF('Item Setup Form'!$AF364="Yes",'Item Setup Form'!V364,"")</f>
        <v/>
      </c>
      <c r="I360" s="70"/>
      <c r="J360" s="70" t="str">
        <f>IF('Item Setup Form'!$AF364="Yes",'Item Setup Form'!U364,"")</f>
        <v/>
      </c>
      <c r="K360" s="70" t="str">
        <f>IF('Item Setup Form'!$AF364="Yes",'Item Setup Form'!V364,"")</f>
        <v/>
      </c>
      <c r="L360" s="70"/>
      <c r="M360" s="70" t="str">
        <f>IF('Item Setup Form'!$AF364="Yes",'Item Setup Form'!A364,"")</f>
        <v/>
      </c>
      <c r="N360" s="70"/>
      <c r="O360" s="70"/>
      <c r="P360" s="70"/>
      <c r="Q360" s="70"/>
      <c r="R360" s="70"/>
      <c r="S360" s="70"/>
      <c r="T360" s="70"/>
      <c r="U360" s="70"/>
      <c r="V360" s="70"/>
      <c r="W360" s="70"/>
      <c r="X360" s="70"/>
      <c r="Y360" s="70"/>
      <c r="Z360" s="70"/>
    </row>
    <row r="361" spans="1:26">
      <c r="A361" s="70" t="str">
        <f>IF('Item Setup Form'!$AF365="Yes",'Item Setup Form'!$E365,"")</f>
        <v/>
      </c>
      <c r="B361" s="70" t="str">
        <f>IF('Item Setup Form'!$AF365="Yes",'Item Setup Form'!D365,"")</f>
        <v/>
      </c>
      <c r="C361" s="81" t="str">
        <f>IF('Item Setup Form'!$AF365="Yes",'Item Setup Form'!L365,"")</f>
        <v/>
      </c>
      <c r="D361" s="81" t="str">
        <f>IF('Item Setup Form'!$AF365="Yes",'Item Setup Form'!M365,"")</f>
        <v/>
      </c>
      <c r="E361" s="70"/>
      <c r="F361" s="70" t="str">
        <f>IF('Item Setup Form'!$AF365="Yes",'Item Setup Form'!G365,"")</f>
        <v/>
      </c>
      <c r="G361" s="70" t="str">
        <f>IF('Item Setup Form'!$AF365="Yes",'Item Setup Form'!H365,"")</f>
        <v/>
      </c>
      <c r="H361" s="70" t="str">
        <f>IF('Item Setup Form'!$AF365="Yes",'Item Setup Form'!V365,"")</f>
        <v/>
      </c>
      <c r="I361" s="70"/>
      <c r="J361" s="70" t="str">
        <f>IF('Item Setup Form'!$AF365="Yes",'Item Setup Form'!U365,"")</f>
        <v/>
      </c>
      <c r="K361" s="70" t="str">
        <f>IF('Item Setup Form'!$AF365="Yes",'Item Setup Form'!V365,"")</f>
        <v/>
      </c>
      <c r="L361" s="70"/>
      <c r="M361" s="70" t="str">
        <f>IF('Item Setup Form'!$AF365="Yes",'Item Setup Form'!A365,"")</f>
        <v/>
      </c>
      <c r="N361" s="70"/>
      <c r="O361" s="70"/>
      <c r="P361" s="70"/>
      <c r="Q361" s="70"/>
      <c r="R361" s="70"/>
      <c r="S361" s="70"/>
      <c r="T361" s="70"/>
      <c r="U361" s="70"/>
      <c r="V361" s="70"/>
      <c r="W361" s="70"/>
      <c r="X361" s="70"/>
      <c r="Y361" s="70"/>
      <c r="Z361" s="70"/>
    </row>
    <row r="362" spans="1:26">
      <c r="A362" s="70" t="str">
        <f>IF('Item Setup Form'!$AF366="Yes",'Item Setup Form'!$E366,"")</f>
        <v/>
      </c>
      <c r="B362" s="70" t="str">
        <f>IF('Item Setup Form'!$AF366="Yes",'Item Setup Form'!D366,"")</f>
        <v/>
      </c>
      <c r="C362" s="81" t="str">
        <f>IF('Item Setup Form'!$AF366="Yes",'Item Setup Form'!L366,"")</f>
        <v/>
      </c>
      <c r="D362" s="81" t="str">
        <f>IF('Item Setup Form'!$AF366="Yes",'Item Setup Form'!M366,"")</f>
        <v/>
      </c>
      <c r="E362" s="70"/>
      <c r="F362" s="70" t="str">
        <f>IF('Item Setup Form'!$AF366="Yes",'Item Setup Form'!G366,"")</f>
        <v/>
      </c>
      <c r="G362" s="70" t="str">
        <f>IF('Item Setup Form'!$AF366="Yes",'Item Setup Form'!H366,"")</f>
        <v/>
      </c>
      <c r="H362" s="70" t="str">
        <f>IF('Item Setup Form'!$AF366="Yes",'Item Setup Form'!V366,"")</f>
        <v/>
      </c>
      <c r="I362" s="70"/>
      <c r="J362" s="70" t="str">
        <f>IF('Item Setup Form'!$AF366="Yes",'Item Setup Form'!U366,"")</f>
        <v/>
      </c>
      <c r="K362" s="70" t="str">
        <f>IF('Item Setup Form'!$AF366="Yes",'Item Setup Form'!V366,"")</f>
        <v/>
      </c>
      <c r="L362" s="70"/>
      <c r="M362" s="70" t="str">
        <f>IF('Item Setup Form'!$AF366="Yes",'Item Setup Form'!A366,"")</f>
        <v/>
      </c>
      <c r="N362" s="70"/>
      <c r="O362" s="70"/>
      <c r="P362" s="70"/>
      <c r="Q362" s="70"/>
      <c r="R362" s="70"/>
      <c r="S362" s="70"/>
      <c r="T362" s="70"/>
      <c r="U362" s="70"/>
      <c r="V362" s="70"/>
      <c r="W362" s="70"/>
      <c r="X362" s="70"/>
      <c r="Y362" s="70"/>
      <c r="Z362" s="70"/>
    </row>
    <row r="363" spans="1:26">
      <c r="A363" s="70" t="str">
        <f>IF('Item Setup Form'!$AF367="Yes",'Item Setup Form'!$E367,"")</f>
        <v/>
      </c>
      <c r="B363" s="70" t="str">
        <f>IF('Item Setup Form'!$AF367="Yes",'Item Setup Form'!D367,"")</f>
        <v/>
      </c>
      <c r="C363" s="81" t="str">
        <f>IF('Item Setup Form'!$AF367="Yes",'Item Setup Form'!L367,"")</f>
        <v/>
      </c>
      <c r="D363" s="81" t="str">
        <f>IF('Item Setup Form'!$AF367="Yes",'Item Setup Form'!M367,"")</f>
        <v/>
      </c>
      <c r="E363" s="70"/>
      <c r="F363" s="70" t="str">
        <f>IF('Item Setup Form'!$AF367="Yes",'Item Setup Form'!G367,"")</f>
        <v/>
      </c>
      <c r="G363" s="70" t="str">
        <f>IF('Item Setup Form'!$AF367="Yes",'Item Setup Form'!H367,"")</f>
        <v/>
      </c>
      <c r="H363" s="70" t="str">
        <f>IF('Item Setup Form'!$AF367="Yes",'Item Setup Form'!V367,"")</f>
        <v/>
      </c>
      <c r="I363" s="70"/>
      <c r="J363" s="70" t="str">
        <f>IF('Item Setup Form'!$AF367="Yes",'Item Setup Form'!U367,"")</f>
        <v/>
      </c>
      <c r="K363" s="70" t="str">
        <f>IF('Item Setup Form'!$AF367="Yes",'Item Setup Form'!V367,"")</f>
        <v/>
      </c>
      <c r="L363" s="70"/>
      <c r="M363" s="70" t="str">
        <f>IF('Item Setup Form'!$AF367="Yes",'Item Setup Form'!A367,"")</f>
        <v/>
      </c>
      <c r="N363" s="70"/>
      <c r="O363" s="70"/>
      <c r="P363" s="70"/>
      <c r="Q363" s="70"/>
      <c r="R363" s="70"/>
      <c r="S363" s="70"/>
      <c r="T363" s="70"/>
      <c r="U363" s="70"/>
      <c r="V363" s="70"/>
      <c r="W363" s="70"/>
      <c r="X363" s="70"/>
      <c r="Y363" s="70"/>
      <c r="Z363" s="70"/>
    </row>
    <row r="364" spans="1:26">
      <c r="A364" s="70" t="str">
        <f>IF('Item Setup Form'!$AF368="Yes",'Item Setup Form'!$E368,"")</f>
        <v/>
      </c>
      <c r="B364" s="70" t="str">
        <f>IF('Item Setup Form'!$AF368="Yes",'Item Setup Form'!D368,"")</f>
        <v/>
      </c>
      <c r="C364" s="81" t="str">
        <f>IF('Item Setup Form'!$AF368="Yes",'Item Setup Form'!L368,"")</f>
        <v/>
      </c>
      <c r="D364" s="81" t="str">
        <f>IF('Item Setup Form'!$AF368="Yes",'Item Setup Form'!M368,"")</f>
        <v/>
      </c>
      <c r="E364" s="70"/>
      <c r="F364" s="70" t="str">
        <f>IF('Item Setup Form'!$AF368="Yes",'Item Setup Form'!G368,"")</f>
        <v/>
      </c>
      <c r="G364" s="70" t="str">
        <f>IF('Item Setup Form'!$AF368="Yes",'Item Setup Form'!H368,"")</f>
        <v/>
      </c>
      <c r="H364" s="70" t="str">
        <f>IF('Item Setup Form'!$AF368="Yes",'Item Setup Form'!V368,"")</f>
        <v/>
      </c>
      <c r="I364" s="70"/>
      <c r="J364" s="70" t="str">
        <f>IF('Item Setup Form'!$AF368="Yes",'Item Setup Form'!U368,"")</f>
        <v/>
      </c>
      <c r="K364" s="70" t="str">
        <f>IF('Item Setup Form'!$AF368="Yes",'Item Setup Form'!V368,"")</f>
        <v/>
      </c>
      <c r="L364" s="70"/>
      <c r="M364" s="70" t="str">
        <f>IF('Item Setup Form'!$AF368="Yes",'Item Setup Form'!A368,"")</f>
        <v/>
      </c>
      <c r="N364" s="70"/>
      <c r="O364" s="70"/>
      <c r="P364" s="70"/>
      <c r="Q364" s="70"/>
      <c r="R364" s="70"/>
      <c r="S364" s="70"/>
      <c r="T364" s="70"/>
      <c r="U364" s="70"/>
      <c r="V364" s="70"/>
      <c r="W364" s="70"/>
      <c r="X364" s="70"/>
      <c r="Y364" s="70"/>
      <c r="Z364" s="70"/>
    </row>
    <row r="365" spans="1:26">
      <c r="A365" s="70" t="str">
        <f>IF('Item Setup Form'!$AF369="Yes",'Item Setup Form'!$E369,"")</f>
        <v/>
      </c>
      <c r="B365" s="70" t="str">
        <f>IF('Item Setup Form'!$AF369="Yes",'Item Setup Form'!D369,"")</f>
        <v/>
      </c>
      <c r="C365" s="81" t="str">
        <f>IF('Item Setup Form'!$AF369="Yes",'Item Setup Form'!L369,"")</f>
        <v/>
      </c>
      <c r="D365" s="81" t="str">
        <f>IF('Item Setup Form'!$AF369="Yes",'Item Setup Form'!M369,"")</f>
        <v/>
      </c>
      <c r="E365" s="70"/>
      <c r="F365" s="70" t="str">
        <f>IF('Item Setup Form'!$AF369="Yes",'Item Setup Form'!G369,"")</f>
        <v/>
      </c>
      <c r="G365" s="70" t="str">
        <f>IF('Item Setup Form'!$AF369="Yes",'Item Setup Form'!H369,"")</f>
        <v/>
      </c>
      <c r="H365" s="70" t="str">
        <f>IF('Item Setup Form'!$AF369="Yes",'Item Setup Form'!V369,"")</f>
        <v/>
      </c>
      <c r="I365" s="70"/>
      <c r="J365" s="70" t="str">
        <f>IF('Item Setup Form'!$AF369="Yes",'Item Setup Form'!U369,"")</f>
        <v/>
      </c>
      <c r="K365" s="70" t="str">
        <f>IF('Item Setup Form'!$AF369="Yes",'Item Setup Form'!V369,"")</f>
        <v/>
      </c>
      <c r="L365" s="70"/>
      <c r="M365" s="70" t="str">
        <f>IF('Item Setup Form'!$AF369="Yes",'Item Setup Form'!A369,"")</f>
        <v/>
      </c>
      <c r="N365" s="70"/>
      <c r="O365" s="70"/>
      <c r="P365" s="70"/>
      <c r="Q365" s="70"/>
      <c r="R365" s="70"/>
      <c r="S365" s="70"/>
      <c r="T365" s="70"/>
      <c r="U365" s="70"/>
      <c r="V365" s="70"/>
      <c r="W365" s="70"/>
      <c r="X365" s="70"/>
      <c r="Y365" s="70"/>
      <c r="Z365" s="70"/>
    </row>
    <row r="366" spans="1:26">
      <c r="A366" s="70" t="str">
        <f>IF('Item Setup Form'!$AF370="Yes",'Item Setup Form'!$E370,"")</f>
        <v/>
      </c>
      <c r="B366" s="70" t="str">
        <f>IF('Item Setup Form'!$AF370="Yes",'Item Setup Form'!D370,"")</f>
        <v/>
      </c>
      <c r="C366" s="81" t="str">
        <f>IF('Item Setup Form'!$AF370="Yes",'Item Setup Form'!L370,"")</f>
        <v/>
      </c>
      <c r="D366" s="81" t="str">
        <f>IF('Item Setup Form'!$AF370="Yes",'Item Setup Form'!M370,"")</f>
        <v/>
      </c>
      <c r="E366" s="70"/>
      <c r="F366" s="70" t="str">
        <f>IF('Item Setup Form'!$AF370="Yes",'Item Setup Form'!G370,"")</f>
        <v/>
      </c>
      <c r="G366" s="70" t="str">
        <f>IF('Item Setup Form'!$AF370="Yes",'Item Setup Form'!H370,"")</f>
        <v/>
      </c>
      <c r="H366" s="70" t="str">
        <f>IF('Item Setup Form'!$AF370="Yes",'Item Setup Form'!V370,"")</f>
        <v/>
      </c>
      <c r="I366" s="70"/>
      <c r="J366" s="70" t="str">
        <f>IF('Item Setup Form'!$AF370="Yes",'Item Setup Form'!U370,"")</f>
        <v/>
      </c>
      <c r="K366" s="70" t="str">
        <f>IF('Item Setup Form'!$AF370="Yes",'Item Setup Form'!V370,"")</f>
        <v/>
      </c>
      <c r="L366" s="70"/>
      <c r="M366" s="70" t="str">
        <f>IF('Item Setup Form'!$AF370="Yes",'Item Setup Form'!A370,"")</f>
        <v/>
      </c>
      <c r="N366" s="70"/>
      <c r="O366" s="70"/>
      <c r="P366" s="70"/>
      <c r="Q366" s="70"/>
      <c r="R366" s="70"/>
      <c r="S366" s="70"/>
      <c r="T366" s="70"/>
      <c r="U366" s="70"/>
      <c r="V366" s="70"/>
      <c r="W366" s="70"/>
      <c r="X366" s="70"/>
      <c r="Y366" s="70"/>
      <c r="Z366" s="70"/>
    </row>
    <row r="367" spans="1:26">
      <c r="A367" s="70" t="str">
        <f>IF('Item Setup Form'!$AF371="Yes",'Item Setup Form'!$E371,"")</f>
        <v/>
      </c>
      <c r="B367" s="70" t="str">
        <f>IF('Item Setup Form'!$AF371="Yes",'Item Setup Form'!D371,"")</f>
        <v/>
      </c>
      <c r="C367" s="81" t="str">
        <f>IF('Item Setup Form'!$AF371="Yes",'Item Setup Form'!L371,"")</f>
        <v/>
      </c>
      <c r="D367" s="81" t="str">
        <f>IF('Item Setup Form'!$AF371="Yes",'Item Setup Form'!M371,"")</f>
        <v/>
      </c>
      <c r="E367" s="70"/>
      <c r="F367" s="70" t="str">
        <f>IF('Item Setup Form'!$AF371="Yes",'Item Setup Form'!G371,"")</f>
        <v/>
      </c>
      <c r="G367" s="70" t="str">
        <f>IF('Item Setup Form'!$AF371="Yes",'Item Setup Form'!H371,"")</f>
        <v/>
      </c>
      <c r="H367" s="70" t="str">
        <f>IF('Item Setup Form'!$AF371="Yes",'Item Setup Form'!V371,"")</f>
        <v/>
      </c>
      <c r="I367" s="70"/>
      <c r="J367" s="70" t="str">
        <f>IF('Item Setup Form'!$AF371="Yes",'Item Setup Form'!U371,"")</f>
        <v/>
      </c>
      <c r="K367" s="70" t="str">
        <f>IF('Item Setup Form'!$AF371="Yes",'Item Setup Form'!V371,"")</f>
        <v/>
      </c>
      <c r="L367" s="70"/>
      <c r="M367" s="70" t="str">
        <f>IF('Item Setup Form'!$AF371="Yes",'Item Setup Form'!A371,"")</f>
        <v/>
      </c>
      <c r="N367" s="70"/>
      <c r="O367" s="70"/>
      <c r="P367" s="70"/>
      <c r="Q367" s="70"/>
      <c r="R367" s="70"/>
      <c r="S367" s="70"/>
      <c r="T367" s="70"/>
      <c r="U367" s="70"/>
      <c r="V367" s="70"/>
      <c r="W367" s="70"/>
      <c r="X367" s="70"/>
      <c r="Y367" s="70"/>
      <c r="Z367" s="70"/>
    </row>
    <row r="368" spans="1:26">
      <c r="A368" s="70" t="str">
        <f>IF('Item Setup Form'!$AF372="Yes",'Item Setup Form'!$E372,"")</f>
        <v/>
      </c>
      <c r="B368" s="70" t="str">
        <f>IF('Item Setup Form'!$AF372="Yes",'Item Setup Form'!D372,"")</f>
        <v/>
      </c>
      <c r="C368" s="81" t="str">
        <f>IF('Item Setup Form'!$AF372="Yes",'Item Setup Form'!L372,"")</f>
        <v/>
      </c>
      <c r="D368" s="81" t="str">
        <f>IF('Item Setup Form'!$AF372="Yes",'Item Setup Form'!M372,"")</f>
        <v/>
      </c>
      <c r="E368" s="70"/>
      <c r="F368" s="70" t="str">
        <f>IF('Item Setup Form'!$AF372="Yes",'Item Setup Form'!G372,"")</f>
        <v/>
      </c>
      <c r="G368" s="70" t="str">
        <f>IF('Item Setup Form'!$AF372="Yes",'Item Setup Form'!H372,"")</f>
        <v/>
      </c>
      <c r="H368" s="70" t="str">
        <f>IF('Item Setup Form'!$AF372="Yes",'Item Setup Form'!V372,"")</f>
        <v/>
      </c>
      <c r="I368" s="70"/>
      <c r="J368" s="70" t="str">
        <f>IF('Item Setup Form'!$AF372="Yes",'Item Setup Form'!U372,"")</f>
        <v/>
      </c>
      <c r="K368" s="70" t="str">
        <f>IF('Item Setup Form'!$AF372="Yes",'Item Setup Form'!V372,"")</f>
        <v/>
      </c>
      <c r="L368" s="70"/>
      <c r="M368" s="70" t="str">
        <f>IF('Item Setup Form'!$AF372="Yes",'Item Setup Form'!A372,"")</f>
        <v/>
      </c>
      <c r="N368" s="70"/>
      <c r="O368" s="70"/>
      <c r="P368" s="70"/>
      <c r="Q368" s="70"/>
      <c r="R368" s="70"/>
      <c r="S368" s="70"/>
      <c r="T368" s="70"/>
      <c r="U368" s="70"/>
      <c r="V368" s="70"/>
      <c r="W368" s="70"/>
      <c r="X368" s="70"/>
      <c r="Y368" s="70"/>
      <c r="Z368" s="70"/>
    </row>
    <row r="369" spans="1:26">
      <c r="A369" s="70" t="str">
        <f>IF('Item Setup Form'!$AF373="Yes",'Item Setup Form'!$E373,"")</f>
        <v/>
      </c>
      <c r="B369" s="70" t="str">
        <f>IF('Item Setup Form'!$AF373="Yes",'Item Setup Form'!D373,"")</f>
        <v/>
      </c>
      <c r="C369" s="81" t="str">
        <f>IF('Item Setup Form'!$AF373="Yes",'Item Setup Form'!L373,"")</f>
        <v/>
      </c>
      <c r="D369" s="81" t="str">
        <f>IF('Item Setup Form'!$AF373="Yes",'Item Setup Form'!M373,"")</f>
        <v/>
      </c>
      <c r="E369" s="70"/>
      <c r="F369" s="70" t="str">
        <f>IF('Item Setup Form'!$AF373="Yes",'Item Setup Form'!G373,"")</f>
        <v/>
      </c>
      <c r="G369" s="70" t="str">
        <f>IF('Item Setup Form'!$AF373="Yes",'Item Setup Form'!H373,"")</f>
        <v/>
      </c>
      <c r="H369" s="70" t="str">
        <f>IF('Item Setup Form'!$AF373="Yes",'Item Setup Form'!V373,"")</f>
        <v/>
      </c>
      <c r="I369" s="70"/>
      <c r="J369" s="70" t="str">
        <f>IF('Item Setup Form'!$AF373="Yes",'Item Setup Form'!U373,"")</f>
        <v/>
      </c>
      <c r="K369" s="70" t="str">
        <f>IF('Item Setup Form'!$AF373="Yes",'Item Setup Form'!V373,"")</f>
        <v/>
      </c>
      <c r="L369" s="70"/>
      <c r="M369" s="70" t="str">
        <f>IF('Item Setup Form'!$AF373="Yes",'Item Setup Form'!A373,"")</f>
        <v/>
      </c>
      <c r="N369" s="70"/>
      <c r="O369" s="70"/>
      <c r="P369" s="70"/>
      <c r="Q369" s="70"/>
      <c r="R369" s="70"/>
      <c r="S369" s="70"/>
      <c r="T369" s="70"/>
      <c r="U369" s="70"/>
      <c r="V369" s="70"/>
      <c r="W369" s="70"/>
      <c r="X369" s="70"/>
      <c r="Y369" s="70"/>
      <c r="Z369" s="70"/>
    </row>
    <row r="370" spans="1:26">
      <c r="A370" s="70" t="str">
        <f>IF('Item Setup Form'!$AF374="Yes",'Item Setup Form'!$E374,"")</f>
        <v/>
      </c>
      <c r="B370" s="70" t="str">
        <f>IF('Item Setup Form'!$AF374="Yes",'Item Setup Form'!D374,"")</f>
        <v/>
      </c>
      <c r="C370" s="81" t="str">
        <f>IF('Item Setup Form'!$AF374="Yes",'Item Setup Form'!L374,"")</f>
        <v/>
      </c>
      <c r="D370" s="81" t="str">
        <f>IF('Item Setup Form'!$AF374="Yes",'Item Setup Form'!M374,"")</f>
        <v/>
      </c>
      <c r="E370" s="70"/>
      <c r="F370" s="70" t="str">
        <f>IF('Item Setup Form'!$AF374="Yes",'Item Setup Form'!G374,"")</f>
        <v/>
      </c>
      <c r="G370" s="70" t="str">
        <f>IF('Item Setup Form'!$AF374="Yes",'Item Setup Form'!H374,"")</f>
        <v/>
      </c>
      <c r="H370" s="70" t="str">
        <f>IF('Item Setup Form'!$AF374="Yes",'Item Setup Form'!V374,"")</f>
        <v/>
      </c>
      <c r="I370" s="70"/>
      <c r="J370" s="70" t="str">
        <f>IF('Item Setup Form'!$AF374="Yes",'Item Setup Form'!U374,"")</f>
        <v/>
      </c>
      <c r="K370" s="70" t="str">
        <f>IF('Item Setup Form'!$AF374="Yes",'Item Setup Form'!V374,"")</f>
        <v/>
      </c>
      <c r="L370" s="70"/>
      <c r="M370" s="70" t="str">
        <f>IF('Item Setup Form'!$AF374="Yes",'Item Setup Form'!A374,"")</f>
        <v/>
      </c>
      <c r="N370" s="70"/>
      <c r="O370" s="70"/>
      <c r="P370" s="70"/>
      <c r="Q370" s="70"/>
      <c r="R370" s="70"/>
      <c r="S370" s="70"/>
      <c r="T370" s="70"/>
      <c r="U370" s="70"/>
      <c r="V370" s="70"/>
      <c r="W370" s="70"/>
      <c r="X370" s="70"/>
      <c r="Y370" s="70"/>
      <c r="Z370" s="70"/>
    </row>
    <row r="371" spans="1:26">
      <c r="A371" s="70" t="str">
        <f>IF('Item Setup Form'!$AF375="Yes",'Item Setup Form'!$E375,"")</f>
        <v/>
      </c>
      <c r="B371" s="70" t="str">
        <f>IF('Item Setup Form'!$AF375="Yes",'Item Setup Form'!D375,"")</f>
        <v/>
      </c>
      <c r="C371" s="81" t="str">
        <f>IF('Item Setup Form'!$AF375="Yes",'Item Setup Form'!L375,"")</f>
        <v/>
      </c>
      <c r="D371" s="81" t="str">
        <f>IF('Item Setup Form'!$AF375="Yes",'Item Setup Form'!M375,"")</f>
        <v/>
      </c>
      <c r="E371" s="70"/>
      <c r="F371" s="70" t="str">
        <f>IF('Item Setup Form'!$AF375="Yes",'Item Setup Form'!G375,"")</f>
        <v/>
      </c>
      <c r="G371" s="70" t="str">
        <f>IF('Item Setup Form'!$AF375="Yes",'Item Setup Form'!H375,"")</f>
        <v/>
      </c>
      <c r="H371" s="70" t="str">
        <f>IF('Item Setup Form'!$AF375="Yes",'Item Setup Form'!V375,"")</f>
        <v/>
      </c>
      <c r="I371" s="70"/>
      <c r="J371" s="70" t="str">
        <f>IF('Item Setup Form'!$AF375="Yes",'Item Setup Form'!U375,"")</f>
        <v/>
      </c>
      <c r="K371" s="70" t="str">
        <f>IF('Item Setup Form'!$AF375="Yes",'Item Setup Form'!V375,"")</f>
        <v/>
      </c>
      <c r="L371" s="70"/>
      <c r="M371" s="70" t="str">
        <f>IF('Item Setup Form'!$AF375="Yes",'Item Setup Form'!A375,"")</f>
        <v/>
      </c>
      <c r="N371" s="70"/>
      <c r="O371" s="70"/>
      <c r="P371" s="70"/>
      <c r="Q371" s="70"/>
      <c r="R371" s="70"/>
      <c r="S371" s="70"/>
      <c r="T371" s="70"/>
      <c r="U371" s="70"/>
      <c r="V371" s="70"/>
      <c r="W371" s="70"/>
      <c r="X371" s="70"/>
      <c r="Y371" s="70"/>
      <c r="Z371" s="70"/>
    </row>
    <row r="372" spans="1:26">
      <c r="A372" s="70" t="str">
        <f>IF('Item Setup Form'!$AF376="Yes",'Item Setup Form'!$E376,"")</f>
        <v/>
      </c>
      <c r="B372" s="70" t="str">
        <f>IF('Item Setup Form'!$AF376="Yes",'Item Setup Form'!D376,"")</f>
        <v/>
      </c>
      <c r="C372" s="81" t="str">
        <f>IF('Item Setup Form'!$AF376="Yes",'Item Setup Form'!L376,"")</f>
        <v/>
      </c>
      <c r="D372" s="81" t="str">
        <f>IF('Item Setup Form'!$AF376="Yes",'Item Setup Form'!M376,"")</f>
        <v/>
      </c>
      <c r="E372" s="70"/>
      <c r="F372" s="70" t="str">
        <f>IF('Item Setup Form'!$AF376="Yes",'Item Setup Form'!G376,"")</f>
        <v/>
      </c>
      <c r="G372" s="70" t="str">
        <f>IF('Item Setup Form'!$AF376="Yes",'Item Setup Form'!H376,"")</f>
        <v/>
      </c>
      <c r="H372" s="70" t="str">
        <f>IF('Item Setup Form'!$AF376="Yes",'Item Setup Form'!V376,"")</f>
        <v/>
      </c>
      <c r="I372" s="70"/>
      <c r="J372" s="70" t="str">
        <f>IF('Item Setup Form'!$AF376="Yes",'Item Setup Form'!U376,"")</f>
        <v/>
      </c>
      <c r="K372" s="70" t="str">
        <f>IF('Item Setup Form'!$AF376="Yes",'Item Setup Form'!V376,"")</f>
        <v/>
      </c>
      <c r="L372" s="70"/>
      <c r="M372" s="70" t="str">
        <f>IF('Item Setup Form'!$AF376="Yes",'Item Setup Form'!A376,"")</f>
        <v/>
      </c>
      <c r="N372" s="70"/>
      <c r="O372" s="70"/>
      <c r="P372" s="70"/>
      <c r="Q372" s="70"/>
      <c r="R372" s="70"/>
      <c r="S372" s="70"/>
      <c r="T372" s="70"/>
      <c r="U372" s="70"/>
      <c r="V372" s="70"/>
      <c r="W372" s="70"/>
      <c r="X372" s="70"/>
      <c r="Y372" s="70"/>
      <c r="Z372" s="70"/>
    </row>
    <row r="373" spans="1:26">
      <c r="A373" s="70" t="str">
        <f>IF('Item Setup Form'!$AF377="Yes",'Item Setup Form'!$E377,"")</f>
        <v/>
      </c>
      <c r="B373" s="70" t="str">
        <f>IF('Item Setup Form'!$AF377="Yes",'Item Setup Form'!D377,"")</f>
        <v/>
      </c>
      <c r="C373" s="81" t="str">
        <f>IF('Item Setup Form'!$AF377="Yes",'Item Setup Form'!L377,"")</f>
        <v/>
      </c>
      <c r="D373" s="81" t="str">
        <f>IF('Item Setup Form'!$AF377="Yes",'Item Setup Form'!M377,"")</f>
        <v/>
      </c>
      <c r="E373" s="70"/>
      <c r="F373" s="70" t="str">
        <f>IF('Item Setup Form'!$AF377="Yes",'Item Setup Form'!G377,"")</f>
        <v/>
      </c>
      <c r="G373" s="70" t="str">
        <f>IF('Item Setup Form'!$AF377="Yes",'Item Setup Form'!H377,"")</f>
        <v/>
      </c>
      <c r="H373" s="70" t="str">
        <f>IF('Item Setup Form'!$AF377="Yes",'Item Setup Form'!V377,"")</f>
        <v/>
      </c>
      <c r="I373" s="70"/>
      <c r="J373" s="70" t="str">
        <f>IF('Item Setup Form'!$AF377="Yes",'Item Setup Form'!U377,"")</f>
        <v/>
      </c>
      <c r="K373" s="70" t="str">
        <f>IF('Item Setup Form'!$AF377="Yes",'Item Setup Form'!V377,"")</f>
        <v/>
      </c>
      <c r="L373" s="70"/>
      <c r="M373" s="70" t="str">
        <f>IF('Item Setup Form'!$AF377="Yes",'Item Setup Form'!A377,"")</f>
        <v/>
      </c>
      <c r="N373" s="70"/>
      <c r="O373" s="70"/>
      <c r="P373" s="70"/>
      <c r="Q373" s="70"/>
      <c r="R373" s="70"/>
      <c r="S373" s="70"/>
      <c r="T373" s="70"/>
      <c r="U373" s="70"/>
      <c r="V373" s="70"/>
      <c r="W373" s="70"/>
      <c r="X373" s="70"/>
      <c r="Y373" s="70"/>
      <c r="Z373" s="70"/>
    </row>
    <row r="374" spans="1:26">
      <c r="A374" s="70" t="str">
        <f>IF('Item Setup Form'!$AF378="Yes",'Item Setup Form'!$E378,"")</f>
        <v/>
      </c>
      <c r="B374" s="70" t="str">
        <f>IF('Item Setup Form'!$AF378="Yes",'Item Setup Form'!D378,"")</f>
        <v/>
      </c>
      <c r="C374" s="81" t="str">
        <f>IF('Item Setup Form'!$AF378="Yes",'Item Setup Form'!L378,"")</f>
        <v/>
      </c>
      <c r="D374" s="81" t="str">
        <f>IF('Item Setup Form'!$AF378="Yes",'Item Setup Form'!M378,"")</f>
        <v/>
      </c>
      <c r="E374" s="70"/>
      <c r="F374" s="70" t="str">
        <f>IF('Item Setup Form'!$AF378="Yes",'Item Setup Form'!G378,"")</f>
        <v/>
      </c>
      <c r="G374" s="70" t="str">
        <f>IF('Item Setup Form'!$AF378="Yes",'Item Setup Form'!H378,"")</f>
        <v/>
      </c>
      <c r="H374" s="70" t="str">
        <f>IF('Item Setup Form'!$AF378="Yes",'Item Setup Form'!V378,"")</f>
        <v/>
      </c>
      <c r="I374" s="70"/>
      <c r="J374" s="70" t="str">
        <f>IF('Item Setup Form'!$AF378="Yes",'Item Setup Form'!U378,"")</f>
        <v/>
      </c>
      <c r="K374" s="70" t="str">
        <f>IF('Item Setup Form'!$AF378="Yes",'Item Setup Form'!V378,"")</f>
        <v/>
      </c>
      <c r="L374" s="70"/>
      <c r="M374" s="70" t="str">
        <f>IF('Item Setup Form'!$AF378="Yes",'Item Setup Form'!A378,"")</f>
        <v/>
      </c>
      <c r="N374" s="70"/>
      <c r="O374" s="70"/>
      <c r="P374" s="70"/>
      <c r="Q374" s="70"/>
      <c r="R374" s="70"/>
      <c r="S374" s="70"/>
      <c r="T374" s="70"/>
      <c r="U374" s="70"/>
      <c r="V374" s="70"/>
      <c r="W374" s="70"/>
      <c r="X374" s="70"/>
      <c r="Y374" s="70"/>
      <c r="Z374" s="70"/>
    </row>
    <row r="375" spans="1:26">
      <c r="A375" s="70" t="str">
        <f>IF('Item Setup Form'!$AF379="Yes",'Item Setup Form'!$E379,"")</f>
        <v/>
      </c>
      <c r="B375" s="70" t="str">
        <f>IF('Item Setup Form'!$AF379="Yes",'Item Setup Form'!D379,"")</f>
        <v/>
      </c>
      <c r="C375" s="81" t="str">
        <f>IF('Item Setup Form'!$AF379="Yes",'Item Setup Form'!L379,"")</f>
        <v/>
      </c>
      <c r="D375" s="81" t="str">
        <f>IF('Item Setup Form'!$AF379="Yes",'Item Setup Form'!M379,"")</f>
        <v/>
      </c>
      <c r="E375" s="70"/>
      <c r="F375" s="70" t="str">
        <f>IF('Item Setup Form'!$AF379="Yes",'Item Setup Form'!G379,"")</f>
        <v/>
      </c>
      <c r="G375" s="70" t="str">
        <f>IF('Item Setup Form'!$AF379="Yes",'Item Setup Form'!H379,"")</f>
        <v/>
      </c>
      <c r="H375" s="70" t="str">
        <f>IF('Item Setup Form'!$AF379="Yes",'Item Setup Form'!V379,"")</f>
        <v/>
      </c>
      <c r="I375" s="70"/>
      <c r="J375" s="70" t="str">
        <f>IF('Item Setup Form'!$AF379="Yes",'Item Setup Form'!U379,"")</f>
        <v/>
      </c>
      <c r="K375" s="70" t="str">
        <f>IF('Item Setup Form'!$AF379="Yes",'Item Setup Form'!V379,"")</f>
        <v/>
      </c>
      <c r="L375" s="70"/>
      <c r="M375" s="70" t="str">
        <f>IF('Item Setup Form'!$AF379="Yes",'Item Setup Form'!A379,"")</f>
        <v/>
      </c>
      <c r="N375" s="70"/>
      <c r="O375" s="70"/>
      <c r="P375" s="70"/>
      <c r="Q375" s="70"/>
      <c r="R375" s="70"/>
      <c r="S375" s="70"/>
      <c r="T375" s="70"/>
      <c r="U375" s="70"/>
      <c r="V375" s="70"/>
      <c r="W375" s="70"/>
      <c r="X375" s="70"/>
      <c r="Y375" s="70"/>
      <c r="Z375" s="70"/>
    </row>
    <row r="376" spans="1:26">
      <c r="A376" s="70" t="str">
        <f>IF('Item Setup Form'!$AF380="Yes",'Item Setup Form'!$E380,"")</f>
        <v/>
      </c>
      <c r="B376" s="70" t="str">
        <f>IF('Item Setup Form'!$AF380="Yes",'Item Setup Form'!D380,"")</f>
        <v/>
      </c>
      <c r="C376" s="81" t="str">
        <f>IF('Item Setup Form'!$AF380="Yes",'Item Setup Form'!L380,"")</f>
        <v/>
      </c>
      <c r="D376" s="81" t="str">
        <f>IF('Item Setup Form'!$AF380="Yes",'Item Setup Form'!M380,"")</f>
        <v/>
      </c>
      <c r="E376" s="70"/>
      <c r="F376" s="70" t="str">
        <f>IF('Item Setup Form'!$AF380="Yes",'Item Setup Form'!G380,"")</f>
        <v/>
      </c>
      <c r="G376" s="70" t="str">
        <f>IF('Item Setup Form'!$AF380="Yes",'Item Setup Form'!H380,"")</f>
        <v/>
      </c>
      <c r="H376" s="70" t="str">
        <f>IF('Item Setup Form'!$AF380="Yes",'Item Setup Form'!V380,"")</f>
        <v/>
      </c>
      <c r="I376" s="70"/>
      <c r="J376" s="70" t="str">
        <f>IF('Item Setup Form'!$AF380="Yes",'Item Setup Form'!U380,"")</f>
        <v/>
      </c>
      <c r="K376" s="70" t="str">
        <f>IF('Item Setup Form'!$AF380="Yes",'Item Setup Form'!V380,"")</f>
        <v/>
      </c>
      <c r="L376" s="70"/>
      <c r="M376" s="70" t="str">
        <f>IF('Item Setup Form'!$AF380="Yes",'Item Setup Form'!A380,"")</f>
        <v/>
      </c>
      <c r="N376" s="70"/>
      <c r="O376" s="70"/>
      <c r="P376" s="70"/>
      <c r="Q376" s="70"/>
      <c r="R376" s="70"/>
      <c r="S376" s="70"/>
      <c r="T376" s="70"/>
      <c r="U376" s="70"/>
      <c r="V376" s="70"/>
      <c r="W376" s="70"/>
      <c r="X376" s="70"/>
      <c r="Y376" s="70"/>
      <c r="Z376" s="70"/>
    </row>
    <row r="377" spans="1:26">
      <c r="A377" s="70" t="str">
        <f>IF('Item Setup Form'!$AF381="Yes",'Item Setup Form'!$E381,"")</f>
        <v/>
      </c>
      <c r="B377" s="70" t="str">
        <f>IF('Item Setup Form'!$AF381="Yes",'Item Setup Form'!D381,"")</f>
        <v/>
      </c>
      <c r="C377" s="81" t="str">
        <f>IF('Item Setup Form'!$AF381="Yes",'Item Setup Form'!L381,"")</f>
        <v/>
      </c>
      <c r="D377" s="81" t="str">
        <f>IF('Item Setup Form'!$AF381="Yes",'Item Setup Form'!M381,"")</f>
        <v/>
      </c>
      <c r="E377" s="70"/>
      <c r="F377" s="70" t="str">
        <f>IF('Item Setup Form'!$AF381="Yes",'Item Setup Form'!G381,"")</f>
        <v/>
      </c>
      <c r="G377" s="70" t="str">
        <f>IF('Item Setup Form'!$AF381="Yes",'Item Setup Form'!H381,"")</f>
        <v/>
      </c>
      <c r="H377" s="70" t="str">
        <f>IF('Item Setup Form'!$AF381="Yes",'Item Setup Form'!V381,"")</f>
        <v/>
      </c>
      <c r="I377" s="70"/>
      <c r="J377" s="70" t="str">
        <f>IF('Item Setup Form'!$AF381="Yes",'Item Setup Form'!U381,"")</f>
        <v/>
      </c>
      <c r="K377" s="70" t="str">
        <f>IF('Item Setup Form'!$AF381="Yes",'Item Setup Form'!V381,"")</f>
        <v/>
      </c>
      <c r="L377" s="70"/>
      <c r="M377" s="70" t="str">
        <f>IF('Item Setup Form'!$AF381="Yes",'Item Setup Form'!A381,"")</f>
        <v/>
      </c>
      <c r="N377" s="70"/>
      <c r="O377" s="70"/>
      <c r="P377" s="70"/>
      <c r="Q377" s="70"/>
      <c r="R377" s="70"/>
      <c r="S377" s="70"/>
      <c r="T377" s="70"/>
      <c r="U377" s="70"/>
      <c r="V377" s="70"/>
      <c r="W377" s="70"/>
      <c r="X377" s="70"/>
      <c r="Y377" s="70"/>
      <c r="Z377" s="70"/>
    </row>
    <row r="378" spans="1:26">
      <c r="A378" s="70" t="str">
        <f>IF('Item Setup Form'!$AF382="Yes",'Item Setup Form'!$E382,"")</f>
        <v/>
      </c>
      <c r="B378" s="70" t="str">
        <f>IF('Item Setup Form'!$AF382="Yes",'Item Setup Form'!D382,"")</f>
        <v/>
      </c>
      <c r="C378" s="81" t="str">
        <f>IF('Item Setup Form'!$AF382="Yes",'Item Setup Form'!L382,"")</f>
        <v/>
      </c>
      <c r="D378" s="81" t="str">
        <f>IF('Item Setup Form'!$AF382="Yes",'Item Setup Form'!M382,"")</f>
        <v/>
      </c>
      <c r="E378" s="70"/>
      <c r="F378" s="70" t="str">
        <f>IF('Item Setup Form'!$AF382="Yes",'Item Setup Form'!G382,"")</f>
        <v/>
      </c>
      <c r="G378" s="70" t="str">
        <f>IF('Item Setup Form'!$AF382="Yes",'Item Setup Form'!H382,"")</f>
        <v/>
      </c>
      <c r="H378" s="70" t="str">
        <f>IF('Item Setup Form'!$AF382="Yes",'Item Setup Form'!V382,"")</f>
        <v/>
      </c>
      <c r="I378" s="70"/>
      <c r="J378" s="70" t="str">
        <f>IF('Item Setup Form'!$AF382="Yes",'Item Setup Form'!U382,"")</f>
        <v/>
      </c>
      <c r="K378" s="70" t="str">
        <f>IF('Item Setup Form'!$AF382="Yes",'Item Setup Form'!V382,"")</f>
        <v/>
      </c>
      <c r="L378" s="70"/>
      <c r="M378" s="70" t="str">
        <f>IF('Item Setup Form'!$AF382="Yes",'Item Setup Form'!A382,"")</f>
        <v/>
      </c>
      <c r="N378" s="70"/>
      <c r="O378" s="70"/>
      <c r="P378" s="70"/>
      <c r="Q378" s="70"/>
      <c r="R378" s="70"/>
      <c r="S378" s="70"/>
      <c r="T378" s="70"/>
      <c r="U378" s="70"/>
      <c r="V378" s="70"/>
      <c r="W378" s="70"/>
      <c r="X378" s="70"/>
      <c r="Y378" s="70"/>
      <c r="Z378" s="70"/>
    </row>
    <row r="379" spans="1:26">
      <c r="A379" s="70" t="str">
        <f>IF('Item Setup Form'!$AF383="Yes",'Item Setup Form'!$E383,"")</f>
        <v/>
      </c>
      <c r="B379" s="70" t="str">
        <f>IF('Item Setup Form'!$AF383="Yes",'Item Setup Form'!D383,"")</f>
        <v/>
      </c>
      <c r="C379" s="81" t="str">
        <f>IF('Item Setup Form'!$AF383="Yes",'Item Setup Form'!L383,"")</f>
        <v/>
      </c>
      <c r="D379" s="81" t="str">
        <f>IF('Item Setup Form'!$AF383="Yes",'Item Setup Form'!M383,"")</f>
        <v/>
      </c>
      <c r="E379" s="70"/>
      <c r="F379" s="70" t="str">
        <f>IF('Item Setup Form'!$AF383="Yes",'Item Setup Form'!G383,"")</f>
        <v/>
      </c>
      <c r="G379" s="70" t="str">
        <f>IF('Item Setup Form'!$AF383="Yes",'Item Setup Form'!H383,"")</f>
        <v/>
      </c>
      <c r="H379" s="70" t="str">
        <f>IF('Item Setup Form'!$AF383="Yes",'Item Setup Form'!V383,"")</f>
        <v/>
      </c>
      <c r="I379" s="70"/>
      <c r="J379" s="70" t="str">
        <f>IF('Item Setup Form'!$AF383="Yes",'Item Setup Form'!U383,"")</f>
        <v/>
      </c>
      <c r="K379" s="70" t="str">
        <f>IF('Item Setup Form'!$AF383="Yes",'Item Setup Form'!V383,"")</f>
        <v/>
      </c>
      <c r="L379" s="70"/>
      <c r="M379" s="70" t="str">
        <f>IF('Item Setup Form'!$AF383="Yes",'Item Setup Form'!A383,"")</f>
        <v/>
      </c>
      <c r="N379" s="70"/>
      <c r="O379" s="70"/>
      <c r="P379" s="70"/>
      <c r="Q379" s="70"/>
      <c r="R379" s="70"/>
      <c r="S379" s="70"/>
      <c r="T379" s="70"/>
      <c r="U379" s="70"/>
      <c r="V379" s="70"/>
      <c r="W379" s="70"/>
      <c r="X379" s="70"/>
      <c r="Y379" s="70"/>
      <c r="Z379" s="70"/>
    </row>
    <row r="380" spans="1:26">
      <c r="A380" s="70" t="str">
        <f>IF('Item Setup Form'!$AF384="Yes",'Item Setup Form'!$E384,"")</f>
        <v/>
      </c>
      <c r="B380" s="70" t="str">
        <f>IF('Item Setup Form'!$AF384="Yes",'Item Setup Form'!D384,"")</f>
        <v/>
      </c>
      <c r="C380" s="81" t="str">
        <f>IF('Item Setup Form'!$AF384="Yes",'Item Setup Form'!L384,"")</f>
        <v/>
      </c>
      <c r="D380" s="81" t="str">
        <f>IF('Item Setup Form'!$AF384="Yes",'Item Setup Form'!M384,"")</f>
        <v/>
      </c>
      <c r="E380" s="70"/>
      <c r="F380" s="70" t="str">
        <f>IF('Item Setup Form'!$AF384="Yes",'Item Setup Form'!G384,"")</f>
        <v/>
      </c>
      <c r="G380" s="70" t="str">
        <f>IF('Item Setup Form'!$AF384="Yes",'Item Setup Form'!H384,"")</f>
        <v/>
      </c>
      <c r="H380" s="70" t="str">
        <f>IF('Item Setup Form'!$AF384="Yes",'Item Setup Form'!V384,"")</f>
        <v/>
      </c>
      <c r="I380" s="70"/>
      <c r="J380" s="70" t="str">
        <f>IF('Item Setup Form'!$AF384="Yes",'Item Setup Form'!U384,"")</f>
        <v/>
      </c>
      <c r="K380" s="70" t="str">
        <f>IF('Item Setup Form'!$AF384="Yes",'Item Setup Form'!V384,"")</f>
        <v/>
      </c>
      <c r="L380" s="70"/>
      <c r="M380" s="70" t="str">
        <f>IF('Item Setup Form'!$AF384="Yes",'Item Setup Form'!A384,"")</f>
        <v/>
      </c>
      <c r="N380" s="70"/>
      <c r="O380" s="70"/>
      <c r="P380" s="70"/>
      <c r="Q380" s="70"/>
      <c r="R380" s="70"/>
      <c r="S380" s="70"/>
      <c r="T380" s="70"/>
      <c r="U380" s="70"/>
      <c r="V380" s="70"/>
      <c r="W380" s="70"/>
      <c r="X380" s="70"/>
      <c r="Y380" s="70"/>
      <c r="Z380" s="70"/>
    </row>
    <row r="381" spans="1:26">
      <c r="A381" s="70" t="str">
        <f>IF('Item Setup Form'!$AF385="Yes",'Item Setup Form'!$E385,"")</f>
        <v/>
      </c>
      <c r="B381" s="70" t="str">
        <f>IF('Item Setup Form'!$AF385="Yes",'Item Setup Form'!D385,"")</f>
        <v/>
      </c>
      <c r="C381" s="81" t="str">
        <f>IF('Item Setup Form'!$AF385="Yes",'Item Setup Form'!L385,"")</f>
        <v/>
      </c>
      <c r="D381" s="81" t="str">
        <f>IF('Item Setup Form'!$AF385="Yes",'Item Setup Form'!M385,"")</f>
        <v/>
      </c>
      <c r="E381" s="70"/>
      <c r="F381" s="70" t="str">
        <f>IF('Item Setup Form'!$AF385="Yes",'Item Setup Form'!G385,"")</f>
        <v/>
      </c>
      <c r="G381" s="70" t="str">
        <f>IF('Item Setup Form'!$AF385="Yes",'Item Setup Form'!H385,"")</f>
        <v/>
      </c>
      <c r="H381" s="70" t="str">
        <f>IF('Item Setup Form'!$AF385="Yes",'Item Setup Form'!V385,"")</f>
        <v/>
      </c>
      <c r="I381" s="70"/>
      <c r="J381" s="70" t="str">
        <f>IF('Item Setup Form'!$AF385="Yes",'Item Setup Form'!U385,"")</f>
        <v/>
      </c>
      <c r="K381" s="70" t="str">
        <f>IF('Item Setup Form'!$AF385="Yes",'Item Setup Form'!V385,"")</f>
        <v/>
      </c>
      <c r="L381" s="70"/>
      <c r="M381" s="70" t="str">
        <f>IF('Item Setup Form'!$AF385="Yes",'Item Setup Form'!A385,"")</f>
        <v/>
      </c>
      <c r="N381" s="70"/>
      <c r="O381" s="70"/>
      <c r="P381" s="70"/>
      <c r="Q381" s="70"/>
      <c r="R381" s="70"/>
      <c r="S381" s="70"/>
      <c r="T381" s="70"/>
      <c r="U381" s="70"/>
      <c r="V381" s="70"/>
      <c r="W381" s="70"/>
      <c r="X381" s="70"/>
      <c r="Y381" s="70"/>
      <c r="Z381" s="70"/>
    </row>
    <row r="382" spans="1:26">
      <c r="A382" s="70" t="str">
        <f>IF('Item Setup Form'!$AF386="Yes",'Item Setup Form'!$E386,"")</f>
        <v/>
      </c>
      <c r="B382" s="70" t="str">
        <f>IF('Item Setup Form'!$AF386="Yes",'Item Setup Form'!D386,"")</f>
        <v/>
      </c>
      <c r="C382" s="81" t="str">
        <f>IF('Item Setup Form'!$AF386="Yes",'Item Setup Form'!L386,"")</f>
        <v/>
      </c>
      <c r="D382" s="81" t="str">
        <f>IF('Item Setup Form'!$AF386="Yes",'Item Setup Form'!M386,"")</f>
        <v/>
      </c>
      <c r="E382" s="70"/>
      <c r="F382" s="70" t="str">
        <f>IF('Item Setup Form'!$AF386="Yes",'Item Setup Form'!G386,"")</f>
        <v/>
      </c>
      <c r="G382" s="70" t="str">
        <f>IF('Item Setup Form'!$AF386="Yes",'Item Setup Form'!H386,"")</f>
        <v/>
      </c>
      <c r="H382" s="70" t="str">
        <f>IF('Item Setup Form'!$AF386="Yes",'Item Setup Form'!V386,"")</f>
        <v/>
      </c>
      <c r="I382" s="70"/>
      <c r="J382" s="70" t="str">
        <f>IF('Item Setup Form'!$AF386="Yes",'Item Setup Form'!U386,"")</f>
        <v/>
      </c>
      <c r="K382" s="70" t="str">
        <f>IF('Item Setup Form'!$AF386="Yes",'Item Setup Form'!V386,"")</f>
        <v/>
      </c>
      <c r="L382" s="70"/>
      <c r="M382" s="70" t="str">
        <f>IF('Item Setup Form'!$AF386="Yes",'Item Setup Form'!A386,"")</f>
        <v/>
      </c>
      <c r="N382" s="70"/>
      <c r="O382" s="70"/>
      <c r="P382" s="70"/>
      <c r="Q382" s="70"/>
      <c r="R382" s="70"/>
      <c r="S382" s="70"/>
      <c r="T382" s="70"/>
      <c r="U382" s="70"/>
      <c r="V382" s="70"/>
      <c r="W382" s="70"/>
      <c r="X382" s="70"/>
      <c r="Y382" s="70"/>
      <c r="Z382" s="70"/>
    </row>
    <row r="383" spans="1:26">
      <c r="A383" s="70" t="str">
        <f>IF('Item Setup Form'!$AF387="Yes",'Item Setup Form'!$E387,"")</f>
        <v/>
      </c>
      <c r="B383" s="70" t="str">
        <f>IF('Item Setup Form'!$AF387="Yes",'Item Setup Form'!D387,"")</f>
        <v/>
      </c>
      <c r="C383" s="81" t="str">
        <f>IF('Item Setup Form'!$AF387="Yes",'Item Setup Form'!L387,"")</f>
        <v/>
      </c>
      <c r="D383" s="81" t="str">
        <f>IF('Item Setup Form'!$AF387="Yes",'Item Setup Form'!M387,"")</f>
        <v/>
      </c>
      <c r="E383" s="70"/>
      <c r="F383" s="70" t="str">
        <f>IF('Item Setup Form'!$AF387="Yes",'Item Setup Form'!G387,"")</f>
        <v/>
      </c>
      <c r="G383" s="70" t="str">
        <f>IF('Item Setup Form'!$AF387="Yes",'Item Setup Form'!H387,"")</f>
        <v/>
      </c>
      <c r="H383" s="70" t="str">
        <f>IF('Item Setup Form'!$AF387="Yes",'Item Setup Form'!V387,"")</f>
        <v/>
      </c>
      <c r="I383" s="70"/>
      <c r="J383" s="70" t="str">
        <f>IF('Item Setup Form'!$AF387="Yes",'Item Setup Form'!U387,"")</f>
        <v/>
      </c>
      <c r="K383" s="70" t="str">
        <f>IF('Item Setup Form'!$AF387="Yes",'Item Setup Form'!V387,"")</f>
        <v/>
      </c>
      <c r="L383" s="70"/>
      <c r="M383" s="70" t="str">
        <f>IF('Item Setup Form'!$AF387="Yes",'Item Setup Form'!A387,"")</f>
        <v/>
      </c>
      <c r="N383" s="70"/>
      <c r="O383" s="70"/>
      <c r="P383" s="70"/>
      <c r="Q383" s="70"/>
      <c r="R383" s="70"/>
      <c r="S383" s="70"/>
      <c r="T383" s="70"/>
      <c r="U383" s="70"/>
      <c r="V383" s="70"/>
      <c r="W383" s="70"/>
      <c r="X383" s="70"/>
      <c r="Y383" s="70"/>
      <c r="Z383" s="70"/>
    </row>
    <row r="384" spans="1:26">
      <c r="A384" s="70" t="str">
        <f>IF('Item Setup Form'!$AF388="Yes",'Item Setup Form'!$E388,"")</f>
        <v/>
      </c>
      <c r="B384" s="70" t="str">
        <f>IF('Item Setup Form'!$AF388="Yes",'Item Setup Form'!D388,"")</f>
        <v/>
      </c>
      <c r="C384" s="81" t="str">
        <f>IF('Item Setup Form'!$AF388="Yes",'Item Setup Form'!L388,"")</f>
        <v/>
      </c>
      <c r="D384" s="81" t="str">
        <f>IF('Item Setup Form'!$AF388="Yes",'Item Setup Form'!M388,"")</f>
        <v/>
      </c>
      <c r="E384" s="70"/>
      <c r="F384" s="70" t="str">
        <f>IF('Item Setup Form'!$AF388="Yes",'Item Setup Form'!G388,"")</f>
        <v/>
      </c>
      <c r="G384" s="70" t="str">
        <f>IF('Item Setup Form'!$AF388="Yes",'Item Setup Form'!H388,"")</f>
        <v/>
      </c>
      <c r="H384" s="70" t="str">
        <f>IF('Item Setup Form'!$AF388="Yes",'Item Setup Form'!V388,"")</f>
        <v/>
      </c>
      <c r="I384" s="70"/>
      <c r="J384" s="70" t="str">
        <f>IF('Item Setup Form'!$AF388="Yes",'Item Setup Form'!U388,"")</f>
        <v/>
      </c>
      <c r="K384" s="70" t="str">
        <f>IF('Item Setup Form'!$AF388="Yes",'Item Setup Form'!V388,"")</f>
        <v/>
      </c>
      <c r="L384" s="70"/>
      <c r="M384" s="70" t="str">
        <f>IF('Item Setup Form'!$AF388="Yes",'Item Setup Form'!A388,"")</f>
        <v/>
      </c>
      <c r="N384" s="70"/>
      <c r="O384" s="70"/>
      <c r="P384" s="70"/>
      <c r="Q384" s="70"/>
      <c r="R384" s="70"/>
      <c r="S384" s="70"/>
      <c r="T384" s="70"/>
      <c r="U384" s="70"/>
      <c r="V384" s="70"/>
      <c r="W384" s="70"/>
      <c r="X384" s="70"/>
      <c r="Y384" s="70"/>
      <c r="Z384" s="70"/>
    </row>
    <row r="385" spans="1:26">
      <c r="A385" s="70" t="str">
        <f>IF('Item Setup Form'!$AF389="Yes",'Item Setup Form'!$E389,"")</f>
        <v/>
      </c>
      <c r="B385" s="70" t="str">
        <f>IF('Item Setup Form'!$AF389="Yes",'Item Setup Form'!D389,"")</f>
        <v/>
      </c>
      <c r="C385" s="81" t="str">
        <f>IF('Item Setup Form'!$AF389="Yes",'Item Setup Form'!L389,"")</f>
        <v/>
      </c>
      <c r="D385" s="81" t="str">
        <f>IF('Item Setup Form'!$AF389="Yes",'Item Setup Form'!M389,"")</f>
        <v/>
      </c>
      <c r="E385" s="70"/>
      <c r="F385" s="70" t="str">
        <f>IF('Item Setup Form'!$AF389="Yes",'Item Setup Form'!G389,"")</f>
        <v/>
      </c>
      <c r="G385" s="70" t="str">
        <f>IF('Item Setup Form'!$AF389="Yes",'Item Setup Form'!H389,"")</f>
        <v/>
      </c>
      <c r="H385" s="70" t="str">
        <f>IF('Item Setup Form'!$AF389="Yes",'Item Setup Form'!V389,"")</f>
        <v/>
      </c>
      <c r="I385" s="70"/>
      <c r="J385" s="70" t="str">
        <f>IF('Item Setup Form'!$AF389="Yes",'Item Setup Form'!U389,"")</f>
        <v/>
      </c>
      <c r="K385" s="70" t="str">
        <f>IF('Item Setup Form'!$AF389="Yes",'Item Setup Form'!V389,"")</f>
        <v/>
      </c>
      <c r="L385" s="70"/>
      <c r="M385" s="70" t="str">
        <f>IF('Item Setup Form'!$AF389="Yes",'Item Setup Form'!A389,"")</f>
        <v/>
      </c>
      <c r="N385" s="70"/>
      <c r="O385" s="70"/>
      <c r="P385" s="70"/>
      <c r="Q385" s="70"/>
      <c r="R385" s="70"/>
      <c r="S385" s="70"/>
      <c r="T385" s="70"/>
      <c r="U385" s="70"/>
      <c r="V385" s="70"/>
      <c r="W385" s="70"/>
      <c r="X385" s="70"/>
      <c r="Y385" s="70"/>
      <c r="Z385" s="70"/>
    </row>
    <row r="386" spans="1:26">
      <c r="A386" s="70" t="str">
        <f>IF('Item Setup Form'!$AF390="Yes",'Item Setup Form'!$E390,"")</f>
        <v/>
      </c>
      <c r="B386" s="70" t="str">
        <f>IF('Item Setup Form'!$AF390="Yes",'Item Setup Form'!D390,"")</f>
        <v/>
      </c>
      <c r="C386" s="81" t="str">
        <f>IF('Item Setup Form'!$AF390="Yes",'Item Setup Form'!L390,"")</f>
        <v/>
      </c>
      <c r="D386" s="81" t="str">
        <f>IF('Item Setup Form'!$AF390="Yes",'Item Setup Form'!M390,"")</f>
        <v/>
      </c>
      <c r="E386" s="70"/>
      <c r="F386" s="70" t="str">
        <f>IF('Item Setup Form'!$AF390="Yes",'Item Setup Form'!G390,"")</f>
        <v/>
      </c>
      <c r="G386" s="70" t="str">
        <f>IF('Item Setup Form'!$AF390="Yes",'Item Setup Form'!H390,"")</f>
        <v/>
      </c>
      <c r="H386" s="70" t="str">
        <f>IF('Item Setup Form'!$AF390="Yes",'Item Setup Form'!V390,"")</f>
        <v/>
      </c>
      <c r="I386" s="70"/>
      <c r="J386" s="70" t="str">
        <f>IF('Item Setup Form'!$AF390="Yes",'Item Setup Form'!U390,"")</f>
        <v/>
      </c>
      <c r="K386" s="70" t="str">
        <f>IF('Item Setup Form'!$AF390="Yes",'Item Setup Form'!V390,"")</f>
        <v/>
      </c>
      <c r="L386" s="70"/>
      <c r="M386" s="70" t="str">
        <f>IF('Item Setup Form'!$AF390="Yes",'Item Setup Form'!A390,"")</f>
        <v/>
      </c>
      <c r="N386" s="70"/>
      <c r="O386" s="70"/>
      <c r="P386" s="70"/>
      <c r="Q386" s="70"/>
      <c r="R386" s="70"/>
      <c r="S386" s="70"/>
      <c r="T386" s="70"/>
      <c r="U386" s="70"/>
      <c r="V386" s="70"/>
      <c r="W386" s="70"/>
      <c r="X386" s="70"/>
      <c r="Y386" s="70"/>
      <c r="Z386" s="70"/>
    </row>
    <row r="387" spans="1:26">
      <c r="A387" s="70" t="str">
        <f>IF('Item Setup Form'!$AF391="Yes",'Item Setup Form'!$E391,"")</f>
        <v/>
      </c>
      <c r="B387" s="70" t="str">
        <f>IF('Item Setup Form'!$AF391="Yes",'Item Setup Form'!D391,"")</f>
        <v/>
      </c>
      <c r="C387" s="81" t="str">
        <f>IF('Item Setup Form'!$AF391="Yes",'Item Setup Form'!L391,"")</f>
        <v/>
      </c>
      <c r="D387" s="81" t="str">
        <f>IF('Item Setup Form'!$AF391="Yes",'Item Setup Form'!M391,"")</f>
        <v/>
      </c>
      <c r="E387" s="70"/>
      <c r="F387" s="70" t="str">
        <f>IF('Item Setup Form'!$AF391="Yes",'Item Setup Form'!G391,"")</f>
        <v/>
      </c>
      <c r="G387" s="70" t="str">
        <f>IF('Item Setup Form'!$AF391="Yes",'Item Setup Form'!H391,"")</f>
        <v/>
      </c>
      <c r="H387" s="70" t="str">
        <f>IF('Item Setup Form'!$AF391="Yes",'Item Setup Form'!V391,"")</f>
        <v/>
      </c>
      <c r="I387" s="70"/>
      <c r="J387" s="70" t="str">
        <f>IF('Item Setup Form'!$AF391="Yes",'Item Setup Form'!U391,"")</f>
        <v/>
      </c>
      <c r="K387" s="70" t="str">
        <f>IF('Item Setup Form'!$AF391="Yes",'Item Setup Form'!V391,"")</f>
        <v/>
      </c>
      <c r="L387" s="70"/>
      <c r="M387" s="70" t="str">
        <f>IF('Item Setup Form'!$AF391="Yes",'Item Setup Form'!A391,"")</f>
        <v/>
      </c>
      <c r="N387" s="70"/>
      <c r="O387" s="70"/>
      <c r="P387" s="70"/>
      <c r="Q387" s="70"/>
      <c r="R387" s="70"/>
      <c r="S387" s="70"/>
      <c r="T387" s="70"/>
      <c r="U387" s="70"/>
      <c r="V387" s="70"/>
      <c r="W387" s="70"/>
      <c r="X387" s="70"/>
      <c r="Y387" s="70"/>
      <c r="Z387" s="70"/>
    </row>
    <row r="388" spans="1:26">
      <c r="A388" s="70" t="str">
        <f>IF('Item Setup Form'!$AF392="Yes",'Item Setup Form'!$E392,"")</f>
        <v/>
      </c>
      <c r="B388" s="70" t="str">
        <f>IF('Item Setup Form'!$AF392="Yes",'Item Setup Form'!D392,"")</f>
        <v/>
      </c>
      <c r="C388" s="81" t="str">
        <f>IF('Item Setup Form'!$AF392="Yes",'Item Setup Form'!L392,"")</f>
        <v/>
      </c>
      <c r="D388" s="81" t="str">
        <f>IF('Item Setup Form'!$AF392="Yes",'Item Setup Form'!M392,"")</f>
        <v/>
      </c>
      <c r="E388" s="70"/>
      <c r="F388" s="70" t="str">
        <f>IF('Item Setup Form'!$AF392="Yes",'Item Setup Form'!G392,"")</f>
        <v/>
      </c>
      <c r="G388" s="70" t="str">
        <f>IF('Item Setup Form'!$AF392="Yes",'Item Setup Form'!H392,"")</f>
        <v/>
      </c>
      <c r="H388" s="70" t="str">
        <f>IF('Item Setup Form'!$AF392="Yes",'Item Setup Form'!V392,"")</f>
        <v/>
      </c>
      <c r="I388" s="70"/>
      <c r="J388" s="70" t="str">
        <f>IF('Item Setup Form'!$AF392="Yes",'Item Setup Form'!U392,"")</f>
        <v/>
      </c>
      <c r="K388" s="70" t="str">
        <f>IF('Item Setup Form'!$AF392="Yes",'Item Setup Form'!V392,"")</f>
        <v/>
      </c>
      <c r="L388" s="70"/>
      <c r="M388" s="70" t="str">
        <f>IF('Item Setup Form'!$AF392="Yes",'Item Setup Form'!A392,"")</f>
        <v/>
      </c>
      <c r="N388" s="70"/>
      <c r="O388" s="70"/>
      <c r="P388" s="70"/>
      <c r="Q388" s="70"/>
      <c r="R388" s="70"/>
      <c r="S388" s="70"/>
      <c r="T388" s="70"/>
      <c r="U388" s="70"/>
      <c r="V388" s="70"/>
      <c r="W388" s="70"/>
      <c r="X388" s="70"/>
      <c r="Y388" s="70"/>
      <c r="Z388" s="70"/>
    </row>
    <row r="389" spans="1:26">
      <c r="A389" s="70" t="str">
        <f>IF('Item Setup Form'!$AF393="Yes",'Item Setup Form'!$E393,"")</f>
        <v/>
      </c>
      <c r="B389" s="70" t="str">
        <f>IF('Item Setup Form'!$AF393="Yes",'Item Setup Form'!D393,"")</f>
        <v/>
      </c>
      <c r="C389" s="81" t="str">
        <f>IF('Item Setup Form'!$AF393="Yes",'Item Setup Form'!L393,"")</f>
        <v/>
      </c>
      <c r="D389" s="81" t="str">
        <f>IF('Item Setup Form'!$AF393="Yes",'Item Setup Form'!M393,"")</f>
        <v/>
      </c>
      <c r="E389" s="70"/>
      <c r="F389" s="70" t="str">
        <f>IF('Item Setup Form'!$AF393="Yes",'Item Setup Form'!G393,"")</f>
        <v/>
      </c>
      <c r="G389" s="70" t="str">
        <f>IF('Item Setup Form'!$AF393="Yes",'Item Setup Form'!H393,"")</f>
        <v/>
      </c>
      <c r="H389" s="70" t="str">
        <f>IF('Item Setup Form'!$AF393="Yes",'Item Setup Form'!V393,"")</f>
        <v/>
      </c>
      <c r="I389" s="70"/>
      <c r="J389" s="70" t="str">
        <f>IF('Item Setup Form'!$AF393="Yes",'Item Setup Form'!U393,"")</f>
        <v/>
      </c>
      <c r="K389" s="70" t="str">
        <f>IF('Item Setup Form'!$AF393="Yes",'Item Setup Form'!V393,"")</f>
        <v/>
      </c>
      <c r="L389" s="70"/>
      <c r="M389" s="70" t="str">
        <f>IF('Item Setup Form'!$AF393="Yes",'Item Setup Form'!A393,"")</f>
        <v/>
      </c>
      <c r="N389" s="70"/>
      <c r="O389" s="70"/>
      <c r="P389" s="70"/>
      <c r="Q389" s="70"/>
      <c r="R389" s="70"/>
      <c r="S389" s="70"/>
      <c r="T389" s="70"/>
      <c r="U389" s="70"/>
      <c r="V389" s="70"/>
      <c r="W389" s="70"/>
      <c r="X389" s="70"/>
      <c r="Y389" s="70"/>
      <c r="Z389" s="70"/>
    </row>
    <row r="390" spans="1:26">
      <c r="A390" s="70" t="str">
        <f>IF('Item Setup Form'!$AF394="Yes",'Item Setup Form'!$E394,"")</f>
        <v/>
      </c>
      <c r="B390" s="70" t="str">
        <f>IF('Item Setup Form'!$AF394="Yes",'Item Setup Form'!D394,"")</f>
        <v/>
      </c>
      <c r="C390" s="81" t="str">
        <f>IF('Item Setup Form'!$AF394="Yes",'Item Setup Form'!L394,"")</f>
        <v/>
      </c>
      <c r="D390" s="81" t="str">
        <f>IF('Item Setup Form'!$AF394="Yes",'Item Setup Form'!M394,"")</f>
        <v/>
      </c>
      <c r="E390" s="70"/>
      <c r="F390" s="70" t="str">
        <f>IF('Item Setup Form'!$AF394="Yes",'Item Setup Form'!G394,"")</f>
        <v/>
      </c>
      <c r="G390" s="70" t="str">
        <f>IF('Item Setup Form'!$AF394="Yes",'Item Setup Form'!H394,"")</f>
        <v/>
      </c>
      <c r="H390" s="70" t="str">
        <f>IF('Item Setup Form'!$AF394="Yes",'Item Setup Form'!V394,"")</f>
        <v/>
      </c>
      <c r="I390" s="70"/>
      <c r="J390" s="70" t="str">
        <f>IF('Item Setup Form'!$AF394="Yes",'Item Setup Form'!U394,"")</f>
        <v/>
      </c>
      <c r="K390" s="70" t="str">
        <f>IF('Item Setup Form'!$AF394="Yes",'Item Setup Form'!V394,"")</f>
        <v/>
      </c>
      <c r="L390" s="70"/>
      <c r="M390" s="70" t="str">
        <f>IF('Item Setup Form'!$AF394="Yes",'Item Setup Form'!A394,"")</f>
        <v/>
      </c>
      <c r="N390" s="70"/>
      <c r="O390" s="70"/>
      <c r="P390" s="70"/>
      <c r="Q390" s="70"/>
      <c r="R390" s="70"/>
      <c r="S390" s="70"/>
      <c r="T390" s="70"/>
      <c r="U390" s="70"/>
      <c r="V390" s="70"/>
      <c r="W390" s="70"/>
      <c r="X390" s="70"/>
      <c r="Y390" s="70"/>
      <c r="Z390" s="70"/>
    </row>
    <row r="391" spans="1:26">
      <c r="A391" s="70" t="str">
        <f>IF('Item Setup Form'!$AF395="Yes",'Item Setup Form'!$E395,"")</f>
        <v/>
      </c>
      <c r="B391" s="70" t="str">
        <f>IF('Item Setup Form'!$AF395="Yes",'Item Setup Form'!D395,"")</f>
        <v/>
      </c>
      <c r="C391" s="81" t="str">
        <f>IF('Item Setup Form'!$AF395="Yes",'Item Setup Form'!L395,"")</f>
        <v/>
      </c>
      <c r="D391" s="81" t="str">
        <f>IF('Item Setup Form'!$AF395="Yes",'Item Setup Form'!M395,"")</f>
        <v/>
      </c>
      <c r="E391" s="70"/>
      <c r="F391" s="70" t="str">
        <f>IF('Item Setup Form'!$AF395="Yes",'Item Setup Form'!G395,"")</f>
        <v/>
      </c>
      <c r="G391" s="70" t="str">
        <f>IF('Item Setup Form'!$AF395="Yes",'Item Setup Form'!H395,"")</f>
        <v/>
      </c>
      <c r="H391" s="70" t="str">
        <f>IF('Item Setup Form'!$AF395="Yes",'Item Setup Form'!V395,"")</f>
        <v/>
      </c>
      <c r="I391" s="70"/>
      <c r="J391" s="70" t="str">
        <f>IF('Item Setup Form'!$AF395="Yes",'Item Setup Form'!U395,"")</f>
        <v/>
      </c>
      <c r="K391" s="70" t="str">
        <f>IF('Item Setup Form'!$AF395="Yes",'Item Setup Form'!V395,"")</f>
        <v/>
      </c>
      <c r="L391" s="70"/>
      <c r="M391" s="70" t="str">
        <f>IF('Item Setup Form'!$AF395="Yes",'Item Setup Form'!A395,"")</f>
        <v/>
      </c>
      <c r="N391" s="70"/>
      <c r="O391" s="70"/>
      <c r="P391" s="70"/>
      <c r="Q391" s="70"/>
      <c r="R391" s="70"/>
      <c r="S391" s="70"/>
      <c r="T391" s="70"/>
      <c r="U391" s="70"/>
      <c r="V391" s="70"/>
      <c r="W391" s="70"/>
      <c r="X391" s="70"/>
      <c r="Y391" s="70"/>
      <c r="Z391" s="70"/>
    </row>
    <row r="392" spans="1:26">
      <c r="A392" s="70" t="str">
        <f>IF('Item Setup Form'!$AF396="Yes",'Item Setup Form'!$E396,"")</f>
        <v/>
      </c>
      <c r="B392" s="70" t="str">
        <f>IF('Item Setup Form'!$AF396="Yes",'Item Setup Form'!D396,"")</f>
        <v/>
      </c>
      <c r="C392" s="81" t="str">
        <f>IF('Item Setup Form'!$AF396="Yes",'Item Setup Form'!L396,"")</f>
        <v/>
      </c>
      <c r="D392" s="81" t="str">
        <f>IF('Item Setup Form'!$AF396="Yes",'Item Setup Form'!M396,"")</f>
        <v/>
      </c>
      <c r="E392" s="70"/>
      <c r="F392" s="70" t="str">
        <f>IF('Item Setup Form'!$AF396="Yes",'Item Setup Form'!G396,"")</f>
        <v/>
      </c>
      <c r="G392" s="70" t="str">
        <f>IF('Item Setup Form'!$AF396="Yes",'Item Setup Form'!H396,"")</f>
        <v/>
      </c>
      <c r="H392" s="70" t="str">
        <f>IF('Item Setup Form'!$AF396="Yes",'Item Setup Form'!V396,"")</f>
        <v/>
      </c>
      <c r="I392" s="70"/>
      <c r="J392" s="70" t="str">
        <f>IF('Item Setup Form'!$AF396="Yes",'Item Setup Form'!U396,"")</f>
        <v/>
      </c>
      <c r="K392" s="70" t="str">
        <f>IF('Item Setup Form'!$AF396="Yes",'Item Setup Form'!V396,"")</f>
        <v/>
      </c>
      <c r="L392" s="70"/>
      <c r="M392" s="70" t="str">
        <f>IF('Item Setup Form'!$AF396="Yes",'Item Setup Form'!A396,"")</f>
        <v/>
      </c>
      <c r="N392" s="70"/>
      <c r="O392" s="70"/>
      <c r="P392" s="70"/>
      <c r="Q392" s="70"/>
      <c r="R392" s="70"/>
      <c r="S392" s="70"/>
      <c r="T392" s="70"/>
      <c r="U392" s="70"/>
      <c r="V392" s="70"/>
      <c r="W392" s="70"/>
      <c r="X392" s="70"/>
      <c r="Y392" s="70"/>
      <c r="Z392" s="70"/>
    </row>
    <row r="393" spans="1:26">
      <c r="A393" s="70" t="str">
        <f>IF('Item Setup Form'!$AF397="Yes",'Item Setup Form'!$E397,"")</f>
        <v/>
      </c>
      <c r="B393" s="70" t="str">
        <f>IF('Item Setup Form'!$AF397="Yes",'Item Setup Form'!D397,"")</f>
        <v/>
      </c>
      <c r="C393" s="81" t="str">
        <f>IF('Item Setup Form'!$AF397="Yes",'Item Setup Form'!L397,"")</f>
        <v/>
      </c>
      <c r="D393" s="81" t="str">
        <f>IF('Item Setup Form'!$AF397="Yes",'Item Setup Form'!M397,"")</f>
        <v/>
      </c>
      <c r="E393" s="70"/>
      <c r="F393" s="70" t="str">
        <f>IF('Item Setup Form'!$AF397="Yes",'Item Setup Form'!G397,"")</f>
        <v/>
      </c>
      <c r="G393" s="70" t="str">
        <f>IF('Item Setup Form'!$AF397="Yes",'Item Setup Form'!H397,"")</f>
        <v/>
      </c>
      <c r="H393" s="70" t="str">
        <f>IF('Item Setup Form'!$AF397="Yes",'Item Setup Form'!V397,"")</f>
        <v/>
      </c>
      <c r="I393" s="70"/>
      <c r="J393" s="70" t="str">
        <f>IF('Item Setup Form'!$AF397="Yes",'Item Setup Form'!U397,"")</f>
        <v/>
      </c>
      <c r="K393" s="70" t="str">
        <f>IF('Item Setup Form'!$AF397="Yes",'Item Setup Form'!V397,"")</f>
        <v/>
      </c>
      <c r="L393" s="70"/>
      <c r="M393" s="70" t="str">
        <f>IF('Item Setup Form'!$AF397="Yes",'Item Setup Form'!A397,"")</f>
        <v/>
      </c>
      <c r="N393" s="70"/>
      <c r="O393" s="70"/>
      <c r="P393" s="70"/>
      <c r="Q393" s="70"/>
      <c r="R393" s="70"/>
      <c r="S393" s="70"/>
      <c r="T393" s="70"/>
      <c r="U393" s="70"/>
      <c r="V393" s="70"/>
      <c r="W393" s="70"/>
      <c r="X393" s="70"/>
      <c r="Y393" s="70"/>
      <c r="Z393" s="70"/>
    </row>
    <row r="394" spans="1:26">
      <c r="A394" s="70" t="str">
        <f>IF('Item Setup Form'!$AF398="Yes",'Item Setup Form'!$E398,"")</f>
        <v/>
      </c>
      <c r="B394" s="70" t="str">
        <f>IF('Item Setup Form'!$AF398="Yes",'Item Setup Form'!D398,"")</f>
        <v/>
      </c>
      <c r="C394" s="81" t="str">
        <f>IF('Item Setup Form'!$AF398="Yes",'Item Setup Form'!L398,"")</f>
        <v/>
      </c>
      <c r="D394" s="81" t="str">
        <f>IF('Item Setup Form'!$AF398="Yes",'Item Setup Form'!M398,"")</f>
        <v/>
      </c>
      <c r="E394" s="70"/>
      <c r="F394" s="70" t="str">
        <f>IF('Item Setup Form'!$AF398="Yes",'Item Setup Form'!G398,"")</f>
        <v/>
      </c>
      <c r="G394" s="70" t="str">
        <f>IF('Item Setup Form'!$AF398="Yes",'Item Setup Form'!H398,"")</f>
        <v/>
      </c>
      <c r="H394" s="70" t="str">
        <f>IF('Item Setup Form'!$AF398="Yes",'Item Setup Form'!V398,"")</f>
        <v/>
      </c>
      <c r="I394" s="70"/>
      <c r="J394" s="70" t="str">
        <f>IF('Item Setup Form'!$AF398="Yes",'Item Setup Form'!U398,"")</f>
        <v/>
      </c>
      <c r="K394" s="70" t="str">
        <f>IF('Item Setup Form'!$AF398="Yes",'Item Setup Form'!V398,"")</f>
        <v/>
      </c>
      <c r="L394" s="70"/>
      <c r="M394" s="70" t="str">
        <f>IF('Item Setup Form'!$AF398="Yes",'Item Setup Form'!A398,"")</f>
        <v/>
      </c>
      <c r="N394" s="70"/>
      <c r="O394" s="70"/>
      <c r="P394" s="70"/>
      <c r="Q394" s="70"/>
      <c r="R394" s="70"/>
      <c r="S394" s="70"/>
      <c r="T394" s="70"/>
      <c r="U394" s="70"/>
      <c r="V394" s="70"/>
      <c r="W394" s="70"/>
      <c r="X394" s="70"/>
      <c r="Y394" s="70"/>
      <c r="Z394" s="70"/>
    </row>
    <row r="395" spans="1:26">
      <c r="A395" s="70" t="str">
        <f>IF('Item Setup Form'!$AF399="Yes",'Item Setup Form'!$E399,"")</f>
        <v/>
      </c>
      <c r="B395" s="70" t="str">
        <f>IF('Item Setup Form'!$AF399="Yes",'Item Setup Form'!D399,"")</f>
        <v/>
      </c>
      <c r="C395" s="81" t="str">
        <f>IF('Item Setup Form'!$AF399="Yes",'Item Setup Form'!L399,"")</f>
        <v/>
      </c>
      <c r="D395" s="81" t="str">
        <f>IF('Item Setup Form'!$AF399="Yes",'Item Setup Form'!M399,"")</f>
        <v/>
      </c>
      <c r="E395" s="70"/>
      <c r="F395" s="70" t="str">
        <f>IF('Item Setup Form'!$AF399="Yes",'Item Setup Form'!G399,"")</f>
        <v/>
      </c>
      <c r="G395" s="70" t="str">
        <f>IF('Item Setup Form'!$AF399="Yes",'Item Setup Form'!H399,"")</f>
        <v/>
      </c>
      <c r="H395" s="70" t="str">
        <f>IF('Item Setup Form'!$AF399="Yes",'Item Setup Form'!V399,"")</f>
        <v/>
      </c>
      <c r="I395" s="70"/>
      <c r="J395" s="70" t="str">
        <f>IF('Item Setup Form'!$AF399="Yes",'Item Setup Form'!U399,"")</f>
        <v/>
      </c>
      <c r="K395" s="70" t="str">
        <f>IF('Item Setup Form'!$AF399="Yes",'Item Setup Form'!V399,"")</f>
        <v/>
      </c>
      <c r="L395" s="70"/>
      <c r="M395" s="70" t="str">
        <f>IF('Item Setup Form'!$AF399="Yes",'Item Setup Form'!A399,"")</f>
        <v/>
      </c>
      <c r="N395" s="70"/>
      <c r="O395" s="70"/>
      <c r="P395" s="70"/>
      <c r="Q395" s="70"/>
      <c r="R395" s="70"/>
      <c r="S395" s="70"/>
      <c r="T395" s="70"/>
      <c r="U395" s="70"/>
      <c r="V395" s="70"/>
      <c r="W395" s="70"/>
      <c r="X395" s="70"/>
      <c r="Y395" s="70"/>
      <c r="Z395" s="70"/>
    </row>
    <row r="396" spans="1:26">
      <c r="A396" s="70" t="str">
        <f>IF('Item Setup Form'!$AF400="Yes",'Item Setup Form'!$E400,"")</f>
        <v/>
      </c>
      <c r="B396" s="70" t="str">
        <f>IF('Item Setup Form'!$AF400="Yes",'Item Setup Form'!D400,"")</f>
        <v/>
      </c>
      <c r="C396" s="81" t="str">
        <f>IF('Item Setup Form'!$AF400="Yes",'Item Setup Form'!L400,"")</f>
        <v/>
      </c>
      <c r="D396" s="81" t="str">
        <f>IF('Item Setup Form'!$AF400="Yes",'Item Setup Form'!M400,"")</f>
        <v/>
      </c>
      <c r="E396" s="70"/>
      <c r="F396" s="70" t="str">
        <f>IF('Item Setup Form'!$AF400="Yes",'Item Setup Form'!G400,"")</f>
        <v/>
      </c>
      <c r="G396" s="70" t="str">
        <f>IF('Item Setup Form'!$AF400="Yes",'Item Setup Form'!H400,"")</f>
        <v/>
      </c>
      <c r="H396" s="70" t="str">
        <f>IF('Item Setup Form'!$AF400="Yes",'Item Setup Form'!V400,"")</f>
        <v/>
      </c>
      <c r="I396" s="70"/>
      <c r="J396" s="70" t="str">
        <f>IF('Item Setup Form'!$AF400="Yes",'Item Setup Form'!U400,"")</f>
        <v/>
      </c>
      <c r="K396" s="70" t="str">
        <f>IF('Item Setup Form'!$AF400="Yes",'Item Setup Form'!V400,"")</f>
        <v/>
      </c>
      <c r="L396" s="70"/>
      <c r="M396" s="70" t="str">
        <f>IF('Item Setup Form'!$AF400="Yes",'Item Setup Form'!A400,"")</f>
        <v/>
      </c>
      <c r="N396" s="70"/>
      <c r="O396" s="70"/>
      <c r="P396" s="70"/>
      <c r="Q396" s="70"/>
      <c r="R396" s="70"/>
      <c r="S396" s="70"/>
      <c r="T396" s="70"/>
      <c r="U396" s="70"/>
      <c r="V396" s="70"/>
      <c r="W396" s="70"/>
      <c r="X396" s="70"/>
      <c r="Y396" s="70"/>
      <c r="Z396" s="70"/>
    </row>
    <row r="397" spans="1:26">
      <c r="A397" s="70" t="str">
        <f>IF('Item Setup Form'!$AF401="Yes",'Item Setup Form'!$E401,"")</f>
        <v/>
      </c>
      <c r="B397" s="70" t="str">
        <f>IF('Item Setup Form'!$AF401="Yes",'Item Setup Form'!D401,"")</f>
        <v/>
      </c>
      <c r="C397" s="81" t="str">
        <f>IF('Item Setup Form'!$AF401="Yes",'Item Setup Form'!L401,"")</f>
        <v/>
      </c>
      <c r="D397" s="81" t="str">
        <f>IF('Item Setup Form'!$AF401="Yes",'Item Setup Form'!M401,"")</f>
        <v/>
      </c>
      <c r="E397" s="70"/>
      <c r="F397" s="70" t="str">
        <f>IF('Item Setup Form'!$AF401="Yes",'Item Setup Form'!G401,"")</f>
        <v/>
      </c>
      <c r="G397" s="70" t="str">
        <f>IF('Item Setup Form'!$AF401="Yes",'Item Setup Form'!H401,"")</f>
        <v/>
      </c>
      <c r="H397" s="70" t="str">
        <f>IF('Item Setup Form'!$AF401="Yes",'Item Setup Form'!V401,"")</f>
        <v/>
      </c>
      <c r="I397" s="70"/>
      <c r="J397" s="70" t="str">
        <f>IF('Item Setup Form'!$AF401="Yes",'Item Setup Form'!U401,"")</f>
        <v/>
      </c>
      <c r="K397" s="70" t="str">
        <f>IF('Item Setup Form'!$AF401="Yes",'Item Setup Form'!V401,"")</f>
        <v/>
      </c>
      <c r="L397" s="70"/>
      <c r="M397" s="70" t="str">
        <f>IF('Item Setup Form'!$AF401="Yes",'Item Setup Form'!A401,"")</f>
        <v/>
      </c>
      <c r="N397" s="70"/>
      <c r="O397" s="70"/>
      <c r="P397" s="70"/>
      <c r="Q397" s="70"/>
      <c r="R397" s="70"/>
      <c r="S397" s="70"/>
      <c r="T397" s="70"/>
      <c r="U397" s="70"/>
      <c r="V397" s="70"/>
      <c r="W397" s="70"/>
      <c r="X397" s="70"/>
      <c r="Y397" s="70"/>
      <c r="Z397" s="70"/>
    </row>
    <row r="398" spans="1:26">
      <c r="A398" s="70" t="str">
        <f>IF('Item Setup Form'!$AF402="Yes",'Item Setup Form'!$E402,"")</f>
        <v/>
      </c>
      <c r="B398" s="70" t="str">
        <f>IF('Item Setup Form'!$AF402="Yes",'Item Setup Form'!D402,"")</f>
        <v/>
      </c>
      <c r="C398" s="81" t="str">
        <f>IF('Item Setup Form'!$AF402="Yes",'Item Setup Form'!L402,"")</f>
        <v/>
      </c>
      <c r="D398" s="81" t="str">
        <f>IF('Item Setup Form'!$AF402="Yes",'Item Setup Form'!M402,"")</f>
        <v/>
      </c>
      <c r="E398" s="70"/>
      <c r="F398" s="70" t="str">
        <f>IF('Item Setup Form'!$AF402="Yes",'Item Setup Form'!G402,"")</f>
        <v/>
      </c>
      <c r="G398" s="70" t="str">
        <f>IF('Item Setup Form'!$AF402="Yes",'Item Setup Form'!H402,"")</f>
        <v/>
      </c>
      <c r="H398" s="70" t="str">
        <f>IF('Item Setup Form'!$AF402="Yes",'Item Setup Form'!V402,"")</f>
        <v/>
      </c>
      <c r="I398" s="70"/>
      <c r="J398" s="70" t="str">
        <f>IF('Item Setup Form'!$AF402="Yes",'Item Setup Form'!U402,"")</f>
        <v/>
      </c>
      <c r="K398" s="70" t="str">
        <f>IF('Item Setup Form'!$AF402="Yes",'Item Setup Form'!V402,"")</f>
        <v/>
      </c>
      <c r="L398" s="70"/>
      <c r="M398" s="70" t="str">
        <f>IF('Item Setup Form'!$AF402="Yes",'Item Setup Form'!A402,"")</f>
        <v/>
      </c>
      <c r="N398" s="70"/>
      <c r="O398" s="70"/>
      <c r="P398" s="70"/>
      <c r="Q398" s="70"/>
      <c r="R398" s="70"/>
      <c r="S398" s="70"/>
      <c r="T398" s="70"/>
      <c r="U398" s="70"/>
      <c r="V398" s="70"/>
      <c r="W398" s="70"/>
      <c r="X398" s="70"/>
      <c r="Y398" s="70"/>
      <c r="Z398" s="70"/>
    </row>
    <row r="399" spans="1:26">
      <c r="A399" s="70" t="str">
        <f>IF('Item Setup Form'!$AF403="Yes",'Item Setup Form'!$E403,"")</f>
        <v/>
      </c>
      <c r="B399" s="70" t="str">
        <f>IF('Item Setup Form'!$AF403="Yes",'Item Setup Form'!D403,"")</f>
        <v/>
      </c>
      <c r="C399" s="81" t="str">
        <f>IF('Item Setup Form'!$AF403="Yes",'Item Setup Form'!L403,"")</f>
        <v/>
      </c>
      <c r="D399" s="81" t="str">
        <f>IF('Item Setup Form'!$AF403="Yes",'Item Setup Form'!M403,"")</f>
        <v/>
      </c>
      <c r="E399" s="70"/>
      <c r="F399" s="70" t="str">
        <f>IF('Item Setup Form'!$AF403="Yes",'Item Setup Form'!G403,"")</f>
        <v/>
      </c>
      <c r="G399" s="70" t="str">
        <f>IF('Item Setup Form'!$AF403="Yes",'Item Setup Form'!H403,"")</f>
        <v/>
      </c>
      <c r="H399" s="70" t="str">
        <f>IF('Item Setup Form'!$AF403="Yes",'Item Setup Form'!V403,"")</f>
        <v/>
      </c>
      <c r="I399" s="70"/>
      <c r="J399" s="70" t="str">
        <f>IF('Item Setup Form'!$AF403="Yes",'Item Setup Form'!U403,"")</f>
        <v/>
      </c>
      <c r="K399" s="70" t="str">
        <f>IF('Item Setup Form'!$AF403="Yes",'Item Setup Form'!V403,"")</f>
        <v/>
      </c>
      <c r="L399" s="70"/>
      <c r="M399" s="70" t="str">
        <f>IF('Item Setup Form'!$AF403="Yes",'Item Setup Form'!A403,"")</f>
        <v/>
      </c>
      <c r="N399" s="70"/>
      <c r="O399" s="70"/>
      <c r="P399" s="70"/>
      <c r="Q399" s="70"/>
      <c r="R399" s="70"/>
      <c r="S399" s="70"/>
      <c r="T399" s="70"/>
      <c r="U399" s="70"/>
      <c r="V399" s="70"/>
      <c r="W399" s="70"/>
      <c r="X399" s="70"/>
      <c r="Y399" s="70"/>
      <c r="Z399" s="70"/>
    </row>
    <row r="400" spans="1:26">
      <c r="A400" s="70" t="str">
        <f>IF('Item Setup Form'!$AF404="Yes",'Item Setup Form'!$E404,"")</f>
        <v/>
      </c>
      <c r="B400" s="70" t="str">
        <f>IF('Item Setup Form'!$AF404="Yes",'Item Setup Form'!D404,"")</f>
        <v/>
      </c>
      <c r="C400" s="81" t="str">
        <f>IF('Item Setup Form'!$AF404="Yes",'Item Setup Form'!L404,"")</f>
        <v/>
      </c>
      <c r="D400" s="81" t="str">
        <f>IF('Item Setup Form'!$AF404="Yes",'Item Setup Form'!M404,"")</f>
        <v/>
      </c>
      <c r="E400" s="70"/>
      <c r="F400" s="70" t="str">
        <f>IF('Item Setup Form'!$AF404="Yes",'Item Setup Form'!G404,"")</f>
        <v/>
      </c>
      <c r="G400" s="70" t="str">
        <f>IF('Item Setup Form'!$AF404="Yes",'Item Setup Form'!H404,"")</f>
        <v/>
      </c>
      <c r="H400" s="70" t="str">
        <f>IF('Item Setup Form'!$AF404="Yes",'Item Setup Form'!V404,"")</f>
        <v/>
      </c>
      <c r="I400" s="70"/>
      <c r="J400" s="70" t="str">
        <f>IF('Item Setup Form'!$AF404="Yes",'Item Setup Form'!U404,"")</f>
        <v/>
      </c>
      <c r="K400" s="70" t="str">
        <f>IF('Item Setup Form'!$AF404="Yes",'Item Setup Form'!V404,"")</f>
        <v/>
      </c>
      <c r="L400" s="70"/>
      <c r="M400" s="70" t="str">
        <f>IF('Item Setup Form'!$AF404="Yes",'Item Setup Form'!A404,"")</f>
        <v/>
      </c>
      <c r="N400" s="70"/>
      <c r="O400" s="70"/>
      <c r="P400" s="70"/>
      <c r="Q400" s="70"/>
      <c r="R400" s="70"/>
      <c r="S400" s="70"/>
      <c r="T400" s="70"/>
      <c r="U400" s="70"/>
      <c r="V400" s="70"/>
      <c r="W400" s="70"/>
      <c r="X400" s="70"/>
      <c r="Y400" s="70"/>
      <c r="Z400" s="70"/>
    </row>
    <row r="401" spans="1:26">
      <c r="A401" s="70" t="str">
        <f>IF('Item Setup Form'!$AF405="Yes",'Item Setup Form'!$E405,"")</f>
        <v/>
      </c>
      <c r="B401" s="70" t="str">
        <f>IF('Item Setup Form'!$AF405="Yes",'Item Setup Form'!D405,"")</f>
        <v/>
      </c>
      <c r="C401" s="81" t="str">
        <f>IF('Item Setup Form'!$AF405="Yes",'Item Setup Form'!L405,"")</f>
        <v/>
      </c>
      <c r="D401" s="81" t="str">
        <f>IF('Item Setup Form'!$AF405="Yes",'Item Setup Form'!M405,"")</f>
        <v/>
      </c>
      <c r="E401" s="70"/>
      <c r="F401" s="70" t="str">
        <f>IF('Item Setup Form'!$AF405="Yes",'Item Setup Form'!G405,"")</f>
        <v/>
      </c>
      <c r="G401" s="70" t="str">
        <f>IF('Item Setup Form'!$AF405="Yes",'Item Setup Form'!H405,"")</f>
        <v/>
      </c>
      <c r="H401" s="70" t="str">
        <f>IF('Item Setup Form'!$AF405="Yes",'Item Setup Form'!V405,"")</f>
        <v/>
      </c>
      <c r="I401" s="70"/>
      <c r="J401" s="70" t="str">
        <f>IF('Item Setup Form'!$AF405="Yes",'Item Setup Form'!U405,"")</f>
        <v/>
      </c>
      <c r="K401" s="70" t="str">
        <f>IF('Item Setup Form'!$AF405="Yes",'Item Setup Form'!V405,"")</f>
        <v/>
      </c>
      <c r="L401" s="70"/>
      <c r="M401" s="70" t="str">
        <f>IF('Item Setup Form'!$AF405="Yes",'Item Setup Form'!A405,"")</f>
        <v/>
      </c>
      <c r="N401" s="70"/>
      <c r="O401" s="70"/>
      <c r="P401" s="70"/>
      <c r="Q401" s="70"/>
      <c r="R401" s="70"/>
      <c r="S401" s="70"/>
      <c r="T401" s="70"/>
      <c r="U401" s="70"/>
      <c r="V401" s="70"/>
      <c r="W401" s="70"/>
      <c r="X401" s="70"/>
      <c r="Y401" s="70"/>
      <c r="Z401" s="70"/>
    </row>
    <row r="402" spans="1:26">
      <c r="A402" s="70" t="str">
        <f>IF('Item Setup Form'!$AF406="Yes",'Item Setup Form'!$E406,"")</f>
        <v/>
      </c>
      <c r="B402" s="70" t="str">
        <f>IF('Item Setup Form'!$AF406="Yes",'Item Setup Form'!D406,"")</f>
        <v/>
      </c>
      <c r="C402" s="81" t="str">
        <f>IF('Item Setup Form'!$AF406="Yes",'Item Setup Form'!L406,"")</f>
        <v/>
      </c>
      <c r="D402" s="81" t="str">
        <f>IF('Item Setup Form'!$AF406="Yes",'Item Setup Form'!M406,"")</f>
        <v/>
      </c>
      <c r="E402" s="70"/>
      <c r="F402" s="70" t="str">
        <f>IF('Item Setup Form'!$AF406="Yes",'Item Setup Form'!G406,"")</f>
        <v/>
      </c>
      <c r="G402" s="70" t="str">
        <f>IF('Item Setup Form'!$AF406="Yes",'Item Setup Form'!H406,"")</f>
        <v/>
      </c>
      <c r="H402" s="70" t="str">
        <f>IF('Item Setup Form'!$AF406="Yes",'Item Setup Form'!V406,"")</f>
        <v/>
      </c>
      <c r="I402" s="70"/>
      <c r="J402" s="70" t="str">
        <f>IF('Item Setup Form'!$AF406="Yes",'Item Setup Form'!U406,"")</f>
        <v/>
      </c>
      <c r="K402" s="70" t="str">
        <f>IF('Item Setup Form'!$AF406="Yes",'Item Setup Form'!V406,"")</f>
        <v/>
      </c>
      <c r="L402" s="70"/>
      <c r="M402" s="70" t="str">
        <f>IF('Item Setup Form'!$AF406="Yes",'Item Setup Form'!A406,"")</f>
        <v/>
      </c>
      <c r="N402" s="70"/>
      <c r="O402" s="70"/>
      <c r="P402" s="70"/>
      <c r="Q402" s="70"/>
      <c r="R402" s="70"/>
      <c r="S402" s="70"/>
      <c r="T402" s="70"/>
      <c r="U402" s="70"/>
      <c r="V402" s="70"/>
      <c r="W402" s="70"/>
      <c r="X402" s="70"/>
      <c r="Y402" s="70"/>
      <c r="Z402" s="70"/>
    </row>
    <row r="403" spans="1:26">
      <c r="A403" s="70" t="str">
        <f>IF('Item Setup Form'!$AF407="Yes",'Item Setup Form'!$E407,"")</f>
        <v/>
      </c>
      <c r="B403" s="70" t="str">
        <f>IF('Item Setup Form'!$AF407="Yes",'Item Setup Form'!D407,"")</f>
        <v/>
      </c>
      <c r="C403" s="81" t="str">
        <f>IF('Item Setup Form'!$AF407="Yes",'Item Setup Form'!L407,"")</f>
        <v/>
      </c>
      <c r="D403" s="81" t="str">
        <f>IF('Item Setup Form'!$AF407="Yes",'Item Setup Form'!M407,"")</f>
        <v/>
      </c>
      <c r="E403" s="70"/>
      <c r="F403" s="70" t="str">
        <f>IF('Item Setup Form'!$AF407="Yes",'Item Setup Form'!G407,"")</f>
        <v/>
      </c>
      <c r="G403" s="70" t="str">
        <f>IF('Item Setup Form'!$AF407="Yes",'Item Setup Form'!H407,"")</f>
        <v/>
      </c>
      <c r="H403" s="70" t="str">
        <f>IF('Item Setup Form'!$AF407="Yes",'Item Setup Form'!V407,"")</f>
        <v/>
      </c>
      <c r="I403" s="70"/>
      <c r="J403" s="70" t="str">
        <f>IF('Item Setup Form'!$AF407="Yes",'Item Setup Form'!U407,"")</f>
        <v/>
      </c>
      <c r="K403" s="70" t="str">
        <f>IF('Item Setup Form'!$AF407="Yes",'Item Setup Form'!V407,"")</f>
        <v/>
      </c>
      <c r="L403" s="70"/>
      <c r="M403" s="70" t="str">
        <f>IF('Item Setup Form'!$AF407="Yes",'Item Setup Form'!A407,"")</f>
        <v/>
      </c>
      <c r="N403" s="70"/>
      <c r="O403" s="70"/>
      <c r="P403" s="70"/>
      <c r="Q403" s="70"/>
      <c r="R403" s="70"/>
      <c r="S403" s="70"/>
      <c r="T403" s="70"/>
      <c r="U403" s="70"/>
      <c r="V403" s="70"/>
      <c r="W403" s="70"/>
      <c r="X403" s="70"/>
      <c r="Y403" s="70"/>
      <c r="Z403" s="70"/>
    </row>
    <row r="404" spans="1:26">
      <c r="A404" s="70" t="str">
        <f>IF('Item Setup Form'!$AF408="Yes",'Item Setup Form'!$E408,"")</f>
        <v/>
      </c>
      <c r="B404" s="70" t="str">
        <f>IF('Item Setup Form'!$AF408="Yes",'Item Setup Form'!D408,"")</f>
        <v/>
      </c>
      <c r="C404" s="81" t="str">
        <f>IF('Item Setup Form'!$AF408="Yes",'Item Setup Form'!L408,"")</f>
        <v/>
      </c>
      <c r="D404" s="81" t="str">
        <f>IF('Item Setup Form'!$AF408="Yes",'Item Setup Form'!M408,"")</f>
        <v/>
      </c>
      <c r="E404" s="70"/>
      <c r="F404" s="70" t="str">
        <f>IF('Item Setup Form'!$AF408="Yes",'Item Setup Form'!G408,"")</f>
        <v/>
      </c>
      <c r="G404" s="70" t="str">
        <f>IF('Item Setup Form'!$AF408="Yes",'Item Setup Form'!H408,"")</f>
        <v/>
      </c>
      <c r="H404" s="70" t="str">
        <f>IF('Item Setup Form'!$AF408="Yes",'Item Setup Form'!V408,"")</f>
        <v/>
      </c>
      <c r="I404" s="70"/>
      <c r="J404" s="70" t="str">
        <f>IF('Item Setup Form'!$AF408="Yes",'Item Setup Form'!U408,"")</f>
        <v/>
      </c>
      <c r="K404" s="70" t="str">
        <f>IF('Item Setup Form'!$AF408="Yes",'Item Setup Form'!V408,"")</f>
        <v/>
      </c>
      <c r="L404" s="70"/>
      <c r="M404" s="70" t="str">
        <f>IF('Item Setup Form'!$AF408="Yes",'Item Setup Form'!A408,"")</f>
        <v/>
      </c>
      <c r="N404" s="70"/>
      <c r="O404" s="70"/>
      <c r="P404" s="70"/>
      <c r="Q404" s="70"/>
      <c r="R404" s="70"/>
      <c r="S404" s="70"/>
      <c r="T404" s="70"/>
      <c r="U404" s="70"/>
      <c r="V404" s="70"/>
      <c r="W404" s="70"/>
      <c r="X404" s="70"/>
      <c r="Y404" s="70"/>
      <c r="Z404" s="70"/>
    </row>
    <row r="405" spans="1:26">
      <c r="A405" s="70" t="str">
        <f>IF('Item Setup Form'!$AF409="Yes",'Item Setup Form'!$E409,"")</f>
        <v/>
      </c>
      <c r="B405" s="70" t="str">
        <f>IF('Item Setup Form'!$AF409="Yes",'Item Setup Form'!D409,"")</f>
        <v/>
      </c>
      <c r="C405" s="81" t="str">
        <f>IF('Item Setup Form'!$AF409="Yes",'Item Setup Form'!L409,"")</f>
        <v/>
      </c>
      <c r="D405" s="81" t="str">
        <f>IF('Item Setup Form'!$AF409="Yes",'Item Setup Form'!M409,"")</f>
        <v/>
      </c>
      <c r="E405" s="70"/>
      <c r="F405" s="70" t="str">
        <f>IF('Item Setup Form'!$AF409="Yes",'Item Setup Form'!G409,"")</f>
        <v/>
      </c>
      <c r="G405" s="70" t="str">
        <f>IF('Item Setup Form'!$AF409="Yes",'Item Setup Form'!H409,"")</f>
        <v/>
      </c>
      <c r="H405" s="70" t="str">
        <f>IF('Item Setup Form'!$AF409="Yes",'Item Setup Form'!V409,"")</f>
        <v/>
      </c>
      <c r="I405" s="70"/>
      <c r="J405" s="70" t="str">
        <f>IF('Item Setup Form'!$AF409="Yes",'Item Setup Form'!U409,"")</f>
        <v/>
      </c>
      <c r="K405" s="70" t="str">
        <f>IF('Item Setup Form'!$AF409="Yes",'Item Setup Form'!V409,"")</f>
        <v/>
      </c>
      <c r="L405" s="70"/>
      <c r="M405" s="70" t="str">
        <f>IF('Item Setup Form'!$AF409="Yes",'Item Setup Form'!A409,"")</f>
        <v/>
      </c>
      <c r="N405" s="70"/>
      <c r="O405" s="70"/>
      <c r="P405" s="70"/>
      <c r="Q405" s="70"/>
      <c r="R405" s="70"/>
      <c r="S405" s="70"/>
      <c r="T405" s="70"/>
      <c r="U405" s="70"/>
      <c r="V405" s="70"/>
      <c r="W405" s="70"/>
      <c r="X405" s="70"/>
      <c r="Y405" s="70"/>
      <c r="Z405" s="70"/>
    </row>
    <row r="406" spans="1:26">
      <c r="A406" s="70" t="str">
        <f>IF('Item Setup Form'!$AF410="Yes",'Item Setup Form'!$E410,"")</f>
        <v/>
      </c>
      <c r="B406" s="70" t="str">
        <f>IF('Item Setup Form'!$AF410="Yes",'Item Setup Form'!D410,"")</f>
        <v/>
      </c>
      <c r="C406" s="81" t="str">
        <f>IF('Item Setup Form'!$AF410="Yes",'Item Setup Form'!L410,"")</f>
        <v/>
      </c>
      <c r="D406" s="81" t="str">
        <f>IF('Item Setup Form'!$AF410="Yes",'Item Setup Form'!M410,"")</f>
        <v/>
      </c>
      <c r="E406" s="70"/>
      <c r="F406" s="70" t="str">
        <f>IF('Item Setup Form'!$AF410="Yes",'Item Setup Form'!G410,"")</f>
        <v/>
      </c>
      <c r="G406" s="70" t="str">
        <f>IF('Item Setup Form'!$AF410="Yes",'Item Setup Form'!H410,"")</f>
        <v/>
      </c>
      <c r="H406" s="70" t="str">
        <f>IF('Item Setup Form'!$AF410="Yes",'Item Setup Form'!V410,"")</f>
        <v/>
      </c>
      <c r="I406" s="70"/>
      <c r="J406" s="70" t="str">
        <f>IF('Item Setup Form'!$AF410="Yes",'Item Setup Form'!U410,"")</f>
        <v/>
      </c>
      <c r="K406" s="70" t="str">
        <f>IF('Item Setup Form'!$AF410="Yes",'Item Setup Form'!V410,"")</f>
        <v/>
      </c>
      <c r="L406" s="70"/>
      <c r="M406" s="70" t="str">
        <f>IF('Item Setup Form'!$AF410="Yes",'Item Setup Form'!A410,"")</f>
        <v/>
      </c>
      <c r="N406" s="70"/>
      <c r="O406" s="70"/>
      <c r="P406" s="70"/>
      <c r="Q406" s="70"/>
      <c r="R406" s="70"/>
      <c r="S406" s="70"/>
      <c r="T406" s="70"/>
      <c r="U406" s="70"/>
      <c r="V406" s="70"/>
      <c r="W406" s="70"/>
      <c r="X406" s="70"/>
      <c r="Y406" s="70"/>
      <c r="Z406" s="70"/>
    </row>
    <row r="407" spans="1:26">
      <c r="A407" s="70" t="str">
        <f>IF('Item Setup Form'!$AF411="Yes",'Item Setup Form'!$E411,"")</f>
        <v/>
      </c>
      <c r="B407" s="70" t="str">
        <f>IF('Item Setup Form'!$AF411="Yes",'Item Setup Form'!D411,"")</f>
        <v/>
      </c>
      <c r="C407" s="81" t="str">
        <f>IF('Item Setup Form'!$AF411="Yes",'Item Setup Form'!L411,"")</f>
        <v/>
      </c>
      <c r="D407" s="81" t="str">
        <f>IF('Item Setup Form'!$AF411="Yes",'Item Setup Form'!M411,"")</f>
        <v/>
      </c>
      <c r="E407" s="70"/>
      <c r="F407" s="70" t="str">
        <f>IF('Item Setup Form'!$AF411="Yes",'Item Setup Form'!G411,"")</f>
        <v/>
      </c>
      <c r="G407" s="70" t="str">
        <f>IF('Item Setup Form'!$AF411="Yes",'Item Setup Form'!H411,"")</f>
        <v/>
      </c>
      <c r="H407" s="70" t="str">
        <f>IF('Item Setup Form'!$AF411="Yes",'Item Setup Form'!V411,"")</f>
        <v/>
      </c>
      <c r="I407" s="70"/>
      <c r="J407" s="70" t="str">
        <f>IF('Item Setup Form'!$AF411="Yes",'Item Setup Form'!U411,"")</f>
        <v/>
      </c>
      <c r="K407" s="70" t="str">
        <f>IF('Item Setup Form'!$AF411="Yes",'Item Setup Form'!V411,"")</f>
        <v/>
      </c>
      <c r="L407" s="70"/>
      <c r="M407" s="70" t="str">
        <f>IF('Item Setup Form'!$AF411="Yes",'Item Setup Form'!A411,"")</f>
        <v/>
      </c>
      <c r="N407" s="70"/>
      <c r="O407" s="70"/>
      <c r="P407" s="70"/>
      <c r="Q407" s="70"/>
      <c r="R407" s="70"/>
      <c r="S407" s="70"/>
      <c r="T407" s="70"/>
      <c r="U407" s="70"/>
      <c r="V407" s="70"/>
      <c r="W407" s="70"/>
      <c r="X407" s="70"/>
      <c r="Y407" s="70"/>
      <c r="Z407" s="70"/>
    </row>
    <row r="408" spans="1:26">
      <c r="A408" s="70" t="str">
        <f>IF('Item Setup Form'!$AF412="Yes",'Item Setup Form'!$E412,"")</f>
        <v/>
      </c>
      <c r="B408" s="70" t="str">
        <f>IF('Item Setup Form'!$AF412="Yes",'Item Setup Form'!D412,"")</f>
        <v/>
      </c>
      <c r="C408" s="81" t="str">
        <f>IF('Item Setup Form'!$AF412="Yes",'Item Setup Form'!L412,"")</f>
        <v/>
      </c>
      <c r="D408" s="81" t="str">
        <f>IF('Item Setup Form'!$AF412="Yes",'Item Setup Form'!M412,"")</f>
        <v/>
      </c>
      <c r="E408" s="70"/>
      <c r="F408" s="70" t="str">
        <f>IF('Item Setup Form'!$AF412="Yes",'Item Setup Form'!G412,"")</f>
        <v/>
      </c>
      <c r="G408" s="70" t="str">
        <f>IF('Item Setup Form'!$AF412="Yes",'Item Setup Form'!H412,"")</f>
        <v/>
      </c>
      <c r="H408" s="70" t="str">
        <f>IF('Item Setup Form'!$AF412="Yes",'Item Setup Form'!V412,"")</f>
        <v/>
      </c>
      <c r="I408" s="70"/>
      <c r="J408" s="70" t="str">
        <f>IF('Item Setup Form'!$AF412="Yes",'Item Setup Form'!U412,"")</f>
        <v/>
      </c>
      <c r="K408" s="70" t="str">
        <f>IF('Item Setup Form'!$AF412="Yes",'Item Setup Form'!V412,"")</f>
        <v/>
      </c>
      <c r="L408" s="70"/>
      <c r="M408" s="70" t="str">
        <f>IF('Item Setup Form'!$AF412="Yes",'Item Setup Form'!A412,"")</f>
        <v/>
      </c>
      <c r="N408" s="70"/>
      <c r="O408" s="70"/>
      <c r="P408" s="70"/>
      <c r="Q408" s="70"/>
      <c r="R408" s="70"/>
      <c r="S408" s="70"/>
      <c r="T408" s="70"/>
      <c r="U408" s="70"/>
      <c r="V408" s="70"/>
      <c r="W408" s="70"/>
      <c r="X408" s="70"/>
      <c r="Y408" s="70"/>
      <c r="Z408" s="70"/>
    </row>
    <row r="409" spans="1:26">
      <c r="A409" s="70" t="str">
        <f>IF('Item Setup Form'!$AF413="Yes",'Item Setup Form'!$E413,"")</f>
        <v/>
      </c>
      <c r="B409" s="70" t="str">
        <f>IF('Item Setup Form'!$AF413="Yes",'Item Setup Form'!D413,"")</f>
        <v/>
      </c>
      <c r="C409" s="81" t="str">
        <f>IF('Item Setup Form'!$AF413="Yes",'Item Setup Form'!L413,"")</f>
        <v/>
      </c>
      <c r="D409" s="81" t="str">
        <f>IF('Item Setup Form'!$AF413="Yes",'Item Setup Form'!M413,"")</f>
        <v/>
      </c>
      <c r="E409" s="70"/>
      <c r="F409" s="70" t="str">
        <f>IF('Item Setup Form'!$AF413="Yes",'Item Setup Form'!G413,"")</f>
        <v/>
      </c>
      <c r="G409" s="70" t="str">
        <f>IF('Item Setup Form'!$AF413="Yes",'Item Setup Form'!H413,"")</f>
        <v/>
      </c>
      <c r="H409" s="70" t="str">
        <f>IF('Item Setup Form'!$AF413="Yes",'Item Setup Form'!V413,"")</f>
        <v/>
      </c>
      <c r="I409" s="70"/>
      <c r="J409" s="70" t="str">
        <f>IF('Item Setup Form'!$AF413="Yes",'Item Setup Form'!U413,"")</f>
        <v/>
      </c>
      <c r="K409" s="70" t="str">
        <f>IF('Item Setup Form'!$AF413="Yes",'Item Setup Form'!V413,"")</f>
        <v/>
      </c>
      <c r="L409" s="70"/>
      <c r="M409" s="70" t="str">
        <f>IF('Item Setup Form'!$AF413="Yes",'Item Setup Form'!A413,"")</f>
        <v/>
      </c>
      <c r="N409" s="70"/>
      <c r="O409" s="70"/>
      <c r="P409" s="70"/>
      <c r="Q409" s="70"/>
      <c r="R409" s="70"/>
      <c r="S409" s="70"/>
      <c r="T409" s="70"/>
      <c r="U409" s="70"/>
      <c r="V409" s="70"/>
      <c r="W409" s="70"/>
      <c r="X409" s="70"/>
      <c r="Y409" s="70"/>
      <c r="Z409" s="70"/>
    </row>
    <row r="410" spans="1:26">
      <c r="A410" s="70" t="str">
        <f>IF('Item Setup Form'!$AF414="Yes",'Item Setup Form'!$E414,"")</f>
        <v/>
      </c>
      <c r="B410" s="70" t="str">
        <f>IF('Item Setup Form'!$AF414="Yes",'Item Setup Form'!D414,"")</f>
        <v/>
      </c>
      <c r="C410" s="81" t="str">
        <f>IF('Item Setup Form'!$AF414="Yes",'Item Setup Form'!L414,"")</f>
        <v/>
      </c>
      <c r="D410" s="81" t="str">
        <f>IF('Item Setup Form'!$AF414="Yes",'Item Setup Form'!M414,"")</f>
        <v/>
      </c>
      <c r="E410" s="70"/>
      <c r="F410" s="70" t="str">
        <f>IF('Item Setup Form'!$AF414="Yes",'Item Setup Form'!G414,"")</f>
        <v/>
      </c>
      <c r="G410" s="70" t="str">
        <f>IF('Item Setup Form'!$AF414="Yes",'Item Setup Form'!H414,"")</f>
        <v/>
      </c>
      <c r="H410" s="70" t="str">
        <f>IF('Item Setup Form'!$AF414="Yes",'Item Setup Form'!V414,"")</f>
        <v/>
      </c>
      <c r="I410" s="70"/>
      <c r="J410" s="70" t="str">
        <f>IF('Item Setup Form'!$AF414="Yes",'Item Setup Form'!U414,"")</f>
        <v/>
      </c>
      <c r="K410" s="70" t="str">
        <f>IF('Item Setup Form'!$AF414="Yes",'Item Setup Form'!V414,"")</f>
        <v/>
      </c>
      <c r="L410" s="70"/>
      <c r="M410" s="70" t="str">
        <f>IF('Item Setup Form'!$AF414="Yes",'Item Setup Form'!A414,"")</f>
        <v/>
      </c>
      <c r="N410" s="70"/>
      <c r="O410" s="70"/>
      <c r="P410" s="70"/>
      <c r="Q410" s="70"/>
      <c r="R410" s="70"/>
      <c r="S410" s="70"/>
      <c r="T410" s="70"/>
      <c r="U410" s="70"/>
      <c r="V410" s="70"/>
      <c r="W410" s="70"/>
      <c r="X410" s="70"/>
      <c r="Y410" s="70"/>
      <c r="Z410" s="70"/>
    </row>
    <row r="411" spans="1:26">
      <c r="A411" s="70" t="str">
        <f>IF('Item Setup Form'!$AF415="Yes",'Item Setup Form'!$E415,"")</f>
        <v/>
      </c>
      <c r="B411" s="70" t="str">
        <f>IF('Item Setup Form'!$AF415="Yes",'Item Setup Form'!D415,"")</f>
        <v/>
      </c>
      <c r="C411" s="81" t="str">
        <f>IF('Item Setup Form'!$AF415="Yes",'Item Setup Form'!L415,"")</f>
        <v/>
      </c>
      <c r="D411" s="81" t="str">
        <f>IF('Item Setup Form'!$AF415="Yes",'Item Setup Form'!M415,"")</f>
        <v/>
      </c>
      <c r="E411" s="70"/>
      <c r="F411" s="70" t="str">
        <f>IF('Item Setup Form'!$AF415="Yes",'Item Setup Form'!G415,"")</f>
        <v/>
      </c>
      <c r="G411" s="70" t="str">
        <f>IF('Item Setup Form'!$AF415="Yes",'Item Setup Form'!H415,"")</f>
        <v/>
      </c>
      <c r="H411" s="70" t="str">
        <f>IF('Item Setup Form'!$AF415="Yes",'Item Setup Form'!V415,"")</f>
        <v/>
      </c>
      <c r="I411" s="70"/>
      <c r="J411" s="70" t="str">
        <f>IF('Item Setup Form'!$AF415="Yes",'Item Setup Form'!U415,"")</f>
        <v/>
      </c>
      <c r="K411" s="70" t="str">
        <f>IF('Item Setup Form'!$AF415="Yes",'Item Setup Form'!V415,"")</f>
        <v/>
      </c>
      <c r="L411" s="70"/>
      <c r="M411" s="70" t="str">
        <f>IF('Item Setup Form'!$AF415="Yes",'Item Setup Form'!A415,"")</f>
        <v/>
      </c>
      <c r="N411" s="70"/>
      <c r="O411" s="70"/>
      <c r="P411" s="70"/>
      <c r="Q411" s="70"/>
      <c r="R411" s="70"/>
      <c r="S411" s="70"/>
      <c r="T411" s="70"/>
      <c r="U411" s="70"/>
      <c r="V411" s="70"/>
      <c r="W411" s="70"/>
      <c r="X411" s="70"/>
      <c r="Y411" s="70"/>
      <c r="Z411" s="70"/>
    </row>
    <row r="412" spans="1:26">
      <c r="A412" s="70" t="str">
        <f>IF('Item Setup Form'!$AF416="Yes",'Item Setup Form'!$E416,"")</f>
        <v/>
      </c>
      <c r="B412" s="70" t="str">
        <f>IF('Item Setup Form'!$AF416="Yes",'Item Setup Form'!D416,"")</f>
        <v/>
      </c>
      <c r="C412" s="81" t="str">
        <f>IF('Item Setup Form'!$AF416="Yes",'Item Setup Form'!L416,"")</f>
        <v/>
      </c>
      <c r="D412" s="81" t="str">
        <f>IF('Item Setup Form'!$AF416="Yes",'Item Setup Form'!M416,"")</f>
        <v/>
      </c>
      <c r="E412" s="70"/>
      <c r="F412" s="70" t="str">
        <f>IF('Item Setup Form'!$AF416="Yes",'Item Setup Form'!G416,"")</f>
        <v/>
      </c>
      <c r="G412" s="70" t="str">
        <f>IF('Item Setup Form'!$AF416="Yes",'Item Setup Form'!H416,"")</f>
        <v/>
      </c>
      <c r="H412" s="70" t="str">
        <f>IF('Item Setup Form'!$AF416="Yes",'Item Setup Form'!V416,"")</f>
        <v/>
      </c>
      <c r="I412" s="70"/>
      <c r="J412" s="70" t="str">
        <f>IF('Item Setup Form'!$AF416="Yes",'Item Setup Form'!U416,"")</f>
        <v/>
      </c>
      <c r="K412" s="70" t="str">
        <f>IF('Item Setup Form'!$AF416="Yes",'Item Setup Form'!V416,"")</f>
        <v/>
      </c>
      <c r="L412" s="70"/>
      <c r="M412" s="70" t="str">
        <f>IF('Item Setup Form'!$AF416="Yes",'Item Setup Form'!A416,"")</f>
        <v/>
      </c>
      <c r="N412" s="70"/>
      <c r="O412" s="70"/>
      <c r="P412" s="70"/>
      <c r="Q412" s="70"/>
      <c r="R412" s="70"/>
      <c r="S412" s="70"/>
      <c r="T412" s="70"/>
      <c r="U412" s="70"/>
      <c r="V412" s="70"/>
      <c r="W412" s="70"/>
      <c r="X412" s="70"/>
      <c r="Y412" s="70"/>
      <c r="Z412" s="70"/>
    </row>
    <row r="413" spans="1:26">
      <c r="A413" s="70" t="str">
        <f>IF('Item Setup Form'!$AF417="Yes",'Item Setup Form'!$E417,"")</f>
        <v/>
      </c>
      <c r="B413" s="70" t="str">
        <f>IF('Item Setup Form'!$AF417="Yes",'Item Setup Form'!D417,"")</f>
        <v/>
      </c>
      <c r="C413" s="81" t="str">
        <f>IF('Item Setup Form'!$AF417="Yes",'Item Setup Form'!L417,"")</f>
        <v/>
      </c>
      <c r="D413" s="81" t="str">
        <f>IF('Item Setup Form'!$AF417="Yes",'Item Setup Form'!M417,"")</f>
        <v/>
      </c>
      <c r="E413" s="70"/>
      <c r="F413" s="70" t="str">
        <f>IF('Item Setup Form'!$AF417="Yes",'Item Setup Form'!G417,"")</f>
        <v/>
      </c>
      <c r="G413" s="70" t="str">
        <f>IF('Item Setup Form'!$AF417="Yes",'Item Setup Form'!H417,"")</f>
        <v/>
      </c>
      <c r="H413" s="70" t="str">
        <f>IF('Item Setup Form'!$AF417="Yes",'Item Setup Form'!V417,"")</f>
        <v/>
      </c>
      <c r="I413" s="70"/>
      <c r="J413" s="70" t="str">
        <f>IF('Item Setup Form'!$AF417="Yes",'Item Setup Form'!U417,"")</f>
        <v/>
      </c>
      <c r="K413" s="70" t="str">
        <f>IF('Item Setup Form'!$AF417="Yes",'Item Setup Form'!V417,"")</f>
        <v/>
      </c>
      <c r="L413" s="70"/>
      <c r="M413" s="70" t="str">
        <f>IF('Item Setup Form'!$AF417="Yes",'Item Setup Form'!A417,"")</f>
        <v/>
      </c>
      <c r="N413" s="70"/>
      <c r="O413" s="70"/>
      <c r="P413" s="70"/>
      <c r="Q413" s="70"/>
      <c r="R413" s="70"/>
      <c r="S413" s="70"/>
      <c r="T413" s="70"/>
      <c r="U413" s="70"/>
      <c r="V413" s="70"/>
      <c r="W413" s="70"/>
      <c r="X413" s="70"/>
      <c r="Y413" s="70"/>
      <c r="Z413" s="70"/>
    </row>
    <row r="414" spans="1:26">
      <c r="A414" s="70" t="str">
        <f>IF('Item Setup Form'!$AF418="Yes",'Item Setup Form'!$E418,"")</f>
        <v/>
      </c>
      <c r="B414" s="70" t="str">
        <f>IF('Item Setup Form'!$AF418="Yes",'Item Setup Form'!D418,"")</f>
        <v/>
      </c>
      <c r="C414" s="81" t="str">
        <f>IF('Item Setup Form'!$AF418="Yes",'Item Setup Form'!L418,"")</f>
        <v/>
      </c>
      <c r="D414" s="81" t="str">
        <f>IF('Item Setup Form'!$AF418="Yes",'Item Setup Form'!M418,"")</f>
        <v/>
      </c>
      <c r="E414" s="70"/>
      <c r="F414" s="70" t="str">
        <f>IF('Item Setup Form'!$AF418="Yes",'Item Setup Form'!G418,"")</f>
        <v/>
      </c>
      <c r="G414" s="70" t="str">
        <f>IF('Item Setup Form'!$AF418="Yes",'Item Setup Form'!H418,"")</f>
        <v/>
      </c>
      <c r="H414" s="70" t="str">
        <f>IF('Item Setup Form'!$AF418="Yes",'Item Setup Form'!V418,"")</f>
        <v/>
      </c>
      <c r="I414" s="70"/>
      <c r="J414" s="70" t="str">
        <f>IF('Item Setup Form'!$AF418="Yes",'Item Setup Form'!U418,"")</f>
        <v/>
      </c>
      <c r="K414" s="70" t="str">
        <f>IF('Item Setup Form'!$AF418="Yes",'Item Setup Form'!V418,"")</f>
        <v/>
      </c>
      <c r="L414" s="70"/>
      <c r="M414" s="70" t="str">
        <f>IF('Item Setup Form'!$AF418="Yes",'Item Setup Form'!A418,"")</f>
        <v/>
      </c>
      <c r="N414" s="70"/>
      <c r="O414" s="70"/>
      <c r="P414" s="70"/>
      <c r="Q414" s="70"/>
      <c r="R414" s="70"/>
      <c r="S414" s="70"/>
      <c r="T414" s="70"/>
      <c r="U414" s="70"/>
      <c r="V414" s="70"/>
      <c r="W414" s="70"/>
      <c r="X414" s="70"/>
      <c r="Y414" s="70"/>
      <c r="Z414" s="70"/>
    </row>
    <row r="415" spans="1:26">
      <c r="A415" s="70" t="str">
        <f>IF('Item Setup Form'!$AF419="Yes",'Item Setup Form'!$E419,"")</f>
        <v/>
      </c>
      <c r="B415" s="70" t="str">
        <f>IF('Item Setup Form'!$AF419="Yes",'Item Setup Form'!D419,"")</f>
        <v/>
      </c>
      <c r="C415" s="81" t="str">
        <f>IF('Item Setup Form'!$AF419="Yes",'Item Setup Form'!L419,"")</f>
        <v/>
      </c>
      <c r="D415" s="81" t="str">
        <f>IF('Item Setup Form'!$AF419="Yes",'Item Setup Form'!M419,"")</f>
        <v/>
      </c>
      <c r="E415" s="70"/>
      <c r="F415" s="70" t="str">
        <f>IF('Item Setup Form'!$AF419="Yes",'Item Setup Form'!G419,"")</f>
        <v/>
      </c>
      <c r="G415" s="70" t="str">
        <f>IF('Item Setup Form'!$AF419="Yes",'Item Setup Form'!H419,"")</f>
        <v/>
      </c>
      <c r="H415" s="70" t="str">
        <f>IF('Item Setup Form'!$AF419="Yes",'Item Setup Form'!V419,"")</f>
        <v/>
      </c>
      <c r="I415" s="70"/>
      <c r="J415" s="70" t="str">
        <f>IF('Item Setup Form'!$AF419="Yes",'Item Setup Form'!U419,"")</f>
        <v/>
      </c>
      <c r="K415" s="70" t="str">
        <f>IF('Item Setup Form'!$AF419="Yes",'Item Setup Form'!V419,"")</f>
        <v/>
      </c>
      <c r="L415" s="70"/>
      <c r="M415" s="70" t="str">
        <f>IF('Item Setup Form'!$AF419="Yes",'Item Setup Form'!A419,"")</f>
        <v/>
      </c>
      <c r="N415" s="70"/>
      <c r="O415" s="70"/>
      <c r="P415" s="70"/>
      <c r="Q415" s="70"/>
      <c r="R415" s="70"/>
      <c r="S415" s="70"/>
      <c r="T415" s="70"/>
      <c r="U415" s="70"/>
      <c r="V415" s="70"/>
      <c r="W415" s="70"/>
      <c r="X415" s="70"/>
      <c r="Y415" s="70"/>
      <c r="Z415" s="70"/>
    </row>
    <row r="416" spans="1:26">
      <c r="A416" s="70" t="str">
        <f>IF('Item Setup Form'!$AF420="Yes",'Item Setup Form'!$E420,"")</f>
        <v/>
      </c>
      <c r="B416" s="70" t="str">
        <f>IF('Item Setup Form'!$AF420="Yes",'Item Setup Form'!D420,"")</f>
        <v/>
      </c>
      <c r="C416" s="81" t="str">
        <f>IF('Item Setup Form'!$AF420="Yes",'Item Setup Form'!L420,"")</f>
        <v/>
      </c>
      <c r="D416" s="81" t="str">
        <f>IF('Item Setup Form'!$AF420="Yes",'Item Setup Form'!M420,"")</f>
        <v/>
      </c>
      <c r="E416" s="70"/>
      <c r="F416" s="70" t="str">
        <f>IF('Item Setup Form'!$AF420="Yes",'Item Setup Form'!G420,"")</f>
        <v/>
      </c>
      <c r="G416" s="70" t="str">
        <f>IF('Item Setup Form'!$AF420="Yes",'Item Setup Form'!H420,"")</f>
        <v/>
      </c>
      <c r="H416" s="70" t="str">
        <f>IF('Item Setup Form'!$AF420="Yes",'Item Setup Form'!V420,"")</f>
        <v/>
      </c>
      <c r="I416" s="70"/>
      <c r="J416" s="70" t="str">
        <f>IF('Item Setup Form'!$AF420="Yes",'Item Setup Form'!U420,"")</f>
        <v/>
      </c>
      <c r="K416" s="70" t="str">
        <f>IF('Item Setup Form'!$AF420="Yes",'Item Setup Form'!V420,"")</f>
        <v/>
      </c>
      <c r="L416" s="70"/>
      <c r="M416" s="70" t="str">
        <f>IF('Item Setup Form'!$AF420="Yes",'Item Setup Form'!A420,"")</f>
        <v/>
      </c>
      <c r="N416" s="70"/>
      <c r="O416" s="70"/>
      <c r="P416" s="70"/>
      <c r="Q416" s="70"/>
      <c r="R416" s="70"/>
      <c r="S416" s="70"/>
      <c r="T416" s="70"/>
      <c r="U416" s="70"/>
      <c r="V416" s="70"/>
      <c r="W416" s="70"/>
      <c r="X416" s="70"/>
      <c r="Y416" s="70"/>
      <c r="Z416" s="70"/>
    </row>
    <row r="417" spans="1:26">
      <c r="A417" s="70" t="str">
        <f>IF('Item Setup Form'!$AF421="Yes",'Item Setup Form'!$E421,"")</f>
        <v/>
      </c>
      <c r="B417" s="70" t="str">
        <f>IF('Item Setup Form'!$AF421="Yes",'Item Setup Form'!D421,"")</f>
        <v/>
      </c>
      <c r="C417" s="81" t="str">
        <f>IF('Item Setup Form'!$AF421="Yes",'Item Setup Form'!L421,"")</f>
        <v/>
      </c>
      <c r="D417" s="81" t="str">
        <f>IF('Item Setup Form'!$AF421="Yes",'Item Setup Form'!M421,"")</f>
        <v/>
      </c>
      <c r="E417" s="70"/>
      <c r="F417" s="70" t="str">
        <f>IF('Item Setup Form'!$AF421="Yes",'Item Setup Form'!G421,"")</f>
        <v/>
      </c>
      <c r="G417" s="70" t="str">
        <f>IF('Item Setup Form'!$AF421="Yes",'Item Setup Form'!H421,"")</f>
        <v/>
      </c>
      <c r="H417" s="70" t="str">
        <f>IF('Item Setup Form'!$AF421="Yes",'Item Setup Form'!V421,"")</f>
        <v/>
      </c>
      <c r="I417" s="70"/>
      <c r="J417" s="70" t="str">
        <f>IF('Item Setup Form'!$AF421="Yes",'Item Setup Form'!U421,"")</f>
        <v/>
      </c>
      <c r="K417" s="70" t="str">
        <f>IF('Item Setup Form'!$AF421="Yes",'Item Setup Form'!V421,"")</f>
        <v/>
      </c>
      <c r="L417" s="70"/>
      <c r="M417" s="70" t="str">
        <f>IF('Item Setup Form'!$AF421="Yes",'Item Setup Form'!A421,"")</f>
        <v/>
      </c>
      <c r="N417" s="70"/>
      <c r="O417" s="70"/>
      <c r="P417" s="70"/>
      <c r="Q417" s="70"/>
      <c r="R417" s="70"/>
      <c r="S417" s="70"/>
      <c r="T417" s="70"/>
      <c r="U417" s="70"/>
      <c r="V417" s="70"/>
      <c r="W417" s="70"/>
      <c r="X417" s="70"/>
      <c r="Y417" s="70"/>
      <c r="Z417" s="70"/>
    </row>
    <row r="418" spans="1:26">
      <c r="A418" s="70" t="str">
        <f>IF('Item Setup Form'!$AF422="Yes",'Item Setup Form'!$E422,"")</f>
        <v/>
      </c>
      <c r="B418" s="70" t="str">
        <f>IF('Item Setup Form'!$AF422="Yes",'Item Setup Form'!D422,"")</f>
        <v/>
      </c>
      <c r="C418" s="81" t="str">
        <f>IF('Item Setup Form'!$AF422="Yes",'Item Setup Form'!L422,"")</f>
        <v/>
      </c>
      <c r="D418" s="81" t="str">
        <f>IF('Item Setup Form'!$AF422="Yes",'Item Setup Form'!M422,"")</f>
        <v/>
      </c>
      <c r="E418" s="70"/>
      <c r="F418" s="70" t="str">
        <f>IF('Item Setup Form'!$AF422="Yes",'Item Setup Form'!G422,"")</f>
        <v/>
      </c>
      <c r="G418" s="70" t="str">
        <f>IF('Item Setup Form'!$AF422="Yes",'Item Setup Form'!H422,"")</f>
        <v/>
      </c>
      <c r="H418" s="70" t="str">
        <f>IF('Item Setup Form'!$AF422="Yes",'Item Setup Form'!V422,"")</f>
        <v/>
      </c>
      <c r="I418" s="70"/>
      <c r="J418" s="70" t="str">
        <f>IF('Item Setup Form'!$AF422="Yes",'Item Setup Form'!U422,"")</f>
        <v/>
      </c>
      <c r="K418" s="70" t="str">
        <f>IF('Item Setup Form'!$AF422="Yes",'Item Setup Form'!V422,"")</f>
        <v/>
      </c>
      <c r="L418" s="70"/>
      <c r="M418" s="70" t="str">
        <f>IF('Item Setup Form'!$AF422="Yes",'Item Setup Form'!A422,"")</f>
        <v/>
      </c>
      <c r="N418" s="70"/>
      <c r="O418" s="70"/>
      <c r="P418" s="70"/>
      <c r="Q418" s="70"/>
      <c r="R418" s="70"/>
      <c r="S418" s="70"/>
      <c r="T418" s="70"/>
      <c r="U418" s="70"/>
      <c r="V418" s="70"/>
      <c r="W418" s="70"/>
      <c r="X418" s="70"/>
      <c r="Y418" s="70"/>
      <c r="Z418" s="70"/>
    </row>
    <row r="419" spans="1:26">
      <c r="A419" s="70" t="str">
        <f>IF('Item Setup Form'!$AF423="Yes",'Item Setup Form'!$E423,"")</f>
        <v/>
      </c>
      <c r="B419" s="70" t="str">
        <f>IF('Item Setup Form'!$AF423="Yes",'Item Setup Form'!D423,"")</f>
        <v/>
      </c>
      <c r="C419" s="81" t="str">
        <f>IF('Item Setup Form'!$AF423="Yes",'Item Setup Form'!L423,"")</f>
        <v/>
      </c>
      <c r="D419" s="81" t="str">
        <f>IF('Item Setup Form'!$AF423="Yes",'Item Setup Form'!M423,"")</f>
        <v/>
      </c>
      <c r="E419" s="70"/>
      <c r="F419" s="70" t="str">
        <f>IF('Item Setup Form'!$AF423="Yes",'Item Setup Form'!G423,"")</f>
        <v/>
      </c>
      <c r="G419" s="70" t="str">
        <f>IF('Item Setup Form'!$AF423="Yes",'Item Setup Form'!H423,"")</f>
        <v/>
      </c>
      <c r="H419" s="70" t="str">
        <f>IF('Item Setup Form'!$AF423="Yes",'Item Setup Form'!V423,"")</f>
        <v/>
      </c>
      <c r="I419" s="70"/>
      <c r="J419" s="70" t="str">
        <f>IF('Item Setup Form'!$AF423="Yes",'Item Setup Form'!U423,"")</f>
        <v/>
      </c>
      <c r="K419" s="70" t="str">
        <f>IF('Item Setup Form'!$AF423="Yes",'Item Setup Form'!V423,"")</f>
        <v/>
      </c>
      <c r="L419" s="70"/>
      <c r="M419" s="70" t="str">
        <f>IF('Item Setup Form'!$AF423="Yes",'Item Setup Form'!A423,"")</f>
        <v/>
      </c>
      <c r="N419" s="70"/>
      <c r="O419" s="70"/>
      <c r="P419" s="70"/>
      <c r="Q419" s="70"/>
      <c r="R419" s="70"/>
      <c r="S419" s="70"/>
      <c r="T419" s="70"/>
      <c r="U419" s="70"/>
      <c r="V419" s="70"/>
      <c r="W419" s="70"/>
      <c r="X419" s="70"/>
      <c r="Y419" s="70"/>
      <c r="Z419" s="70"/>
    </row>
    <row r="420" spans="1:26">
      <c r="A420" s="70" t="str">
        <f>IF('Item Setup Form'!$AF424="Yes",'Item Setup Form'!$E424,"")</f>
        <v/>
      </c>
      <c r="B420" s="70" t="str">
        <f>IF('Item Setup Form'!$AF424="Yes",'Item Setup Form'!D424,"")</f>
        <v/>
      </c>
      <c r="C420" s="81" t="str">
        <f>IF('Item Setup Form'!$AF424="Yes",'Item Setup Form'!L424,"")</f>
        <v/>
      </c>
      <c r="D420" s="81" t="str">
        <f>IF('Item Setup Form'!$AF424="Yes",'Item Setup Form'!M424,"")</f>
        <v/>
      </c>
      <c r="E420" s="70"/>
      <c r="F420" s="70" t="str">
        <f>IF('Item Setup Form'!$AF424="Yes",'Item Setup Form'!G424,"")</f>
        <v/>
      </c>
      <c r="G420" s="70" t="str">
        <f>IF('Item Setup Form'!$AF424="Yes",'Item Setup Form'!H424,"")</f>
        <v/>
      </c>
      <c r="H420" s="70" t="str">
        <f>IF('Item Setup Form'!$AF424="Yes",'Item Setup Form'!V424,"")</f>
        <v/>
      </c>
      <c r="I420" s="70"/>
      <c r="J420" s="70" t="str">
        <f>IF('Item Setup Form'!$AF424="Yes",'Item Setup Form'!U424,"")</f>
        <v/>
      </c>
      <c r="K420" s="70" t="str">
        <f>IF('Item Setup Form'!$AF424="Yes",'Item Setup Form'!V424,"")</f>
        <v/>
      </c>
      <c r="L420" s="70"/>
      <c r="M420" s="70" t="str">
        <f>IF('Item Setup Form'!$AF424="Yes",'Item Setup Form'!A424,"")</f>
        <v/>
      </c>
      <c r="N420" s="70"/>
      <c r="O420" s="70"/>
      <c r="P420" s="70"/>
      <c r="Q420" s="70"/>
      <c r="R420" s="70"/>
      <c r="S420" s="70"/>
      <c r="T420" s="70"/>
      <c r="U420" s="70"/>
      <c r="V420" s="70"/>
      <c r="W420" s="70"/>
      <c r="X420" s="70"/>
      <c r="Y420" s="70"/>
      <c r="Z420" s="70"/>
    </row>
    <row r="421" spans="1:26">
      <c r="A421" s="70" t="str">
        <f>IF('Item Setup Form'!$AF425="Yes",'Item Setup Form'!$E425,"")</f>
        <v/>
      </c>
      <c r="B421" s="70" t="str">
        <f>IF('Item Setup Form'!$AF425="Yes",'Item Setup Form'!D425,"")</f>
        <v/>
      </c>
      <c r="C421" s="81" t="str">
        <f>IF('Item Setup Form'!$AF425="Yes",'Item Setup Form'!L425,"")</f>
        <v/>
      </c>
      <c r="D421" s="81" t="str">
        <f>IF('Item Setup Form'!$AF425="Yes",'Item Setup Form'!M425,"")</f>
        <v/>
      </c>
      <c r="E421" s="70"/>
      <c r="F421" s="70" t="str">
        <f>IF('Item Setup Form'!$AF425="Yes",'Item Setup Form'!G425,"")</f>
        <v/>
      </c>
      <c r="G421" s="70" t="str">
        <f>IF('Item Setup Form'!$AF425="Yes",'Item Setup Form'!H425,"")</f>
        <v/>
      </c>
      <c r="H421" s="70" t="str">
        <f>IF('Item Setup Form'!$AF425="Yes",'Item Setup Form'!V425,"")</f>
        <v/>
      </c>
      <c r="I421" s="70"/>
      <c r="J421" s="70" t="str">
        <f>IF('Item Setup Form'!$AF425="Yes",'Item Setup Form'!U425,"")</f>
        <v/>
      </c>
      <c r="K421" s="70" t="str">
        <f>IF('Item Setup Form'!$AF425="Yes",'Item Setup Form'!V425,"")</f>
        <v/>
      </c>
      <c r="L421" s="70"/>
      <c r="M421" s="70" t="str">
        <f>IF('Item Setup Form'!$AF425="Yes",'Item Setup Form'!A425,"")</f>
        <v/>
      </c>
      <c r="N421" s="70"/>
      <c r="O421" s="70"/>
      <c r="P421" s="70"/>
      <c r="Q421" s="70"/>
      <c r="R421" s="70"/>
      <c r="S421" s="70"/>
      <c r="T421" s="70"/>
      <c r="U421" s="70"/>
      <c r="V421" s="70"/>
      <c r="W421" s="70"/>
      <c r="X421" s="70"/>
      <c r="Y421" s="70"/>
      <c r="Z421" s="70"/>
    </row>
    <row r="422" spans="1:26">
      <c r="A422" s="70" t="str">
        <f>IF('Item Setup Form'!$AF426="Yes",'Item Setup Form'!$E426,"")</f>
        <v/>
      </c>
      <c r="B422" s="70" t="str">
        <f>IF('Item Setup Form'!$AF426="Yes",'Item Setup Form'!D426,"")</f>
        <v/>
      </c>
      <c r="C422" s="81" t="str">
        <f>IF('Item Setup Form'!$AF426="Yes",'Item Setup Form'!L426,"")</f>
        <v/>
      </c>
      <c r="D422" s="81" t="str">
        <f>IF('Item Setup Form'!$AF426="Yes",'Item Setup Form'!M426,"")</f>
        <v/>
      </c>
      <c r="E422" s="70"/>
      <c r="F422" s="70" t="str">
        <f>IF('Item Setup Form'!$AF426="Yes",'Item Setup Form'!G426,"")</f>
        <v/>
      </c>
      <c r="G422" s="70" t="str">
        <f>IF('Item Setup Form'!$AF426="Yes",'Item Setup Form'!H426,"")</f>
        <v/>
      </c>
      <c r="H422" s="70" t="str">
        <f>IF('Item Setup Form'!$AF426="Yes",'Item Setup Form'!V426,"")</f>
        <v/>
      </c>
      <c r="I422" s="70"/>
      <c r="J422" s="70" t="str">
        <f>IF('Item Setup Form'!$AF426="Yes",'Item Setup Form'!U426,"")</f>
        <v/>
      </c>
      <c r="K422" s="70" t="str">
        <f>IF('Item Setup Form'!$AF426="Yes",'Item Setup Form'!V426,"")</f>
        <v/>
      </c>
      <c r="L422" s="70"/>
      <c r="M422" s="70" t="str">
        <f>IF('Item Setup Form'!$AF426="Yes",'Item Setup Form'!A426,"")</f>
        <v/>
      </c>
      <c r="N422" s="70"/>
      <c r="O422" s="70"/>
      <c r="P422" s="70"/>
      <c r="Q422" s="70"/>
      <c r="R422" s="70"/>
      <c r="S422" s="70"/>
      <c r="T422" s="70"/>
      <c r="U422" s="70"/>
      <c r="V422" s="70"/>
      <c r="W422" s="70"/>
      <c r="X422" s="70"/>
      <c r="Y422" s="70"/>
      <c r="Z422" s="70"/>
    </row>
    <row r="423" spans="1:26">
      <c r="A423" s="70" t="str">
        <f>IF('Item Setup Form'!$AF427="Yes",'Item Setup Form'!$E427,"")</f>
        <v/>
      </c>
      <c r="B423" s="70" t="str">
        <f>IF('Item Setup Form'!$AF427="Yes",'Item Setup Form'!D427,"")</f>
        <v/>
      </c>
      <c r="C423" s="81" t="str">
        <f>IF('Item Setup Form'!$AF427="Yes",'Item Setup Form'!L427,"")</f>
        <v/>
      </c>
      <c r="D423" s="81" t="str">
        <f>IF('Item Setup Form'!$AF427="Yes",'Item Setup Form'!M427,"")</f>
        <v/>
      </c>
      <c r="E423" s="70"/>
      <c r="F423" s="70" t="str">
        <f>IF('Item Setup Form'!$AF427="Yes",'Item Setup Form'!G427,"")</f>
        <v/>
      </c>
      <c r="G423" s="70" t="str">
        <f>IF('Item Setup Form'!$AF427="Yes",'Item Setup Form'!H427,"")</f>
        <v/>
      </c>
      <c r="H423" s="70" t="str">
        <f>IF('Item Setup Form'!$AF427="Yes",'Item Setup Form'!V427,"")</f>
        <v/>
      </c>
      <c r="I423" s="70"/>
      <c r="J423" s="70" t="str">
        <f>IF('Item Setup Form'!$AF427="Yes",'Item Setup Form'!U427,"")</f>
        <v/>
      </c>
      <c r="K423" s="70" t="str">
        <f>IF('Item Setup Form'!$AF427="Yes",'Item Setup Form'!V427,"")</f>
        <v/>
      </c>
      <c r="L423" s="70"/>
      <c r="M423" s="70" t="str">
        <f>IF('Item Setup Form'!$AF427="Yes",'Item Setup Form'!A427,"")</f>
        <v/>
      </c>
      <c r="N423" s="70"/>
      <c r="O423" s="70"/>
      <c r="P423" s="70"/>
      <c r="Q423" s="70"/>
      <c r="R423" s="70"/>
      <c r="S423" s="70"/>
      <c r="T423" s="70"/>
      <c r="U423" s="70"/>
      <c r="V423" s="70"/>
      <c r="W423" s="70"/>
      <c r="X423" s="70"/>
      <c r="Y423" s="70"/>
      <c r="Z423" s="70"/>
    </row>
    <row r="424" spans="1:26">
      <c r="A424" s="70" t="str">
        <f>IF('Item Setup Form'!$AF428="Yes",'Item Setup Form'!$E428,"")</f>
        <v/>
      </c>
      <c r="B424" s="70" t="str">
        <f>IF('Item Setup Form'!$AF428="Yes",'Item Setup Form'!D428,"")</f>
        <v/>
      </c>
      <c r="C424" s="81" t="str">
        <f>IF('Item Setup Form'!$AF428="Yes",'Item Setup Form'!L428,"")</f>
        <v/>
      </c>
      <c r="D424" s="81" t="str">
        <f>IF('Item Setup Form'!$AF428="Yes",'Item Setup Form'!M428,"")</f>
        <v/>
      </c>
      <c r="E424" s="70"/>
      <c r="F424" s="70" t="str">
        <f>IF('Item Setup Form'!$AF428="Yes",'Item Setup Form'!G428,"")</f>
        <v/>
      </c>
      <c r="G424" s="70" t="str">
        <f>IF('Item Setup Form'!$AF428="Yes",'Item Setup Form'!H428,"")</f>
        <v/>
      </c>
      <c r="H424" s="70" t="str">
        <f>IF('Item Setup Form'!$AF428="Yes",'Item Setup Form'!V428,"")</f>
        <v/>
      </c>
      <c r="I424" s="70"/>
      <c r="J424" s="70" t="str">
        <f>IF('Item Setup Form'!$AF428="Yes",'Item Setup Form'!U428,"")</f>
        <v/>
      </c>
      <c r="K424" s="70" t="str">
        <f>IF('Item Setup Form'!$AF428="Yes",'Item Setup Form'!V428,"")</f>
        <v/>
      </c>
      <c r="L424" s="70"/>
      <c r="M424" s="70" t="str">
        <f>IF('Item Setup Form'!$AF428="Yes",'Item Setup Form'!A428,"")</f>
        <v/>
      </c>
      <c r="N424" s="70"/>
      <c r="O424" s="70"/>
      <c r="P424" s="70"/>
      <c r="Q424" s="70"/>
      <c r="R424" s="70"/>
      <c r="S424" s="70"/>
      <c r="T424" s="70"/>
      <c r="U424" s="70"/>
      <c r="V424" s="70"/>
      <c r="W424" s="70"/>
      <c r="X424" s="70"/>
      <c r="Y424" s="70"/>
      <c r="Z424" s="70"/>
    </row>
    <row r="425" spans="1:26">
      <c r="A425" s="70" t="str">
        <f>IF('Item Setup Form'!$AF429="Yes",'Item Setup Form'!$E429,"")</f>
        <v/>
      </c>
      <c r="B425" s="70" t="str">
        <f>IF('Item Setup Form'!$AF429="Yes",'Item Setup Form'!D429,"")</f>
        <v/>
      </c>
      <c r="C425" s="81" t="str">
        <f>IF('Item Setup Form'!$AF429="Yes",'Item Setup Form'!L429,"")</f>
        <v/>
      </c>
      <c r="D425" s="81" t="str">
        <f>IF('Item Setup Form'!$AF429="Yes",'Item Setup Form'!M429,"")</f>
        <v/>
      </c>
      <c r="E425" s="70"/>
      <c r="F425" s="70" t="str">
        <f>IF('Item Setup Form'!$AF429="Yes",'Item Setup Form'!G429,"")</f>
        <v/>
      </c>
      <c r="G425" s="70" t="str">
        <f>IF('Item Setup Form'!$AF429="Yes",'Item Setup Form'!H429,"")</f>
        <v/>
      </c>
      <c r="H425" s="70" t="str">
        <f>IF('Item Setup Form'!$AF429="Yes",'Item Setup Form'!V429,"")</f>
        <v/>
      </c>
      <c r="I425" s="70"/>
      <c r="J425" s="70" t="str">
        <f>IF('Item Setup Form'!$AF429="Yes",'Item Setup Form'!U429,"")</f>
        <v/>
      </c>
      <c r="K425" s="70" t="str">
        <f>IF('Item Setup Form'!$AF429="Yes",'Item Setup Form'!V429,"")</f>
        <v/>
      </c>
      <c r="L425" s="70"/>
      <c r="M425" s="70" t="str">
        <f>IF('Item Setup Form'!$AF429="Yes",'Item Setup Form'!A429,"")</f>
        <v/>
      </c>
      <c r="N425" s="70"/>
      <c r="O425" s="70"/>
      <c r="P425" s="70"/>
      <c r="Q425" s="70"/>
      <c r="R425" s="70"/>
      <c r="S425" s="70"/>
      <c r="T425" s="70"/>
      <c r="U425" s="70"/>
      <c r="V425" s="70"/>
      <c r="W425" s="70"/>
      <c r="X425" s="70"/>
      <c r="Y425" s="70"/>
      <c r="Z425" s="70"/>
    </row>
    <row r="426" spans="1:26">
      <c r="A426" s="70" t="str">
        <f>IF('Item Setup Form'!$AF430="Yes",'Item Setup Form'!$E430,"")</f>
        <v/>
      </c>
      <c r="B426" s="70" t="str">
        <f>IF('Item Setup Form'!$AF430="Yes",'Item Setup Form'!D430,"")</f>
        <v/>
      </c>
      <c r="C426" s="81" t="str">
        <f>IF('Item Setup Form'!$AF430="Yes",'Item Setup Form'!L430,"")</f>
        <v/>
      </c>
      <c r="D426" s="81" t="str">
        <f>IF('Item Setup Form'!$AF430="Yes",'Item Setup Form'!M430,"")</f>
        <v/>
      </c>
      <c r="E426" s="70"/>
      <c r="F426" s="70" t="str">
        <f>IF('Item Setup Form'!$AF430="Yes",'Item Setup Form'!G430,"")</f>
        <v/>
      </c>
      <c r="G426" s="70" t="str">
        <f>IF('Item Setup Form'!$AF430="Yes",'Item Setup Form'!H430,"")</f>
        <v/>
      </c>
      <c r="H426" s="70" t="str">
        <f>IF('Item Setup Form'!$AF430="Yes",'Item Setup Form'!V430,"")</f>
        <v/>
      </c>
      <c r="I426" s="70"/>
      <c r="J426" s="70" t="str">
        <f>IF('Item Setup Form'!$AF430="Yes",'Item Setup Form'!U430,"")</f>
        <v/>
      </c>
      <c r="K426" s="70" t="str">
        <f>IF('Item Setup Form'!$AF430="Yes",'Item Setup Form'!V430,"")</f>
        <v/>
      </c>
      <c r="L426" s="70"/>
      <c r="M426" s="70" t="str">
        <f>IF('Item Setup Form'!$AF430="Yes",'Item Setup Form'!A430,"")</f>
        <v/>
      </c>
      <c r="N426" s="70"/>
      <c r="O426" s="70"/>
      <c r="P426" s="70"/>
      <c r="Q426" s="70"/>
      <c r="R426" s="70"/>
      <c r="S426" s="70"/>
      <c r="T426" s="70"/>
      <c r="U426" s="70"/>
      <c r="V426" s="70"/>
      <c r="W426" s="70"/>
      <c r="X426" s="70"/>
      <c r="Y426" s="70"/>
      <c r="Z426" s="70"/>
    </row>
    <row r="427" spans="1:26">
      <c r="A427" s="70" t="str">
        <f>IF('Item Setup Form'!$AF431="Yes",'Item Setup Form'!$E431,"")</f>
        <v/>
      </c>
      <c r="B427" s="70" t="str">
        <f>IF('Item Setup Form'!$AF431="Yes",'Item Setup Form'!D431,"")</f>
        <v/>
      </c>
      <c r="C427" s="81" t="str">
        <f>IF('Item Setup Form'!$AF431="Yes",'Item Setup Form'!L431,"")</f>
        <v/>
      </c>
      <c r="D427" s="81" t="str">
        <f>IF('Item Setup Form'!$AF431="Yes",'Item Setup Form'!M431,"")</f>
        <v/>
      </c>
      <c r="E427" s="70"/>
      <c r="F427" s="70" t="str">
        <f>IF('Item Setup Form'!$AF431="Yes",'Item Setup Form'!G431,"")</f>
        <v/>
      </c>
      <c r="G427" s="70" t="str">
        <f>IF('Item Setup Form'!$AF431="Yes",'Item Setup Form'!H431,"")</f>
        <v/>
      </c>
      <c r="H427" s="70" t="str">
        <f>IF('Item Setup Form'!$AF431="Yes",'Item Setup Form'!V431,"")</f>
        <v/>
      </c>
      <c r="I427" s="70"/>
      <c r="J427" s="70" t="str">
        <f>IF('Item Setup Form'!$AF431="Yes",'Item Setup Form'!U431,"")</f>
        <v/>
      </c>
      <c r="K427" s="70" t="str">
        <f>IF('Item Setup Form'!$AF431="Yes",'Item Setup Form'!V431,"")</f>
        <v/>
      </c>
      <c r="L427" s="70"/>
      <c r="M427" s="70" t="str">
        <f>IF('Item Setup Form'!$AF431="Yes",'Item Setup Form'!A431,"")</f>
        <v/>
      </c>
      <c r="N427" s="70"/>
      <c r="O427" s="70"/>
      <c r="P427" s="70"/>
      <c r="Q427" s="70"/>
      <c r="R427" s="70"/>
      <c r="S427" s="70"/>
      <c r="T427" s="70"/>
      <c r="U427" s="70"/>
      <c r="V427" s="70"/>
      <c r="W427" s="70"/>
      <c r="X427" s="70"/>
      <c r="Y427" s="70"/>
      <c r="Z427" s="70"/>
    </row>
    <row r="428" spans="1:26">
      <c r="A428" s="70" t="str">
        <f>IF('Item Setup Form'!$AF432="Yes",'Item Setup Form'!$E432,"")</f>
        <v/>
      </c>
      <c r="B428" s="70" t="str">
        <f>IF('Item Setup Form'!$AF432="Yes",'Item Setup Form'!D432,"")</f>
        <v/>
      </c>
      <c r="C428" s="81" t="str">
        <f>IF('Item Setup Form'!$AF432="Yes",'Item Setup Form'!L432,"")</f>
        <v/>
      </c>
      <c r="D428" s="81" t="str">
        <f>IF('Item Setup Form'!$AF432="Yes",'Item Setup Form'!M432,"")</f>
        <v/>
      </c>
      <c r="E428" s="70"/>
      <c r="F428" s="70" t="str">
        <f>IF('Item Setup Form'!$AF432="Yes",'Item Setup Form'!G432,"")</f>
        <v/>
      </c>
      <c r="G428" s="70" t="str">
        <f>IF('Item Setup Form'!$AF432="Yes",'Item Setup Form'!H432,"")</f>
        <v/>
      </c>
      <c r="H428" s="70" t="str">
        <f>IF('Item Setup Form'!$AF432="Yes",'Item Setup Form'!V432,"")</f>
        <v/>
      </c>
      <c r="I428" s="70"/>
      <c r="J428" s="70" t="str">
        <f>IF('Item Setup Form'!$AF432="Yes",'Item Setup Form'!U432,"")</f>
        <v/>
      </c>
      <c r="K428" s="70" t="str">
        <f>IF('Item Setup Form'!$AF432="Yes",'Item Setup Form'!V432,"")</f>
        <v/>
      </c>
      <c r="L428" s="70"/>
      <c r="M428" s="70" t="str">
        <f>IF('Item Setup Form'!$AF432="Yes",'Item Setup Form'!A432,"")</f>
        <v/>
      </c>
      <c r="N428" s="70"/>
      <c r="O428" s="70"/>
      <c r="P428" s="70"/>
      <c r="Q428" s="70"/>
      <c r="R428" s="70"/>
      <c r="S428" s="70"/>
      <c r="T428" s="70"/>
      <c r="U428" s="70"/>
      <c r="V428" s="70"/>
      <c r="W428" s="70"/>
      <c r="X428" s="70"/>
      <c r="Y428" s="70"/>
      <c r="Z428" s="70"/>
    </row>
    <row r="429" spans="1:26">
      <c r="A429" s="70" t="str">
        <f>IF('Item Setup Form'!$AF433="Yes",'Item Setup Form'!$E433,"")</f>
        <v/>
      </c>
      <c r="B429" s="70" t="str">
        <f>IF('Item Setup Form'!$AF433="Yes",'Item Setup Form'!D433,"")</f>
        <v/>
      </c>
      <c r="C429" s="81" t="str">
        <f>IF('Item Setup Form'!$AF433="Yes",'Item Setup Form'!L433,"")</f>
        <v/>
      </c>
      <c r="D429" s="81" t="str">
        <f>IF('Item Setup Form'!$AF433="Yes",'Item Setup Form'!M433,"")</f>
        <v/>
      </c>
      <c r="E429" s="70"/>
      <c r="F429" s="70" t="str">
        <f>IF('Item Setup Form'!$AF433="Yes",'Item Setup Form'!G433,"")</f>
        <v/>
      </c>
      <c r="G429" s="70" t="str">
        <f>IF('Item Setup Form'!$AF433="Yes",'Item Setup Form'!H433,"")</f>
        <v/>
      </c>
      <c r="H429" s="70" t="str">
        <f>IF('Item Setup Form'!$AF433="Yes",'Item Setup Form'!V433,"")</f>
        <v/>
      </c>
      <c r="I429" s="70"/>
      <c r="J429" s="70" t="str">
        <f>IF('Item Setup Form'!$AF433="Yes",'Item Setup Form'!U433,"")</f>
        <v/>
      </c>
      <c r="K429" s="70" t="str">
        <f>IF('Item Setup Form'!$AF433="Yes",'Item Setup Form'!V433,"")</f>
        <v/>
      </c>
      <c r="L429" s="70"/>
      <c r="M429" s="70" t="str">
        <f>IF('Item Setup Form'!$AF433="Yes",'Item Setup Form'!A433,"")</f>
        <v/>
      </c>
      <c r="N429" s="70"/>
      <c r="O429" s="70"/>
      <c r="P429" s="70"/>
      <c r="Q429" s="70"/>
      <c r="R429" s="70"/>
      <c r="S429" s="70"/>
      <c r="T429" s="70"/>
      <c r="U429" s="70"/>
      <c r="V429" s="70"/>
      <c r="W429" s="70"/>
      <c r="X429" s="70"/>
      <c r="Y429" s="70"/>
      <c r="Z429" s="70"/>
    </row>
    <row r="430" spans="1:26">
      <c r="A430" s="70" t="str">
        <f>IF('Item Setup Form'!$AF434="Yes",'Item Setup Form'!$E434,"")</f>
        <v/>
      </c>
      <c r="B430" s="70" t="str">
        <f>IF('Item Setup Form'!$AF434="Yes",'Item Setup Form'!D434,"")</f>
        <v/>
      </c>
      <c r="C430" s="81" t="str">
        <f>IF('Item Setup Form'!$AF434="Yes",'Item Setup Form'!L434,"")</f>
        <v/>
      </c>
      <c r="D430" s="81" t="str">
        <f>IF('Item Setup Form'!$AF434="Yes",'Item Setup Form'!M434,"")</f>
        <v/>
      </c>
      <c r="E430" s="70"/>
      <c r="F430" s="70" t="str">
        <f>IF('Item Setup Form'!$AF434="Yes",'Item Setup Form'!G434,"")</f>
        <v/>
      </c>
      <c r="G430" s="70" t="str">
        <f>IF('Item Setup Form'!$AF434="Yes",'Item Setup Form'!H434,"")</f>
        <v/>
      </c>
      <c r="H430" s="70" t="str">
        <f>IF('Item Setup Form'!$AF434="Yes",'Item Setup Form'!V434,"")</f>
        <v/>
      </c>
      <c r="I430" s="70"/>
      <c r="J430" s="70" t="str">
        <f>IF('Item Setup Form'!$AF434="Yes",'Item Setup Form'!U434,"")</f>
        <v/>
      </c>
      <c r="K430" s="70" t="str">
        <f>IF('Item Setup Form'!$AF434="Yes",'Item Setup Form'!V434,"")</f>
        <v/>
      </c>
      <c r="L430" s="70"/>
      <c r="M430" s="70" t="str">
        <f>IF('Item Setup Form'!$AF434="Yes",'Item Setup Form'!A434,"")</f>
        <v/>
      </c>
      <c r="N430" s="70"/>
      <c r="O430" s="70"/>
      <c r="P430" s="70"/>
      <c r="Q430" s="70"/>
      <c r="R430" s="70"/>
      <c r="S430" s="70"/>
      <c r="T430" s="70"/>
      <c r="U430" s="70"/>
      <c r="V430" s="70"/>
      <c r="W430" s="70"/>
      <c r="X430" s="70"/>
      <c r="Y430" s="70"/>
      <c r="Z430" s="70"/>
    </row>
    <row r="431" spans="1:26">
      <c r="A431" s="70" t="str">
        <f>IF('Item Setup Form'!$AF435="Yes",'Item Setup Form'!$E435,"")</f>
        <v/>
      </c>
      <c r="B431" s="70" t="str">
        <f>IF('Item Setup Form'!$AF435="Yes",'Item Setup Form'!D435,"")</f>
        <v/>
      </c>
      <c r="C431" s="81" t="str">
        <f>IF('Item Setup Form'!$AF435="Yes",'Item Setup Form'!L435,"")</f>
        <v/>
      </c>
      <c r="D431" s="81" t="str">
        <f>IF('Item Setup Form'!$AF435="Yes",'Item Setup Form'!M435,"")</f>
        <v/>
      </c>
      <c r="E431" s="70"/>
      <c r="F431" s="70" t="str">
        <f>IF('Item Setup Form'!$AF435="Yes",'Item Setup Form'!G435,"")</f>
        <v/>
      </c>
      <c r="G431" s="70" t="str">
        <f>IF('Item Setup Form'!$AF435="Yes",'Item Setup Form'!H435,"")</f>
        <v/>
      </c>
      <c r="H431" s="70" t="str">
        <f>IF('Item Setup Form'!$AF435="Yes",'Item Setup Form'!V435,"")</f>
        <v/>
      </c>
      <c r="I431" s="70"/>
      <c r="J431" s="70" t="str">
        <f>IF('Item Setup Form'!$AF435="Yes",'Item Setup Form'!U435,"")</f>
        <v/>
      </c>
      <c r="K431" s="70" t="str">
        <f>IF('Item Setup Form'!$AF435="Yes",'Item Setup Form'!V435,"")</f>
        <v/>
      </c>
      <c r="L431" s="70"/>
      <c r="M431" s="70" t="str">
        <f>IF('Item Setup Form'!$AF435="Yes",'Item Setup Form'!A435,"")</f>
        <v/>
      </c>
      <c r="N431" s="70"/>
      <c r="O431" s="70"/>
      <c r="P431" s="70"/>
      <c r="Q431" s="70"/>
      <c r="R431" s="70"/>
      <c r="S431" s="70"/>
      <c r="T431" s="70"/>
      <c r="U431" s="70"/>
      <c r="V431" s="70"/>
      <c r="W431" s="70"/>
      <c r="X431" s="70"/>
      <c r="Y431" s="70"/>
      <c r="Z431" s="70"/>
    </row>
    <row r="432" spans="1:26">
      <c r="A432" s="70" t="str">
        <f>IF('Item Setup Form'!$AF436="Yes",'Item Setup Form'!$E436,"")</f>
        <v/>
      </c>
      <c r="B432" s="70" t="str">
        <f>IF('Item Setup Form'!$AF436="Yes",'Item Setup Form'!D436,"")</f>
        <v/>
      </c>
      <c r="C432" s="81" t="str">
        <f>IF('Item Setup Form'!$AF436="Yes",'Item Setup Form'!L436,"")</f>
        <v/>
      </c>
      <c r="D432" s="81" t="str">
        <f>IF('Item Setup Form'!$AF436="Yes",'Item Setup Form'!M436,"")</f>
        <v/>
      </c>
      <c r="E432" s="70"/>
      <c r="F432" s="70" t="str">
        <f>IF('Item Setup Form'!$AF436="Yes",'Item Setup Form'!G436,"")</f>
        <v/>
      </c>
      <c r="G432" s="70" t="str">
        <f>IF('Item Setup Form'!$AF436="Yes",'Item Setup Form'!H436,"")</f>
        <v/>
      </c>
      <c r="H432" s="70" t="str">
        <f>IF('Item Setup Form'!$AF436="Yes",'Item Setup Form'!V436,"")</f>
        <v/>
      </c>
      <c r="I432" s="70"/>
      <c r="J432" s="70" t="str">
        <f>IF('Item Setup Form'!$AF436="Yes",'Item Setup Form'!U436,"")</f>
        <v/>
      </c>
      <c r="K432" s="70" t="str">
        <f>IF('Item Setup Form'!$AF436="Yes",'Item Setup Form'!V436,"")</f>
        <v/>
      </c>
      <c r="L432" s="70"/>
      <c r="M432" s="70" t="str">
        <f>IF('Item Setup Form'!$AF436="Yes",'Item Setup Form'!A436,"")</f>
        <v/>
      </c>
      <c r="N432" s="70"/>
      <c r="O432" s="70"/>
      <c r="P432" s="70"/>
      <c r="Q432" s="70"/>
      <c r="R432" s="70"/>
      <c r="S432" s="70"/>
      <c r="T432" s="70"/>
      <c r="U432" s="70"/>
      <c r="V432" s="70"/>
      <c r="W432" s="70"/>
      <c r="X432" s="70"/>
      <c r="Y432" s="70"/>
      <c r="Z432" s="70"/>
    </row>
    <row r="433" spans="1:26">
      <c r="A433" s="70" t="str">
        <f>IF('Item Setup Form'!$AF437="Yes",'Item Setup Form'!$E437,"")</f>
        <v/>
      </c>
      <c r="B433" s="70" t="str">
        <f>IF('Item Setup Form'!$AF437="Yes",'Item Setup Form'!D437,"")</f>
        <v/>
      </c>
      <c r="C433" s="81" t="str">
        <f>IF('Item Setup Form'!$AF437="Yes",'Item Setup Form'!L437,"")</f>
        <v/>
      </c>
      <c r="D433" s="81" t="str">
        <f>IF('Item Setup Form'!$AF437="Yes",'Item Setup Form'!M437,"")</f>
        <v/>
      </c>
      <c r="E433" s="70"/>
      <c r="F433" s="70" t="str">
        <f>IF('Item Setup Form'!$AF437="Yes",'Item Setup Form'!G437,"")</f>
        <v/>
      </c>
      <c r="G433" s="70" t="str">
        <f>IF('Item Setup Form'!$AF437="Yes",'Item Setup Form'!H437,"")</f>
        <v/>
      </c>
      <c r="H433" s="70" t="str">
        <f>IF('Item Setup Form'!$AF437="Yes",'Item Setup Form'!V437,"")</f>
        <v/>
      </c>
      <c r="I433" s="70"/>
      <c r="J433" s="70" t="str">
        <f>IF('Item Setup Form'!$AF437="Yes",'Item Setup Form'!U437,"")</f>
        <v/>
      </c>
      <c r="K433" s="70" t="str">
        <f>IF('Item Setup Form'!$AF437="Yes",'Item Setup Form'!V437,"")</f>
        <v/>
      </c>
      <c r="L433" s="70"/>
      <c r="M433" s="70" t="str">
        <f>IF('Item Setup Form'!$AF437="Yes",'Item Setup Form'!A437,"")</f>
        <v/>
      </c>
      <c r="N433" s="70"/>
      <c r="O433" s="70"/>
      <c r="P433" s="70"/>
      <c r="Q433" s="70"/>
      <c r="R433" s="70"/>
      <c r="S433" s="70"/>
      <c r="T433" s="70"/>
      <c r="U433" s="70"/>
      <c r="V433" s="70"/>
      <c r="W433" s="70"/>
      <c r="X433" s="70"/>
      <c r="Y433" s="70"/>
      <c r="Z433" s="70"/>
    </row>
    <row r="434" spans="1:26">
      <c r="A434" s="70" t="str">
        <f>IF('Item Setup Form'!$AF438="Yes",'Item Setup Form'!$E438,"")</f>
        <v/>
      </c>
      <c r="B434" s="70" t="str">
        <f>IF('Item Setup Form'!$AF438="Yes",'Item Setup Form'!D438,"")</f>
        <v/>
      </c>
      <c r="C434" s="81" t="str">
        <f>IF('Item Setup Form'!$AF438="Yes",'Item Setup Form'!L438,"")</f>
        <v/>
      </c>
      <c r="D434" s="81" t="str">
        <f>IF('Item Setup Form'!$AF438="Yes",'Item Setup Form'!M438,"")</f>
        <v/>
      </c>
      <c r="E434" s="70"/>
      <c r="F434" s="70" t="str">
        <f>IF('Item Setup Form'!$AF438="Yes",'Item Setup Form'!G438,"")</f>
        <v/>
      </c>
      <c r="G434" s="70" t="str">
        <f>IF('Item Setup Form'!$AF438="Yes",'Item Setup Form'!H438,"")</f>
        <v/>
      </c>
      <c r="H434" s="70" t="str">
        <f>IF('Item Setup Form'!$AF438="Yes",'Item Setup Form'!V438,"")</f>
        <v/>
      </c>
      <c r="I434" s="70"/>
      <c r="J434" s="70" t="str">
        <f>IF('Item Setup Form'!$AF438="Yes",'Item Setup Form'!U438,"")</f>
        <v/>
      </c>
      <c r="K434" s="70" t="str">
        <f>IF('Item Setup Form'!$AF438="Yes",'Item Setup Form'!V438,"")</f>
        <v/>
      </c>
      <c r="L434" s="70"/>
      <c r="M434" s="70" t="str">
        <f>IF('Item Setup Form'!$AF438="Yes",'Item Setup Form'!A438,"")</f>
        <v/>
      </c>
      <c r="N434" s="70"/>
      <c r="O434" s="70"/>
      <c r="P434" s="70"/>
      <c r="Q434" s="70"/>
      <c r="R434" s="70"/>
      <c r="S434" s="70"/>
      <c r="T434" s="70"/>
      <c r="U434" s="70"/>
      <c r="V434" s="70"/>
      <c r="W434" s="70"/>
      <c r="X434" s="70"/>
      <c r="Y434" s="70"/>
      <c r="Z434" s="70"/>
    </row>
    <row r="435" spans="1:26">
      <c r="A435" s="70" t="str">
        <f>IF('Item Setup Form'!$AF439="Yes",'Item Setup Form'!$E439,"")</f>
        <v/>
      </c>
      <c r="B435" s="70" t="str">
        <f>IF('Item Setup Form'!$AF439="Yes",'Item Setup Form'!D439,"")</f>
        <v/>
      </c>
      <c r="C435" s="81" t="str">
        <f>IF('Item Setup Form'!$AF439="Yes",'Item Setup Form'!L439,"")</f>
        <v/>
      </c>
      <c r="D435" s="81" t="str">
        <f>IF('Item Setup Form'!$AF439="Yes",'Item Setup Form'!M439,"")</f>
        <v/>
      </c>
      <c r="E435" s="70"/>
      <c r="F435" s="70" t="str">
        <f>IF('Item Setup Form'!$AF439="Yes",'Item Setup Form'!G439,"")</f>
        <v/>
      </c>
      <c r="G435" s="70" t="str">
        <f>IF('Item Setup Form'!$AF439="Yes",'Item Setup Form'!H439,"")</f>
        <v/>
      </c>
      <c r="H435" s="70" t="str">
        <f>IF('Item Setup Form'!$AF439="Yes",'Item Setup Form'!V439,"")</f>
        <v/>
      </c>
      <c r="I435" s="70"/>
      <c r="J435" s="70" t="str">
        <f>IF('Item Setup Form'!$AF439="Yes",'Item Setup Form'!U439,"")</f>
        <v/>
      </c>
      <c r="K435" s="70" t="str">
        <f>IF('Item Setup Form'!$AF439="Yes",'Item Setup Form'!V439,"")</f>
        <v/>
      </c>
      <c r="L435" s="70"/>
      <c r="M435" s="70" t="str">
        <f>IF('Item Setup Form'!$AF439="Yes",'Item Setup Form'!A439,"")</f>
        <v/>
      </c>
      <c r="N435" s="70"/>
      <c r="O435" s="70"/>
      <c r="P435" s="70"/>
      <c r="Q435" s="70"/>
      <c r="R435" s="70"/>
      <c r="S435" s="70"/>
      <c r="T435" s="70"/>
      <c r="U435" s="70"/>
      <c r="V435" s="70"/>
      <c r="W435" s="70"/>
      <c r="X435" s="70"/>
      <c r="Y435" s="70"/>
      <c r="Z435" s="70"/>
    </row>
    <row r="436" spans="1:26">
      <c r="A436" s="70" t="str">
        <f>IF('Item Setup Form'!$AF440="Yes",'Item Setup Form'!$E440,"")</f>
        <v/>
      </c>
      <c r="B436" s="70" t="str">
        <f>IF('Item Setup Form'!$AF440="Yes",'Item Setup Form'!D440,"")</f>
        <v/>
      </c>
      <c r="C436" s="81" t="str">
        <f>IF('Item Setup Form'!$AF440="Yes",'Item Setup Form'!L440,"")</f>
        <v/>
      </c>
      <c r="D436" s="81" t="str">
        <f>IF('Item Setup Form'!$AF440="Yes",'Item Setup Form'!M440,"")</f>
        <v/>
      </c>
      <c r="E436" s="70"/>
      <c r="F436" s="70" t="str">
        <f>IF('Item Setup Form'!$AF440="Yes",'Item Setup Form'!G440,"")</f>
        <v/>
      </c>
      <c r="G436" s="70" t="str">
        <f>IF('Item Setup Form'!$AF440="Yes",'Item Setup Form'!H440,"")</f>
        <v/>
      </c>
      <c r="H436" s="70" t="str">
        <f>IF('Item Setup Form'!$AF440="Yes",'Item Setup Form'!V440,"")</f>
        <v/>
      </c>
      <c r="I436" s="70"/>
      <c r="J436" s="70" t="str">
        <f>IF('Item Setup Form'!$AF440="Yes",'Item Setup Form'!U440,"")</f>
        <v/>
      </c>
      <c r="K436" s="70" t="str">
        <f>IF('Item Setup Form'!$AF440="Yes",'Item Setup Form'!V440,"")</f>
        <v/>
      </c>
      <c r="L436" s="70"/>
      <c r="M436" s="70" t="str">
        <f>IF('Item Setup Form'!$AF440="Yes",'Item Setup Form'!A440,"")</f>
        <v/>
      </c>
      <c r="N436" s="70"/>
      <c r="O436" s="70"/>
      <c r="P436" s="70"/>
      <c r="Q436" s="70"/>
      <c r="R436" s="70"/>
      <c r="S436" s="70"/>
      <c r="T436" s="70"/>
      <c r="U436" s="70"/>
      <c r="V436" s="70"/>
      <c r="W436" s="70"/>
      <c r="X436" s="70"/>
      <c r="Y436" s="70"/>
      <c r="Z436" s="70"/>
    </row>
    <row r="437" spans="1:26">
      <c r="A437" s="70" t="str">
        <f>IF('Item Setup Form'!$AF441="Yes",'Item Setup Form'!$E441,"")</f>
        <v/>
      </c>
      <c r="B437" s="70" t="str">
        <f>IF('Item Setup Form'!$AF441="Yes",'Item Setup Form'!D441,"")</f>
        <v/>
      </c>
      <c r="C437" s="81" t="str">
        <f>IF('Item Setup Form'!$AF441="Yes",'Item Setup Form'!L441,"")</f>
        <v/>
      </c>
      <c r="D437" s="81" t="str">
        <f>IF('Item Setup Form'!$AF441="Yes",'Item Setup Form'!M441,"")</f>
        <v/>
      </c>
      <c r="E437" s="70"/>
      <c r="F437" s="70" t="str">
        <f>IF('Item Setup Form'!$AF441="Yes",'Item Setup Form'!G441,"")</f>
        <v/>
      </c>
      <c r="G437" s="70" t="str">
        <f>IF('Item Setup Form'!$AF441="Yes",'Item Setup Form'!H441,"")</f>
        <v/>
      </c>
      <c r="H437" s="70" t="str">
        <f>IF('Item Setup Form'!$AF441="Yes",'Item Setup Form'!V441,"")</f>
        <v/>
      </c>
      <c r="I437" s="70"/>
      <c r="J437" s="70" t="str">
        <f>IF('Item Setup Form'!$AF441="Yes",'Item Setup Form'!U441,"")</f>
        <v/>
      </c>
      <c r="K437" s="70" t="str">
        <f>IF('Item Setup Form'!$AF441="Yes",'Item Setup Form'!V441,"")</f>
        <v/>
      </c>
      <c r="L437" s="70"/>
      <c r="M437" s="70" t="str">
        <f>IF('Item Setup Form'!$AF441="Yes",'Item Setup Form'!A441,"")</f>
        <v/>
      </c>
      <c r="N437" s="70"/>
      <c r="O437" s="70"/>
      <c r="P437" s="70"/>
      <c r="Q437" s="70"/>
      <c r="R437" s="70"/>
      <c r="S437" s="70"/>
      <c r="T437" s="70"/>
      <c r="U437" s="70"/>
      <c r="V437" s="70"/>
      <c r="W437" s="70"/>
      <c r="X437" s="70"/>
      <c r="Y437" s="70"/>
      <c r="Z437" s="70"/>
    </row>
    <row r="438" spans="1:26">
      <c r="A438" s="70" t="str">
        <f>IF('Item Setup Form'!$AF442="Yes",'Item Setup Form'!$E442,"")</f>
        <v/>
      </c>
      <c r="B438" s="70" t="str">
        <f>IF('Item Setup Form'!$AF442="Yes",'Item Setup Form'!D442,"")</f>
        <v/>
      </c>
      <c r="C438" s="81" t="str">
        <f>IF('Item Setup Form'!$AF442="Yes",'Item Setup Form'!L442,"")</f>
        <v/>
      </c>
      <c r="D438" s="81" t="str">
        <f>IF('Item Setup Form'!$AF442="Yes",'Item Setup Form'!M442,"")</f>
        <v/>
      </c>
      <c r="E438" s="70"/>
      <c r="F438" s="70" t="str">
        <f>IF('Item Setup Form'!$AF442="Yes",'Item Setup Form'!G442,"")</f>
        <v/>
      </c>
      <c r="G438" s="70" t="str">
        <f>IF('Item Setup Form'!$AF442="Yes",'Item Setup Form'!H442,"")</f>
        <v/>
      </c>
      <c r="H438" s="70" t="str">
        <f>IF('Item Setup Form'!$AF442="Yes",'Item Setup Form'!V442,"")</f>
        <v/>
      </c>
      <c r="I438" s="70"/>
      <c r="J438" s="70" t="str">
        <f>IF('Item Setup Form'!$AF442="Yes",'Item Setup Form'!U442,"")</f>
        <v/>
      </c>
      <c r="K438" s="70" t="str">
        <f>IF('Item Setup Form'!$AF442="Yes",'Item Setup Form'!V442,"")</f>
        <v/>
      </c>
      <c r="L438" s="70"/>
      <c r="M438" s="70" t="str">
        <f>IF('Item Setup Form'!$AF442="Yes",'Item Setup Form'!A442,"")</f>
        <v/>
      </c>
      <c r="N438" s="70"/>
      <c r="O438" s="70"/>
      <c r="P438" s="70"/>
      <c r="Q438" s="70"/>
      <c r="R438" s="70"/>
      <c r="S438" s="70"/>
      <c r="T438" s="70"/>
      <c r="U438" s="70"/>
      <c r="V438" s="70"/>
      <c r="W438" s="70"/>
      <c r="X438" s="70"/>
      <c r="Y438" s="70"/>
      <c r="Z438" s="70"/>
    </row>
    <row r="439" spans="1:26">
      <c r="A439" s="70" t="str">
        <f>IF('Item Setup Form'!$AF443="Yes",'Item Setup Form'!$E443,"")</f>
        <v/>
      </c>
      <c r="B439" s="70" t="str">
        <f>IF('Item Setup Form'!$AF443="Yes",'Item Setup Form'!D443,"")</f>
        <v/>
      </c>
      <c r="C439" s="81" t="str">
        <f>IF('Item Setup Form'!$AF443="Yes",'Item Setup Form'!L443,"")</f>
        <v/>
      </c>
      <c r="D439" s="81" t="str">
        <f>IF('Item Setup Form'!$AF443="Yes",'Item Setup Form'!M443,"")</f>
        <v/>
      </c>
      <c r="E439" s="70"/>
      <c r="F439" s="70" t="str">
        <f>IF('Item Setup Form'!$AF443="Yes",'Item Setup Form'!G443,"")</f>
        <v/>
      </c>
      <c r="G439" s="70" t="str">
        <f>IF('Item Setup Form'!$AF443="Yes",'Item Setup Form'!H443,"")</f>
        <v/>
      </c>
      <c r="H439" s="70" t="str">
        <f>IF('Item Setup Form'!$AF443="Yes",'Item Setup Form'!V443,"")</f>
        <v/>
      </c>
      <c r="I439" s="70"/>
      <c r="J439" s="70" t="str">
        <f>IF('Item Setup Form'!$AF443="Yes",'Item Setup Form'!U443,"")</f>
        <v/>
      </c>
      <c r="K439" s="70" t="str">
        <f>IF('Item Setup Form'!$AF443="Yes",'Item Setup Form'!V443,"")</f>
        <v/>
      </c>
      <c r="L439" s="70"/>
      <c r="M439" s="70" t="str">
        <f>IF('Item Setup Form'!$AF443="Yes",'Item Setup Form'!A443,"")</f>
        <v/>
      </c>
      <c r="N439" s="70"/>
      <c r="O439" s="70"/>
      <c r="P439" s="70"/>
      <c r="Q439" s="70"/>
      <c r="R439" s="70"/>
      <c r="S439" s="70"/>
      <c r="T439" s="70"/>
      <c r="U439" s="70"/>
      <c r="V439" s="70"/>
      <c r="W439" s="70"/>
      <c r="X439" s="70"/>
      <c r="Y439" s="70"/>
      <c r="Z439" s="70"/>
    </row>
    <row r="440" spans="1:26">
      <c r="A440" s="70" t="str">
        <f>IF('Item Setup Form'!$AF444="Yes",'Item Setup Form'!$E444,"")</f>
        <v/>
      </c>
      <c r="B440" s="70" t="str">
        <f>IF('Item Setup Form'!$AF444="Yes",'Item Setup Form'!D444,"")</f>
        <v/>
      </c>
      <c r="C440" s="81" t="str">
        <f>IF('Item Setup Form'!$AF444="Yes",'Item Setup Form'!L444,"")</f>
        <v/>
      </c>
      <c r="D440" s="81" t="str">
        <f>IF('Item Setup Form'!$AF444="Yes",'Item Setup Form'!M444,"")</f>
        <v/>
      </c>
      <c r="E440" s="70"/>
      <c r="F440" s="70" t="str">
        <f>IF('Item Setup Form'!$AF444="Yes",'Item Setup Form'!G444,"")</f>
        <v/>
      </c>
      <c r="G440" s="70" t="str">
        <f>IF('Item Setup Form'!$AF444="Yes",'Item Setup Form'!H444,"")</f>
        <v/>
      </c>
      <c r="H440" s="70" t="str">
        <f>IF('Item Setup Form'!$AF444="Yes",'Item Setup Form'!V444,"")</f>
        <v/>
      </c>
      <c r="I440" s="70"/>
      <c r="J440" s="70" t="str">
        <f>IF('Item Setup Form'!$AF444="Yes",'Item Setup Form'!U444,"")</f>
        <v/>
      </c>
      <c r="K440" s="70" t="str">
        <f>IF('Item Setup Form'!$AF444="Yes",'Item Setup Form'!V444,"")</f>
        <v/>
      </c>
      <c r="L440" s="70"/>
      <c r="M440" s="70" t="str">
        <f>IF('Item Setup Form'!$AF444="Yes",'Item Setup Form'!A444,"")</f>
        <v/>
      </c>
      <c r="N440" s="70"/>
      <c r="O440" s="70"/>
      <c r="P440" s="70"/>
      <c r="Q440" s="70"/>
      <c r="R440" s="70"/>
      <c r="S440" s="70"/>
      <c r="T440" s="70"/>
      <c r="U440" s="70"/>
      <c r="V440" s="70"/>
      <c r="W440" s="70"/>
      <c r="X440" s="70"/>
      <c r="Y440" s="70"/>
      <c r="Z440" s="70"/>
    </row>
    <row r="441" spans="1:26">
      <c r="A441" s="70" t="str">
        <f>IF('Item Setup Form'!$AF445="Yes",'Item Setup Form'!$E445,"")</f>
        <v/>
      </c>
      <c r="B441" s="70" t="str">
        <f>IF('Item Setup Form'!$AF445="Yes",'Item Setup Form'!D445,"")</f>
        <v/>
      </c>
      <c r="C441" s="81" t="str">
        <f>IF('Item Setup Form'!$AF445="Yes",'Item Setup Form'!L445,"")</f>
        <v/>
      </c>
      <c r="D441" s="81" t="str">
        <f>IF('Item Setup Form'!$AF445="Yes",'Item Setup Form'!M445,"")</f>
        <v/>
      </c>
      <c r="E441" s="70"/>
      <c r="F441" s="70" t="str">
        <f>IF('Item Setup Form'!$AF445="Yes",'Item Setup Form'!G445,"")</f>
        <v/>
      </c>
      <c r="G441" s="70" t="str">
        <f>IF('Item Setup Form'!$AF445="Yes",'Item Setup Form'!H445,"")</f>
        <v/>
      </c>
      <c r="H441" s="70" t="str">
        <f>IF('Item Setup Form'!$AF445="Yes",'Item Setup Form'!V445,"")</f>
        <v/>
      </c>
      <c r="I441" s="70"/>
      <c r="J441" s="70" t="str">
        <f>IF('Item Setup Form'!$AF445="Yes",'Item Setup Form'!U445,"")</f>
        <v/>
      </c>
      <c r="K441" s="70" t="str">
        <f>IF('Item Setup Form'!$AF445="Yes",'Item Setup Form'!V445,"")</f>
        <v/>
      </c>
      <c r="L441" s="70"/>
      <c r="M441" s="70" t="str">
        <f>IF('Item Setup Form'!$AF445="Yes",'Item Setup Form'!A445,"")</f>
        <v/>
      </c>
      <c r="N441" s="70"/>
      <c r="O441" s="70"/>
      <c r="P441" s="70"/>
      <c r="Q441" s="70"/>
      <c r="R441" s="70"/>
      <c r="S441" s="70"/>
      <c r="T441" s="70"/>
      <c r="U441" s="70"/>
      <c r="V441" s="70"/>
      <c r="W441" s="70"/>
      <c r="X441" s="70"/>
      <c r="Y441" s="70"/>
      <c r="Z441" s="70"/>
    </row>
    <row r="442" spans="1:26">
      <c r="A442" s="70" t="str">
        <f>IF('Item Setup Form'!$AF446="Yes",'Item Setup Form'!$E446,"")</f>
        <v/>
      </c>
      <c r="B442" s="70" t="str">
        <f>IF('Item Setup Form'!$AF446="Yes",'Item Setup Form'!D446,"")</f>
        <v/>
      </c>
      <c r="C442" s="81" t="str">
        <f>IF('Item Setup Form'!$AF446="Yes",'Item Setup Form'!L446,"")</f>
        <v/>
      </c>
      <c r="D442" s="81" t="str">
        <f>IF('Item Setup Form'!$AF446="Yes",'Item Setup Form'!M446,"")</f>
        <v/>
      </c>
      <c r="E442" s="70"/>
      <c r="F442" s="70" t="str">
        <f>IF('Item Setup Form'!$AF446="Yes",'Item Setup Form'!G446,"")</f>
        <v/>
      </c>
      <c r="G442" s="70" t="str">
        <f>IF('Item Setup Form'!$AF446="Yes",'Item Setup Form'!H446,"")</f>
        <v/>
      </c>
      <c r="H442" s="70" t="str">
        <f>IF('Item Setup Form'!$AF446="Yes",'Item Setup Form'!V446,"")</f>
        <v/>
      </c>
      <c r="I442" s="70"/>
      <c r="J442" s="70" t="str">
        <f>IF('Item Setup Form'!$AF446="Yes",'Item Setup Form'!U446,"")</f>
        <v/>
      </c>
      <c r="K442" s="70" t="str">
        <f>IF('Item Setup Form'!$AF446="Yes",'Item Setup Form'!V446,"")</f>
        <v/>
      </c>
      <c r="L442" s="70"/>
      <c r="M442" s="70" t="str">
        <f>IF('Item Setup Form'!$AF446="Yes",'Item Setup Form'!A446,"")</f>
        <v/>
      </c>
      <c r="N442" s="70"/>
      <c r="O442" s="70"/>
      <c r="P442" s="70"/>
      <c r="Q442" s="70"/>
      <c r="R442" s="70"/>
      <c r="S442" s="70"/>
      <c r="T442" s="70"/>
      <c r="U442" s="70"/>
      <c r="V442" s="70"/>
      <c r="W442" s="70"/>
      <c r="X442" s="70"/>
      <c r="Y442" s="70"/>
      <c r="Z442" s="70"/>
    </row>
    <row r="443" spans="1:26">
      <c r="A443" s="70" t="str">
        <f>IF('Item Setup Form'!$AF447="Yes",'Item Setup Form'!$E447,"")</f>
        <v/>
      </c>
      <c r="B443" s="70" t="str">
        <f>IF('Item Setup Form'!$AF447="Yes",'Item Setup Form'!D447,"")</f>
        <v/>
      </c>
      <c r="C443" s="81" t="str">
        <f>IF('Item Setup Form'!$AF447="Yes",'Item Setup Form'!L447,"")</f>
        <v/>
      </c>
      <c r="D443" s="81" t="str">
        <f>IF('Item Setup Form'!$AF447="Yes",'Item Setup Form'!M447,"")</f>
        <v/>
      </c>
      <c r="E443" s="70"/>
      <c r="F443" s="70" t="str">
        <f>IF('Item Setup Form'!$AF447="Yes",'Item Setup Form'!G447,"")</f>
        <v/>
      </c>
      <c r="G443" s="70" t="str">
        <f>IF('Item Setup Form'!$AF447="Yes",'Item Setup Form'!H447,"")</f>
        <v/>
      </c>
      <c r="H443" s="70" t="str">
        <f>IF('Item Setup Form'!$AF447="Yes",'Item Setup Form'!V447,"")</f>
        <v/>
      </c>
      <c r="I443" s="70"/>
      <c r="J443" s="70" t="str">
        <f>IF('Item Setup Form'!$AF447="Yes",'Item Setup Form'!U447,"")</f>
        <v/>
      </c>
      <c r="K443" s="70" t="str">
        <f>IF('Item Setup Form'!$AF447="Yes",'Item Setup Form'!V447,"")</f>
        <v/>
      </c>
      <c r="L443" s="70"/>
      <c r="M443" s="70" t="str">
        <f>IF('Item Setup Form'!$AF447="Yes",'Item Setup Form'!A447,"")</f>
        <v/>
      </c>
      <c r="N443" s="70"/>
      <c r="O443" s="70"/>
      <c r="P443" s="70"/>
      <c r="Q443" s="70"/>
      <c r="R443" s="70"/>
      <c r="S443" s="70"/>
      <c r="T443" s="70"/>
      <c r="U443" s="70"/>
      <c r="V443" s="70"/>
      <c r="W443" s="70"/>
      <c r="X443" s="70"/>
      <c r="Y443" s="70"/>
      <c r="Z443" s="70"/>
    </row>
    <row r="444" spans="1:26">
      <c r="A444" s="70" t="str">
        <f>IF('Item Setup Form'!$AF448="Yes",'Item Setup Form'!$E448,"")</f>
        <v/>
      </c>
      <c r="B444" s="70" t="str">
        <f>IF('Item Setup Form'!$AF448="Yes",'Item Setup Form'!D448,"")</f>
        <v/>
      </c>
      <c r="C444" s="81" t="str">
        <f>IF('Item Setup Form'!$AF448="Yes",'Item Setup Form'!L448,"")</f>
        <v/>
      </c>
      <c r="D444" s="81" t="str">
        <f>IF('Item Setup Form'!$AF448="Yes",'Item Setup Form'!M448,"")</f>
        <v/>
      </c>
      <c r="E444" s="70"/>
      <c r="F444" s="70" t="str">
        <f>IF('Item Setup Form'!$AF448="Yes",'Item Setup Form'!G448,"")</f>
        <v/>
      </c>
      <c r="G444" s="70" t="str">
        <f>IF('Item Setup Form'!$AF448="Yes",'Item Setup Form'!H448,"")</f>
        <v/>
      </c>
      <c r="H444" s="70" t="str">
        <f>IF('Item Setup Form'!$AF448="Yes",'Item Setup Form'!V448,"")</f>
        <v/>
      </c>
      <c r="I444" s="70"/>
      <c r="J444" s="70" t="str">
        <f>IF('Item Setup Form'!$AF448="Yes",'Item Setup Form'!U448,"")</f>
        <v/>
      </c>
      <c r="K444" s="70" t="str">
        <f>IF('Item Setup Form'!$AF448="Yes",'Item Setup Form'!V448,"")</f>
        <v/>
      </c>
      <c r="L444" s="70"/>
      <c r="M444" s="70" t="str">
        <f>IF('Item Setup Form'!$AF448="Yes",'Item Setup Form'!A448,"")</f>
        <v/>
      </c>
      <c r="N444" s="70"/>
      <c r="O444" s="70"/>
      <c r="P444" s="70"/>
      <c r="Q444" s="70"/>
      <c r="R444" s="70"/>
      <c r="S444" s="70"/>
      <c r="T444" s="70"/>
      <c r="U444" s="70"/>
      <c r="V444" s="70"/>
      <c r="W444" s="70"/>
      <c r="X444" s="70"/>
      <c r="Y444" s="70"/>
      <c r="Z444" s="70"/>
    </row>
    <row r="445" spans="1:26">
      <c r="A445" s="70" t="str">
        <f>IF('Item Setup Form'!$AF449="Yes",'Item Setup Form'!$E449,"")</f>
        <v/>
      </c>
      <c r="B445" s="70" t="str">
        <f>IF('Item Setup Form'!$AF449="Yes",'Item Setup Form'!D449,"")</f>
        <v/>
      </c>
      <c r="C445" s="81" t="str">
        <f>IF('Item Setup Form'!$AF449="Yes",'Item Setup Form'!L449,"")</f>
        <v/>
      </c>
      <c r="D445" s="81" t="str">
        <f>IF('Item Setup Form'!$AF449="Yes",'Item Setup Form'!M449,"")</f>
        <v/>
      </c>
      <c r="E445" s="70"/>
      <c r="F445" s="70" t="str">
        <f>IF('Item Setup Form'!$AF449="Yes",'Item Setup Form'!G449,"")</f>
        <v/>
      </c>
      <c r="G445" s="70" t="str">
        <f>IF('Item Setup Form'!$AF449="Yes",'Item Setup Form'!H449,"")</f>
        <v/>
      </c>
      <c r="H445" s="70" t="str">
        <f>IF('Item Setup Form'!$AF449="Yes",'Item Setup Form'!V449,"")</f>
        <v/>
      </c>
      <c r="I445" s="70"/>
      <c r="J445" s="70" t="str">
        <f>IF('Item Setup Form'!$AF449="Yes",'Item Setup Form'!U449,"")</f>
        <v/>
      </c>
      <c r="K445" s="70" t="str">
        <f>IF('Item Setup Form'!$AF449="Yes",'Item Setup Form'!V449,"")</f>
        <v/>
      </c>
      <c r="L445" s="70"/>
      <c r="M445" s="70" t="str">
        <f>IF('Item Setup Form'!$AF449="Yes",'Item Setup Form'!A449,"")</f>
        <v/>
      </c>
      <c r="N445" s="70"/>
      <c r="O445" s="70"/>
      <c r="P445" s="70"/>
      <c r="Q445" s="70"/>
      <c r="R445" s="70"/>
      <c r="S445" s="70"/>
      <c r="T445" s="70"/>
      <c r="U445" s="70"/>
      <c r="V445" s="70"/>
      <c r="W445" s="70"/>
      <c r="X445" s="70"/>
      <c r="Y445" s="70"/>
      <c r="Z445" s="70"/>
    </row>
    <row r="446" spans="1:26">
      <c r="A446" s="70" t="str">
        <f>IF('Item Setup Form'!$AF450="Yes",'Item Setup Form'!$E450,"")</f>
        <v/>
      </c>
      <c r="B446" s="70" t="str">
        <f>IF('Item Setup Form'!$AF450="Yes",'Item Setup Form'!D450,"")</f>
        <v/>
      </c>
      <c r="C446" s="81" t="str">
        <f>IF('Item Setup Form'!$AF450="Yes",'Item Setup Form'!L450,"")</f>
        <v/>
      </c>
      <c r="D446" s="81" t="str">
        <f>IF('Item Setup Form'!$AF450="Yes",'Item Setup Form'!M450,"")</f>
        <v/>
      </c>
      <c r="E446" s="70"/>
      <c r="F446" s="70" t="str">
        <f>IF('Item Setup Form'!$AF450="Yes",'Item Setup Form'!G450,"")</f>
        <v/>
      </c>
      <c r="G446" s="70" t="str">
        <f>IF('Item Setup Form'!$AF450="Yes",'Item Setup Form'!H450,"")</f>
        <v/>
      </c>
      <c r="H446" s="70" t="str">
        <f>IF('Item Setup Form'!$AF450="Yes",'Item Setup Form'!V450,"")</f>
        <v/>
      </c>
      <c r="I446" s="70"/>
      <c r="J446" s="70" t="str">
        <f>IF('Item Setup Form'!$AF450="Yes",'Item Setup Form'!U450,"")</f>
        <v/>
      </c>
      <c r="K446" s="70" t="str">
        <f>IF('Item Setup Form'!$AF450="Yes",'Item Setup Form'!V450,"")</f>
        <v/>
      </c>
      <c r="L446" s="70"/>
      <c r="M446" s="70" t="str">
        <f>IF('Item Setup Form'!$AF450="Yes",'Item Setup Form'!A450,"")</f>
        <v/>
      </c>
      <c r="N446" s="70"/>
      <c r="O446" s="70"/>
      <c r="P446" s="70"/>
      <c r="Q446" s="70"/>
      <c r="R446" s="70"/>
      <c r="S446" s="70"/>
      <c r="T446" s="70"/>
      <c r="U446" s="70"/>
      <c r="V446" s="70"/>
      <c r="W446" s="70"/>
      <c r="X446" s="70"/>
      <c r="Y446" s="70"/>
      <c r="Z446" s="70"/>
    </row>
    <row r="447" spans="1:26">
      <c r="A447" s="70" t="str">
        <f>IF('Item Setup Form'!$AF451="Yes",'Item Setup Form'!$E451,"")</f>
        <v/>
      </c>
      <c r="B447" s="70" t="str">
        <f>IF('Item Setup Form'!$AF451="Yes",'Item Setup Form'!D451,"")</f>
        <v/>
      </c>
      <c r="C447" s="81" t="str">
        <f>IF('Item Setup Form'!$AF451="Yes",'Item Setup Form'!L451,"")</f>
        <v/>
      </c>
      <c r="D447" s="81" t="str">
        <f>IF('Item Setup Form'!$AF451="Yes",'Item Setup Form'!M451,"")</f>
        <v/>
      </c>
      <c r="E447" s="70"/>
      <c r="F447" s="70" t="str">
        <f>IF('Item Setup Form'!$AF451="Yes",'Item Setup Form'!G451,"")</f>
        <v/>
      </c>
      <c r="G447" s="70" t="str">
        <f>IF('Item Setup Form'!$AF451="Yes",'Item Setup Form'!H451,"")</f>
        <v/>
      </c>
      <c r="H447" s="70" t="str">
        <f>IF('Item Setup Form'!$AF451="Yes",'Item Setup Form'!V451,"")</f>
        <v/>
      </c>
      <c r="I447" s="70"/>
      <c r="J447" s="70" t="str">
        <f>IF('Item Setup Form'!$AF451="Yes",'Item Setup Form'!U451,"")</f>
        <v/>
      </c>
      <c r="K447" s="70" t="str">
        <f>IF('Item Setup Form'!$AF451="Yes",'Item Setup Form'!V451,"")</f>
        <v/>
      </c>
      <c r="L447" s="70"/>
      <c r="M447" s="70" t="str">
        <f>IF('Item Setup Form'!$AF451="Yes",'Item Setup Form'!A451,"")</f>
        <v/>
      </c>
      <c r="N447" s="70"/>
      <c r="O447" s="70"/>
      <c r="P447" s="70"/>
      <c r="Q447" s="70"/>
      <c r="R447" s="70"/>
      <c r="S447" s="70"/>
      <c r="T447" s="70"/>
      <c r="U447" s="70"/>
      <c r="V447" s="70"/>
      <c r="W447" s="70"/>
      <c r="X447" s="70"/>
      <c r="Y447" s="70"/>
      <c r="Z447" s="70"/>
    </row>
    <row r="448" spans="1:26">
      <c r="A448" s="70" t="str">
        <f>IF('Item Setup Form'!$AF452="Yes",'Item Setup Form'!$E452,"")</f>
        <v/>
      </c>
      <c r="B448" s="70" t="str">
        <f>IF('Item Setup Form'!$AF452="Yes",'Item Setup Form'!D452,"")</f>
        <v/>
      </c>
      <c r="C448" s="81" t="str">
        <f>IF('Item Setup Form'!$AF452="Yes",'Item Setup Form'!L452,"")</f>
        <v/>
      </c>
      <c r="D448" s="81" t="str">
        <f>IF('Item Setup Form'!$AF452="Yes",'Item Setup Form'!M452,"")</f>
        <v/>
      </c>
      <c r="E448" s="70"/>
      <c r="F448" s="70" t="str">
        <f>IF('Item Setup Form'!$AF452="Yes",'Item Setup Form'!G452,"")</f>
        <v/>
      </c>
      <c r="G448" s="70" t="str">
        <f>IF('Item Setup Form'!$AF452="Yes",'Item Setup Form'!H452,"")</f>
        <v/>
      </c>
      <c r="H448" s="70" t="str">
        <f>IF('Item Setup Form'!$AF452="Yes",'Item Setup Form'!V452,"")</f>
        <v/>
      </c>
      <c r="I448" s="70"/>
      <c r="J448" s="70" t="str">
        <f>IF('Item Setup Form'!$AF452="Yes",'Item Setup Form'!U452,"")</f>
        <v/>
      </c>
      <c r="K448" s="70" t="str">
        <f>IF('Item Setup Form'!$AF452="Yes",'Item Setup Form'!V452,"")</f>
        <v/>
      </c>
      <c r="L448" s="70"/>
      <c r="M448" s="70" t="str">
        <f>IF('Item Setup Form'!$AF452="Yes",'Item Setup Form'!A452,"")</f>
        <v/>
      </c>
      <c r="N448" s="70"/>
      <c r="O448" s="70"/>
      <c r="P448" s="70"/>
      <c r="Q448" s="70"/>
      <c r="R448" s="70"/>
      <c r="S448" s="70"/>
      <c r="T448" s="70"/>
      <c r="U448" s="70"/>
      <c r="V448" s="70"/>
      <c r="W448" s="70"/>
      <c r="X448" s="70"/>
      <c r="Y448" s="70"/>
      <c r="Z448" s="70"/>
    </row>
    <row r="449" spans="1:26">
      <c r="A449" s="70" t="str">
        <f>IF('Item Setup Form'!$AF453="Yes",'Item Setup Form'!$E453,"")</f>
        <v/>
      </c>
      <c r="B449" s="70" t="str">
        <f>IF('Item Setup Form'!$AF453="Yes",'Item Setup Form'!D453,"")</f>
        <v/>
      </c>
      <c r="C449" s="81" t="str">
        <f>IF('Item Setup Form'!$AF453="Yes",'Item Setup Form'!L453,"")</f>
        <v/>
      </c>
      <c r="D449" s="81" t="str">
        <f>IF('Item Setup Form'!$AF453="Yes",'Item Setup Form'!M453,"")</f>
        <v/>
      </c>
      <c r="E449" s="70"/>
      <c r="F449" s="70" t="str">
        <f>IF('Item Setup Form'!$AF453="Yes",'Item Setup Form'!G453,"")</f>
        <v/>
      </c>
      <c r="G449" s="70" t="str">
        <f>IF('Item Setup Form'!$AF453="Yes",'Item Setup Form'!H453,"")</f>
        <v/>
      </c>
      <c r="H449" s="70" t="str">
        <f>IF('Item Setup Form'!$AF453="Yes",'Item Setup Form'!V453,"")</f>
        <v/>
      </c>
      <c r="I449" s="70"/>
      <c r="J449" s="70" t="str">
        <f>IF('Item Setup Form'!$AF453="Yes",'Item Setup Form'!U453,"")</f>
        <v/>
      </c>
      <c r="K449" s="70" t="str">
        <f>IF('Item Setup Form'!$AF453="Yes",'Item Setup Form'!V453,"")</f>
        <v/>
      </c>
      <c r="L449" s="70"/>
      <c r="M449" s="70" t="str">
        <f>IF('Item Setup Form'!$AF453="Yes",'Item Setup Form'!A453,"")</f>
        <v/>
      </c>
      <c r="N449" s="70"/>
      <c r="O449" s="70"/>
      <c r="P449" s="70"/>
      <c r="Q449" s="70"/>
      <c r="R449" s="70"/>
      <c r="S449" s="70"/>
      <c r="T449" s="70"/>
      <c r="U449" s="70"/>
      <c r="V449" s="70"/>
      <c r="W449" s="70"/>
      <c r="X449" s="70"/>
      <c r="Y449" s="70"/>
      <c r="Z449" s="70"/>
    </row>
    <row r="450" spans="1:26">
      <c r="A450" s="70" t="str">
        <f>IF('Item Setup Form'!$AF454="Yes",'Item Setup Form'!$E454,"")</f>
        <v/>
      </c>
      <c r="B450" s="70" t="str">
        <f>IF('Item Setup Form'!$AF454="Yes",'Item Setup Form'!D454,"")</f>
        <v/>
      </c>
      <c r="C450" s="81" t="str">
        <f>IF('Item Setup Form'!$AF454="Yes",'Item Setup Form'!L454,"")</f>
        <v/>
      </c>
      <c r="D450" s="81" t="str">
        <f>IF('Item Setup Form'!$AF454="Yes",'Item Setup Form'!M454,"")</f>
        <v/>
      </c>
      <c r="E450" s="70"/>
      <c r="F450" s="70" t="str">
        <f>IF('Item Setup Form'!$AF454="Yes",'Item Setup Form'!G454,"")</f>
        <v/>
      </c>
      <c r="G450" s="70" t="str">
        <f>IF('Item Setup Form'!$AF454="Yes",'Item Setup Form'!H454,"")</f>
        <v/>
      </c>
      <c r="H450" s="70" t="str">
        <f>IF('Item Setup Form'!$AF454="Yes",'Item Setup Form'!V454,"")</f>
        <v/>
      </c>
      <c r="I450" s="70"/>
      <c r="J450" s="70" t="str">
        <f>IF('Item Setup Form'!$AF454="Yes",'Item Setup Form'!U454,"")</f>
        <v/>
      </c>
      <c r="K450" s="70" t="str">
        <f>IF('Item Setup Form'!$AF454="Yes",'Item Setup Form'!V454,"")</f>
        <v/>
      </c>
      <c r="L450" s="70"/>
      <c r="M450" s="70" t="str">
        <f>IF('Item Setup Form'!$AF454="Yes",'Item Setup Form'!A454,"")</f>
        <v/>
      </c>
      <c r="N450" s="70"/>
      <c r="O450" s="70"/>
      <c r="P450" s="70"/>
      <c r="Q450" s="70"/>
      <c r="R450" s="70"/>
      <c r="S450" s="70"/>
      <c r="T450" s="70"/>
      <c r="U450" s="70"/>
      <c r="V450" s="70"/>
      <c r="W450" s="70"/>
      <c r="X450" s="70"/>
      <c r="Y450" s="70"/>
      <c r="Z450" s="70"/>
    </row>
    <row r="451" spans="1:26">
      <c r="A451" s="70" t="str">
        <f>IF('Item Setup Form'!$AF455="Yes",'Item Setup Form'!$E455,"")</f>
        <v/>
      </c>
      <c r="B451" s="70" t="str">
        <f>IF('Item Setup Form'!$AF455="Yes",'Item Setup Form'!D455,"")</f>
        <v/>
      </c>
      <c r="C451" s="81" t="str">
        <f>IF('Item Setup Form'!$AF455="Yes",'Item Setup Form'!L455,"")</f>
        <v/>
      </c>
      <c r="D451" s="81" t="str">
        <f>IF('Item Setup Form'!$AF455="Yes",'Item Setup Form'!M455,"")</f>
        <v/>
      </c>
      <c r="E451" s="70"/>
      <c r="F451" s="70" t="str">
        <f>IF('Item Setup Form'!$AF455="Yes",'Item Setup Form'!G455,"")</f>
        <v/>
      </c>
      <c r="G451" s="70" t="str">
        <f>IF('Item Setup Form'!$AF455="Yes",'Item Setup Form'!H455,"")</f>
        <v/>
      </c>
      <c r="H451" s="70" t="str">
        <f>IF('Item Setup Form'!$AF455="Yes",'Item Setup Form'!V455,"")</f>
        <v/>
      </c>
      <c r="I451" s="70"/>
      <c r="J451" s="70" t="str">
        <f>IF('Item Setup Form'!$AF455="Yes",'Item Setup Form'!U455,"")</f>
        <v/>
      </c>
      <c r="K451" s="70" t="str">
        <f>IF('Item Setup Form'!$AF455="Yes",'Item Setup Form'!V455,"")</f>
        <v/>
      </c>
      <c r="L451" s="70"/>
      <c r="M451" s="70" t="str">
        <f>IF('Item Setup Form'!$AF455="Yes",'Item Setup Form'!A455,"")</f>
        <v/>
      </c>
      <c r="N451" s="70"/>
      <c r="O451" s="70"/>
      <c r="P451" s="70"/>
      <c r="Q451" s="70"/>
      <c r="R451" s="70"/>
      <c r="S451" s="70"/>
      <c r="T451" s="70"/>
      <c r="U451" s="70"/>
      <c r="V451" s="70"/>
      <c r="W451" s="70"/>
      <c r="X451" s="70"/>
      <c r="Y451" s="70"/>
      <c r="Z451" s="70"/>
    </row>
    <row r="452" spans="1:26">
      <c r="A452" s="70" t="str">
        <f>IF('Item Setup Form'!$AF456="Yes",'Item Setup Form'!$E456,"")</f>
        <v/>
      </c>
      <c r="B452" s="70" t="str">
        <f>IF('Item Setup Form'!$AF456="Yes",'Item Setup Form'!D456,"")</f>
        <v/>
      </c>
      <c r="C452" s="81" t="str">
        <f>IF('Item Setup Form'!$AF456="Yes",'Item Setup Form'!L456,"")</f>
        <v/>
      </c>
      <c r="D452" s="81" t="str">
        <f>IF('Item Setup Form'!$AF456="Yes",'Item Setup Form'!M456,"")</f>
        <v/>
      </c>
      <c r="E452" s="70"/>
      <c r="F452" s="70" t="str">
        <f>IF('Item Setup Form'!$AF456="Yes",'Item Setup Form'!G456,"")</f>
        <v/>
      </c>
      <c r="G452" s="70" t="str">
        <f>IF('Item Setup Form'!$AF456="Yes",'Item Setup Form'!H456,"")</f>
        <v/>
      </c>
      <c r="H452" s="70" t="str">
        <f>IF('Item Setup Form'!$AF456="Yes",'Item Setup Form'!V456,"")</f>
        <v/>
      </c>
      <c r="I452" s="70"/>
      <c r="J452" s="70" t="str">
        <f>IF('Item Setup Form'!$AF456="Yes",'Item Setup Form'!U456,"")</f>
        <v/>
      </c>
      <c r="K452" s="70" t="str">
        <f>IF('Item Setup Form'!$AF456="Yes",'Item Setup Form'!V456,"")</f>
        <v/>
      </c>
      <c r="L452" s="70"/>
      <c r="M452" s="70" t="str">
        <f>IF('Item Setup Form'!$AF456="Yes",'Item Setup Form'!A456,"")</f>
        <v/>
      </c>
      <c r="N452" s="70"/>
      <c r="O452" s="70"/>
      <c r="P452" s="70"/>
      <c r="Q452" s="70"/>
      <c r="R452" s="70"/>
      <c r="S452" s="70"/>
      <c r="T452" s="70"/>
      <c r="U452" s="70"/>
      <c r="V452" s="70"/>
      <c r="W452" s="70"/>
      <c r="X452" s="70"/>
      <c r="Y452" s="70"/>
      <c r="Z452" s="70"/>
    </row>
    <row r="453" spans="1:26">
      <c r="A453" s="70" t="str">
        <f>IF('Item Setup Form'!$AF457="Yes",'Item Setup Form'!$E457,"")</f>
        <v/>
      </c>
      <c r="B453" s="70" t="str">
        <f>IF('Item Setup Form'!$AF457="Yes",'Item Setup Form'!D457,"")</f>
        <v/>
      </c>
      <c r="C453" s="81" t="str">
        <f>IF('Item Setup Form'!$AF457="Yes",'Item Setup Form'!L457,"")</f>
        <v/>
      </c>
      <c r="D453" s="81" t="str">
        <f>IF('Item Setup Form'!$AF457="Yes",'Item Setup Form'!M457,"")</f>
        <v/>
      </c>
      <c r="E453" s="70"/>
      <c r="F453" s="70" t="str">
        <f>IF('Item Setup Form'!$AF457="Yes",'Item Setup Form'!G457,"")</f>
        <v/>
      </c>
      <c r="G453" s="70" t="str">
        <f>IF('Item Setup Form'!$AF457="Yes",'Item Setup Form'!H457,"")</f>
        <v/>
      </c>
      <c r="H453" s="70" t="str">
        <f>IF('Item Setup Form'!$AF457="Yes",'Item Setup Form'!V457,"")</f>
        <v/>
      </c>
      <c r="I453" s="70"/>
      <c r="J453" s="70" t="str">
        <f>IF('Item Setup Form'!$AF457="Yes",'Item Setup Form'!U457,"")</f>
        <v/>
      </c>
      <c r="K453" s="70" t="str">
        <f>IF('Item Setup Form'!$AF457="Yes",'Item Setup Form'!V457,"")</f>
        <v/>
      </c>
      <c r="L453" s="70"/>
      <c r="M453" s="70" t="str">
        <f>IF('Item Setup Form'!$AF457="Yes",'Item Setup Form'!A457,"")</f>
        <v/>
      </c>
      <c r="N453" s="70"/>
      <c r="O453" s="70"/>
      <c r="P453" s="70"/>
      <c r="Q453" s="70"/>
      <c r="R453" s="70"/>
      <c r="S453" s="70"/>
      <c r="T453" s="70"/>
      <c r="U453" s="70"/>
      <c r="V453" s="70"/>
      <c r="W453" s="70"/>
      <c r="X453" s="70"/>
      <c r="Y453" s="70"/>
      <c r="Z453" s="70"/>
    </row>
    <row r="454" spans="1:26">
      <c r="A454" s="70" t="str">
        <f>IF('Item Setup Form'!$AF458="Yes",'Item Setup Form'!$E458,"")</f>
        <v/>
      </c>
      <c r="B454" s="70" t="str">
        <f>IF('Item Setup Form'!$AF458="Yes",'Item Setup Form'!D458,"")</f>
        <v/>
      </c>
      <c r="C454" s="81" t="str">
        <f>IF('Item Setup Form'!$AF458="Yes",'Item Setup Form'!L458,"")</f>
        <v/>
      </c>
      <c r="D454" s="81" t="str">
        <f>IF('Item Setup Form'!$AF458="Yes",'Item Setup Form'!M458,"")</f>
        <v/>
      </c>
      <c r="E454" s="70"/>
      <c r="F454" s="70" t="str">
        <f>IF('Item Setup Form'!$AF458="Yes",'Item Setup Form'!G458,"")</f>
        <v/>
      </c>
      <c r="G454" s="70" t="str">
        <f>IF('Item Setup Form'!$AF458="Yes",'Item Setup Form'!H458,"")</f>
        <v/>
      </c>
      <c r="H454" s="70" t="str">
        <f>IF('Item Setup Form'!$AF458="Yes",'Item Setup Form'!V458,"")</f>
        <v/>
      </c>
      <c r="I454" s="70"/>
      <c r="J454" s="70" t="str">
        <f>IF('Item Setup Form'!$AF458="Yes",'Item Setup Form'!U458,"")</f>
        <v/>
      </c>
      <c r="K454" s="70" t="str">
        <f>IF('Item Setup Form'!$AF458="Yes",'Item Setup Form'!V458,"")</f>
        <v/>
      </c>
      <c r="L454" s="70"/>
      <c r="M454" s="70" t="str">
        <f>IF('Item Setup Form'!$AF458="Yes",'Item Setup Form'!A458,"")</f>
        <v/>
      </c>
      <c r="N454" s="70"/>
      <c r="O454" s="70"/>
      <c r="P454" s="70"/>
      <c r="Q454" s="70"/>
      <c r="R454" s="70"/>
      <c r="S454" s="70"/>
      <c r="T454" s="70"/>
      <c r="U454" s="70"/>
      <c r="V454" s="70"/>
      <c r="W454" s="70"/>
      <c r="X454" s="70"/>
      <c r="Y454" s="70"/>
      <c r="Z454" s="70"/>
    </row>
    <row r="455" spans="1:26">
      <c r="A455" s="70" t="str">
        <f>IF('Item Setup Form'!$AF459="Yes",'Item Setup Form'!$E459,"")</f>
        <v/>
      </c>
      <c r="B455" s="70" t="str">
        <f>IF('Item Setup Form'!$AF459="Yes",'Item Setup Form'!D459,"")</f>
        <v/>
      </c>
      <c r="C455" s="81" t="str">
        <f>IF('Item Setup Form'!$AF459="Yes",'Item Setup Form'!L459,"")</f>
        <v/>
      </c>
      <c r="D455" s="81" t="str">
        <f>IF('Item Setup Form'!$AF459="Yes",'Item Setup Form'!M459,"")</f>
        <v/>
      </c>
      <c r="E455" s="70"/>
      <c r="F455" s="70" t="str">
        <f>IF('Item Setup Form'!$AF459="Yes",'Item Setup Form'!G459,"")</f>
        <v/>
      </c>
      <c r="G455" s="70" t="str">
        <f>IF('Item Setup Form'!$AF459="Yes",'Item Setup Form'!H459,"")</f>
        <v/>
      </c>
      <c r="H455" s="70" t="str">
        <f>IF('Item Setup Form'!$AF459="Yes",'Item Setup Form'!V459,"")</f>
        <v/>
      </c>
      <c r="I455" s="70"/>
      <c r="J455" s="70" t="str">
        <f>IF('Item Setup Form'!$AF459="Yes",'Item Setup Form'!U459,"")</f>
        <v/>
      </c>
      <c r="K455" s="70" t="str">
        <f>IF('Item Setup Form'!$AF459="Yes",'Item Setup Form'!V459,"")</f>
        <v/>
      </c>
      <c r="L455" s="70"/>
      <c r="M455" s="70" t="str">
        <f>IF('Item Setup Form'!$AF459="Yes",'Item Setup Form'!A459,"")</f>
        <v/>
      </c>
      <c r="N455" s="70"/>
      <c r="O455" s="70"/>
      <c r="P455" s="70"/>
      <c r="Q455" s="70"/>
      <c r="R455" s="70"/>
      <c r="S455" s="70"/>
      <c r="T455" s="70"/>
      <c r="U455" s="70"/>
      <c r="V455" s="70"/>
      <c r="W455" s="70"/>
      <c r="X455" s="70"/>
      <c r="Y455" s="70"/>
      <c r="Z455" s="70"/>
    </row>
    <row r="456" spans="1:26">
      <c r="A456" s="70" t="str">
        <f>IF('Item Setup Form'!$AF460="Yes",'Item Setup Form'!$E460,"")</f>
        <v/>
      </c>
      <c r="B456" s="70" t="str">
        <f>IF('Item Setup Form'!$AF460="Yes",'Item Setup Form'!D460,"")</f>
        <v/>
      </c>
      <c r="C456" s="81" t="str">
        <f>IF('Item Setup Form'!$AF460="Yes",'Item Setup Form'!L460,"")</f>
        <v/>
      </c>
      <c r="D456" s="81" t="str">
        <f>IF('Item Setup Form'!$AF460="Yes",'Item Setup Form'!M460,"")</f>
        <v/>
      </c>
      <c r="E456" s="70"/>
      <c r="F456" s="70" t="str">
        <f>IF('Item Setup Form'!$AF460="Yes",'Item Setup Form'!G460,"")</f>
        <v/>
      </c>
      <c r="G456" s="70" t="str">
        <f>IF('Item Setup Form'!$AF460="Yes",'Item Setup Form'!H460,"")</f>
        <v/>
      </c>
      <c r="H456" s="70" t="str">
        <f>IF('Item Setup Form'!$AF460="Yes",'Item Setup Form'!V460,"")</f>
        <v/>
      </c>
      <c r="I456" s="70"/>
      <c r="J456" s="70" t="str">
        <f>IF('Item Setup Form'!$AF460="Yes",'Item Setup Form'!U460,"")</f>
        <v/>
      </c>
      <c r="K456" s="70" t="str">
        <f>IF('Item Setup Form'!$AF460="Yes",'Item Setup Form'!V460,"")</f>
        <v/>
      </c>
      <c r="L456" s="70"/>
      <c r="M456" s="70" t="str">
        <f>IF('Item Setup Form'!$AF460="Yes",'Item Setup Form'!A460,"")</f>
        <v/>
      </c>
      <c r="N456" s="70"/>
      <c r="O456" s="70"/>
      <c r="P456" s="70"/>
      <c r="Q456" s="70"/>
      <c r="R456" s="70"/>
      <c r="S456" s="70"/>
      <c r="T456" s="70"/>
      <c r="U456" s="70"/>
      <c r="V456" s="70"/>
      <c r="W456" s="70"/>
      <c r="X456" s="70"/>
      <c r="Y456" s="70"/>
      <c r="Z456" s="70"/>
    </row>
    <row r="457" spans="1:26">
      <c r="A457" s="70" t="str">
        <f>IF('Item Setup Form'!$AF461="Yes",'Item Setup Form'!$E461,"")</f>
        <v/>
      </c>
      <c r="B457" s="70" t="str">
        <f>IF('Item Setup Form'!$AF461="Yes",'Item Setup Form'!D461,"")</f>
        <v/>
      </c>
      <c r="C457" s="81" t="str">
        <f>IF('Item Setup Form'!$AF461="Yes",'Item Setup Form'!L461,"")</f>
        <v/>
      </c>
      <c r="D457" s="81" t="str">
        <f>IF('Item Setup Form'!$AF461="Yes",'Item Setup Form'!M461,"")</f>
        <v/>
      </c>
      <c r="E457" s="70"/>
      <c r="F457" s="70" t="str">
        <f>IF('Item Setup Form'!$AF461="Yes",'Item Setup Form'!G461,"")</f>
        <v/>
      </c>
      <c r="G457" s="70" t="str">
        <f>IF('Item Setup Form'!$AF461="Yes",'Item Setup Form'!H461,"")</f>
        <v/>
      </c>
      <c r="H457" s="70" t="str">
        <f>IF('Item Setup Form'!$AF461="Yes",'Item Setup Form'!V461,"")</f>
        <v/>
      </c>
      <c r="I457" s="70"/>
      <c r="J457" s="70" t="str">
        <f>IF('Item Setup Form'!$AF461="Yes",'Item Setup Form'!U461,"")</f>
        <v/>
      </c>
      <c r="K457" s="70" t="str">
        <f>IF('Item Setup Form'!$AF461="Yes",'Item Setup Form'!V461,"")</f>
        <v/>
      </c>
      <c r="L457" s="70"/>
      <c r="M457" s="70" t="str">
        <f>IF('Item Setup Form'!$AF461="Yes",'Item Setup Form'!A461,"")</f>
        <v/>
      </c>
      <c r="N457" s="70"/>
      <c r="O457" s="70"/>
      <c r="P457" s="70"/>
      <c r="Q457" s="70"/>
      <c r="R457" s="70"/>
      <c r="S457" s="70"/>
      <c r="T457" s="70"/>
      <c r="U457" s="70"/>
      <c r="V457" s="70"/>
      <c r="W457" s="70"/>
      <c r="X457" s="70"/>
      <c r="Y457" s="70"/>
      <c r="Z457" s="70"/>
    </row>
    <row r="458" spans="1:26">
      <c r="A458" s="70" t="str">
        <f>IF('Item Setup Form'!$AF462="Yes",'Item Setup Form'!$E462,"")</f>
        <v/>
      </c>
      <c r="B458" s="70" t="str">
        <f>IF('Item Setup Form'!$AF462="Yes",'Item Setup Form'!D462,"")</f>
        <v/>
      </c>
      <c r="C458" s="81" t="str">
        <f>IF('Item Setup Form'!$AF462="Yes",'Item Setup Form'!L462,"")</f>
        <v/>
      </c>
      <c r="D458" s="81" t="str">
        <f>IF('Item Setup Form'!$AF462="Yes",'Item Setup Form'!M462,"")</f>
        <v/>
      </c>
      <c r="E458" s="70"/>
      <c r="F458" s="70" t="str">
        <f>IF('Item Setup Form'!$AF462="Yes",'Item Setup Form'!G462,"")</f>
        <v/>
      </c>
      <c r="G458" s="70" t="str">
        <f>IF('Item Setup Form'!$AF462="Yes",'Item Setup Form'!H462,"")</f>
        <v/>
      </c>
      <c r="H458" s="70" t="str">
        <f>IF('Item Setup Form'!$AF462="Yes",'Item Setup Form'!V462,"")</f>
        <v/>
      </c>
      <c r="I458" s="70"/>
      <c r="J458" s="70" t="str">
        <f>IF('Item Setup Form'!$AF462="Yes",'Item Setup Form'!U462,"")</f>
        <v/>
      </c>
      <c r="K458" s="70" t="str">
        <f>IF('Item Setup Form'!$AF462="Yes",'Item Setup Form'!V462,"")</f>
        <v/>
      </c>
      <c r="L458" s="70"/>
      <c r="M458" s="70" t="str">
        <f>IF('Item Setup Form'!$AF462="Yes",'Item Setup Form'!A462,"")</f>
        <v/>
      </c>
      <c r="N458" s="70"/>
      <c r="O458" s="70"/>
      <c r="P458" s="70"/>
      <c r="Q458" s="70"/>
      <c r="R458" s="70"/>
      <c r="S458" s="70"/>
      <c r="T458" s="70"/>
      <c r="U458" s="70"/>
      <c r="V458" s="70"/>
      <c r="W458" s="70"/>
      <c r="X458" s="70"/>
      <c r="Y458" s="70"/>
      <c r="Z458" s="70"/>
    </row>
    <row r="459" spans="1:26">
      <c r="A459" s="70" t="str">
        <f>IF('Item Setup Form'!$AF463="Yes",'Item Setup Form'!$E463,"")</f>
        <v/>
      </c>
      <c r="B459" s="70" t="str">
        <f>IF('Item Setup Form'!$AF463="Yes",'Item Setup Form'!D463,"")</f>
        <v/>
      </c>
      <c r="C459" s="81" t="str">
        <f>IF('Item Setup Form'!$AF463="Yes",'Item Setup Form'!L463,"")</f>
        <v/>
      </c>
      <c r="D459" s="81" t="str">
        <f>IF('Item Setup Form'!$AF463="Yes",'Item Setup Form'!M463,"")</f>
        <v/>
      </c>
      <c r="E459" s="70"/>
      <c r="F459" s="70" t="str">
        <f>IF('Item Setup Form'!$AF463="Yes",'Item Setup Form'!G463,"")</f>
        <v/>
      </c>
      <c r="G459" s="70" t="str">
        <f>IF('Item Setup Form'!$AF463="Yes",'Item Setup Form'!H463,"")</f>
        <v/>
      </c>
      <c r="H459" s="70" t="str">
        <f>IF('Item Setup Form'!$AF463="Yes",'Item Setup Form'!V463,"")</f>
        <v/>
      </c>
      <c r="I459" s="70"/>
      <c r="J459" s="70" t="str">
        <f>IF('Item Setup Form'!$AF463="Yes",'Item Setup Form'!U463,"")</f>
        <v/>
      </c>
      <c r="K459" s="70" t="str">
        <f>IF('Item Setup Form'!$AF463="Yes",'Item Setup Form'!V463,"")</f>
        <v/>
      </c>
      <c r="L459" s="70"/>
      <c r="M459" s="70" t="str">
        <f>IF('Item Setup Form'!$AF463="Yes",'Item Setup Form'!A463,"")</f>
        <v/>
      </c>
      <c r="N459" s="70"/>
      <c r="O459" s="70"/>
      <c r="P459" s="70"/>
      <c r="Q459" s="70"/>
      <c r="R459" s="70"/>
      <c r="S459" s="70"/>
      <c r="T459" s="70"/>
      <c r="U459" s="70"/>
      <c r="V459" s="70"/>
      <c r="W459" s="70"/>
      <c r="X459" s="70"/>
      <c r="Y459" s="70"/>
      <c r="Z459" s="70"/>
    </row>
    <row r="460" spans="1:26">
      <c r="A460" s="70" t="str">
        <f>IF('Item Setup Form'!$AF464="Yes",'Item Setup Form'!$E464,"")</f>
        <v/>
      </c>
      <c r="B460" s="70" t="str">
        <f>IF('Item Setup Form'!$AF464="Yes",'Item Setup Form'!D464,"")</f>
        <v/>
      </c>
      <c r="C460" s="81" t="str">
        <f>IF('Item Setup Form'!$AF464="Yes",'Item Setup Form'!L464,"")</f>
        <v/>
      </c>
      <c r="D460" s="81" t="str">
        <f>IF('Item Setup Form'!$AF464="Yes",'Item Setup Form'!M464,"")</f>
        <v/>
      </c>
      <c r="E460" s="70"/>
      <c r="F460" s="70" t="str">
        <f>IF('Item Setup Form'!$AF464="Yes",'Item Setup Form'!G464,"")</f>
        <v/>
      </c>
      <c r="G460" s="70" t="str">
        <f>IF('Item Setup Form'!$AF464="Yes",'Item Setup Form'!H464,"")</f>
        <v/>
      </c>
      <c r="H460" s="70" t="str">
        <f>IF('Item Setup Form'!$AF464="Yes",'Item Setup Form'!V464,"")</f>
        <v/>
      </c>
      <c r="I460" s="70"/>
      <c r="J460" s="70" t="str">
        <f>IF('Item Setup Form'!$AF464="Yes",'Item Setup Form'!U464,"")</f>
        <v/>
      </c>
      <c r="K460" s="70" t="str">
        <f>IF('Item Setup Form'!$AF464="Yes",'Item Setup Form'!V464,"")</f>
        <v/>
      </c>
      <c r="L460" s="70"/>
      <c r="M460" s="70" t="str">
        <f>IF('Item Setup Form'!$AF464="Yes",'Item Setup Form'!A464,"")</f>
        <v/>
      </c>
      <c r="N460" s="70"/>
      <c r="O460" s="70"/>
      <c r="P460" s="70"/>
      <c r="Q460" s="70"/>
      <c r="R460" s="70"/>
      <c r="S460" s="70"/>
      <c r="T460" s="70"/>
      <c r="U460" s="70"/>
      <c r="V460" s="70"/>
      <c r="W460" s="70"/>
      <c r="X460" s="70"/>
      <c r="Y460" s="70"/>
      <c r="Z460" s="70"/>
    </row>
    <row r="461" spans="1:26">
      <c r="A461" s="70" t="str">
        <f>IF('Item Setup Form'!$AF465="Yes",'Item Setup Form'!$E465,"")</f>
        <v/>
      </c>
      <c r="B461" s="70" t="str">
        <f>IF('Item Setup Form'!$AF465="Yes",'Item Setup Form'!D465,"")</f>
        <v/>
      </c>
      <c r="C461" s="81" t="str">
        <f>IF('Item Setup Form'!$AF465="Yes",'Item Setup Form'!L465,"")</f>
        <v/>
      </c>
      <c r="D461" s="81" t="str">
        <f>IF('Item Setup Form'!$AF465="Yes",'Item Setup Form'!M465,"")</f>
        <v/>
      </c>
      <c r="E461" s="70"/>
      <c r="F461" s="70" t="str">
        <f>IF('Item Setup Form'!$AF465="Yes",'Item Setup Form'!G465,"")</f>
        <v/>
      </c>
      <c r="G461" s="70" t="str">
        <f>IF('Item Setup Form'!$AF465="Yes",'Item Setup Form'!H465,"")</f>
        <v/>
      </c>
      <c r="H461" s="70" t="str">
        <f>IF('Item Setup Form'!$AF465="Yes",'Item Setup Form'!V465,"")</f>
        <v/>
      </c>
      <c r="I461" s="70"/>
      <c r="J461" s="70" t="str">
        <f>IF('Item Setup Form'!$AF465="Yes",'Item Setup Form'!U465,"")</f>
        <v/>
      </c>
      <c r="K461" s="70" t="str">
        <f>IF('Item Setup Form'!$AF465="Yes",'Item Setup Form'!V465,"")</f>
        <v/>
      </c>
      <c r="L461" s="70"/>
      <c r="M461" s="70" t="str">
        <f>IF('Item Setup Form'!$AF465="Yes",'Item Setup Form'!A465,"")</f>
        <v/>
      </c>
      <c r="N461" s="70"/>
      <c r="O461" s="70"/>
      <c r="P461" s="70"/>
      <c r="Q461" s="70"/>
      <c r="R461" s="70"/>
      <c r="S461" s="70"/>
      <c r="T461" s="70"/>
      <c r="U461" s="70"/>
      <c r="V461" s="70"/>
      <c r="W461" s="70"/>
      <c r="X461" s="70"/>
      <c r="Y461" s="70"/>
      <c r="Z461" s="70"/>
    </row>
    <row r="462" spans="1:26">
      <c r="A462" s="70" t="str">
        <f>IF('Item Setup Form'!$AF466="Yes",'Item Setup Form'!$E466,"")</f>
        <v/>
      </c>
      <c r="B462" s="70" t="str">
        <f>IF('Item Setup Form'!$AF466="Yes",'Item Setup Form'!D466,"")</f>
        <v/>
      </c>
      <c r="C462" s="81" t="str">
        <f>IF('Item Setup Form'!$AF466="Yes",'Item Setup Form'!L466,"")</f>
        <v/>
      </c>
      <c r="D462" s="81" t="str">
        <f>IF('Item Setup Form'!$AF466="Yes",'Item Setup Form'!M466,"")</f>
        <v/>
      </c>
      <c r="E462" s="70"/>
      <c r="F462" s="70" t="str">
        <f>IF('Item Setup Form'!$AF466="Yes",'Item Setup Form'!G466,"")</f>
        <v/>
      </c>
      <c r="G462" s="70" t="str">
        <f>IF('Item Setup Form'!$AF466="Yes",'Item Setup Form'!H466,"")</f>
        <v/>
      </c>
      <c r="H462" s="70" t="str">
        <f>IF('Item Setup Form'!$AF466="Yes",'Item Setup Form'!V466,"")</f>
        <v/>
      </c>
      <c r="I462" s="70"/>
      <c r="J462" s="70" t="str">
        <f>IF('Item Setup Form'!$AF466="Yes",'Item Setup Form'!U466,"")</f>
        <v/>
      </c>
      <c r="K462" s="70" t="str">
        <f>IF('Item Setup Form'!$AF466="Yes",'Item Setup Form'!V466,"")</f>
        <v/>
      </c>
      <c r="L462" s="70"/>
      <c r="M462" s="70" t="str">
        <f>IF('Item Setup Form'!$AF466="Yes",'Item Setup Form'!A466,"")</f>
        <v/>
      </c>
      <c r="N462" s="70"/>
      <c r="O462" s="70"/>
      <c r="P462" s="70"/>
      <c r="Q462" s="70"/>
      <c r="R462" s="70"/>
      <c r="S462" s="70"/>
      <c r="T462" s="70"/>
      <c r="U462" s="70"/>
      <c r="V462" s="70"/>
      <c r="W462" s="70"/>
      <c r="X462" s="70"/>
      <c r="Y462" s="70"/>
      <c r="Z462" s="70"/>
    </row>
    <row r="463" spans="1:26">
      <c r="A463" s="70" t="str">
        <f>IF('Item Setup Form'!$AF467="Yes",'Item Setup Form'!$E467,"")</f>
        <v/>
      </c>
      <c r="B463" s="70" t="str">
        <f>IF('Item Setup Form'!$AF467="Yes",'Item Setup Form'!D467,"")</f>
        <v/>
      </c>
      <c r="C463" s="81" t="str">
        <f>IF('Item Setup Form'!$AF467="Yes",'Item Setup Form'!L467,"")</f>
        <v/>
      </c>
      <c r="D463" s="81" t="str">
        <f>IF('Item Setup Form'!$AF467="Yes",'Item Setup Form'!M467,"")</f>
        <v/>
      </c>
      <c r="E463" s="70"/>
      <c r="F463" s="70" t="str">
        <f>IF('Item Setup Form'!$AF467="Yes",'Item Setup Form'!G467,"")</f>
        <v/>
      </c>
      <c r="G463" s="70" t="str">
        <f>IF('Item Setup Form'!$AF467="Yes",'Item Setup Form'!H467,"")</f>
        <v/>
      </c>
      <c r="H463" s="70" t="str">
        <f>IF('Item Setup Form'!$AF467="Yes",'Item Setup Form'!V467,"")</f>
        <v/>
      </c>
      <c r="I463" s="70"/>
      <c r="J463" s="70" t="str">
        <f>IF('Item Setup Form'!$AF467="Yes",'Item Setup Form'!U467,"")</f>
        <v/>
      </c>
      <c r="K463" s="70" t="str">
        <f>IF('Item Setup Form'!$AF467="Yes",'Item Setup Form'!V467,"")</f>
        <v/>
      </c>
      <c r="L463" s="70"/>
      <c r="M463" s="70" t="str">
        <f>IF('Item Setup Form'!$AF467="Yes",'Item Setup Form'!A467,"")</f>
        <v/>
      </c>
      <c r="N463" s="70"/>
      <c r="O463" s="70"/>
      <c r="P463" s="70"/>
      <c r="Q463" s="70"/>
      <c r="R463" s="70"/>
      <c r="S463" s="70"/>
      <c r="T463" s="70"/>
      <c r="U463" s="70"/>
      <c r="V463" s="70"/>
      <c r="W463" s="70"/>
      <c r="X463" s="70"/>
      <c r="Y463" s="70"/>
      <c r="Z463" s="70"/>
    </row>
    <row r="464" spans="1:26">
      <c r="A464" s="70" t="str">
        <f>IF('Item Setup Form'!$AF468="Yes",'Item Setup Form'!$E468,"")</f>
        <v/>
      </c>
      <c r="B464" s="70" t="str">
        <f>IF('Item Setup Form'!$AF468="Yes",'Item Setup Form'!D468,"")</f>
        <v/>
      </c>
      <c r="C464" s="81" t="str">
        <f>IF('Item Setup Form'!$AF468="Yes",'Item Setup Form'!L468,"")</f>
        <v/>
      </c>
      <c r="D464" s="81" t="str">
        <f>IF('Item Setup Form'!$AF468="Yes",'Item Setup Form'!M468,"")</f>
        <v/>
      </c>
      <c r="E464" s="70"/>
      <c r="F464" s="70" t="str">
        <f>IF('Item Setup Form'!$AF468="Yes",'Item Setup Form'!G468,"")</f>
        <v/>
      </c>
      <c r="G464" s="70" t="str">
        <f>IF('Item Setup Form'!$AF468="Yes",'Item Setup Form'!H468,"")</f>
        <v/>
      </c>
      <c r="H464" s="70" t="str">
        <f>IF('Item Setup Form'!$AF468="Yes",'Item Setup Form'!V468,"")</f>
        <v/>
      </c>
      <c r="I464" s="70"/>
      <c r="J464" s="70" t="str">
        <f>IF('Item Setup Form'!$AF468="Yes",'Item Setup Form'!U468,"")</f>
        <v/>
      </c>
      <c r="K464" s="70" t="str">
        <f>IF('Item Setup Form'!$AF468="Yes",'Item Setup Form'!V468,"")</f>
        <v/>
      </c>
      <c r="L464" s="70"/>
      <c r="M464" s="70" t="str">
        <f>IF('Item Setup Form'!$AF468="Yes",'Item Setup Form'!A468,"")</f>
        <v/>
      </c>
      <c r="N464" s="70"/>
      <c r="O464" s="70"/>
      <c r="P464" s="70"/>
      <c r="Q464" s="70"/>
      <c r="R464" s="70"/>
      <c r="S464" s="70"/>
      <c r="T464" s="70"/>
      <c r="U464" s="70"/>
      <c r="V464" s="70"/>
      <c r="W464" s="70"/>
      <c r="X464" s="70"/>
      <c r="Y464" s="70"/>
      <c r="Z464" s="70"/>
    </row>
    <row r="465" spans="1:26">
      <c r="A465" s="70" t="str">
        <f>IF('Item Setup Form'!$AF469="Yes",'Item Setup Form'!$E469,"")</f>
        <v/>
      </c>
      <c r="B465" s="70" t="str">
        <f>IF('Item Setup Form'!$AF469="Yes",'Item Setup Form'!D469,"")</f>
        <v/>
      </c>
      <c r="C465" s="81" t="str">
        <f>IF('Item Setup Form'!$AF469="Yes",'Item Setup Form'!L469,"")</f>
        <v/>
      </c>
      <c r="D465" s="81" t="str">
        <f>IF('Item Setup Form'!$AF469="Yes",'Item Setup Form'!M469,"")</f>
        <v/>
      </c>
      <c r="E465" s="70"/>
      <c r="F465" s="70" t="str">
        <f>IF('Item Setup Form'!$AF469="Yes",'Item Setup Form'!G469,"")</f>
        <v/>
      </c>
      <c r="G465" s="70" t="str">
        <f>IF('Item Setup Form'!$AF469="Yes",'Item Setup Form'!H469,"")</f>
        <v/>
      </c>
      <c r="H465" s="70" t="str">
        <f>IF('Item Setup Form'!$AF469="Yes",'Item Setup Form'!V469,"")</f>
        <v/>
      </c>
      <c r="I465" s="70"/>
      <c r="J465" s="70" t="str">
        <f>IF('Item Setup Form'!$AF469="Yes",'Item Setup Form'!U469,"")</f>
        <v/>
      </c>
      <c r="K465" s="70" t="str">
        <f>IF('Item Setup Form'!$AF469="Yes",'Item Setup Form'!V469,"")</f>
        <v/>
      </c>
      <c r="L465" s="70"/>
      <c r="M465" s="70" t="str">
        <f>IF('Item Setup Form'!$AF469="Yes",'Item Setup Form'!A469,"")</f>
        <v/>
      </c>
      <c r="N465" s="70"/>
      <c r="O465" s="70"/>
      <c r="P465" s="70"/>
      <c r="Q465" s="70"/>
      <c r="R465" s="70"/>
      <c r="S465" s="70"/>
      <c r="T465" s="70"/>
      <c r="U465" s="70"/>
      <c r="V465" s="70"/>
      <c r="W465" s="70"/>
      <c r="X465" s="70"/>
      <c r="Y465" s="70"/>
      <c r="Z465" s="70"/>
    </row>
    <row r="466" spans="1:26">
      <c r="A466" s="70" t="str">
        <f>IF('Item Setup Form'!$AF470="Yes",'Item Setup Form'!$E470,"")</f>
        <v/>
      </c>
      <c r="B466" s="70" t="str">
        <f>IF('Item Setup Form'!$AF470="Yes",'Item Setup Form'!D470,"")</f>
        <v/>
      </c>
      <c r="C466" s="81" t="str">
        <f>IF('Item Setup Form'!$AF470="Yes",'Item Setup Form'!L470,"")</f>
        <v/>
      </c>
      <c r="D466" s="81" t="str">
        <f>IF('Item Setup Form'!$AF470="Yes",'Item Setup Form'!M470,"")</f>
        <v/>
      </c>
      <c r="E466" s="70"/>
      <c r="F466" s="70" t="str">
        <f>IF('Item Setup Form'!$AF470="Yes",'Item Setup Form'!G470,"")</f>
        <v/>
      </c>
      <c r="G466" s="70" t="str">
        <f>IF('Item Setup Form'!$AF470="Yes",'Item Setup Form'!H470,"")</f>
        <v/>
      </c>
      <c r="H466" s="70" t="str">
        <f>IF('Item Setup Form'!$AF470="Yes",'Item Setup Form'!V470,"")</f>
        <v/>
      </c>
      <c r="I466" s="70"/>
      <c r="J466" s="70" t="str">
        <f>IF('Item Setup Form'!$AF470="Yes",'Item Setup Form'!U470,"")</f>
        <v/>
      </c>
      <c r="K466" s="70" t="str">
        <f>IF('Item Setup Form'!$AF470="Yes",'Item Setup Form'!V470,"")</f>
        <v/>
      </c>
      <c r="L466" s="70"/>
      <c r="M466" s="70" t="str">
        <f>IF('Item Setup Form'!$AF470="Yes",'Item Setup Form'!A470,"")</f>
        <v/>
      </c>
      <c r="N466" s="70"/>
      <c r="O466" s="70"/>
      <c r="P466" s="70"/>
      <c r="Q466" s="70"/>
      <c r="R466" s="70"/>
      <c r="S466" s="70"/>
      <c r="T466" s="70"/>
      <c r="U466" s="70"/>
      <c r="V466" s="70"/>
      <c r="W466" s="70"/>
      <c r="X466" s="70"/>
      <c r="Y466" s="70"/>
      <c r="Z466" s="70"/>
    </row>
    <row r="467" spans="1:26">
      <c r="A467" s="70" t="str">
        <f>IF('Item Setup Form'!$AF471="Yes",'Item Setup Form'!$E471,"")</f>
        <v/>
      </c>
      <c r="B467" s="70" t="str">
        <f>IF('Item Setup Form'!$AF471="Yes",'Item Setup Form'!D471,"")</f>
        <v/>
      </c>
      <c r="C467" s="81" t="str">
        <f>IF('Item Setup Form'!$AF471="Yes",'Item Setup Form'!L471,"")</f>
        <v/>
      </c>
      <c r="D467" s="81" t="str">
        <f>IF('Item Setup Form'!$AF471="Yes",'Item Setup Form'!M471,"")</f>
        <v/>
      </c>
      <c r="E467" s="70"/>
      <c r="F467" s="70" t="str">
        <f>IF('Item Setup Form'!$AF471="Yes",'Item Setup Form'!G471,"")</f>
        <v/>
      </c>
      <c r="G467" s="70" t="str">
        <f>IF('Item Setup Form'!$AF471="Yes",'Item Setup Form'!H471,"")</f>
        <v/>
      </c>
      <c r="H467" s="70" t="str">
        <f>IF('Item Setup Form'!$AF471="Yes",'Item Setup Form'!V471,"")</f>
        <v/>
      </c>
      <c r="I467" s="70"/>
      <c r="J467" s="70" t="str">
        <f>IF('Item Setup Form'!$AF471="Yes",'Item Setup Form'!U471,"")</f>
        <v/>
      </c>
      <c r="K467" s="70" t="str">
        <f>IF('Item Setup Form'!$AF471="Yes",'Item Setup Form'!V471,"")</f>
        <v/>
      </c>
      <c r="L467" s="70"/>
      <c r="M467" s="70" t="str">
        <f>IF('Item Setup Form'!$AF471="Yes",'Item Setup Form'!A471,"")</f>
        <v/>
      </c>
      <c r="N467" s="70"/>
      <c r="O467" s="70"/>
      <c r="P467" s="70"/>
      <c r="Q467" s="70"/>
      <c r="R467" s="70"/>
      <c r="S467" s="70"/>
      <c r="T467" s="70"/>
      <c r="U467" s="70"/>
      <c r="V467" s="70"/>
      <c r="W467" s="70"/>
      <c r="X467" s="70"/>
      <c r="Y467" s="70"/>
      <c r="Z467" s="70"/>
    </row>
    <row r="468" spans="1:26">
      <c r="A468" s="70" t="str">
        <f>IF('Item Setup Form'!$AF472="Yes",'Item Setup Form'!$E472,"")</f>
        <v/>
      </c>
      <c r="B468" s="70" t="str">
        <f>IF('Item Setup Form'!$AF472="Yes",'Item Setup Form'!D472,"")</f>
        <v/>
      </c>
      <c r="C468" s="81" t="str">
        <f>IF('Item Setup Form'!$AF472="Yes",'Item Setup Form'!L472,"")</f>
        <v/>
      </c>
      <c r="D468" s="81" t="str">
        <f>IF('Item Setup Form'!$AF472="Yes",'Item Setup Form'!M472,"")</f>
        <v/>
      </c>
      <c r="E468" s="70"/>
      <c r="F468" s="70" t="str">
        <f>IF('Item Setup Form'!$AF472="Yes",'Item Setup Form'!G472,"")</f>
        <v/>
      </c>
      <c r="G468" s="70" t="str">
        <f>IF('Item Setup Form'!$AF472="Yes",'Item Setup Form'!H472,"")</f>
        <v/>
      </c>
      <c r="H468" s="70" t="str">
        <f>IF('Item Setup Form'!$AF472="Yes",'Item Setup Form'!V472,"")</f>
        <v/>
      </c>
      <c r="I468" s="70"/>
      <c r="J468" s="70" t="str">
        <f>IF('Item Setup Form'!$AF472="Yes",'Item Setup Form'!U472,"")</f>
        <v/>
      </c>
      <c r="K468" s="70" t="str">
        <f>IF('Item Setup Form'!$AF472="Yes",'Item Setup Form'!V472,"")</f>
        <v/>
      </c>
      <c r="L468" s="70"/>
      <c r="M468" s="70" t="str">
        <f>IF('Item Setup Form'!$AF472="Yes",'Item Setup Form'!A472,"")</f>
        <v/>
      </c>
      <c r="N468" s="70"/>
      <c r="O468" s="70"/>
      <c r="P468" s="70"/>
      <c r="Q468" s="70"/>
      <c r="R468" s="70"/>
      <c r="S468" s="70"/>
      <c r="T468" s="70"/>
      <c r="U468" s="70"/>
      <c r="V468" s="70"/>
      <c r="W468" s="70"/>
      <c r="X468" s="70"/>
      <c r="Y468" s="70"/>
      <c r="Z468" s="70"/>
    </row>
    <row r="469" spans="1:26">
      <c r="A469" s="70" t="str">
        <f>IF('Item Setup Form'!$AF473="Yes",'Item Setup Form'!$E473,"")</f>
        <v/>
      </c>
      <c r="B469" s="70" t="str">
        <f>IF('Item Setup Form'!$AF473="Yes",'Item Setup Form'!D473,"")</f>
        <v/>
      </c>
      <c r="C469" s="81" t="str">
        <f>IF('Item Setup Form'!$AF473="Yes",'Item Setup Form'!L473,"")</f>
        <v/>
      </c>
      <c r="D469" s="81" t="str">
        <f>IF('Item Setup Form'!$AF473="Yes",'Item Setup Form'!M473,"")</f>
        <v/>
      </c>
      <c r="E469" s="70"/>
      <c r="F469" s="70" t="str">
        <f>IF('Item Setup Form'!$AF473="Yes",'Item Setup Form'!G473,"")</f>
        <v/>
      </c>
      <c r="G469" s="70" t="str">
        <f>IF('Item Setup Form'!$AF473="Yes",'Item Setup Form'!H473,"")</f>
        <v/>
      </c>
      <c r="H469" s="70" t="str">
        <f>IF('Item Setup Form'!$AF473="Yes",'Item Setup Form'!V473,"")</f>
        <v/>
      </c>
      <c r="I469" s="70"/>
      <c r="J469" s="70" t="str">
        <f>IF('Item Setup Form'!$AF473="Yes",'Item Setup Form'!U473,"")</f>
        <v/>
      </c>
      <c r="K469" s="70" t="str">
        <f>IF('Item Setup Form'!$AF473="Yes",'Item Setup Form'!V473,"")</f>
        <v/>
      </c>
      <c r="L469" s="70"/>
      <c r="M469" s="70" t="str">
        <f>IF('Item Setup Form'!$AF473="Yes",'Item Setup Form'!A473,"")</f>
        <v/>
      </c>
      <c r="N469" s="70"/>
      <c r="O469" s="70"/>
      <c r="P469" s="70"/>
      <c r="Q469" s="70"/>
      <c r="R469" s="70"/>
      <c r="S469" s="70"/>
      <c r="T469" s="70"/>
      <c r="U469" s="70"/>
      <c r="V469" s="70"/>
      <c r="W469" s="70"/>
      <c r="X469" s="70"/>
      <c r="Y469" s="70"/>
      <c r="Z469" s="70"/>
    </row>
    <row r="470" spans="1:26">
      <c r="A470" s="70" t="str">
        <f>IF('Item Setup Form'!$AF474="Yes",'Item Setup Form'!$E474,"")</f>
        <v/>
      </c>
      <c r="B470" s="70" t="str">
        <f>IF('Item Setup Form'!$AF474="Yes",'Item Setup Form'!D474,"")</f>
        <v/>
      </c>
      <c r="C470" s="81" t="str">
        <f>IF('Item Setup Form'!$AF474="Yes",'Item Setup Form'!L474,"")</f>
        <v/>
      </c>
      <c r="D470" s="81" t="str">
        <f>IF('Item Setup Form'!$AF474="Yes",'Item Setup Form'!M474,"")</f>
        <v/>
      </c>
      <c r="E470" s="70"/>
      <c r="F470" s="70" t="str">
        <f>IF('Item Setup Form'!$AF474="Yes",'Item Setup Form'!G474,"")</f>
        <v/>
      </c>
      <c r="G470" s="70" t="str">
        <f>IF('Item Setup Form'!$AF474="Yes",'Item Setup Form'!H474,"")</f>
        <v/>
      </c>
      <c r="H470" s="70" t="str">
        <f>IF('Item Setup Form'!$AF474="Yes",'Item Setup Form'!V474,"")</f>
        <v/>
      </c>
      <c r="I470" s="70"/>
      <c r="J470" s="70" t="str">
        <f>IF('Item Setup Form'!$AF474="Yes",'Item Setup Form'!U474,"")</f>
        <v/>
      </c>
      <c r="K470" s="70" t="str">
        <f>IF('Item Setup Form'!$AF474="Yes",'Item Setup Form'!V474,"")</f>
        <v/>
      </c>
      <c r="L470" s="70"/>
      <c r="M470" s="70" t="str">
        <f>IF('Item Setup Form'!$AF474="Yes",'Item Setup Form'!A474,"")</f>
        <v/>
      </c>
      <c r="N470" s="70"/>
      <c r="O470" s="70"/>
      <c r="P470" s="70"/>
      <c r="Q470" s="70"/>
      <c r="R470" s="70"/>
      <c r="S470" s="70"/>
      <c r="T470" s="70"/>
      <c r="U470" s="70"/>
      <c r="V470" s="70"/>
      <c r="W470" s="70"/>
      <c r="X470" s="70"/>
      <c r="Y470" s="70"/>
      <c r="Z470" s="70"/>
    </row>
    <row r="471" spans="1:26">
      <c r="A471" s="70" t="str">
        <f>IF('Item Setup Form'!$AF475="Yes",'Item Setup Form'!$E475,"")</f>
        <v/>
      </c>
      <c r="B471" s="70" t="str">
        <f>IF('Item Setup Form'!$AF475="Yes",'Item Setup Form'!D475,"")</f>
        <v/>
      </c>
      <c r="C471" s="81" t="str">
        <f>IF('Item Setup Form'!$AF475="Yes",'Item Setup Form'!L475,"")</f>
        <v/>
      </c>
      <c r="D471" s="81" t="str">
        <f>IF('Item Setup Form'!$AF475="Yes",'Item Setup Form'!M475,"")</f>
        <v/>
      </c>
      <c r="E471" s="70"/>
      <c r="F471" s="70" t="str">
        <f>IF('Item Setup Form'!$AF475="Yes",'Item Setup Form'!G475,"")</f>
        <v/>
      </c>
      <c r="G471" s="70" t="str">
        <f>IF('Item Setup Form'!$AF475="Yes",'Item Setup Form'!H475,"")</f>
        <v/>
      </c>
      <c r="H471" s="70" t="str">
        <f>IF('Item Setup Form'!$AF475="Yes",'Item Setup Form'!V475,"")</f>
        <v/>
      </c>
      <c r="I471" s="70"/>
      <c r="J471" s="70" t="str">
        <f>IF('Item Setup Form'!$AF475="Yes",'Item Setup Form'!U475,"")</f>
        <v/>
      </c>
      <c r="K471" s="70" t="str">
        <f>IF('Item Setup Form'!$AF475="Yes",'Item Setup Form'!V475,"")</f>
        <v/>
      </c>
      <c r="L471" s="70"/>
      <c r="M471" s="70" t="str">
        <f>IF('Item Setup Form'!$AF475="Yes",'Item Setup Form'!A475,"")</f>
        <v/>
      </c>
      <c r="N471" s="70"/>
      <c r="O471" s="70"/>
      <c r="P471" s="70"/>
      <c r="Q471" s="70"/>
      <c r="R471" s="70"/>
      <c r="S471" s="70"/>
      <c r="T471" s="70"/>
      <c r="U471" s="70"/>
      <c r="V471" s="70"/>
      <c r="W471" s="70"/>
      <c r="X471" s="70"/>
      <c r="Y471" s="70"/>
      <c r="Z471" s="70"/>
    </row>
    <row r="472" spans="1:26">
      <c r="A472" s="70" t="str">
        <f>IF('Item Setup Form'!$AF476="Yes",'Item Setup Form'!$E476,"")</f>
        <v/>
      </c>
      <c r="B472" s="70" t="str">
        <f>IF('Item Setup Form'!$AF476="Yes",'Item Setup Form'!D476,"")</f>
        <v/>
      </c>
      <c r="C472" s="81" t="str">
        <f>IF('Item Setup Form'!$AF476="Yes",'Item Setup Form'!L476,"")</f>
        <v/>
      </c>
      <c r="D472" s="81" t="str">
        <f>IF('Item Setup Form'!$AF476="Yes",'Item Setup Form'!M476,"")</f>
        <v/>
      </c>
      <c r="E472" s="70"/>
      <c r="F472" s="70" t="str">
        <f>IF('Item Setup Form'!$AF476="Yes",'Item Setup Form'!G476,"")</f>
        <v/>
      </c>
      <c r="G472" s="70" t="str">
        <f>IF('Item Setup Form'!$AF476="Yes",'Item Setup Form'!H476,"")</f>
        <v/>
      </c>
      <c r="H472" s="70" t="str">
        <f>IF('Item Setup Form'!$AF476="Yes",'Item Setup Form'!V476,"")</f>
        <v/>
      </c>
      <c r="I472" s="70"/>
      <c r="J472" s="70" t="str">
        <f>IF('Item Setup Form'!$AF476="Yes",'Item Setup Form'!U476,"")</f>
        <v/>
      </c>
      <c r="K472" s="70" t="str">
        <f>IF('Item Setup Form'!$AF476="Yes",'Item Setup Form'!V476,"")</f>
        <v/>
      </c>
      <c r="L472" s="70"/>
      <c r="M472" s="70" t="str">
        <f>IF('Item Setup Form'!$AF476="Yes",'Item Setup Form'!A476,"")</f>
        <v/>
      </c>
      <c r="N472" s="70"/>
      <c r="O472" s="70"/>
      <c r="P472" s="70"/>
      <c r="Q472" s="70"/>
      <c r="R472" s="70"/>
      <c r="S472" s="70"/>
      <c r="T472" s="70"/>
      <c r="U472" s="70"/>
      <c r="V472" s="70"/>
      <c r="W472" s="70"/>
      <c r="X472" s="70"/>
      <c r="Y472" s="70"/>
      <c r="Z472" s="70"/>
    </row>
    <row r="473" spans="1:26">
      <c r="A473" s="70" t="str">
        <f>IF('Item Setup Form'!$AF477="Yes",'Item Setup Form'!$E477,"")</f>
        <v/>
      </c>
      <c r="B473" s="70" t="str">
        <f>IF('Item Setup Form'!$AF477="Yes",'Item Setup Form'!D477,"")</f>
        <v/>
      </c>
      <c r="C473" s="81" t="str">
        <f>IF('Item Setup Form'!$AF477="Yes",'Item Setup Form'!L477,"")</f>
        <v/>
      </c>
      <c r="D473" s="81" t="str">
        <f>IF('Item Setup Form'!$AF477="Yes",'Item Setup Form'!M477,"")</f>
        <v/>
      </c>
      <c r="E473" s="70"/>
      <c r="F473" s="70" t="str">
        <f>IF('Item Setup Form'!$AF477="Yes",'Item Setup Form'!G477,"")</f>
        <v/>
      </c>
      <c r="G473" s="70" t="str">
        <f>IF('Item Setup Form'!$AF477="Yes",'Item Setup Form'!H477,"")</f>
        <v/>
      </c>
      <c r="H473" s="70" t="str">
        <f>IF('Item Setup Form'!$AF477="Yes",'Item Setup Form'!V477,"")</f>
        <v/>
      </c>
      <c r="I473" s="70"/>
      <c r="J473" s="70" t="str">
        <f>IF('Item Setup Form'!$AF477="Yes",'Item Setup Form'!U477,"")</f>
        <v/>
      </c>
      <c r="K473" s="70" t="str">
        <f>IF('Item Setup Form'!$AF477="Yes",'Item Setup Form'!V477,"")</f>
        <v/>
      </c>
      <c r="L473" s="70"/>
      <c r="M473" s="70" t="str">
        <f>IF('Item Setup Form'!$AF477="Yes",'Item Setup Form'!A477,"")</f>
        <v/>
      </c>
      <c r="N473" s="70"/>
      <c r="O473" s="70"/>
      <c r="P473" s="70"/>
      <c r="Q473" s="70"/>
      <c r="R473" s="70"/>
      <c r="S473" s="70"/>
      <c r="T473" s="70"/>
      <c r="U473" s="70"/>
      <c r="V473" s="70"/>
      <c r="W473" s="70"/>
      <c r="X473" s="70"/>
      <c r="Y473" s="70"/>
      <c r="Z473" s="70"/>
    </row>
    <row r="474" spans="1:26">
      <c r="A474" s="70" t="str">
        <f>IF('Item Setup Form'!$AF478="Yes",'Item Setup Form'!$E478,"")</f>
        <v/>
      </c>
      <c r="B474" s="70" t="str">
        <f>IF('Item Setup Form'!$AF478="Yes",'Item Setup Form'!D478,"")</f>
        <v/>
      </c>
      <c r="C474" s="81" t="str">
        <f>IF('Item Setup Form'!$AF478="Yes",'Item Setup Form'!L478,"")</f>
        <v/>
      </c>
      <c r="D474" s="81" t="str">
        <f>IF('Item Setup Form'!$AF478="Yes",'Item Setup Form'!M478,"")</f>
        <v/>
      </c>
      <c r="E474" s="70"/>
      <c r="F474" s="70" t="str">
        <f>IF('Item Setup Form'!$AF478="Yes",'Item Setup Form'!G478,"")</f>
        <v/>
      </c>
      <c r="G474" s="70" t="str">
        <f>IF('Item Setup Form'!$AF478="Yes",'Item Setup Form'!H478,"")</f>
        <v/>
      </c>
      <c r="H474" s="70" t="str">
        <f>IF('Item Setup Form'!$AF478="Yes",'Item Setup Form'!V478,"")</f>
        <v/>
      </c>
      <c r="I474" s="70"/>
      <c r="J474" s="70" t="str">
        <f>IF('Item Setup Form'!$AF478="Yes",'Item Setup Form'!U478,"")</f>
        <v/>
      </c>
      <c r="K474" s="70" t="str">
        <f>IF('Item Setup Form'!$AF478="Yes",'Item Setup Form'!V478,"")</f>
        <v/>
      </c>
      <c r="L474" s="70"/>
      <c r="M474" s="70" t="str">
        <f>IF('Item Setup Form'!$AF478="Yes",'Item Setup Form'!A478,"")</f>
        <v/>
      </c>
      <c r="N474" s="70"/>
      <c r="O474" s="70"/>
      <c r="P474" s="70"/>
      <c r="Q474" s="70"/>
      <c r="R474" s="70"/>
      <c r="S474" s="70"/>
      <c r="T474" s="70"/>
      <c r="U474" s="70"/>
      <c r="V474" s="70"/>
      <c r="W474" s="70"/>
      <c r="X474" s="70"/>
      <c r="Y474" s="70"/>
      <c r="Z474" s="70"/>
    </row>
    <row r="475" spans="1:26">
      <c r="A475" s="70" t="str">
        <f>IF('Item Setup Form'!$AF479="Yes",'Item Setup Form'!$E479,"")</f>
        <v/>
      </c>
      <c r="B475" s="70" t="str">
        <f>IF('Item Setup Form'!$AF479="Yes",'Item Setup Form'!D479,"")</f>
        <v/>
      </c>
      <c r="C475" s="81" t="str">
        <f>IF('Item Setup Form'!$AF479="Yes",'Item Setup Form'!L479,"")</f>
        <v/>
      </c>
      <c r="D475" s="81" t="str">
        <f>IF('Item Setup Form'!$AF479="Yes",'Item Setup Form'!M479,"")</f>
        <v/>
      </c>
      <c r="E475" s="70"/>
      <c r="F475" s="70" t="str">
        <f>IF('Item Setup Form'!$AF479="Yes",'Item Setup Form'!G479,"")</f>
        <v/>
      </c>
      <c r="G475" s="70" t="str">
        <f>IF('Item Setup Form'!$AF479="Yes",'Item Setup Form'!H479,"")</f>
        <v/>
      </c>
      <c r="H475" s="70" t="str">
        <f>IF('Item Setup Form'!$AF479="Yes",'Item Setup Form'!V479,"")</f>
        <v/>
      </c>
      <c r="I475" s="70"/>
      <c r="J475" s="70" t="str">
        <f>IF('Item Setup Form'!$AF479="Yes",'Item Setup Form'!U479,"")</f>
        <v/>
      </c>
      <c r="K475" s="70" t="str">
        <f>IF('Item Setup Form'!$AF479="Yes",'Item Setup Form'!V479,"")</f>
        <v/>
      </c>
      <c r="L475" s="70"/>
      <c r="M475" s="70" t="str">
        <f>IF('Item Setup Form'!$AF479="Yes",'Item Setup Form'!A479,"")</f>
        <v/>
      </c>
      <c r="N475" s="70"/>
      <c r="O475" s="70"/>
      <c r="P475" s="70"/>
      <c r="Q475" s="70"/>
      <c r="R475" s="70"/>
      <c r="S475" s="70"/>
      <c r="T475" s="70"/>
      <c r="U475" s="70"/>
      <c r="V475" s="70"/>
      <c r="W475" s="70"/>
      <c r="X475" s="70"/>
      <c r="Y475" s="70"/>
      <c r="Z475" s="70"/>
    </row>
    <row r="476" spans="1:26">
      <c r="A476" s="70" t="str">
        <f>IF('Item Setup Form'!$AF480="Yes",'Item Setup Form'!$E480,"")</f>
        <v/>
      </c>
      <c r="B476" s="70" t="str">
        <f>IF('Item Setup Form'!$AF480="Yes",'Item Setup Form'!D480,"")</f>
        <v/>
      </c>
      <c r="C476" s="81" t="str">
        <f>IF('Item Setup Form'!$AF480="Yes",'Item Setup Form'!L480,"")</f>
        <v/>
      </c>
      <c r="D476" s="81" t="str">
        <f>IF('Item Setup Form'!$AF480="Yes",'Item Setup Form'!M480,"")</f>
        <v/>
      </c>
      <c r="E476" s="70"/>
      <c r="F476" s="70" t="str">
        <f>IF('Item Setup Form'!$AF480="Yes",'Item Setup Form'!G480,"")</f>
        <v/>
      </c>
      <c r="G476" s="70" t="str">
        <f>IF('Item Setup Form'!$AF480="Yes",'Item Setup Form'!H480,"")</f>
        <v/>
      </c>
      <c r="H476" s="70" t="str">
        <f>IF('Item Setup Form'!$AF480="Yes",'Item Setup Form'!V480,"")</f>
        <v/>
      </c>
      <c r="I476" s="70"/>
      <c r="J476" s="70" t="str">
        <f>IF('Item Setup Form'!$AF480="Yes",'Item Setup Form'!U480,"")</f>
        <v/>
      </c>
      <c r="K476" s="70" t="str">
        <f>IF('Item Setup Form'!$AF480="Yes",'Item Setup Form'!V480,"")</f>
        <v/>
      </c>
      <c r="L476" s="70"/>
      <c r="M476" s="70" t="str">
        <f>IF('Item Setup Form'!$AF480="Yes",'Item Setup Form'!A480,"")</f>
        <v/>
      </c>
      <c r="N476" s="70"/>
      <c r="O476" s="70"/>
      <c r="P476" s="70"/>
      <c r="Q476" s="70"/>
      <c r="R476" s="70"/>
      <c r="S476" s="70"/>
      <c r="T476" s="70"/>
      <c r="U476" s="70"/>
      <c r="V476" s="70"/>
      <c r="W476" s="70"/>
      <c r="X476" s="70"/>
      <c r="Y476" s="70"/>
      <c r="Z476" s="70"/>
    </row>
    <row r="477" spans="1:26">
      <c r="A477" s="70" t="str">
        <f>IF('Item Setup Form'!$AF481="Yes",'Item Setup Form'!$E481,"")</f>
        <v/>
      </c>
      <c r="B477" s="70" t="str">
        <f>IF('Item Setup Form'!$AF481="Yes",'Item Setup Form'!D481,"")</f>
        <v/>
      </c>
      <c r="C477" s="81" t="str">
        <f>IF('Item Setup Form'!$AF481="Yes",'Item Setup Form'!L481,"")</f>
        <v/>
      </c>
      <c r="D477" s="81" t="str">
        <f>IF('Item Setup Form'!$AF481="Yes",'Item Setup Form'!M481,"")</f>
        <v/>
      </c>
      <c r="E477" s="70"/>
      <c r="F477" s="70" t="str">
        <f>IF('Item Setup Form'!$AF481="Yes",'Item Setup Form'!G481,"")</f>
        <v/>
      </c>
      <c r="G477" s="70" t="str">
        <f>IF('Item Setup Form'!$AF481="Yes",'Item Setup Form'!H481,"")</f>
        <v/>
      </c>
      <c r="H477" s="70" t="str">
        <f>IF('Item Setup Form'!$AF481="Yes",'Item Setup Form'!V481,"")</f>
        <v/>
      </c>
      <c r="I477" s="70"/>
      <c r="J477" s="70" t="str">
        <f>IF('Item Setup Form'!$AF481="Yes",'Item Setup Form'!U481,"")</f>
        <v/>
      </c>
      <c r="K477" s="70" t="str">
        <f>IF('Item Setup Form'!$AF481="Yes",'Item Setup Form'!V481,"")</f>
        <v/>
      </c>
      <c r="L477" s="70"/>
      <c r="M477" s="70" t="str">
        <f>IF('Item Setup Form'!$AF481="Yes",'Item Setup Form'!A481,"")</f>
        <v/>
      </c>
      <c r="N477" s="70"/>
      <c r="O477" s="70"/>
      <c r="P477" s="70"/>
      <c r="Q477" s="70"/>
      <c r="R477" s="70"/>
      <c r="S477" s="70"/>
      <c r="T477" s="70"/>
      <c r="U477" s="70"/>
      <c r="V477" s="70"/>
      <c r="W477" s="70"/>
      <c r="X477" s="70"/>
      <c r="Y477" s="70"/>
      <c r="Z477" s="70"/>
    </row>
    <row r="478" spans="1:26">
      <c r="A478" s="70" t="str">
        <f>IF('Item Setup Form'!$AF482="Yes",'Item Setup Form'!$E482,"")</f>
        <v/>
      </c>
      <c r="B478" s="70" t="str">
        <f>IF('Item Setup Form'!$AF482="Yes",'Item Setup Form'!D482,"")</f>
        <v/>
      </c>
      <c r="C478" s="81" t="str">
        <f>IF('Item Setup Form'!$AF482="Yes",'Item Setup Form'!L482,"")</f>
        <v/>
      </c>
      <c r="D478" s="81" t="str">
        <f>IF('Item Setup Form'!$AF482="Yes",'Item Setup Form'!M482,"")</f>
        <v/>
      </c>
      <c r="E478" s="70"/>
      <c r="F478" s="70" t="str">
        <f>IF('Item Setup Form'!$AF482="Yes",'Item Setup Form'!G482,"")</f>
        <v/>
      </c>
      <c r="G478" s="70" t="str">
        <f>IF('Item Setup Form'!$AF482="Yes",'Item Setup Form'!H482,"")</f>
        <v/>
      </c>
      <c r="H478" s="70" t="str">
        <f>IF('Item Setup Form'!$AF482="Yes",'Item Setup Form'!V482,"")</f>
        <v/>
      </c>
      <c r="I478" s="70"/>
      <c r="J478" s="70" t="str">
        <f>IF('Item Setup Form'!$AF482="Yes",'Item Setup Form'!U482,"")</f>
        <v/>
      </c>
      <c r="K478" s="70" t="str">
        <f>IF('Item Setup Form'!$AF482="Yes",'Item Setup Form'!V482,"")</f>
        <v/>
      </c>
      <c r="L478" s="70"/>
      <c r="M478" s="70" t="str">
        <f>IF('Item Setup Form'!$AF482="Yes",'Item Setup Form'!A482,"")</f>
        <v/>
      </c>
      <c r="N478" s="70"/>
      <c r="O478" s="70"/>
      <c r="P478" s="70"/>
      <c r="Q478" s="70"/>
      <c r="R478" s="70"/>
      <c r="S478" s="70"/>
      <c r="T478" s="70"/>
      <c r="U478" s="70"/>
      <c r="V478" s="70"/>
      <c r="W478" s="70"/>
      <c r="X478" s="70"/>
      <c r="Y478" s="70"/>
      <c r="Z478" s="70"/>
    </row>
    <row r="479" spans="1:26">
      <c r="A479" s="70" t="str">
        <f>IF('Item Setup Form'!$AF483="Yes",'Item Setup Form'!$E483,"")</f>
        <v/>
      </c>
      <c r="B479" s="70" t="str">
        <f>IF('Item Setup Form'!$AF483="Yes",'Item Setup Form'!D483,"")</f>
        <v/>
      </c>
      <c r="C479" s="81" t="str">
        <f>IF('Item Setup Form'!$AF483="Yes",'Item Setup Form'!L483,"")</f>
        <v/>
      </c>
      <c r="D479" s="81" t="str">
        <f>IF('Item Setup Form'!$AF483="Yes",'Item Setup Form'!M483,"")</f>
        <v/>
      </c>
      <c r="E479" s="70"/>
      <c r="F479" s="70" t="str">
        <f>IF('Item Setup Form'!$AF483="Yes",'Item Setup Form'!G483,"")</f>
        <v/>
      </c>
      <c r="G479" s="70" t="str">
        <f>IF('Item Setup Form'!$AF483="Yes",'Item Setup Form'!H483,"")</f>
        <v/>
      </c>
      <c r="H479" s="70" t="str">
        <f>IF('Item Setup Form'!$AF483="Yes",'Item Setup Form'!V483,"")</f>
        <v/>
      </c>
      <c r="I479" s="70"/>
      <c r="J479" s="70" t="str">
        <f>IF('Item Setup Form'!$AF483="Yes",'Item Setup Form'!U483,"")</f>
        <v/>
      </c>
      <c r="K479" s="70" t="str">
        <f>IF('Item Setup Form'!$AF483="Yes",'Item Setup Form'!V483,"")</f>
        <v/>
      </c>
      <c r="L479" s="70"/>
      <c r="M479" s="70" t="str">
        <f>IF('Item Setup Form'!$AF483="Yes",'Item Setup Form'!A483,"")</f>
        <v/>
      </c>
      <c r="N479" s="70"/>
      <c r="O479" s="70"/>
      <c r="P479" s="70"/>
      <c r="Q479" s="70"/>
      <c r="R479" s="70"/>
      <c r="S479" s="70"/>
      <c r="T479" s="70"/>
      <c r="U479" s="70"/>
      <c r="V479" s="70"/>
      <c r="W479" s="70"/>
      <c r="X479" s="70"/>
      <c r="Y479" s="70"/>
      <c r="Z479" s="70"/>
    </row>
    <row r="480" spans="1:26">
      <c r="A480" s="70" t="str">
        <f>IF('Item Setup Form'!$AF484="Yes",'Item Setup Form'!$E484,"")</f>
        <v/>
      </c>
      <c r="B480" s="70" t="str">
        <f>IF('Item Setup Form'!$AF484="Yes",'Item Setup Form'!D484,"")</f>
        <v/>
      </c>
      <c r="C480" s="81" t="str">
        <f>IF('Item Setup Form'!$AF484="Yes",'Item Setup Form'!L484,"")</f>
        <v/>
      </c>
      <c r="D480" s="81" t="str">
        <f>IF('Item Setup Form'!$AF484="Yes",'Item Setup Form'!M484,"")</f>
        <v/>
      </c>
      <c r="E480" s="70"/>
      <c r="F480" s="70" t="str">
        <f>IF('Item Setup Form'!$AF484="Yes",'Item Setup Form'!G484,"")</f>
        <v/>
      </c>
      <c r="G480" s="70" t="str">
        <f>IF('Item Setup Form'!$AF484="Yes",'Item Setup Form'!H484,"")</f>
        <v/>
      </c>
      <c r="H480" s="70" t="str">
        <f>IF('Item Setup Form'!$AF484="Yes",'Item Setup Form'!V484,"")</f>
        <v/>
      </c>
      <c r="I480" s="70"/>
      <c r="J480" s="70" t="str">
        <f>IF('Item Setup Form'!$AF484="Yes",'Item Setup Form'!U484,"")</f>
        <v/>
      </c>
      <c r="K480" s="70" t="str">
        <f>IF('Item Setup Form'!$AF484="Yes",'Item Setup Form'!V484,"")</f>
        <v/>
      </c>
      <c r="L480" s="70"/>
      <c r="M480" s="70" t="str">
        <f>IF('Item Setup Form'!$AF484="Yes",'Item Setup Form'!A484,"")</f>
        <v/>
      </c>
      <c r="N480" s="70"/>
      <c r="O480" s="70"/>
      <c r="P480" s="70"/>
      <c r="Q480" s="70"/>
      <c r="R480" s="70"/>
      <c r="S480" s="70"/>
      <c r="T480" s="70"/>
      <c r="U480" s="70"/>
      <c r="V480" s="70"/>
      <c r="W480" s="70"/>
      <c r="X480" s="70"/>
      <c r="Y480" s="70"/>
      <c r="Z480" s="70"/>
    </row>
    <row r="481" spans="1:26">
      <c r="A481" s="70" t="str">
        <f>IF('Item Setup Form'!$AF485="Yes",'Item Setup Form'!$E485,"")</f>
        <v/>
      </c>
      <c r="B481" s="70" t="str">
        <f>IF('Item Setup Form'!$AF485="Yes",'Item Setup Form'!D485,"")</f>
        <v/>
      </c>
      <c r="C481" s="81" t="str">
        <f>IF('Item Setup Form'!$AF485="Yes",'Item Setup Form'!L485,"")</f>
        <v/>
      </c>
      <c r="D481" s="81" t="str">
        <f>IF('Item Setup Form'!$AF485="Yes",'Item Setup Form'!M485,"")</f>
        <v/>
      </c>
      <c r="E481" s="70"/>
      <c r="F481" s="70" t="str">
        <f>IF('Item Setup Form'!$AF485="Yes",'Item Setup Form'!G485,"")</f>
        <v/>
      </c>
      <c r="G481" s="70" t="str">
        <f>IF('Item Setup Form'!$AF485="Yes",'Item Setup Form'!H485,"")</f>
        <v/>
      </c>
      <c r="H481" s="70" t="str">
        <f>IF('Item Setup Form'!$AF485="Yes",'Item Setup Form'!V485,"")</f>
        <v/>
      </c>
      <c r="I481" s="70"/>
      <c r="J481" s="70" t="str">
        <f>IF('Item Setup Form'!$AF485="Yes",'Item Setup Form'!U485,"")</f>
        <v/>
      </c>
      <c r="K481" s="70" t="str">
        <f>IF('Item Setup Form'!$AF485="Yes",'Item Setup Form'!V485,"")</f>
        <v/>
      </c>
      <c r="L481" s="70"/>
      <c r="M481" s="70" t="str">
        <f>IF('Item Setup Form'!$AF485="Yes",'Item Setup Form'!A485,"")</f>
        <v/>
      </c>
      <c r="N481" s="70"/>
      <c r="O481" s="70"/>
      <c r="P481" s="70"/>
      <c r="Q481" s="70"/>
      <c r="R481" s="70"/>
      <c r="S481" s="70"/>
      <c r="T481" s="70"/>
      <c r="U481" s="70"/>
      <c r="V481" s="70"/>
      <c r="W481" s="70"/>
      <c r="X481" s="70"/>
      <c r="Y481" s="70"/>
      <c r="Z481" s="70"/>
    </row>
    <row r="482" spans="1:26">
      <c r="A482" s="70" t="str">
        <f>IF('Item Setup Form'!$AF486="Yes",'Item Setup Form'!$E486,"")</f>
        <v/>
      </c>
      <c r="B482" s="70" t="str">
        <f>IF('Item Setup Form'!$AF486="Yes",'Item Setup Form'!D486,"")</f>
        <v/>
      </c>
      <c r="C482" s="81" t="str">
        <f>IF('Item Setup Form'!$AF486="Yes",'Item Setup Form'!L486,"")</f>
        <v/>
      </c>
      <c r="D482" s="81" t="str">
        <f>IF('Item Setup Form'!$AF486="Yes",'Item Setup Form'!M486,"")</f>
        <v/>
      </c>
      <c r="E482" s="70"/>
      <c r="F482" s="70" t="str">
        <f>IF('Item Setup Form'!$AF486="Yes",'Item Setup Form'!G486,"")</f>
        <v/>
      </c>
      <c r="G482" s="70" t="str">
        <f>IF('Item Setup Form'!$AF486="Yes",'Item Setup Form'!H486,"")</f>
        <v/>
      </c>
      <c r="H482" s="70" t="str">
        <f>IF('Item Setup Form'!$AF486="Yes",'Item Setup Form'!V486,"")</f>
        <v/>
      </c>
      <c r="I482" s="70"/>
      <c r="J482" s="70" t="str">
        <f>IF('Item Setup Form'!$AF486="Yes",'Item Setup Form'!U486,"")</f>
        <v/>
      </c>
      <c r="K482" s="70" t="str">
        <f>IF('Item Setup Form'!$AF486="Yes",'Item Setup Form'!V486,"")</f>
        <v/>
      </c>
      <c r="L482" s="70"/>
      <c r="M482" s="70" t="str">
        <f>IF('Item Setup Form'!$AF486="Yes",'Item Setup Form'!A486,"")</f>
        <v/>
      </c>
      <c r="N482" s="70"/>
      <c r="O482" s="70"/>
      <c r="P482" s="70"/>
      <c r="Q482" s="70"/>
      <c r="R482" s="70"/>
      <c r="S482" s="70"/>
      <c r="T482" s="70"/>
      <c r="U482" s="70"/>
      <c r="V482" s="70"/>
      <c r="W482" s="70"/>
      <c r="X482" s="70"/>
      <c r="Y482" s="70"/>
      <c r="Z482" s="70"/>
    </row>
    <row r="483" spans="1:26">
      <c r="A483" s="70" t="str">
        <f>IF('Item Setup Form'!$AF487="Yes",'Item Setup Form'!$E487,"")</f>
        <v/>
      </c>
      <c r="B483" s="70" t="str">
        <f>IF('Item Setup Form'!$AF487="Yes",'Item Setup Form'!D487,"")</f>
        <v/>
      </c>
      <c r="C483" s="81" t="str">
        <f>IF('Item Setup Form'!$AF487="Yes",'Item Setup Form'!L487,"")</f>
        <v/>
      </c>
      <c r="D483" s="81" t="str">
        <f>IF('Item Setup Form'!$AF487="Yes",'Item Setup Form'!M487,"")</f>
        <v/>
      </c>
      <c r="E483" s="70"/>
      <c r="F483" s="70" t="str">
        <f>IF('Item Setup Form'!$AF487="Yes",'Item Setup Form'!G487,"")</f>
        <v/>
      </c>
      <c r="G483" s="70" t="str">
        <f>IF('Item Setup Form'!$AF487="Yes",'Item Setup Form'!H487,"")</f>
        <v/>
      </c>
      <c r="H483" s="70" t="str">
        <f>IF('Item Setup Form'!$AF487="Yes",'Item Setup Form'!V487,"")</f>
        <v/>
      </c>
      <c r="I483" s="70"/>
      <c r="J483" s="70" t="str">
        <f>IF('Item Setup Form'!$AF487="Yes",'Item Setup Form'!U487,"")</f>
        <v/>
      </c>
      <c r="K483" s="70" t="str">
        <f>IF('Item Setup Form'!$AF487="Yes",'Item Setup Form'!V487,"")</f>
        <v/>
      </c>
      <c r="L483" s="70"/>
      <c r="M483" s="70" t="str">
        <f>IF('Item Setup Form'!$AF487="Yes",'Item Setup Form'!A487,"")</f>
        <v/>
      </c>
      <c r="N483" s="70"/>
      <c r="O483" s="70"/>
      <c r="P483" s="70"/>
      <c r="Q483" s="70"/>
      <c r="R483" s="70"/>
      <c r="S483" s="70"/>
      <c r="T483" s="70"/>
      <c r="U483" s="70"/>
      <c r="V483" s="70"/>
      <c r="W483" s="70"/>
      <c r="X483" s="70"/>
      <c r="Y483" s="70"/>
      <c r="Z483" s="70"/>
    </row>
    <row r="484" spans="1:26">
      <c r="A484" s="70" t="str">
        <f>IF('Item Setup Form'!$AF488="Yes",'Item Setup Form'!$E488,"")</f>
        <v/>
      </c>
      <c r="B484" s="70" t="str">
        <f>IF('Item Setup Form'!$AF488="Yes",'Item Setup Form'!D488,"")</f>
        <v/>
      </c>
      <c r="C484" s="81" t="str">
        <f>IF('Item Setup Form'!$AF488="Yes",'Item Setup Form'!L488,"")</f>
        <v/>
      </c>
      <c r="D484" s="81" t="str">
        <f>IF('Item Setup Form'!$AF488="Yes",'Item Setup Form'!M488,"")</f>
        <v/>
      </c>
      <c r="E484" s="70"/>
      <c r="F484" s="70" t="str">
        <f>IF('Item Setup Form'!$AF488="Yes",'Item Setup Form'!G488,"")</f>
        <v/>
      </c>
      <c r="G484" s="70" t="str">
        <f>IF('Item Setup Form'!$AF488="Yes",'Item Setup Form'!H488,"")</f>
        <v/>
      </c>
      <c r="H484" s="70" t="str">
        <f>IF('Item Setup Form'!$AF488="Yes",'Item Setup Form'!V488,"")</f>
        <v/>
      </c>
      <c r="I484" s="70"/>
      <c r="J484" s="70" t="str">
        <f>IF('Item Setup Form'!$AF488="Yes",'Item Setup Form'!U488,"")</f>
        <v/>
      </c>
      <c r="K484" s="70" t="str">
        <f>IF('Item Setup Form'!$AF488="Yes",'Item Setup Form'!V488,"")</f>
        <v/>
      </c>
      <c r="L484" s="70"/>
      <c r="M484" s="70" t="str">
        <f>IF('Item Setup Form'!$AF488="Yes",'Item Setup Form'!A488,"")</f>
        <v/>
      </c>
      <c r="N484" s="70"/>
      <c r="O484" s="70"/>
      <c r="P484" s="70"/>
      <c r="Q484" s="70"/>
      <c r="R484" s="70"/>
      <c r="S484" s="70"/>
      <c r="T484" s="70"/>
      <c r="U484" s="70"/>
      <c r="V484" s="70"/>
      <c r="W484" s="70"/>
      <c r="X484" s="70"/>
      <c r="Y484" s="70"/>
      <c r="Z484" s="70"/>
    </row>
    <row r="485" spans="1:26">
      <c r="A485" s="70" t="str">
        <f>IF('Item Setup Form'!$AF489="Yes",'Item Setup Form'!$E489,"")</f>
        <v/>
      </c>
      <c r="B485" s="70" t="str">
        <f>IF('Item Setup Form'!$AF489="Yes",'Item Setup Form'!D489,"")</f>
        <v/>
      </c>
      <c r="C485" s="81" t="str">
        <f>IF('Item Setup Form'!$AF489="Yes",'Item Setup Form'!L489,"")</f>
        <v/>
      </c>
      <c r="D485" s="81" t="str">
        <f>IF('Item Setup Form'!$AF489="Yes",'Item Setup Form'!M489,"")</f>
        <v/>
      </c>
      <c r="E485" s="70"/>
      <c r="F485" s="70" t="str">
        <f>IF('Item Setup Form'!$AF489="Yes",'Item Setup Form'!G489,"")</f>
        <v/>
      </c>
      <c r="G485" s="70" t="str">
        <f>IF('Item Setup Form'!$AF489="Yes",'Item Setup Form'!H489,"")</f>
        <v/>
      </c>
      <c r="H485" s="70" t="str">
        <f>IF('Item Setup Form'!$AF489="Yes",'Item Setup Form'!V489,"")</f>
        <v/>
      </c>
      <c r="I485" s="70"/>
      <c r="J485" s="70" t="str">
        <f>IF('Item Setup Form'!$AF489="Yes",'Item Setup Form'!U489,"")</f>
        <v/>
      </c>
      <c r="K485" s="70" t="str">
        <f>IF('Item Setup Form'!$AF489="Yes",'Item Setup Form'!V489,"")</f>
        <v/>
      </c>
      <c r="L485" s="70"/>
      <c r="M485" s="70" t="str">
        <f>IF('Item Setup Form'!$AF489="Yes",'Item Setup Form'!A489,"")</f>
        <v/>
      </c>
      <c r="N485" s="70"/>
      <c r="O485" s="70"/>
      <c r="P485" s="70"/>
      <c r="Q485" s="70"/>
      <c r="R485" s="70"/>
      <c r="S485" s="70"/>
      <c r="T485" s="70"/>
      <c r="U485" s="70"/>
      <c r="V485" s="70"/>
      <c r="W485" s="70"/>
      <c r="X485" s="70"/>
      <c r="Y485" s="70"/>
      <c r="Z485" s="70"/>
    </row>
    <row r="486" spans="1:26">
      <c r="A486" s="70" t="str">
        <f>IF('Item Setup Form'!$AF490="Yes",'Item Setup Form'!$E490,"")</f>
        <v/>
      </c>
      <c r="B486" s="70" t="str">
        <f>IF('Item Setup Form'!$AF490="Yes",'Item Setup Form'!D490,"")</f>
        <v/>
      </c>
      <c r="C486" s="81" t="str">
        <f>IF('Item Setup Form'!$AF490="Yes",'Item Setup Form'!L490,"")</f>
        <v/>
      </c>
      <c r="D486" s="81" t="str">
        <f>IF('Item Setup Form'!$AF490="Yes",'Item Setup Form'!M490,"")</f>
        <v/>
      </c>
      <c r="E486" s="70"/>
      <c r="F486" s="70" t="str">
        <f>IF('Item Setup Form'!$AF490="Yes",'Item Setup Form'!G490,"")</f>
        <v/>
      </c>
      <c r="G486" s="70" t="str">
        <f>IF('Item Setup Form'!$AF490="Yes",'Item Setup Form'!H490,"")</f>
        <v/>
      </c>
      <c r="H486" s="70" t="str">
        <f>IF('Item Setup Form'!$AF490="Yes",'Item Setup Form'!V490,"")</f>
        <v/>
      </c>
      <c r="I486" s="70"/>
      <c r="J486" s="70" t="str">
        <f>IF('Item Setup Form'!$AF490="Yes",'Item Setup Form'!U490,"")</f>
        <v/>
      </c>
      <c r="K486" s="70" t="str">
        <f>IF('Item Setup Form'!$AF490="Yes",'Item Setup Form'!V490,"")</f>
        <v/>
      </c>
      <c r="L486" s="70"/>
      <c r="M486" s="70" t="str">
        <f>IF('Item Setup Form'!$AF490="Yes",'Item Setup Form'!A490,"")</f>
        <v/>
      </c>
      <c r="N486" s="70"/>
      <c r="O486" s="70"/>
      <c r="P486" s="70"/>
      <c r="Q486" s="70"/>
      <c r="R486" s="70"/>
      <c r="S486" s="70"/>
      <c r="T486" s="70"/>
      <c r="U486" s="70"/>
      <c r="V486" s="70"/>
      <c r="W486" s="70"/>
      <c r="X486" s="70"/>
      <c r="Y486" s="70"/>
      <c r="Z486" s="70"/>
    </row>
    <row r="487" spans="1:26">
      <c r="A487" s="70" t="str">
        <f>IF('Item Setup Form'!$AF491="Yes",'Item Setup Form'!$E491,"")</f>
        <v/>
      </c>
      <c r="B487" s="70" t="str">
        <f>IF('Item Setup Form'!$AF491="Yes",'Item Setup Form'!D491,"")</f>
        <v/>
      </c>
      <c r="C487" s="81" t="str">
        <f>IF('Item Setup Form'!$AF491="Yes",'Item Setup Form'!L491,"")</f>
        <v/>
      </c>
      <c r="D487" s="81" t="str">
        <f>IF('Item Setup Form'!$AF491="Yes",'Item Setup Form'!M491,"")</f>
        <v/>
      </c>
      <c r="E487" s="70"/>
      <c r="F487" s="70" t="str">
        <f>IF('Item Setup Form'!$AF491="Yes",'Item Setup Form'!G491,"")</f>
        <v/>
      </c>
      <c r="G487" s="70" t="str">
        <f>IF('Item Setup Form'!$AF491="Yes",'Item Setup Form'!H491,"")</f>
        <v/>
      </c>
      <c r="H487" s="70" t="str">
        <f>IF('Item Setup Form'!$AF491="Yes",'Item Setup Form'!V491,"")</f>
        <v/>
      </c>
      <c r="I487" s="70"/>
      <c r="J487" s="70" t="str">
        <f>IF('Item Setup Form'!$AF491="Yes",'Item Setup Form'!U491,"")</f>
        <v/>
      </c>
      <c r="K487" s="70" t="str">
        <f>IF('Item Setup Form'!$AF491="Yes",'Item Setup Form'!V491,"")</f>
        <v/>
      </c>
      <c r="L487" s="70"/>
      <c r="M487" s="70" t="str">
        <f>IF('Item Setup Form'!$AF491="Yes",'Item Setup Form'!A491,"")</f>
        <v/>
      </c>
      <c r="N487" s="70"/>
      <c r="O487" s="70"/>
      <c r="P487" s="70"/>
      <c r="Q487" s="70"/>
      <c r="R487" s="70"/>
      <c r="S487" s="70"/>
      <c r="T487" s="70"/>
      <c r="U487" s="70"/>
      <c r="V487" s="70"/>
      <c r="W487" s="70"/>
      <c r="X487" s="70"/>
      <c r="Y487" s="70"/>
      <c r="Z487" s="70"/>
    </row>
    <row r="488" spans="1:26">
      <c r="A488" s="70" t="str">
        <f>IF('Item Setup Form'!$AF492="Yes",'Item Setup Form'!$E492,"")</f>
        <v/>
      </c>
      <c r="B488" s="70" t="str">
        <f>IF('Item Setup Form'!$AF492="Yes",'Item Setup Form'!D492,"")</f>
        <v/>
      </c>
      <c r="C488" s="81" t="str">
        <f>IF('Item Setup Form'!$AF492="Yes",'Item Setup Form'!L492,"")</f>
        <v/>
      </c>
      <c r="D488" s="81" t="str">
        <f>IF('Item Setup Form'!$AF492="Yes",'Item Setup Form'!M492,"")</f>
        <v/>
      </c>
      <c r="E488" s="70"/>
      <c r="F488" s="70" t="str">
        <f>IF('Item Setup Form'!$AF492="Yes",'Item Setup Form'!G492,"")</f>
        <v/>
      </c>
      <c r="G488" s="70" t="str">
        <f>IF('Item Setup Form'!$AF492="Yes",'Item Setup Form'!H492,"")</f>
        <v/>
      </c>
      <c r="H488" s="70" t="str">
        <f>IF('Item Setup Form'!$AF492="Yes",'Item Setup Form'!V492,"")</f>
        <v/>
      </c>
      <c r="I488" s="70"/>
      <c r="J488" s="70" t="str">
        <f>IF('Item Setup Form'!$AF492="Yes",'Item Setup Form'!U492,"")</f>
        <v/>
      </c>
      <c r="K488" s="70" t="str">
        <f>IF('Item Setup Form'!$AF492="Yes",'Item Setup Form'!V492,"")</f>
        <v/>
      </c>
      <c r="L488" s="70"/>
      <c r="M488" s="70" t="str">
        <f>IF('Item Setup Form'!$AF492="Yes",'Item Setup Form'!A492,"")</f>
        <v/>
      </c>
      <c r="N488" s="70"/>
      <c r="O488" s="70"/>
      <c r="P488" s="70"/>
      <c r="Q488" s="70"/>
      <c r="R488" s="70"/>
      <c r="S488" s="70"/>
      <c r="T488" s="70"/>
      <c r="U488" s="70"/>
      <c r="V488" s="70"/>
      <c r="W488" s="70"/>
      <c r="X488" s="70"/>
      <c r="Y488" s="70"/>
      <c r="Z488" s="70"/>
    </row>
    <row r="489" spans="1:26">
      <c r="A489" s="70" t="str">
        <f>IF('Item Setup Form'!$AF493="Yes",'Item Setup Form'!$E493,"")</f>
        <v/>
      </c>
      <c r="B489" s="70" t="str">
        <f>IF('Item Setup Form'!$AF493="Yes",'Item Setup Form'!D493,"")</f>
        <v/>
      </c>
      <c r="C489" s="81" t="str">
        <f>IF('Item Setup Form'!$AF493="Yes",'Item Setup Form'!L493,"")</f>
        <v/>
      </c>
      <c r="D489" s="81" t="str">
        <f>IF('Item Setup Form'!$AF493="Yes",'Item Setup Form'!M493,"")</f>
        <v/>
      </c>
      <c r="E489" s="70"/>
      <c r="F489" s="70" t="str">
        <f>IF('Item Setup Form'!$AF493="Yes",'Item Setup Form'!G493,"")</f>
        <v/>
      </c>
      <c r="G489" s="70" t="str">
        <f>IF('Item Setup Form'!$AF493="Yes",'Item Setup Form'!H493,"")</f>
        <v/>
      </c>
      <c r="H489" s="70" t="str">
        <f>IF('Item Setup Form'!$AF493="Yes",'Item Setup Form'!V493,"")</f>
        <v/>
      </c>
      <c r="I489" s="70"/>
      <c r="J489" s="70" t="str">
        <f>IF('Item Setup Form'!$AF493="Yes",'Item Setup Form'!U493,"")</f>
        <v/>
      </c>
      <c r="K489" s="70" t="str">
        <f>IF('Item Setup Form'!$AF493="Yes",'Item Setup Form'!V493,"")</f>
        <v/>
      </c>
      <c r="L489" s="70"/>
      <c r="M489" s="70" t="str">
        <f>IF('Item Setup Form'!$AF493="Yes",'Item Setup Form'!A493,"")</f>
        <v/>
      </c>
      <c r="N489" s="70"/>
      <c r="O489" s="70"/>
      <c r="P489" s="70"/>
      <c r="Q489" s="70"/>
      <c r="R489" s="70"/>
      <c r="S489" s="70"/>
      <c r="T489" s="70"/>
      <c r="U489" s="70"/>
      <c r="V489" s="70"/>
      <c r="W489" s="70"/>
      <c r="X489" s="70"/>
      <c r="Y489" s="70"/>
      <c r="Z489" s="70"/>
    </row>
    <row r="490" spans="1:26">
      <c r="A490" s="70" t="str">
        <f>IF('Item Setup Form'!$AF494="Yes",'Item Setup Form'!$E494,"")</f>
        <v/>
      </c>
      <c r="B490" s="70" t="str">
        <f>IF('Item Setup Form'!$AF494="Yes",'Item Setup Form'!D494,"")</f>
        <v/>
      </c>
      <c r="C490" s="81" t="str">
        <f>IF('Item Setup Form'!$AF494="Yes",'Item Setup Form'!L494,"")</f>
        <v/>
      </c>
      <c r="D490" s="81" t="str">
        <f>IF('Item Setup Form'!$AF494="Yes",'Item Setup Form'!M494,"")</f>
        <v/>
      </c>
      <c r="E490" s="70"/>
      <c r="F490" s="70" t="str">
        <f>IF('Item Setup Form'!$AF494="Yes",'Item Setup Form'!G494,"")</f>
        <v/>
      </c>
      <c r="G490" s="70" t="str">
        <f>IF('Item Setup Form'!$AF494="Yes",'Item Setup Form'!H494,"")</f>
        <v/>
      </c>
      <c r="H490" s="70" t="str">
        <f>IF('Item Setup Form'!$AF494="Yes",'Item Setup Form'!V494,"")</f>
        <v/>
      </c>
      <c r="I490" s="70"/>
      <c r="J490" s="70" t="str">
        <f>IF('Item Setup Form'!$AF494="Yes",'Item Setup Form'!U494,"")</f>
        <v/>
      </c>
      <c r="K490" s="70" t="str">
        <f>IF('Item Setup Form'!$AF494="Yes",'Item Setup Form'!V494,"")</f>
        <v/>
      </c>
      <c r="L490" s="70"/>
      <c r="M490" s="70" t="str">
        <f>IF('Item Setup Form'!$AF494="Yes",'Item Setup Form'!A494,"")</f>
        <v/>
      </c>
      <c r="N490" s="70"/>
      <c r="O490" s="70"/>
      <c r="P490" s="70"/>
      <c r="Q490" s="70"/>
      <c r="R490" s="70"/>
      <c r="S490" s="70"/>
      <c r="T490" s="70"/>
      <c r="U490" s="70"/>
      <c r="V490" s="70"/>
      <c r="W490" s="70"/>
      <c r="X490" s="70"/>
      <c r="Y490" s="70"/>
      <c r="Z490" s="70"/>
    </row>
    <row r="491" spans="1:26">
      <c r="A491" s="70" t="str">
        <f>IF('Item Setup Form'!$AF495="Yes",'Item Setup Form'!$E495,"")</f>
        <v/>
      </c>
      <c r="B491" s="70" t="str">
        <f>IF('Item Setup Form'!$AF495="Yes",'Item Setup Form'!D495,"")</f>
        <v/>
      </c>
      <c r="C491" s="81" t="str">
        <f>IF('Item Setup Form'!$AF495="Yes",'Item Setup Form'!L495,"")</f>
        <v/>
      </c>
      <c r="D491" s="81" t="str">
        <f>IF('Item Setup Form'!$AF495="Yes",'Item Setup Form'!M495,"")</f>
        <v/>
      </c>
      <c r="E491" s="70"/>
      <c r="F491" s="70" t="str">
        <f>IF('Item Setup Form'!$AF495="Yes",'Item Setup Form'!G495,"")</f>
        <v/>
      </c>
      <c r="G491" s="70" t="str">
        <f>IF('Item Setup Form'!$AF495="Yes",'Item Setup Form'!H495,"")</f>
        <v/>
      </c>
      <c r="H491" s="70" t="str">
        <f>IF('Item Setup Form'!$AF495="Yes",'Item Setup Form'!V495,"")</f>
        <v/>
      </c>
      <c r="I491" s="70"/>
      <c r="J491" s="70" t="str">
        <f>IF('Item Setup Form'!$AF495="Yes",'Item Setup Form'!U495,"")</f>
        <v/>
      </c>
      <c r="K491" s="70" t="str">
        <f>IF('Item Setup Form'!$AF495="Yes",'Item Setup Form'!V495,"")</f>
        <v/>
      </c>
      <c r="L491" s="70"/>
      <c r="M491" s="70" t="str">
        <f>IF('Item Setup Form'!$AF495="Yes",'Item Setup Form'!A495,"")</f>
        <v/>
      </c>
      <c r="N491" s="70"/>
      <c r="O491" s="70"/>
      <c r="P491" s="70"/>
      <c r="Q491" s="70"/>
      <c r="R491" s="70"/>
      <c r="S491" s="70"/>
      <c r="T491" s="70"/>
      <c r="U491" s="70"/>
      <c r="V491" s="70"/>
      <c r="W491" s="70"/>
      <c r="X491" s="70"/>
      <c r="Y491" s="70"/>
      <c r="Z491" s="70"/>
    </row>
    <row r="492" spans="1:26">
      <c r="A492" s="70" t="str">
        <f>IF('Item Setup Form'!$AF496="Yes",'Item Setup Form'!$E496,"")</f>
        <v/>
      </c>
      <c r="B492" s="70" t="str">
        <f>IF('Item Setup Form'!$AF496="Yes",'Item Setup Form'!D496,"")</f>
        <v/>
      </c>
      <c r="C492" s="81" t="str">
        <f>IF('Item Setup Form'!$AF496="Yes",'Item Setup Form'!L496,"")</f>
        <v/>
      </c>
      <c r="D492" s="81" t="str">
        <f>IF('Item Setup Form'!$AF496="Yes",'Item Setup Form'!M496,"")</f>
        <v/>
      </c>
      <c r="E492" s="70"/>
      <c r="F492" s="70" t="str">
        <f>IF('Item Setup Form'!$AF496="Yes",'Item Setup Form'!G496,"")</f>
        <v/>
      </c>
      <c r="G492" s="70" t="str">
        <f>IF('Item Setup Form'!$AF496="Yes",'Item Setup Form'!H496,"")</f>
        <v/>
      </c>
      <c r="H492" s="70" t="str">
        <f>IF('Item Setup Form'!$AF496="Yes",'Item Setup Form'!V496,"")</f>
        <v/>
      </c>
      <c r="I492" s="70"/>
      <c r="J492" s="70" t="str">
        <f>IF('Item Setup Form'!$AF496="Yes",'Item Setup Form'!U496,"")</f>
        <v/>
      </c>
      <c r="K492" s="70" t="str">
        <f>IF('Item Setup Form'!$AF496="Yes",'Item Setup Form'!V496,"")</f>
        <v/>
      </c>
      <c r="L492" s="70"/>
      <c r="M492" s="70" t="str">
        <f>IF('Item Setup Form'!$AF496="Yes",'Item Setup Form'!A496,"")</f>
        <v/>
      </c>
      <c r="N492" s="70"/>
      <c r="O492" s="70"/>
      <c r="P492" s="70"/>
      <c r="Q492" s="70"/>
      <c r="R492" s="70"/>
      <c r="S492" s="70"/>
      <c r="T492" s="70"/>
      <c r="U492" s="70"/>
      <c r="V492" s="70"/>
      <c r="W492" s="70"/>
      <c r="X492" s="70"/>
      <c r="Y492" s="70"/>
      <c r="Z492" s="70"/>
    </row>
    <row r="493" spans="1:26">
      <c r="A493" s="70" t="str">
        <f>IF('Item Setup Form'!$AF497="Yes",'Item Setup Form'!$E497,"")</f>
        <v/>
      </c>
      <c r="B493" s="70" t="str">
        <f>IF('Item Setup Form'!$AF497="Yes",'Item Setup Form'!D497,"")</f>
        <v/>
      </c>
      <c r="C493" s="81" t="str">
        <f>IF('Item Setup Form'!$AF497="Yes",'Item Setup Form'!L497,"")</f>
        <v/>
      </c>
      <c r="D493" s="81" t="str">
        <f>IF('Item Setup Form'!$AF497="Yes",'Item Setup Form'!M497,"")</f>
        <v/>
      </c>
      <c r="E493" s="70"/>
      <c r="F493" s="70" t="str">
        <f>IF('Item Setup Form'!$AF497="Yes",'Item Setup Form'!G497,"")</f>
        <v/>
      </c>
      <c r="G493" s="70" t="str">
        <f>IF('Item Setup Form'!$AF497="Yes",'Item Setup Form'!H497,"")</f>
        <v/>
      </c>
      <c r="H493" s="70" t="str">
        <f>IF('Item Setup Form'!$AF497="Yes",'Item Setup Form'!V497,"")</f>
        <v/>
      </c>
      <c r="I493" s="70"/>
      <c r="J493" s="70" t="str">
        <f>IF('Item Setup Form'!$AF497="Yes",'Item Setup Form'!U497,"")</f>
        <v/>
      </c>
      <c r="K493" s="70" t="str">
        <f>IF('Item Setup Form'!$AF497="Yes",'Item Setup Form'!V497,"")</f>
        <v/>
      </c>
      <c r="L493" s="70"/>
      <c r="M493" s="70" t="str">
        <f>IF('Item Setup Form'!$AF497="Yes",'Item Setup Form'!A497,"")</f>
        <v/>
      </c>
      <c r="N493" s="70"/>
      <c r="O493" s="70"/>
      <c r="P493" s="70"/>
      <c r="Q493" s="70"/>
      <c r="R493" s="70"/>
      <c r="S493" s="70"/>
      <c r="T493" s="70"/>
      <c r="U493" s="70"/>
      <c r="V493" s="70"/>
      <c r="W493" s="70"/>
      <c r="X493" s="70"/>
      <c r="Y493" s="70"/>
      <c r="Z493" s="70"/>
    </row>
    <row r="494" spans="1:26">
      <c r="A494" s="70" t="str">
        <f>IF('Item Setup Form'!$AF498="Yes",'Item Setup Form'!$E498,"")</f>
        <v/>
      </c>
      <c r="B494" s="70" t="str">
        <f>IF('Item Setup Form'!$AF498="Yes",'Item Setup Form'!D498,"")</f>
        <v/>
      </c>
      <c r="C494" s="81" t="str">
        <f>IF('Item Setup Form'!$AF498="Yes",'Item Setup Form'!L498,"")</f>
        <v/>
      </c>
      <c r="D494" s="81" t="str">
        <f>IF('Item Setup Form'!$AF498="Yes",'Item Setup Form'!M498,"")</f>
        <v/>
      </c>
      <c r="E494" s="70"/>
      <c r="F494" s="70" t="str">
        <f>IF('Item Setup Form'!$AF498="Yes",'Item Setup Form'!G498,"")</f>
        <v/>
      </c>
      <c r="G494" s="70" t="str">
        <f>IF('Item Setup Form'!$AF498="Yes",'Item Setup Form'!H498,"")</f>
        <v/>
      </c>
      <c r="H494" s="70" t="str">
        <f>IF('Item Setup Form'!$AF498="Yes",'Item Setup Form'!V498,"")</f>
        <v/>
      </c>
      <c r="I494" s="70"/>
      <c r="J494" s="70" t="str">
        <f>IF('Item Setup Form'!$AF498="Yes",'Item Setup Form'!U498,"")</f>
        <v/>
      </c>
      <c r="K494" s="70" t="str">
        <f>IF('Item Setup Form'!$AF498="Yes",'Item Setup Form'!V498,"")</f>
        <v/>
      </c>
      <c r="L494" s="70"/>
      <c r="M494" s="70" t="str">
        <f>IF('Item Setup Form'!$AF498="Yes",'Item Setup Form'!A498,"")</f>
        <v/>
      </c>
      <c r="N494" s="70"/>
      <c r="O494" s="70"/>
      <c r="P494" s="70"/>
      <c r="Q494" s="70"/>
      <c r="R494" s="70"/>
      <c r="S494" s="70"/>
      <c r="T494" s="70"/>
      <c r="U494" s="70"/>
      <c r="V494" s="70"/>
      <c r="W494" s="70"/>
      <c r="X494" s="70"/>
      <c r="Y494" s="70"/>
      <c r="Z494" s="70"/>
    </row>
    <row r="495" spans="1:26">
      <c r="A495" s="70" t="str">
        <f>IF('Item Setup Form'!$AF499="Yes",'Item Setup Form'!$E499,"")</f>
        <v/>
      </c>
      <c r="B495" s="70" t="str">
        <f>IF('Item Setup Form'!$AF499="Yes",'Item Setup Form'!D499,"")</f>
        <v/>
      </c>
      <c r="C495" s="81" t="str">
        <f>IF('Item Setup Form'!$AF499="Yes",'Item Setup Form'!L499,"")</f>
        <v/>
      </c>
      <c r="D495" s="81" t="str">
        <f>IF('Item Setup Form'!$AF499="Yes",'Item Setup Form'!M499,"")</f>
        <v/>
      </c>
      <c r="E495" s="70"/>
      <c r="F495" s="70" t="str">
        <f>IF('Item Setup Form'!$AF499="Yes",'Item Setup Form'!G499,"")</f>
        <v/>
      </c>
      <c r="G495" s="70" t="str">
        <f>IF('Item Setup Form'!$AF499="Yes",'Item Setup Form'!H499,"")</f>
        <v/>
      </c>
      <c r="H495" s="70" t="str">
        <f>IF('Item Setup Form'!$AF499="Yes",'Item Setup Form'!V499,"")</f>
        <v/>
      </c>
      <c r="I495" s="70"/>
      <c r="J495" s="70" t="str">
        <f>IF('Item Setup Form'!$AF499="Yes",'Item Setup Form'!U499,"")</f>
        <v/>
      </c>
      <c r="K495" s="70" t="str">
        <f>IF('Item Setup Form'!$AF499="Yes",'Item Setup Form'!V499,"")</f>
        <v/>
      </c>
      <c r="L495" s="70"/>
      <c r="M495" s="70" t="str">
        <f>IF('Item Setup Form'!$AF499="Yes",'Item Setup Form'!A499,"")</f>
        <v/>
      </c>
      <c r="N495" s="70"/>
      <c r="O495" s="70"/>
      <c r="P495" s="70"/>
      <c r="Q495" s="70"/>
      <c r="R495" s="70"/>
      <c r="S495" s="70"/>
      <c r="T495" s="70"/>
      <c r="U495" s="70"/>
      <c r="V495" s="70"/>
      <c r="W495" s="70"/>
      <c r="X495" s="70"/>
      <c r="Y495" s="70"/>
      <c r="Z495" s="70"/>
    </row>
    <row r="496" spans="1:26">
      <c r="A496" s="70" t="str">
        <f>IF('Item Setup Form'!$AF500="Yes",'Item Setup Form'!$E500,"")</f>
        <v/>
      </c>
      <c r="B496" s="70" t="str">
        <f>IF('Item Setup Form'!$AF500="Yes",'Item Setup Form'!D500,"")</f>
        <v/>
      </c>
      <c r="C496" s="81" t="str">
        <f>IF('Item Setup Form'!$AF500="Yes",'Item Setup Form'!L500,"")</f>
        <v/>
      </c>
      <c r="D496" s="81" t="str">
        <f>IF('Item Setup Form'!$AF500="Yes",'Item Setup Form'!M500,"")</f>
        <v/>
      </c>
      <c r="E496" s="70"/>
      <c r="F496" s="70" t="str">
        <f>IF('Item Setup Form'!$AF500="Yes",'Item Setup Form'!G500,"")</f>
        <v/>
      </c>
      <c r="G496" s="70" t="str">
        <f>IF('Item Setup Form'!$AF500="Yes",'Item Setup Form'!H500,"")</f>
        <v/>
      </c>
      <c r="H496" s="70" t="str">
        <f>IF('Item Setup Form'!$AF500="Yes",'Item Setup Form'!V500,"")</f>
        <v/>
      </c>
      <c r="I496" s="70"/>
      <c r="J496" s="70" t="str">
        <f>IF('Item Setup Form'!$AF500="Yes",'Item Setup Form'!U500,"")</f>
        <v/>
      </c>
      <c r="K496" s="70" t="str">
        <f>IF('Item Setup Form'!$AF500="Yes",'Item Setup Form'!V500,"")</f>
        <v/>
      </c>
      <c r="L496" s="70"/>
      <c r="M496" s="70" t="str">
        <f>IF('Item Setup Form'!$AF500="Yes",'Item Setup Form'!A500,"")</f>
        <v/>
      </c>
      <c r="N496" s="70"/>
      <c r="O496" s="70"/>
      <c r="P496" s="70"/>
      <c r="Q496" s="70"/>
      <c r="R496" s="70"/>
      <c r="S496" s="70"/>
      <c r="T496" s="70"/>
      <c r="U496" s="70"/>
      <c r="V496" s="70"/>
      <c r="W496" s="70"/>
      <c r="X496" s="70"/>
      <c r="Y496" s="70"/>
      <c r="Z496" s="70"/>
    </row>
    <row r="497" spans="1:26">
      <c r="A497" s="70" t="str">
        <f>IF('Item Setup Form'!$AF501="Yes",'Item Setup Form'!$E501,"")</f>
        <v/>
      </c>
      <c r="B497" s="70" t="str">
        <f>IF('Item Setup Form'!$AF501="Yes",'Item Setup Form'!D501,"")</f>
        <v/>
      </c>
      <c r="C497" s="81" t="str">
        <f>IF('Item Setup Form'!$AF501="Yes",'Item Setup Form'!L501,"")</f>
        <v/>
      </c>
      <c r="D497" s="81" t="str">
        <f>IF('Item Setup Form'!$AF501="Yes",'Item Setup Form'!M501,"")</f>
        <v/>
      </c>
      <c r="E497" s="70"/>
      <c r="F497" s="70" t="str">
        <f>IF('Item Setup Form'!$AF501="Yes",'Item Setup Form'!G501,"")</f>
        <v/>
      </c>
      <c r="G497" s="70" t="str">
        <f>IF('Item Setup Form'!$AF501="Yes",'Item Setup Form'!H501,"")</f>
        <v/>
      </c>
      <c r="H497" s="70" t="str">
        <f>IF('Item Setup Form'!$AF501="Yes",'Item Setup Form'!V501,"")</f>
        <v/>
      </c>
      <c r="I497" s="70"/>
      <c r="J497" s="70" t="str">
        <f>IF('Item Setup Form'!$AF501="Yes",'Item Setup Form'!U501,"")</f>
        <v/>
      </c>
      <c r="K497" s="70" t="str">
        <f>IF('Item Setup Form'!$AF501="Yes",'Item Setup Form'!V501,"")</f>
        <v/>
      </c>
      <c r="L497" s="70"/>
      <c r="M497" s="70" t="str">
        <f>IF('Item Setup Form'!$AF501="Yes",'Item Setup Form'!A501,"")</f>
        <v/>
      </c>
      <c r="N497" s="70"/>
      <c r="O497" s="70"/>
      <c r="P497" s="70"/>
      <c r="Q497" s="70"/>
      <c r="R497" s="70"/>
      <c r="S497" s="70"/>
      <c r="T497" s="70"/>
      <c r="U497" s="70"/>
      <c r="V497" s="70"/>
      <c r="W497" s="70"/>
      <c r="X497" s="70"/>
      <c r="Y497" s="70"/>
      <c r="Z497" s="70"/>
    </row>
    <row r="498" spans="1:26">
      <c r="A498" s="70" t="str">
        <f>IF('Item Setup Form'!$AF502="Yes",'Item Setup Form'!$E502,"")</f>
        <v/>
      </c>
      <c r="B498" s="70" t="str">
        <f>IF('Item Setup Form'!$AF502="Yes",'Item Setup Form'!D502,"")</f>
        <v/>
      </c>
      <c r="C498" s="81" t="str">
        <f>IF('Item Setup Form'!$AF502="Yes",'Item Setup Form'!L502,"")</f>
        <v/>
      </c>
      <c r="D498" s="81" t="str">
        <f>IF('Item Setup Form'!$AF502="Yes",'Item Setup Form'!M502,"")</f>
        <v/>
      </c>
      <c r="E498" s="70"/>
      <c r="F498" s="70" t="str">
        <f>IF('Item Setup Form'!$AF502="Yes",'Item Setup Form'!G502,"")</f>
        <v/>
      </c>
      <c r="G498" s="70" t="str">
        <f>IF('Item Setup Form'!$AF502="Yes",'Item Setup Form'!H502,"")</f>
        <v/>
      </c>
      <c r="H498" s="70" t="str">
        <f>IF('Item Setup Form'!$AF502="Yes",'Item Setup Form'!V502,"")</f>
        <v/>
      </c>
      <c r="I498" s="70"/>
      <c r="J498" s="70" t="str">
        <f>IF('Item Setup Form'!$AF502="Yes",'Item Setup Form'!U502,"")</f>
        <v/>
      </c>
      <c r="K498" s="70" t="str">
        <f>IF('Item Setup Form'!$AF502="Yes",'Item Setup Form'!V502,"")</f>
        <v/>
      </c>
      <c r="L498" s="70"/>
      <c r="M498" s="70" t="str">
        <f>IF('Item Setup Form'!$AF502="Yes",'Item Setup Form'!A502,"")</f>
        <v/>
      </c>
      <c r="N498" s="70"/>
      <c r="O498" s="70"/>
      <c r="P498" s="70"/>
      <c r="Q498" s="70"/>
      <c r="R498" s="70"/>
      <c r="S498" s="70"/>
      <c r="T498" s="70"/>
      <c r="U498" s="70"/>
      <c r="V498" s="70"/>
      <c r="W498" s="70"/>
      <c r="X498" s="70"/>
      <c r="Y498" s="70"/>
      <c r="Z498" s="70"/>
    </row>
    <row r="499" spans="1:26">
      <c r="A499" s="70" t="str">
        <f>IF('Item Setup Form'!$AF503="Yes",'Item Setup Form'!$E503,"")</f>
        <v/>
      </c>
      <c r="B499" s="70" t="str">
        <f>IF('Item Setup Form'!$AF503="Yes",'Item Setup Form'!D503,"")</f>
        <v/>
      </c>
      <c r="C499" s="81" t="str">
        <f>IF('Item Setup Form'!$AF503="Yes",'Item Setup Form'!L503,"")</f>
        <v/>
      </c>
      <c r="D499" s="81" t="str">
        <f>IF('Item Setup Form'!$AF503="Yes",'Item Setup Form'!M503,"")</f>
        <v/>
      </c>
      <c r="E499" s="70"/>
      <c r="F499" s="70" t="str">
        <f>IF('Item Setup Form'!$AF503="Yes",'Item Setup Form'!G503,"")</f>
        <v/>
      </c>
      <c r="G499" s="70" t="str">
        <f>IF('Item Setup Form'!$AF503="Yes",'Item Setup Form'!H503,"")</f>
        <v/>
      </c>
      <c r="H499" s="70" t="str">
        <f>IF('Item Setup Form'!$AF503="Yes",'Item Setup Form'!V503,"")</f>
        <v/>
      </c>
      <c r="I499" s="70"/>
      <c r="J499" s="70" t="str">
        <f>IF('Item Setup Form'!$AF503="Yes",'Item Setup Form'!U503,"")</f>
        <v/>
      </c>
      <c r="K499" s="70" t="str">
        <f>IF('Item Setup Form'!$AF503="Yes",'Item Setup Form'!V503,"")</f>
        <v/>
      </c>
      <c r="L499" s="70"/>
      <c r="M499" s="70" t="str">
        <f>IF('Item Setup Form'!$AF503="Yes",'Item Setup Form'!A503,"")</f>
        <v/>
      </c>
      <c r="N499" s="70"/>
      <c r="O499" s="70"/>
      <c r="P499" s="70"/>
      <c r="Q499" s="70"/>
      <c r="R499" s="70"/>
      <c r="S499" s="70"/>
      <c r="T499" s="70"/>
      <c r="U499" s="70"/>
      <c r="V499" s="70"/>
      <c r="W499" s="70"/>
      <c r="X499" s="70"/>
      <c r="Y499" s="70"/>
      <c r="Z499" s="70"/>
    </row>
    <row r="500" spans="1:26">
      <c r="A500" s="70" t="str">
        <f>IF('Item Setup Form'!$AF504="Yes",'Item Setup Form'!$E504,"")</f>
        <v/>
      </c>
      <c r="B500" s="70" t="str">
        <f>IF('Item Setup Form'!$AF504="Yes",'Item Setup Form'!D504,"")</f>
        <v/>
      </c>
      <c r="C500" s="81" t="str">
        <f>IF('Item Setup Form'!$AF504="Yes",'Item Setup Form'!L504,"")</f>
        <v/>
      </c>
      <c r="D500" s="81" t="str">
        <f>IF('Item Setup Form'!$AF504="Yes",'Item Setup Form'!M504,"")</f>
        <v/>
      </c>
      <c r="E500" s="70"/>
      <c r="F500" s="70" t="str">
        <f>IF('Item Setup Form'!$AF504="Yes",'Item Setup Form'!G504,"")</f>
        <v/>
      </c>
      <c r="G500" s="70" t="str">
        <f>IF('Item Setup Form'!$AF504="Yes",'Item Setup Form'!H504,"")</f>
        <v/>
      </c>
      <c r="H500" s="70" t="str">
        <f>IF('Item Setup Form'!$AF504="Yes",'Item Setup Form'!V504,"")</f>
        <v/>
      </c>
      <c r="I500" s="70"/>
      <c r="J500" s="70" t="str">
        <f>IF('Item Setup Form'!$AF504="Yes",'Item Setup Form'!U504,"")</f>
        <v/>
      </c>
      <c r="K500" s="70" t="str">
        <f>IF('Item Setup Form'!$AF504="Yes",'Item Setup Form'!V504,"")</f>
        <v/>
      </c>
      <c r="L500" s="70"/>
      <c r="M500" s="70" t="str">
        <f>IF('Item Setup Form'!$AF504="Yes",'Item Setup Form'!A504,"")</f>
        <v/>
      </c>
      <c r="N500" s="70"/>
      <c r="O500" s="70"/>
      <c r="P500" s="70"/>
      <c r="Q500" s="70"/>
      <c r="R500" s="70"/>
      <c r="S500" s="70"/>
      <c r="T500" s="70"/>
      <c r="U500" s="70"/>
      <c r="V500" s="70"/>
      <c r="W500" s="70"/>
      <c r="X500" s="70"/>
      <c r="Y500" s="70"/>
      <c r="Z500" s="70"/>
    </row>
    <row r="501" spans="1:26">
      <c r="A501" s="70" t="str">
        <f>IF('Item Setup Form'!$AF505="Yes",'Item Setup Form'!$E505,"")</f>
        <v/>
      </c>
      <c r="B501" s="70" t="str">
        <f>IF('Item Setup Form'!$AF505="Yes",'Item Setup Form'!D505,"")</f>
        <v/>
      </c>
      <c r="C501" s="81" t="str">
        <f>IF('Item Setup Form'!$AF505="Yes",'Item Setup Form'!L505,"")</f>
        <v/>
      </c>
      <c r="D501" s="81" t="str">
        <f>IF('Item Setup Form'!$AF505="Yes",'Item Setup Form'!M505,"")</f>
        <v/>
      </c>
      <c r="E501" s="70"/>
      <c r="F501" s="70" t="str">
        <f>IF('Item Setup Form'!$AF505="Yes",'Item Setup Form'!G505,"")</f>
        <v/>
      </c>
      <c r="G501" s="70" t="str">
        <f>IF('Item Setup Form'!$AF505="Yes",'Item Setup Form'!H505,"")</f>
        <v/>
      </c>
      <c r="H501" s="70" t="str">
        <f>IF('Item Setup Form'!$AF505="Yes",'Item Setup Form'!V505,"")</f>
        <v/>
      </c>
      <c r="I501" s="70"/>
      <c r="J501" s="70" t="str">
        <f>IF('Item Setup Form'!$AF505="Yes",'Item Setup Form'!U505,"")</f>
        <v/>
      </c>
      <c r="K501" s="70" t="str">
        <f>IF('Item Setup Form'!$AF505="Yes",'Item Setup Form'!V505,"")</f>
        <v/>
      </c>
      <c r="L501" s="70"/>
      <c r="M501" s="70" t="str">
        <f>IF('Item Setup Form'!$AF505="Yes",'Item Setup Form'!A505,"")</f>
        <v/>
      </c>
      <c r="N501" s="70"/>
      <c r="O501" s="70"/>
      <c r="P501" s="70"/>
      <c r="Q501" s="70"/>
      <c r="R501" s="70"/>
      <c r="S501" s="70"/>
      <c r="T501" s="70"/>
      <c r="U501" s="70"/>
      <c r="V501" s="70"/>
      <c r="W501" s="70"/>
      <c r="X501" s="70"/>
      <c r="Y501" s="70"/>
      <c r="Z501" s="70"/>
    </row>
    <row r="502" spans="1:26">
      <c r="A502" s="70" t="str">
        <f>IF('Item Setup Form'!$AF506="Yes",'Item Setup Form'!$E506,"")</f>
        <v/>
      </c>
      <c r="B502" s="70" t="str">
        <f>IF('Item Setup Form'!$AF506="Yes",'Item Setup Form'!D506,"")</f>
        <v/>
      </c>
      <c r="C502" s="81" t="str">
        <f>IF('Item Setup Form'!$AF506="Yes",'Item Setup Form'!L506,"")</f>
        <v/>
      </c>
      <c r="D502" s="81" t="str">
        <f>IF('Item Setup Form'!$AF506="Yes",'Item Setup Form'!M506,"")</f>
        <v/>
      </c>
      <c r="E502" s="70"/>
      <c r="F502" s="70" t="str">
        <f>IF('Item Setup Form'!$AF506="Yes",'Item Setup Form'!G506,"")</f>
        <v/>
      </c>
      <c r="G502" s="70" t="str">
        <f>IF('Item Setup Form'!$AF506="Yes",'Item Setup Form'!H506,"")</f>
        <v/>
      </c>
      <c r="H502" s="70" t="str">
        <f>IF('Item Setup Form'!$AF506="Yes",'Item Setup Form'!V506,"")</f>
        <v/>
      </c>
      <c r="I502" s="70"/>
      <c r="J502" s="70" t="str">
        <f>IF('Item Setup Form'!$AF506="Yes",'Item Setup Form'!U506,"")</f>
        <v/>
      </c>
      <c r="K502" s="70" t="str">
        <f>IF('Item Setup Form'!$AF506="Yes",'Item Setup Form'!V506,"")</f>
        <v/>
      </c>
      <c r="L502" s="70"/>
      <c r="M502" s="70" t="str">
        <f>IF('Item Setup Form'!$AF506="Yes",'Item Setup Form'!A506,"")</f>
        <v/>
      </c>
      <c r="N502" s="70"/>
      <c r="O502" s="70"/>
      <c r="P502" s="70"/>
      <c r="Q502" s="70"/>
      <c r="R502" s="70"/>
      <c r="S502" s="70"/>
      <c r="T502" s="70"/>
      <c r="U502" s="70"/>
      <c r="V502" s="70"/>
      <c r="W502" s="70"/>
      <c r="X502" s="70"/>
      <c r="Y502" s="70"/>
      <c r="Z502" s="70"/>
    </row>
    <row r="503" spans="1:26">
      <c r="A503" s="70" t="str">
        <f>IF('Item Setup Form'!$AF507="Yes",'Item Setup Form'!$E507,"")</f>
        <v/>
      </c>
      <c r="B503" s="70" t="str">
        <f>IF('Item Setup Form'!$AF507="Yes",'Item Setup Form'!D507,"")</f>
        <v/>
      </c>
      <c r="C503" s="81" t="str">
        <f>IF('Item Setup Form'!$AF507="Yes",'Item Setup Form'!L507,"")</f>
        <v/>
      </c>
      <c r="D503" s="81" t="str">
        <f>IF('Item Setup Form'!$AF507="Yes",'Item Setup Form'!M507,"")</f>
        <v/>
      </c>
      <c r="E503" s="70"/>
      <c r="F503" s="70" t="str">
        <f>IF('Item Setup Form'!$AF507="Yes",'Item Setup Form'!G507,"")</f>
        <v/>
      </c>
      <c r="G503" s="70" t="str">
        <f>IF('Item Setup Form'!$AF507="Yes",'Item Setup Form'!H507,"")</f>
        <v/>
      </c>
      <c r="H503" s="70" t="str">
        <f>IF('Item Setup Form'!$AF507="Yes",'Item Setup Form'!V507,"")</f>
        <v/>
      </c>
      <c r="I503" s="70"/>
      <c r="J503" s="70" t="str">
        <f>IF('Item Setup Form'!$AF507="Yes",'Item Setup Form'!U507,"")</f>
        <v/>
      </c>
      <c r="K503" s="70" t="str">
        <f>IF('Item Setup Form'!$AF507="Yes",'Item Setup Form'!V507,"")</f>
        <v/>
      </c>
      <c r="L503" s="70"/>
      <c r="M503" s="70" t="str">
        <f>IF('Item Setup Form'!$AF507="Yes",'Item Setup Form'!A507,"")</f>
        <v/>
      </c>
      <c r="N503" s="70"/>
      <c r="O503" s="70"/>
      <c r="P503" s="70"/>
      <c r="Q503" s="70"/>
      <c r="R503" s="70"/>
      <c r="S503" s="70"/>
      <c r="T503" s="70"/>
      <c r="U503" s="70"/>
      <c r="V503" s="70"/>
      <c r="W503" s="70"/>
      <c r="X503" s="70"/>
      <c r="Y503" s="70"/>
      <c r="Z503" s="70"/>
    </row>
    <row r="504" spans="1:26">
      <c r="A504" s="70" t="str">
        <f>IF('Item Setup Form'!$AF508="Yes",'Item Setup Form'!$E508,"")</f>
        <v/>
      </c>
      <c r="B504" s="70" t="str">
        <f>IF('Item Setup Form'!$AF508="Yes",'Item Setup Form'!D508,"")</f>
        <v/>
      </c>
      <c r="C504" s="81" t="str">
        <f>IF('Item Setup Form'!$AF508="Yes",'Item Setup Form'!L508,"")</f>
        <v/>
      </c>
      <c r="D504" s="81" t="str">
        <f>IF('Item Setup Form'!$AF508="Yes",'Item Setup Form'!M508,"")</f>
        <v/>
      </c>
      <c r="E504" s="70"/>
      <c r="F504" s="70" t="str">
        <f>IF('Item Setup Form'!$AF508="Yes",'Item Setup Form'!G508,"")</f>
        <v/>
      </c>
      <c r="G504" s="70" t="str">
        <f>IF('Item Setup Form'!$AF508="Yes",'Item Setup Form'!H508,"")</f>
        <v/>
      </c>
      <c r="H504" s="70" t="str">
        <f>IF('Item Setup Form'!$AF508="Yes",'Item Setup Form'!V508,"")</f>
        <v/>
      </c>
      <c r="I504" s="70"/>
      <c r="J504" s="70" t="str">
        <f>IF('Item Setup Form'!$AF508="Yes",'Item Setup Form'!U508,"")</f>
        <v/>
      </c>
      <c r="K504" s="70" t="str">
        <f>IF('Item Setup Form'!$AF508="Yes",'Item Setup Form'!V508,"")</f>
        <v/>
      </c>
      <c r="L504" s="70"/>
      <c r="M504" s="70" t="str">
        <f>IF('Item Setup Form'!$AF508="Yes",'Item Setup Form'!A508,"")</f>
        <v/>
      </c>
      <c r="N504" s="70"/>
      <c r="O504" s="70"/>
      <c r="P504" s="70"/>
      <c r="Q504" s="70"/>
      <c r="R504" s="70"/>
      <c r="S504" s="70"/>
      <c r="T504" s="70"/>
      <c r="U504" s="70"/>
      <c r="V504" s="70"/>
      <c r="W504" s="70"/>
      <c r="X504" s="70"/>
      <c r="Y504" s="70"/>
      <c r="Z504" s="70"/>
    </row>
    <row r="505" spans="1:26">
      <c r="A505" s="70" t="str">
        <f>IF('Item Setup Form'!$AF509="Yes",'Item Setup Form'!$E509,"")</f>
        <v/>
      </c>
      <c r="B505" s="70" t="str">
        <f>IF('Item Setup Form'!$AF509="Yes",'Item Setup Form'!D509,"")</f>
        <v/>
      </c>
      <c r="C505" s="81" t="str">
        <f>IF('Item Setup Form'!$AF509="Yes",'Item Setup Form'!L509,"")</f>
        <v/>
      </c>
      <c r="D505" s="81" t="str">
        <f>IF('Item Setup Form'!$AF509="Yes",'Item Setup Form'!M509,"")</f>
        <v/>
      </c>
      <c r="E505" s="70"/>
      <c r="F505" s="70" t="str">
        <f>IF('Item Setup Form'!$AF509="Yes",'Item Setup Form'!G509,"")</f>
        <v/>
      </c>
      <c r="G505" s="70" t="str">
        <f>IF('Item Setup Form'!$AF509="Yes",'Item Setup Form'!H509,"")</f>
        <v/>
      </c>
      <c r="H505" s="70" t="str">
        <f>IF('Item Setup Form'!$AF509="Yes",'Item Setup Form'!V509,"")</f>
        <v/>
      </c>
      <c r="I505" s="70"/>
      <c r="J505" s="70" t="str">
        <f>IF('Item Setup Form'!$AF509="Yes",'Item Setup Form'!U509,"")</f>
        <v/>
      </c>
      <c r="K505" s="70" t="str">
        <f>IF('Item Setup Form'!$AF509="Yes",'Item Setup Form'!V509,"")</f>
        <v/>
      </c>
      <c r="L505" s="70"/>
      <c r="M505" s="70" t="str">
        <f>IF('Item Setup Form'!$AF509="Yes",'Item Setup Form'!A509,"")</f>
        <v/>
      </c>
      <c r="N505" s="70"/>
      <c r="O505" s="70"/>
      <c r="P505" s="70"/>
      <c r="Q505" s="70"/>
      <c r="R505" s="70"/>
      <c r="S505" s="70"/>
      <c r="T505" s="70"/>
      <c r="U505" s="70"/>
      <c r="V505" s="70"/>
      <c r="W505" s="70"/>
      <c r="X505" s="70"/>
      <c r="Y505" s="70"/>
      <c r="Z505" s="70"/>
    </row>
    <row r="506" spans="1:26">
      <c r="A506" s="70" t="str">
        <f>IF('Item Setup Form'!$AF510="Yes",'Item Setup Form'!$E510,"")</f>
        <v/>
      </c>
      <c r="B506" s="70" t="str">
        <f>IF('Item Setup Form'!$AF510="Yes",'Item Setup Form'!D510,"")</f>
        <v/>
      </c>
      <c r="C506" s="81" t="str">
        <f>IF('Item Setup Form'!$AF510="Yes",'Item Setup Form'!L510,"")</f>
        <v/>
      </c>
      <c r="D506" s="81" t="str">
        <f>IF('Item Setup Form'!$AF510="Yes",'Item Setup Form'!M510,"")</f>
        <v/>
      </c>
      <c r="E506" s="70"/>
      <c r="F506" s="70" t="str">
        <f>IF('Item Setup Form'!$AF510="Yes",'Item Setup Form'!G510,"")</f>
        <v/>
      </c>
      <c r="G506" s="70" t="str">
        <f>IF('Item Setup Form'!$AF510="Yes",'Item Setup Form'!H510,"")</f>
        <v/>
      </c>
      <c r="H506" s="70" t="str">
        <f>IF('Item Setup Form'!$AF510="Yes",'Item Setup Form'!V510,"")</f>
        <v/>
      </c>
      <c r="I506" s="70"/>
      <c r="J506" s="70" t="str">
        <f>IF('Item Setup Form'!$AF510="Yes",'Item Setup Form'!U510,"")</f>
        <v/>
      </c>
      <c r="K506" s="70" t="str">
        <f>IF('Item Setup Form'!$AF510="Yes",'Item Setup Form'!V510,"")</f>
        <v/>
      </c>
      <c r="L506" s="70"/>
      <c r="M506" s="70" t="str">
        <f>IF('Item Setup Form'!$AF510="Yes",'Item Setup Form'!A510,"")</f>
        <v/>
      </c>
      <c r="N506" s="70"/>
      <c r="O506" s="70"/>
      <c r="P506" s="70"/>
      <c r="Q506" s="70"/>
      <c r="R506" s="70"/>
      <c r="S506" s="70"/>
      <c r="T506" s="70"/>
      <c r="U506" s="70"/>
      <c r="V506" s="70"/>
      <c r="W506" s="70"/>
      <c r="X506" s="70"/>
      <c r="Y506" s="70"/>
      <c r="Z506" s="70"/>
    </row>
    <row r="507" spans="1:26">
      <c r="A507" s="70" t="str">
        <f>IF('Item Setup Form'!$AF511="Yes",'Item Setup Form'!$E511,"")</f>
        <v/>
      </c>
      <c r="B507" s="70" t="str">
        <f>IF('Item Setup Form'!$AF511="Yes",'Item Setup Form'!D511,"")</f>
        <v/>
      </c>
      <c r="C507" s="81" t="str">
        <f>IF('Item Setup Form'!$AF511="Yes",'Item Setup Form'!L511,"")</f>
        <v/>
      </c>
      <c r="D507" s="81" t="str">
        <f>IF('Item Setup Form'!$AF511="Yes",'Item Setup Form'!M511,"")</f>
        <v/>
      </c>
      <c r="E507" s="70"/>
      <c r="F507" s="70" t="str">
        <f>IF('Item Setup Form'!$AF511="Yes",'Item Setup Form'!G511,"")</f>
        <v/>
      </c>
      <c r="G507" s="70" t="str">
        <f>IF('Item Setup Form'!$AF511="Yes",'Item Setup Form'!H511,"")</f>
        <v/>
      </c>
      <c r="H507" s="70" t="str">
        <f>IF('Item Setup Form'!$AF511="Yes",'Item Setup Form'!V511,"")</f>
        <v/>
      </c>
      <c r="I507" s="70"/>
      <c r="J507" s="70" t="str">
        <f>IF('Item Setup Form'!$AF511="Yes",'Item Setup Form'!U511,"")</f>
        <v/>
      </c>
      <c r="K507" s="70" t="str">
        <f>IF('Item Setup Form'!$AF511="Yes",'Item Setup Form'!V511,"")</f>
        <v/>
      </c>
      <c r="L507" s="70"/>
      <c r="M507" s="70" t="str">
        <f>IF('Item Setup Form'!$AF511="Yes",'Item Setup Form'!A511,"")</f>
        <v/>
      </c>
      <c r="N507" s="70"/>
      <c r="O507" s="70"/>
      <c r="P507" s="70"/>
      <c r="Q507" s="70"/>
      <c r="R507" s="70"/>
      <c r="S507" s="70"/>
      <c r="T507" s="70"/>
      <c r="U507" s="70"/>
      <c r="V507" s="70"/>
      <c r="W507" s="70"/>
      <c r="X507" s="70"/>
      <c r="Y507" s="70"/>
      <c r="Z507" s="70"/>
    </row>
    <row r="508" spans="1:26">
      <c r="A508" s="70" t="str">
        <f>IF('Item Setup Form'!$AF512="Yes",'Item Setup Form'!$E512,"")</f>
        <v/>
      </c>
      <c r="B508" s="70" t="str">
        <f>IF('Item Setup Form'!$AF512="Yes",'Item Setup Form'!D512,"")</f>
        <v/>
      </c>
      <c r="C508" s="81" t="str">
        <f>IF('Item Setup Form'!$AF512="Yes",'Item Setup Form'!L512,"")</f>
        <v/>
      </c>
      <c r="D508" s="81" t="str">
        <f>IF('Item Setup Form'!$AF512="Yes",'Item Setup Form'!M512,"")</f>
        <v/>
      </c>
      <c r="E508" s="70"/>
      <c r="F508" s="70" t="str">
        <f>IF('Item Setup Form'!$AF512="Yes",'Item Setup Form'!G512,"")</f>
        <v/>
      </c>
      <c r="G508" s="70" t="str">
        <f>IF('Item Setup Form'!$AF512="Yes",'Item Setup Form'!H512,"")</f>
        <v/>
      </c>
      <c r="H508" s="70" t="str">
        <f>IF('Item Setup Form'!$AF512="Yes",'Item Setup Form'!V512,"")</f>
        <v/>
      </c>
      <c r="I508" s="70"/>
      <c r="J508" s="70" t="str">
        <f>IF('Item Setup Form'!$AF512="Yes",'Item Setup Form'!U512,"")</f>
        <v/>
      </c>
      <c r="K508" s="70" t="str">
        <f>IF('Item Setup Form'!$AF512="Yes",'Item Setup Form'!V512,"")</f>
        <v/>
      </c>
      <c r="L508" s="70"/>
      <c r="M508" s="70" t="str">
        <f>IF('Item Setup Form'!$AF512="Yes",'Item Setup Form'!A512,"")</f>
        <v/>
      </c>
      <c r="N508" s="70"/>
      <c r="O508" s="70"/>
      <c r="P508" s="70"/>
      <c r="Q508" s="70"/>
      <c r="R508" s="70"/>
      <c r="S508" s="70"/>
      <c r="T508" s="70"/>
      <c r="U508" s="70"/>
      <c r="V508" s="70"/>
      <c r="W508" s="70"/>
      <c r="X508" s="70"/>
      <c r="Y508" s="70"/>
      <c r="Z508" s="70"/>
    </row>
    <row r="509" spans="1:26">
      <c r="A509" s="70" t="str">
        <f>IF('Item Setup Form'!$AF513="Yes",'Item Setup Form'!$E513,"")</f>
        <v/>
      </c>
      <c r="B509" s="70" t="str">
        <f>IF('Item Setup Form'!$AF513="Yes",'Item Setup Form'!D513,"")</f>
        <v/>
      </c>
      <c r="C509" s="81" t="str">
        <f>IF('Item Setup Form'!$AF513="Yes",'Item Setup Form'!L513,"")</f>
        <v/>
      </c>
      <c r="D509" s="81" t="str">
        <f>IF('Item Setup Form'!$AF513="Yes",'Item Setup Form'!M513,"")</f>
        <v/>
      </c>
      <c r="E509" s="70"/>
      <c r="F509" s="70" t="str">
        <f>IF('Item Setup Form'!$AF513="Yes",'Item Setup Form'!G513,"")</f>
        <v/>
      </c>
      <c r="G509" s="70" t="str">
        <f>IF('Item Setup Form'!$AF513="Yes",'Item Setup Form'!H513,"")</f>
        <v/>
      </c>
      <c r="H509" s="70" t="str">
        <f>IF('Item Setup Form'!$AF513="Yes",'Item Setup Form'!V513,"")</f>
        <v/>
      </c>
      <c r="I509" s="70"/>
      <c r="J509" s="70" t="str">
        <f>IF('Item Setup Form'!$AF513="Yes",'Item Setup Form'!U513,"")</f>
        <v/>
      </c>
      <c r="K509" s="70" t="str">
        <f>IF('Item Setup Form'!$AF513="Yes",'Item Setup Form'!V513,"")</f>
        <v/>
      </c>
      <c r="L509" s="70"/>
      <c r="M509" s="70" t="str">
        <f>IF('Item Setup Form'!$AF513="Yes",'Item Setup Form'!A513,"")</f>
        <v/>
      </c>
      <c r="N509" s="70"/>
      <c r="O509" s="70"/>
      <c r="P509" s="70"/>
      <c r="Q509" s="70"/>
      <c r="R509" s="70"/>
      <c r="S509" s="70"/>
      <c r="T509" s="70"/>
      <c r="U509" s="70"/>
      <c r="V509" s="70"/>
      <c r="W509" s="70"/>
      <c r="X509" s="70"/>
      <c r="Y509" s="70"/>
      <c r="Z509" s="70"/>
    </row>
    <row r="510" spans="1:26">
      <c r="A510" s="70" t="str">
        <f>IF('Item Setup Form'!$AF514="Yes",'Item Setup Form'!$E514,"")</f>
        <v/>
      </c>
      <c r="B510" s="70" t="str">
        <f>IF('Item Setup Form'!$AF514="Yes",'Item Setup Form'!D514,"")</f>
        <v/>
      </c>
      <c r="C510" s="81" t="str">
        <f>IF('Item Setup Form'!$AF514="Yes",'Item Setup Form'!L514,"")</f>
        <v/>
      </c>
      <c r="D510" s="81" t="str">
        <f>IF('Item Setup Form'!$AF514="Yes",'Item Setup Form'!M514,"")</f>
        <v/>
      </c>
      <c r="E510" s="70"/>
      <c r="F510" s="70" t="str">
        <f>IF('Item Setup Form'!$AF514="Yes",'Item Setup Form'!G514,"")</f>
        <v/>
      </c>
      <c r="G510" s="70" t="str">
        <f>IF('Item Setup Form'!$AF514="Yes",'Item Setup Form'!H514,"")</f>
        <v/>
      </c>
      <c r="H510" s="70" t="str">
        <f>IF('Item Setup Form'!$AF514="Yes",'Item Setup Form'!V514,"")</f>
        <v/>
      </c>
      <c r="I510" s="70"/>
      <c r="J510" s="70" t="str">
        <f>IF('Item Setup Form'!$AF514="Yes",'Item Setup Form'!U514,"")</f>
        <v/>
      </c>
      <c r="K510" s="70" t="str">
        <f>IF('Item Setup Form'!$AF514="Yes",'Item Setup Form'!V514,"")</f>
        <v/>
      </c>
      <c r="L510" s="70"/>
      <c r="M510" s="70" t="str">
        <f>IF('Item Setup Form'!$AF514="Yes",'Item Setup Form'!A514,"")</f>
        <v/>
      </c>
      <c r="N510" s="70"/>
      <c r="O510" s="70"/>
      <c r="P510" s="70"/>
      <c r="Q510" s="70"/>
      <c r="R510" s="70"/>
      <c r="S510" s="70"/>
      <c r="T510" s="70"/>
      <c r="U510" s="70"/>
      <c r="V510" s="70"/>
      <c r="W510" s="70"/>
      <c r="X510" s="70"/>
      <c r="Y510" s="70"/>
      <c r="Z510" s="70"/>
    </row>
    <row r="511" spans="1:26">
      <c r="A511" s="70" t="str">
        <f>IF('Item Setup Form'!$AF515="Yes",'Item Setup Form'!$E515,"")</f>
        <v/>
      </c>
      <c r="B511" s="70" t="str">
        <f>IF('Item Setup Form'!$AF515="Yes",'Item Setup Form'!D515,"")</f>
        <v/>
      </c>
      <c r="C511" s="81" t="str">
        <f>IF('Item Setup Form'!$AF515="Yes",'Item Setup Form'!L515,"")</f>
        <v/>
      </c>
      <c r="D511" s="81" t="str">
        <f>IF('Item Setup Form'!$AF515="Yes",'Item Setup Form'!M515,"")</f>
        <v/>
      </c>
      <c r="E511" s="70"/>
      <c r="F511" s="70" t="str">
        <f>IF('Item Setup Form'!$AF515="Yes",'Item Setup Form'!G515,"")</f>
        <v/>
      </c>
      <c r="G511" s="70" t="str">
        <f>IF('Item Setup Form'!$AF515="Yes",'Item Setup Form'!H515,"")</f>
        <v/>
      </c>
      <c r="H511" s="70" t="str">
        <f>IF('Item Setup Form'!$AF515="Yes",'Item Setup Form'!V515,"")</f>
        <v/>
      </c>
      <c r="I511" s="70"/>
      <c r="J511" s="70" t="str">
        <f>IF('Item Setup Form'!$AF515="Yes",'Item Setup Form'!U515,"")</f>
        <v/>
      </c>
      <c r="K511" s="70" t="str">
        <f>IF('Item Setup Form'!$AF515="Yes",'Item Setup Form'!V515,"")</f>
        <v/>
      </c>
      <c r="L511" s="70"/>
      <c r="M511" s="70" t="str">
        <f>IF('Item Setup Form'!$AF515="Yes",'Item Setup Form'!A515,"")</f>
        <v/>
      </c>
      <c r="N511" s="70"/>
      <c r="O511" s="70"/>
      <c r="P511" s="70"/>
      <c r="Q511" s="70"/>
      <c r="R511" s="70"/>
      <c r="S511" s="70"/>
      <c r="T511" s="70"/>
      <c r="U511" s="70"/>
      <c r="V511" s="70"/>
      <c r="W511" s="70"/>
      <c r="X511" s="70"/>
      <c r="Y511" s="70"/>
      <c r="Z511" s="70"/>
    </row>
    <row r="512" spans="1:26">
      <c r="A512" s="70" t="str">
        <f>IF('Item Setup Form'!$AF516="Yes",'Item Setup Form'!$E516,"")</f>
        <v/>
      </c>
      <c r="B512" s="70" t="str">
        <f>IF('Item Setup Form'!$AF516="Yes",'Item Setup Form'!D516,"")</f>
        <v/>
      </c>
      <c r="C512" s="81" t="str">
        <f>IF('Item Setup Form'!$AF516="Yes",'Item Setup Form'!L516,"")</f>
        <v/>
      </c>
      <c r="D512" s="81" t="str">
        <f>IF('Item Setup Form'!$AF516="Yes",'Item Setup Form'!M516,"")</f>
        <v/>
      </c>
      <c r="E512" s="70"/>
      <c r="F512" s="70" t="str">
        <f>IF('Item Setup Form'!$AF516="Yes",'Item Setup Form'!G516,"")</f>
        <v/>
      </c>
      <c r="G512" s="70" t="str">
        <f>IF('Item Setup Form'!$AF516="Yes",'Item Setup Form'!H516,"")</f>
        <v/>
      </c>
      <c r="H512" s="70" t="str">
        <f>IF('Item Setup Form'!$AF516="Yes",'Item Setup Form'!V516,"")</f>
        <v/>
      </c>
      <c r="I512" s="70"/>
      <c r="J512" s="70" t="str">
        <f>IF('Item Setup Form'!$AF516="Yes",'Item Setup Form'!U516,"")</f>
        <v/>
      </c>
      <c r="K512" s="70" t="str">
        <f>IF('Item Setup Form'!$AF516="Yes",'Item Setup Form'!V516,"")</f>
        <v/>
      </c>
      <c r="L512" s="70"/>
      <c r="M512" s="70" t="str">
        <f>IF('Item Setup Form'!$AF516="Yes",'Item Setup Form'!A516,"")</f>
        <v/>
      </c>
      <c r="N512" s="70"/>
      <c r="O512" s="70"/>
      <c r="P512" s="70"/>
      <c r="Q512" s="70"/>
      <c r="R512" s="70"/>
      <c r="S512" s="70"/>
      <c r="T512" s="70"/>
      <c r="U512" s="70"/>
      <c r="V512" s="70"/>
      <c r="W512" s="70"/>
      <c r="X512" s="70"/>
      <c r="Y512" s="70"/>
      <c r="Z512" s="70"/>
    </row>
    <row r="513" spans="1:26">
      <c r="A513" s="70" t="str">
        <f>IF('Item Setup Form'!$AF517="Yes",'Item Setup Form'!$E517,"")</f>
        <v/>
      </c>
      <c r="B513" s="70" t="str">
        <f>IF('Item Setup Form'!$AF517="Yes",'Item Setup Form'!D517,"")</f>
        <v/>
      </c>
      <c r="C513" s="81" t="str">
        <f>IF('Item Setup Form'!$AF517="Yes",'Item Setup Form'!L517,"")</f>
        <v/>
      </c>
      <c r="D513" s="81" t="str">
        <f>IF('Item Setup Form'!$AF517="Yes",'Item Setup Form'!M517,"")</f>
        <v/>
      </c>
      <c r="E513" s="70"/>
      <c r="F513" s="70" t="str">
        <f>IF('Item Setup Form'!$AF517="Yes",'Item Setup Form'!G517,"")</f>
        <v/>
      </c>
      <c r="G513" s="70" t="str">
        <f>IF('Item Setup Form'!$AF517="Yes",'Item Setup Form'!H517,"")</f>
        <v/>
      </c>
      <c r="H513" s="70" t="str">
        <f>IF('Item Setup Form'!$AF517="Yes",'Item Setup Form'!V517,"")</f>
        <v/>
      </c>
      <c r="I513" s="70"/>
      <c r="J513" s="70" t="str">
        <f>IF('Item Setup Form'!$AF517="Yes",'Item Setup Form'!U517,"")</f>
        <v/>
      </c>
      <c r="K513" s="70" t="str">
        <f>IF('Item Setup Form'!$AF517="Yes",'Item Setup Form'!V517,"")</f>
        <v/>
      </c>
      <c r="L513" s="70"/>
      <c r="M513" s="70" t="str">
        <f>IF('Item Setup Form'!$AF517="Yes",'Item Setup Form'!A517,"")</f>
        <v/>
      </c>
      <c r="N513" s="70"/>
      <c r="O513" s="70"/>
      <c r="P513" s="70"/>
      <c r="Q513" s="70"/>
      <c r="R513" s="70"/>
      <c r="S513" s="70"/>
      <c r="T513" s="70"/>
      <c r="U513" s="70"/>
      <c r="V513" s="70"/>
      <c r="W513" s="70"/>
      <c r="X513" s="70"/>
      <c r="Y513" s="70"/>
      <c r="Z513" s="70"/>
    </row>
    <row r="514" spans="1:26">
      <c r="A514" s="70" t="str">
        <f>IF('Item Setup Form'!$AF518="Yes",'Item Setup Form'!$E518,"")</f>
        <v/>
      </c>
      <c r="B514" s="70" t="str">
        <f>IF('Item Setup Form'!$AF518="Yes",'Item Setup Form'!D518,"")</f>
        <v/>
      </c>
      <c r="C514" s="81" t="str">
        <f>IF('Item Setup Form'!$AF518="Yes",'Item Setup Form'!L518,"")</f>
        <v/>
      </c>
      <c r="D514" s="81" t="str">
        <f>IF('Item Setup Form'!$AF518="Yes",'Item Setup Form'!M518,"")</f>
        <v/>
      </c>
      <c r="E514" s="70"/>
      <c r="F514" s="70" t="str">
        <f>IF('Item Setup Form'!$AF518="Yes",'Item Setup Form'!G518,"")</f>
        <v/>
      </c>
      <c r="G514" s="70" t="str">
        <f>IF('Item Setup Form'!$AF518="Yes",'Item Setup Form'!H518,"")</f>
        <v/>
      </c>
      <c r="H514" s="70" t="str">
        <f>IF('Item Setup Form'!$AF518="Yes",'Item Setup Form'!V518,"")</f>
        <v/>
      </c>
      <c r="I514" s="70"/>
      <c r="J514" s="70" t="str">
        <f>IF('Item Setup Form'!$AF518="Yes",'Item Setup Form'!U518,"")</f>
        <v/>
      </c>
      <c r="K514" s="70" t="str">
        <f>IF('Item Setup Form'!$AF518="Yes",'Item Setup Form'!V518,"")</f>
        <v/>
      </c>
      <c r="L514" s="70"/>
      <c r="M514" s="70" t="str">
        <f>IF('Item Setup Form'!$AF518="Yes",'Item Setup Form'!A518,"")</f>
        <v/>
      </c>
      <c r="N514" s="70"/>
      <c r="O514" s="70"/>
      <c r="P514" s="70"/>
      <c r="Q514" s="70"/>
      <c r="R514" s="70"/>
      <c r="S514" s="70"/>
      <c r="T514" s="70"/>
      <c r="U514" s="70"/>
      <c r="V514" s="70"/>
      <c r="W514" s="70"/>
      <c r="X514" s="70"/>
      <c r="Y514" s="70"/>
      <c r="Z514" s="70"/>
    </row>
    <row r="515" spans="1:26">
      <c r="A515" s="70" t="str">
        <f>IF('Item Setup Form'!$AF519="Yes",'Item Setup Form'!$E519,"")</f>
        <v/>
      </c>
      <c r="B515" s="70" t="str">
        <f>IF('Item Setup Form'!$AF519="Yes",'Item Setup Form'!D519,"")</f>
        <v/>
      </c>
      <c r="C515" s="81" t="str">
        <f>IF('Item Setup Form'!$AF519="Yes",'Item Setup Form'!L519,"")</f>
        <v/>
      </c>
      <c r="D515" s="81" t="str">
        <f>IF('Item Setup Form'!$AF519="Yes",'Item Setup Form'!M519,"")</f>
        <v/>
      </c>
      <c r="E515" s="70"/>
      <c r="F515" s="70" t="str">
        <f>IF('Item Setup Form'!$AF519="Yes",'Item Setup Form'!G519,"")</f>
        <v/>
      </c>
      <c r="G515" s="70" t="str">
        <f>IF('Item Setup Form'!$AF519="Yes",'Item Setup Form'!H519,"")</f>
        <v/>
      </c>
      <c r="H515" s="70" t="str">
        <f>IF('Item Setup Form'!$AF519="Yes",'Item Setup Form'!V519,"")</f>
        <v/>
      </c>
      <c r="I515" s="70"/>
      <c r="J515" s="70" t="str">
        <f>IF('Item Setup Form'!$AF519="Yes",'Item Setup Form'!U519,"")</f>
        <v/>
      </c>
      <c r="K515" s="70" t="str">
        <f>IF('Item Setup Form'!$AF519="Yes",'Item Setup Form'!V519,"")</f>
        <v/>
      </c>
      <c r="L515" s="70"/>
      <c r="M515" s="70" t="str">
        <f>IF('Item Setup Form'!$AF519="Yes",'Item Setup Form'!A519,"")</f>
        <v/>
      </c>
      <c r="N515" s="70"/>
      <c r="O515" s="70"/>
      <c r="P515" s="70"/>
      <c r="Q515" s="70"/>
      <c r="R515" s="70"/>
      <c r="S515" s="70"/>
      <c r="T515" s="70"/>
      <c r="U515" s="70"/>
      <c r="V515" s="70"/>
      <c r="W515" s="70"/>
      <c r="X515" s="70"/>
      <c r="Y515" s="70"/>
      <c r="Z515" s="70"/>
    </row>
    <row r="516" spans="1:26">
      <c r="A516" s="70" t="str">
        <f>IF('Item Setup Form'!$AF520="Yes",'Item Setup Form'!$E520,"")</f>
        <v/>
      </c>
      <c r="B516" s="70" t="str">
        <f>IF('Item Setup Form'!$AF520="Yes",'Item Setup Form'!D520,"")</f>
        <v/>
      </c>
      <c r="C516" s="81" t="str">
        <f>IF('Item Setup Form'!$AF520="Yes",'Item Setup Form'!L520,"")</f>
        <v/>
      </c>
      <c r="D516" s="81" t="str">
        <f>IF('Item Setup Form'!$AF520="Yes",'Item Setup Form'!M520,"")</f>
        <v/>
      </c>
      <c r="E516" s="70"/>
      <c r="F516" s="70" t="str">
        <f>IF('Item Setup Form'!$AF520="Yes",'Item Setup Form'!G520,"")</f>
        <v/>
      </c>
      <c r="G516" s="70" t="str">
        <f>IF('Item Setup Form'!$AF520="Yes",'Item Setup Form'!H520,"")</f>
        <v/>
      </c>
      <c r="H516" s="70" t="str">
        <f>IF('Item Setup Form'!$AF520="Yes",'Item Setup Form'!V520,"")</f>
        <v/>
      </c>
      <c r="I516" s="70"/>
      <c r="J516" s="70" t="str">
        <f>IF('Item Setup Form'!$AF520="Yes",'Item Setup Form'!U520,"")</f>
        <v/>
      </c>
      <c r="K516" s="70" t="str">
        <f>IF('Item Setup Form'!$AF520="Yes",'Item Setup Form'!V520,"")</f>
        <v/>
      </c>
      <c r="L516" s="70"/>
      <c r="M516" s="70" t="str">
        <f>IF('Item Setup Form'!$AF520="Yes",'Item Setup Form'!A520,"")</f>
        <v/>
      </c>
      <c r="N516" s="70"/>
      <c r="O516" s="70"/>
      <c r="P516" s="70"/>
      <c r="Q516" s="70"/>
      <c r="R516" s="70"/>
      <c r="S516" s="70"/>
      <c r="T516" s="70"/>
      <c r="U516" s="70"/>
      <c r="V516" s="70"/>
      <c r="W516" s="70"/>
      <c r="X516" s="70"/>
      <c r="Y516" s="70"/>
      <c r="Z516" s="70"/>
    </row>
    <row r="517" spans="1:26">
      <c r="A517" s="70" t="str">
        <f>IF('Item Setup Form'!$AF521="Yes",'Item Setup Form'!$E521,"")</f>
        <v/>
      </c>
      <c r="B517" s="70" t="str">
        <f>IF('Item Setup Form'!$AF521="Yes",'Item Setup Form'!D521,"")</f>
        <v/>
      </c>
      <c r="C517" s="81" t="str">
        <f>IF('Item Setup Form'!$AF521="Yes",'Item Setup Form'!L521,"")</f>
        <v/>
      </c>
      <c r="D517" s="81" t="str">
        <f>IF('Item Setup Form'!$AF521="Yes",'Item Setup Form'!M521,"")</f>
        <v/>
      </c>
      <c r="E517" s="70"/>
      <c r="F517" s="70" t="str">
        <f>IF('Item Setup Form'!$AF521="Yes",'Item Setup Form'!G521,"")</f>
        <v/>
      </c>
      <c r="G517" s="70" t="str">
        <f>IF('Item Setup Form'!$AF521="Yes",'Item Setup Form'!H521,"")</f>
        <v/>
      </c>
      <c r="H517" s="70" t="str">
        <f>IF('Item Setup Form'!$AF521="Yes",'Item Setup Form'!V521,"")</f>
        <v/>
      </c>
      <c r="I517" s="70"/>
      <c r="J517" s="70" t="str">
        <f>IF('Item Setup Form'!$AF521="Yes",'Item Setup Form'!U521,"")</f>
        <v/>
      </c>
      <c r="K517" s="70" t="str">
        <f>IF('Item Setup Form'!$AF521="Yes",'Item Setup Form'!V521,"")</f>
        <v/>
      </c>
      <c r="L517" s="70"/>
      <c r="M517" s="70" t="str">
        <f>IF('Item Setup Form'!$AF521="Yes",'Item Setup Form'!A521,"")</f>
        <v/>
      </c>
      <c r="N517" s="70"/>
      <c r="O517" s="70"/>
      <c r="P517" s="70"/>
      <c r="Q517" s="70"/>
      <c r="R517" s="70"/>
      <c r="S517" s="70"/>
      <c r="T517" s="70"/>
      <c r="U517" s="70"/>
      <c r="V517" s="70"/>
      <c r="W517" s="70"/>
      <c r="X517" s="70"/>
      <c r="Y517" s="70"/>
      <c r="Z517" s="70"/>
    </row>
    <row r="518" spans="1:26">
      <c r="A518" s="70" t="str">
        <f>IF('Item Setup Form'!$AF522="Yes",'Item Setup Form'!$E522,"")</f>
        <v/>
      </c>
      <c r="B518" s="70" t="str">
        <f>IF('Item Setup Form'!$AF522="Yes",'Item Setup Form'!D522,"")</f>
        <v/>
      </c>
      <c r="C518" s="81" t="str">
        <f>IF('Item Setup Form'!$AF522="Yes",'Item Setup Form'!L522,"")</f>
        <v/>
      </c>
      <c r="D518" s="81" t="str">
        <f>IF('Item Setup Form'!$AF522="Yes",'Item Setup Form'!M522,"")</f>
        <v/>
      </c>
      <c r="E518" s="70"/>
      <c r="F518" s="70" t="str">
        <f>IF('Item Setup Form'!$AF522="Yes",'Item Setup Form'!G522,"")</f>
        <v/>
      </c>
      <c r="G518" s="70" t="str">
        <f>IF('Item Setup Form'!$AF522="Yes",'Item Setup Form'!H522,"")</f>
        <v/>
      </c>
      <c r="H518" s="70" t="str">
        <f>IF('Item Setup Form'!$AF522="Yes",'Item Setup Form'!V522,"")</f>
        <v/>
      </c>
      <c r="I518" s="70"/>
      <c r="J518" s="70" t="str">
        <f>IF('Item Setup Form'!$AF522="Yes",'Item Setup Form'!U522,"")</f>
        <v/>
      </c>
      <c r="K518" s="70" t="str">
        <f>IF('Item Setup Form'!$AF522="Yes",'Item Setup Form'!V522,"")</f>
        <v/>
      </c>
      <c r="L518" s="70"/>
      <c r="M518" s="70" t="str">
        <f>IF('Item Setup Form'!$AF522="Yes",'Item Setup Form'!A522,"")</f>
        <v/>
      </c>
      <c r="N518" s="70"/>
      <c r="O518" s="70"/>
      <c r="P518" s="70"/>
      <c r="Q518" s="70"/>
      <c r="R518" s="70"/>
      <c r="S518" s="70"/>
      <c r="T518" s="70"/>
      <c r="U518" s="70"/>
      <c r="V518" s="70"/>
      <c r="W518" s="70"/>
      <c r="X518" s="70"/>
      <c r="Y518" s="70"/>
      <c r="Z518" s="70"/>
    </row>
    <row r="519" spans="1:26">
      <c r="A519" s="70" t="str">
        <f>IF('Item Setup Form'!$AF523="Yes",'Item Setup Form'!$E523,"")</f>
        <v/>
      </c>
      <c r="B519" s="70" t="str">
        <f>IF('Item Setup Form'!$AF523="Yes",'Item Setup Form'!D523,"")</f>
        <v/>
      </c>
      <c r="C519" s="81" t="str">
        <f>IF('Item Setup Form'!$AF523="Yes",'Item Setup Form'!L523,"")</f>
        <v/>
      </c>
      <c r="D519" s="81" t="str">
        <f>IF('Item Setup Form'!$AF523="Yes",'Item Setup Form'!M523,"")</f>
        <v/>
      </c>
      <c r="E519" s="70"/>
      <c r="F519" s="70" t="str">
        <f>IF('Item Setup Form'!$AF523="Yes",'Item Setup Form'!G523,"")</f>
        <v/>
      </c>
      <c r="G519" s="70" t="str">
        <f>IF('Item Setup Form'!$AF523="Yes",'Item Setup Form'!H523,"")</f>
        <v/>
      </c>
      <c r="H519" s="70" t="str">
        <f>IF('Item Setup Form'!$AF523="Yes",'Item Setup Form'!V523,"")</f>
        <v/>
      </c>
      <c r="I519" s="70"/>
      <c r="J519" s="70" t="str">
        <f>IF('Item Setup Form'!$AF523="Yes",'Item Setup Form'!U523,"")</f>
        <v/>
      </c>
      <c r="K519" s="70" t="str">
        <f>IF('Item Setup Form'!$AF523="Yes",'Item Setup Form'!V523,"")</f>
        <v/>
      </c>
      <c r="L519" s="70"/>
      <c r="M519" s="70" t="str">
        <f>IF('Item Setup Form'!$AF523="Yes",'Item Setup Form'!A523,"")</f>
        <v/>
      </c>
      <c r="N519" s="70"/>
      <c r="O519" s="70"/>
      <c r="P519" s="70"/>
      <c r="Q519" s="70"/>
      <c r="R519" s="70"/>
      <c r="S519" s="70"/>
      <c r="T519" s="70"/>
      <c r="U519" s="70"/>
      <c r="V519" s="70"/>
      <c r="W519" s="70"/>
      <c r="X519" s="70"/>
      <c r="Y519" s="70"/>
      <c r="Z519" s="70"/>
    </row>
    <row r="520" spans="1:26">
      <c r="A520" s="70" t="str">
        <f>IF('Item Setup Form'!$AF524="Yes",'Item Setup Form'!$E524,"")</f>
        <v/>
      </c>
      <c r="B520" s="70" t="str">
        <f>IF('Item Setup Form'!$AF524="Yes",'Item Setup Form'!D524,"")</f>
        <v/>
      </c>
      <c r="C520" s="81" t="str">
        <f>IF('Item Setup Form'!$AF524="Yes",'Item Setup Form'!L524,"")</f>
        <v/>
      </c>
      <c r="D520" s="81" t="str">
        <f>IF('Item Setup Form'!$AF524="Yes",'Item Setup Form'!M524,"")</f>
        <v/>
      </c>
      <c r="E520" s="70"/>
      <c r="F520" s="70" t="str">
        <f>IF('Item Setup Form'!$AF524="Yes",'Item Setup Form'!G524,"")</f>
        <v/>
      </c>
      <c r="G520" s="70" t="str">
        <f>IF('Item Setup Form'!$AF524="Yes",'Item Setup Form'!H524,"")</f>
        <v/>
      </c>
      <c r="H520" s="70" t="str">
        <f>IF('Item Setup Form'!$AF524="Yes",'Item Setup Form'!V524,"")</f>
        <v/>
      </c>
      <c r="I520" s="70"/>
      <c r="J520" s="70" t="str">
        <f>IF('Item Setup Form'!$AF524="Yes",'Item Setup Form'!U524,"")</f>
        <v/>
      </c>
      <c r="K520" s="70" t="str">
        <f>IF('Item Setup Form'!$AF524="Yes",'Item Setup Form'!V524,"")</f>
        <v/>
      </c>
      <c r="L520" s="70"/>
      <c r="M520" s="70" t="str">
        <f>IF('Item Setup Form'!$AF524="Yes",'Item Setup Form'!A524,"")</f>
        <v/>
      </c>
      <c r="N520" s="70"/>
      <c r="O520" s="70"/>
      <c r="P520" s="70"/>
      <c r="Q520" s="70"/>
      <c r="R520" s="70"/>
      <c r="S520" s="70"/>
      <c r="T520" s="70"/>
      <c r="U520" s="70"/>
      <c r="V520" s="70"/>
      <c r="W520" s="70"/>
      <c r="X520" s="70"/>
      <c r="Y520" s="70"/>
      <c r="Z520" s="70"/>
    </row>
    <row r="521" spans="1:26">
      <c r="A521" s="70" t="str">
        <f>IF('Item Setup Form'!$AF525="Yes",'Item Setup Form'!$E525,"")</f>
        <v/>
      </c>
      <c r="B521" s="70" t="str">
        <f>IF('Item Setup Form'!$AF525="Yes",'Item Setup Form'!D525,"")</f>
        <v/>
      </c>
      <c r="C521" s="81" t="str">
        <f>IF('Item Setup Form'!$AF525="Yes",'Item Setup Form'!L525,"")</f>
        <v/>
      </c>
      <c r="D521" s="81" t="str">
        <f>IF('Item Setup Form'!$AF525="Yes",'Item Setup Form'!M525,"")</f>
        <v/>
      </c>
      <c r="E521" s="70"/>
      <c r="F521" s="70" t="str">
        <f>IF('Item Setup Form'!$AF525="Yes",'Item Setup Form'!G525,"")</f>
        <v/>
      </c>
      <c r="G521" s="70" t="str">
        <f>IF('Item Setup Form'!$AF525="Yes",'Item Setup Form'!H525,"")</f>
        <v/>
      </c>
      <c r="H521" s="70" t="str">
        <f>IF('Item Setup Form'!$AF525="Yes",'Item Setup Form'!V525,"")</f>
        <v/>
      </c>
      <c r="I521" s="70"/>
      <c r="J521" s="70" t="str">
        <f>IF('Item Setup Form'!$AF525="Yes",'Item Setup Form'!U525,"")</f>
        <v/>
      </c>
      <c r="K521" s="70" t="str">
        <f>IF('Item Setup Form'!$AF525="Yes",'Item Setup Form'!V525,"")</f>
        <v/>
      </c>
      <c r="L521" s="70"/>
      <c r="M521" s="70" t="str">
        <f>IF('Item Setup Form'!$AF525="Yes",'Item Setup Form'!A525,"")</f>
        <v/>
      </c>
      <c r="N521" s="70"/>
      <c r="O521" s="70"/>
      <c r="P521" s="70"/>
      <c r="Q521" s="70"/>
      <c r="R521" s="70"/>
      <c r="S521" s="70"/>
      <c r="T521" s="70"/>
      <c r="U521" s="70"/>
      <c r="V521" s="70"/>
      <c r="W521" s="70"/>
      <c r="X521" s="70"/>
      <c r="Y521" s="70"/>
      <c r="Z521" s="70"/>
    </row>
    <row r="522" spans="1:26">
      <c r="A522" s="70" t="str">
        <f>IF('Item Setup Form'!$AF526="Yes",'Item Setup Form'!$E526,"")</f>
        <v/>
      </c>
      <c r="B522" s="70" t="str">
        <f>IF('Item Setup Form'!$AF526="Yes",'Item Setup Form'!D526,"")</f>
        <v/>
      </c>
      <c r="C522" s="81" t="str">
        <f>IF('Item Setup Form'!$AF526="Yes",'Item Setup Form'!L526,"")</f>
        <v/>
      </c>
      <c r="D522" s="81" t="str">
        <f>IF('Item Setup Form'!$AF526="Yes",'Item Setup Form'!M526,"")</f>
        <v/>
      </c>
      <c r="E522" s="70"/>
      <c r="F522" s="70" t="str">
        <f>IF('Item Setup Form'!$AF526="Yes",'Item Setup Form'!G526,"")</f>
        <v/>
      </c>
      <c r="G522" s="70" t="str">
        <f>IF('Item Setup Form'!$AF526="Yes",'Item Setup Form'!H526,"")</f>
        <v/>
      </c>
      <c r="H522" s="70" t="str">
        <f>IF('Item Setup Form'!$AF526="Yes",'Item Setup Form'!V526,"")</f>
        <v/>
      </c>
      <c r="I522" s="70"/>
      <c r="J522" s="70" t="str">
        <f>IF('Item Setup Form'!$AF526="Yes",'Item Setup Form'!U526,"")</f>
        <v/>
      </c>
      <c r="K522" s="70" t="str">
        <f>IF('Item Setup Form'!$AF526="Yes",'Item Setup Form'!V526,"")</f>
        <v/>
      </c>
      <c r="L522" s="70"/>
      <c r="M522" s="70" t="str">
        <f>IF('Item Setup Form'!$AF526="Yes",'Item Setup Form'!A526,"")</f>
        <v/>
      </c>
      <c r="N522" s="70"/>
      <c r="O522" s="70"/>
      <c r="P522" s="70"/>
      <c r="Q522" s="70"/>
      <c r="R522" s="70"/>
      <c r="S522" s="70"/>
      <c r="T522" s="70"/>
      <c r="U522" s="70"/>
      <c r="V522" s="70"/>
      <c r="W522" s="70"/>
      <c r="X522" s="70"/>
      <c r="Y522" s="70"/>
      <c r="Z522" s="70"/>
    </row>
    <row r="523" spans="1:26">
      <c r="A523" s="70" t="str">
        <f>IF('Item Setup Form'!$AF527="Yes",'Item Setup Form'!$E527,"")</f>
        <v/>
      </c>
      <c r="B523" s="70" t="str">
        <f>IF('Item Setup Form'!$AF527="Yes",'Item Setup Form'!D527,"")</f>
        <v/>
      </c>
      <c r="C523" s="81" t="str">
        <f>IF('Item Setup Form'!$AF527="Yes",'Item Setup Form'!L527,"")</f>
        <v/>
      </c>
      <c r="D523" s="81" t="str">
        <f>IF('Item Setup Form'!$AF527="Yes",'Item Setup Form'!M527,"")</f>
        <v/>
      </c>
      <c r="E523" s="70"/>
      <c r="F523" s="70" t="str">
        <f>IF('Item Setup Form'!$AF527="Yes",'Item Setup Form'!G527,"")</f>
        <v/>
      </c>
      <c r="G523" s="70" t="str">
        <f>IF('Item Setup Form'!$AF527="Yes",'Item Setup Form'!H527,"")</f>
        <v/>
      </c>
      <c r="H523" s="70" t="str">
        <f>IF('Item Setup Form'!$AF527="Yes",'Item Setup Form'!V527,"")</f>
        <v/>
      </c>
      <c r="I523" s="70"/>
      <c r="J523" s="70" t="str">
        <f>IF('Item Setup Form'!$AF527="Yes",'Item Setup Form'!U527,"")</f>
        <v/>
      </c>
      <c r="K523" s="70" t="str">
        <f>IF('Item Setup Form'!$AF527="Yes",'Item Setup Form'!V527,"")</f>
        <v/>
      </c>
      <c r="L523" s="70"/>
      <c r="M523" s="70" t="str">
        <f>IF('Item Setup Form'!$AF527="Yes",'Item Setup Form'!A527,"")</f>
        <v/>
      </c>
      <c r="N523" s="70"/>
      <c r="O523" s="70"/>
      <c r="P523" s="70"/>
      <c r="Q523" s="70"/>
      <c r="R523" s="70"/>
      <c r="S523" s="70"/>
      <c r="T523" s="70"/>
      <c r="U523" s="70"/>
      <c r="V523" s="70"/>
      <c r="W523" s="70"/>
      <c r="X523" s="70"/>
      <c r="Y523" s="70"/>
      <c r="Z523" s="70"/>
    </row>
    <row r="524" spans="1:26">
      <c r="A524" s="70" t="str">
        <f>IF('Item Setup Form'!$AF528="Yes",'Item Setup Form'!$E528,"")</f>
        <v/>
      </c>
      <c r="B524" s="70" t="str">
        <f>IF('Item Setup Form'!$AF528="Yes",'Item Setup Form'!D528,"")</f>
        <v/>
      </c>
      <c r="C524" s="81" t="str">
        <f>IF('Item Setup Form'!$AF528="Yes",'Item Setup Form'!L528,"")</f>
        <v/>
      </c>
      <c r="D524" s="81" t="str">
        <f>IF('Item Setup Form'!$AF528="Yes",'Item Setup Form'!M528,"")</f>
        <v/>
      </c>
      <c r="E524" s="70"/>
      <c r="F524" s="70" t="str">
        <f>IF('Item Setup Form'!$AF528="Yes",'Item Setup Form'!G528,"")</f>
        <v/>
      </c>
      <c r="G524" s="70" t="str">
        <f>IF('Item Setup Form'!$AF528="Yes",'Item Setup Form'!H528,"")</f>
        <v/>
      </c>
      <c r="H524" s="70" t="str">
        <f>IF('Item Setup Form'!$AF528="Yes",'Item Setup Form'!V528,"")</f>
        <v/>
      </c>
      <c r="I524" s="70"/>
      <c r="J524" s="70" t="str">
        <f>IF('Item Setup Form'!$AF528="Yes",'Item Setup Form'!U528,"")</f>
        <v/>
      </c>
      <c r="K524" s="70" t="str">
        <f>IF('Item Setup Form'!$AF528="Yes",'Item Setup Form'!V528,"")</f>
        <v/>
      </c>
      <c r="L524" s="70"/>
      <c r="M524" s="70" t="str">
        <f>IF('Item Setup Form'!$AF528="Yes",'Item Setup Form'!A528,"")</f>
        <v/>
      </c>
      <c r="N524" s="70"/>
      <c r="O524" s="70"/>
      <c r="P524" s="70"/>
      <c r="Q524" s="70"/>
      <c r="R524" s="70"/>
      <c r="S524" s="70"/>
      <c r="T524" s="70"/>
      <c r="U524" s="70"/>
      <c r="V524" s="70"/>
      <c r="W524" s="70"/>
      <c r="X524" s="70"/>
      <c r="Y524" s="70"/>
      <c r="Z524" s="70"/>
    </row>
    <row r="525" spans="1:26">
      <c r="A525" s="70" t="str">
        <f>IF('Item Setup Form'!$AF529="Yes",'Item Setup Form'!$E529,"")</f>
        <v/>
      </c>
      <c r="B525" s="70" t="str">
        <f>IF('Item Setup Form'!$AF529="Yes",'Item Setup Form'!D529,"")</f>
        <v/>
      </c>
      <c r="C525" s="81" t="str">
        <f>IF('Item Setup Form'!$AF529="Yes",'Item Setup Form'!L529,"")</f>
        <v/>
      </c>
      <c r="D525" s="81" t="str">
        <f>IF('Item Setup Form'!$AF529="Yes",'Item Setup Form'!M529,"")</f>
        <v/>
      </c>
      <c r="E525" s="70"/>
      <c r="F525" s="70" t="str">
        <f>IF('Item Setup Form'!$AF529="Yes",'Item Setup Form'!G529,"")</f>
        <v/>
      </c>
      <c r="G525" s="70" t="str">
        <f>IF('Item Setup Form'!$AF529="Yes",'Item Setup Form'!H529,"")</f>
        <v/>
      </c>
      <c r="H525" s="70" t="str">
        <f>IF('Item Setup Form'!$AF529="Yes",'Item Setup Form'!V529,"")</f>
        <v/>
      </c>
      <c r="I525" s="70"/>
      <c r="J525" s="70" t="str">
        <f>IF('Item Setup Form'!$AF529="Yes",'Item Setup Form'!U529,"")</f>
        <v/>
      </c>
      <c r="K525" s="70" t="str">
        <f>IF('Item Setup Form'!$AF529="Yes",'Item Setup Form'!V529,"")</f>
        <v/>
      </c>
      <c r="L525" s="70"/>
      <c r="M525" s="70" t="str">
        <f>IF('Item Setup Form'!$AF529="Yes",'Item Setup Form'!A529,"")</f>
        <v/>
      </c>
      <c r="N525" s="70"/>
      <c r="O525" s="70"/>
      <c r="P525" s="70"/>
      <c r="Q525" s="70"/>
      <c r="R525" s="70"/>
      <c r="S525" s="70"/>
      <c r="T525" s="70"/>
      <c r="U525" s="70"/>
      <c r="V525" s="70"/>
      <c r="W525" s="70"/>
      <c r="X525" s="70"/>
      <c r="Y525" s="70"/>
      <c r="Z525" s="70"/>
    </row>
    <row r="526" spans="1:26">
      <c r="A526" s="70" t="str">
        <f>IF('Item Setup Form'!$AF530="Yes",'Item Setup Form'!$E530,"")</f>
        <v/>
      </c>
      <c r="B526" s="70" t="str">
        <f>IF('Item Setup Form'!$AF530="Yes",'Item Setup Form'!D530,"")</f>
        <v/>
      </c>
      <c r="C526" s="81" t="str">
        <f>IF('Item Setup Form'!$AF530="Yes",'Item Setup Form'!L530,"")</f>
        <v/>
      </c>
      <c r="D526" s="81" t="str">
        <f>IF('Item Setup Form'!$AF530="Yes",'Item Setup Form'!M530,"")</f>
        <v/>
      </c>
      <c r="E526" s="70"/>
      <c r="F526" s="70" t="str">
        <f>IF('Item Setup Form'!$AF530="Yes",'Item Setup Form'!G530,"")</f>
        <v/>
      </c>
      <c r="G526" s="70" t="str">
        <f>IF('Item Setup Form'!$AF530="Yes",'Item Setup Form'!H530,"")</f>
        <v/>
      </c>
      <c r="H526" s="70" t="str">
        <f>IF('Item Setup Form'!$AF530="Yes",'Item Setup Form'!V530,"")</f>
        <v/>
      </c>
      <c r="I526" s="70"/>
      <c r="J526" s="70" t="str">
        <f>IF('Item Setup Form'!$AF530="Yes",'Item Setup Form'!U530,"")</f>
        <v/>
      </c>
      <c r="K526" s="70" t="str">
        <f>IF('Item Setup Form'!$AF530="Yes",'Item Setup Form'!V530,"")</f>
        <v/>
      </c>
      <c r="L526" s="70"/>
      <c r="M526" s="70" t="str">
        <f>IF('Item Setup Form'!$AF530="Yes",'Item Setup Form'!A530,"")</f>
        <v/>
      </c>
      <c r="N526" s="70"/>
      <c r="O526" s="70"/>
      <c r="P526" s="70"/>
      <c r="Q526" s="70"/>
      <c r="R526" s="70"/>
      <c r="S526" s="70"/>
      <c r="T526" s="70"/>
      <c r="U526" s="70"/>
      <c r="V526" s="70"/>
      <c r="W526" s="70"/>
      <c r="X526" s="70"/>
      <c r="Y526" s="70"/>
      <c r="Z526" s="70"/>
    </row>
    <row r="527" spans="1:26">
      <c r="A527" s="70" t="str">
        <f>IF('Item Setup Form'!$AF531="Yes",'Item Setup Form'!$E531,"")</f>
        <v/>
      </c>
      <c r="B527" s="70" t="str">
        <f>IF('Item Setup Form'!$AF531="Yes",'Item Setup Form'!D531,"")</f>
        <v/>
      </c>
      <c r="C527" s="81" t="str">
        <f>IF('Item Setup Form'!$AF531="Yes",'Item Setup Form'!L531,"")</f>
        <v/>
      </c>
      <c r="D527" s="81" t="str">
        <f>IF('Item Setup Form'!$AF531="Yes",'Item Setup Form'!M531,"")</f>
        <v/>
      </c>
      <c r="E527" s="70"/>
      <c r="F527" s="70" t="str">
        <f>IF('Item Setup Form'!$AF531="Yes",'Item Setup Form'!G531,"")</f>
        <v/>
      </c>
      <c r="G527" s="70" t="str">
        <f>IF('Item Setup Form'!$AF531="Yes",'Item Setup Form'!H531,"")</f>
        <v/>
      </c>
      <c r="H527" s="70" t="str">
        <f>IF('Item Setup Form'!$AF531="Yes",'Item Setup Form'!V531,"")</f>
        <v/>
      </c>
      <c r="I527" s="70"/>
      <c r="J527" s="70" t="str">
        <f>IF('Item Setup Form'!$AF531="Yes",'Item Setup Form'!U531,"")</f>
        <v/>
      </c>
      <c r="K527" s="70" t="str">
        <f>IF('Item Setup Form'!$AF531="Yes",'Item Setup Form'!V531,"")</f>
        <v/>
      </c>
      <c r="L527" s="70"/>
      <c r="M527" s="70" t="str">
        <f>IF('Item Setup Form'!$AF531="Yes",'Item Setup Form'!A531,"")</f>
        <v/>
      </c>
      <c r="N527" s="70"/>
      <c r="O527" s="70"/>
      <c r="P527" s="70"/>
      <c r="Q527" s="70"/>
      <c r="R527" s="70"/>
      <c r="S527" s="70"/>
      <c r="T527" s="70"/>
      <c r="U527" s="70"/>
      <c r="V527" s="70"/>
      <c r="W527" s="70"/>
      <c r="X527" s="70"/>
      <c r="Y527" s="70"/>
      <c r="Z527" s="70"/>
    </row>
    <row r="528" spans="1:26">
      <c r="A528" s="70" t="str">
        <f>IF('Item Setup Form'!$AF532="Yes",'Item Setup Form'!$E532,"")</f>
        <v/>
      </c>
      <c r="B528" s="70" t="str">
        <f>IF('Item Setup Form'!$AF532="Yes",'Item Setup Form'!D532,"")</f>
        <v/>
      </c>
      <c r="C528" s="81" t="str">
        <f>IF('Item Setup Form'!$AF532="Yes",'Item Setup Form'!L532,"")</f>
        <v/>
      </c>
      <c r="D528" s="81" t="str">
        <f>IF('Item Setup Form'!$AF532="Yes",'Item Setup Form'!M532,"")</f>
        <v/>
      </c>
      <c r="E528" s="70"/>
      <c r="F528" s="70" t="str">
        <f>IF('Item Setup Form'!$AF532="Yes",'Item Setup Form'!G532,"")</f>
        <v/>
      </c>
      <c r="G528" s="70" t="str">
        <f>IF('Item Setup Form'!$AF532="Yes",'Item Setup Form'!H532,"")</f>
        <v/>
      </c>
      <c r="H528" s="70" t="str">
        <f>IF('Item Setup Form'!$AF532="Yes",'Item Setup Form'!V532,"")</f>
        <v/>
      </c>
      <c r="I528" s="70"/>
      <c r="J528" s="70" t="str">
        <f>IF('Item Setup Form'!$AF532="Yes",'Item Setup Form'!U532,"")</f>
        <v/>
      </c>
      <c r="K528" s="70" t="str">
        <f>IF('Item Setup Form'!$AF532="Yes",'Item Setup Form'!V532,"")</f>
        <v/>
      </c>
      <c r="L528" s="70"/>
      <c r="M528" s="70" t="str">
        <f>IF('Item Setup Form'!$AF532="Yes",'Item Setup Form'!A532,"")</f>
        <v/>
      </c>
      <c r="N528" s="70"/>
      <c r="O528" s="70"/>
      <c r="P528" s="70"/>
      <c r="Q528" s="70"/>
      <c r="R528" s="70"/>
      <c r="S528" s="70"/>
      <c r="T528" s="70"/>
      <c r="U528" s="70"/>
      <c r="V528" s="70"/>
      <c r="W528" s="70"/>
      <c r="X528" s="70"/>
      <c r="Y528" s="70"/>
      <c r="Z528" s="70"/>
    </row>
    <row r="529" spans="1:26">
      <c r="A529" s="70" t="str">
        <f>IF('Item Setup Form'!$AF533="Yes",'Item Setup Form'!$E533,"")</f>
        <v/>
      </c>
      <c r="B529" s="70" t="str">
        <f>IF('Item Setup Form'!$AF533="Yes",'Item Setup Form'!D533,"")</f>
        <v/>
      </c>
      <c r="C529" s="81" t="str">
        <f>IF('Item Setup Form'!$AF533="Yes",'Item Setup Form'!L533,"")</f>
        <v/>
      </c>
      <c r="D529" s="81" t="str">
        <f>IF('Item Setup Form'!$AF533="Yes",'Item Setup Form'!M533,"")</f>
        <v/>
      </c>
      <c r="E529" s="70"/>
      <c r="F529" s="70" t="str">
        <f>IF('Item Setup Form'!$AF533="Yes",'Item Setup Form'!G533,"")</f>
        <v/>
      </c>
      <c r="G529" s="70" t="str">
        <f>IF('Item Setup Form'!$AF533="Yes",'Item Setup Form'!H533,"")</f>
        <v/>
      </c>
      <c r="H529" s="70" t="str">
        <f>IF('Item Setup Form'!$AF533="Yes",'Item Setup Form'!V533,"")</f>
        <v/>
      </c>
      <c r="I529" s="70"/>
      <c r="J529" s="70" t="str">
        <f>IF('Item Setup Form'!$AF533="Yes",'Item Setup Form'!U533,"")</f>
        <v/>
      </c>
      <c r="K529" s="70" t="str">
        <f>IF('Item Setup Form'!$AF533="Yes",'Item Setup Form'!V533,"")</f>
        <v/>
      </c>
      <c r="L529" s="70"/>
      <c r="M529" s="70" t="str">
        <f>IF('Item Setup Form'!$AF533="Yes",'Item Setup Form'!A533,"")</f>
        <v/>
      </c>
      <c r="N529" s="70"/>
      <c r="O529" s="70"/>
      <c r="P529" s="70"/>
      <c r="Q529" s="70"/>
      <c r="R529" s="70"/>
      <c r="S529" s="70"/>
      <c r="T529" s="70"/>
      <c r="U529" s="70"/>
      <c r="V529" s="70"/>
      <c r="W529" s="70"/>
      <c r="X529" s="70"/>
      <c r="Y529" s="70"/>
      <c r="Z529" s="70"/>
    </row>
    <row r="530" spans="1:26">
      <c r="A530" s="70" t="str">
        <f>IF('Item Setup Form'!$AF534="Yes",'Item Setup Form'!$E534,"")</f>
        <v/>
      </c>
      <c r="B530" s="70" t="str">
        <f>IF('Item Setup Form'!$AF534="Yes",'Item Setup Form'!D534,"")</f>
        <v/>
      </c>
      <c r="C530" s="81" t="str">
        <f>IF('Item Setup Form'!$AF534="Yes",'Item Setup Form'!L534,"")</f>
        <v/>
      </c>
      <c r="D530" s="81" t="str">
        <f>IF('Item Setup Form'!$AF534="Yes",'Item Setup Form'!M534,"")</f>
        <v/>
      </c>
      <c r="E530" s="70"/>
      <c r="F530" s="70" t="str">
        <f>IF('Item Setup Form'!$AF534="Yes",'Item Setup Form'!G534,"")</f>
        <v/>
      </c>
      <c r="G530" s="70" t="str">
        <f>IF('Item Setup Form'!$AF534="Yes",'Item Setup Form'!H534,"")</f>
        <v/>
      </c>
      <c r="H530" s="70" t="str">
        <f>IF('Item Setup Form'!$AF534="Yes",'Item Setup Form'!V534,"")</f>
        <v/>
      </c>
      <c r="I530" s="70"/>
      <c r="J530" s="70" t="str">
        <f>IF('Item Setup Form'!$AF534="Yes",'Item Setup Form'!U534,"")</f>
        <v/>
      </c>
      <c r="K530" s="70" t="str">
        <f>IF('Item Setup Form'!$AF534="Yes",'Item Setup Form'!V534,"")</f>
        <v/>
      </c>
      <c r="L530" s="70"/>
      <c r="M530" s="70" t="str">
        <f>IF('Item Setup Form'!$AF534="Yes",'Item Setup Form'!A534,"")</f>
        <v/>
      </c>
      <c r="N530" s="70"/>
      <c r="O530" s="70"/>
      <c r="P530" s="70"/>
      <c r="Q530" s="70"/>
      <c r="R530" s="70"/>
      <c r="S530" s="70"/>
      <c r="T530" s="70"/>
      <c r="U530" s="70"/>
      <c r="V530" s="70"/>
      <c r="W530" s="70"/>
      <c r="X530" s="70"/>
      <c r="Y530" s="70"/>
      <c r="Z530" s="70"/>
    </row>
    <row r="531" spans="1:26">
      <c r="A531" s="70" t="str">
        <f>IF('Item Setup Form'!$AF535="Yes",'Item Setup Form'!$E535,"")</f>
        <v/>
      </c>
      <c r="B531" s="70" t="str">
        <f>IF('Item Setup Form'!$AF535="Yes",'Item Setup Form'!D535,"")</f>
        <v/>
      </c>
      <c r="C531" s="81" t="str">
        <f>IF('Item Setup Form'!$AF535="Yes",'Item Setup Form'!L535,"")</f>
        <v/>
      </c>
      <c r="D531" s="81" t="str">
        <f>IF('Item Setup Form'!$AF535="Yes",'Item Setup Form'!M535,"")</f>
        <v/>
      </c>
      <c r="E531" s="70"/>
      <c r="F531" s="70" t="str">
        <f>IF('Item Setup Form'!$AF535="Yes",'Item Setup Form'!G535,"")</f>
        <v/>
      </c>
      <c r="G531" s="70" t="str">
        <f>IF('Item Setup Form'!$AF535="Yes",'Item Setup Form'!H535,"")</f>
        <v/>
      </c>
      <c r="H531" s="70" t="str">
        <f>IF('Item Setup Form'!$AF535="Yes",'Item Setup Form'!V535,"")</f>
        <v/>
      </c>
      <c r="I531" s="70"/>
      <c r="J531" s="70" t="str">
        <f>IF('Item Setup Form'!$AF535="Yes",'Item Setup Form'!U535,"")</f>
        <v/>
      </c>
      <c r="K531" s="70" t="str">
        <f>IF('Item Setup Form'!$AF535="Yes",'Item Setup Form'!V535,"")</f>
        <v/>
      </c>
      <c r="L531" s="70"/>
      <c r="M531" s="70" t="str">
        <f>IF('Item Setup Form'!$AF535="Yes",'Item Setup Form'!A535,"")</f>
        <v/>
      </c>
      <c r="N531" s="70"/>
      <c r="O531" s="70"/>
      <c r="P531" s="70"/>
      <c r="Q531" s="70"/>
      <c r="R531" s="70"/>
      <c r="S531" s="70"/>
      <c r="T531" s="70"/>
      <c r="U531" s="70"/>
      <c r="V531" s="70"/>
      <c r="W531" s="70"/>
      <c r="X531" s="70"/>
      <c r="Y531" s="70"/>
      <c r="Z531" s="70"/>
    </row>
    <row r="532" spans="1:26">
      <c r="A532" s="70" t="str">
        <f>IF('Item Setup Form'!$AF536="Yes",'Item Setup Form'!$E536,"")</f>
        <v/>
      </c>
      <c r="B532" s="70" t="str">
        <f>IF('Item Setup Form'!$AF536="Yes",'Item Setup Form'!D536,"")</f>
        <v/>
      </c>
      <c r="C532" s="81" t="str">
        <f>IF('Item Setup Form'!$AF536="Yes",'Item Setup Form'!L536,"")</f>
        <v/>
      </c>
      <c r="D532" s="81" t="str">
        <f>IF('Item Setup Form'!$AF536="Yes",'Item Setup Form'!M536,"")</f>
        <v/>
      </c>
      <c r="E532" s="70"/>
      <c r="F532" s="70" t="str">
        <f>IF('Item Setup Form'!$AF536="Yes",'Item Setup Form'!G536,"")</f>
        <v/>
      </c>
      <c r="G532" s="70" t="str">
        <f>IF('Item Setup Form'!$AF536="Yes",'Item Setup Form'!H536,"")</f>
        <v/>
      </c>
      <c r="H532" s="70" t="str">
        <f>IF('Item Setup Form'!$AF536="Yes",'Item Setup Form'!V536,"")</f>
        <v/>
      </c>
      <c r="I532" s="70"/>
      <c r="J532" s="70" t="str">
        <f>IF('Item Setup Form'!$AF536="Yes",'Item Setup Form'!U536,"")</f>
        <v/>
      </c>
      <c r="K532" s="70" t="str">
        <f>IF('Item Setup Form'!$AF536="Yes",'Item Setup Form'!V536,"")</f>
        <v/>
      </c>
      <c r="L532" s="70"/>
      <c r="M532" s="70" t="str">
        <f>IF('Item Setup Form'!$AF536="Yes",'Item Setup Form'!A536,"")</f>
        <v/>
      </c>
      <c r="N532" s="70"/>
      <c r="O532" s="70"/>
      <c r="P532" s="70"/>
      <c r="Q532" s="70"/>
      <c r="R532" s="70"/>
      <c r="S532" s="70"/>
      <c r="T532" s="70"/>
      <c r="U532" s="70"/>
      <c r="V532" s="70"/>
      <c r="W532" s="70"/>
      <c r="X532" s="70"/>
      <c r="Y532" s="70"/>
      <c r="Z532" s="70"/>
    </row>
    <row r="533" spans="1:26">
      <c r="A533" s="70" t="str">
        <f>IF('Item Setup Form'!$AF537="Yes",'Item Setup Form'!$E537,"")</f>
        <v/>
      </c>
      <c r="B533" s="70" t="str">
        <f>IF('Item Setup Form'!$AF537="Yes",'Item Setup Form'!D537,"")</f>
        <v/>
      </c>
      <c r="C533" s="81" t="str">
        <f>IF('Item Setup Form'!$AF537="Yes",'Item Setup Form'!L537,"")</f>
        <v/>
      </c>
      <c r="D533" s="81" t="str">
        <f>IF('Item Setup Form'!$AF537="Yes",'Item Setup Form'!M537,"")</f>
        <v/>
      </c>
      <c r="E533" s="70"/>
      <c r="F533" s="70" t="str">
        <f>IF('Item Setup Form'!$AF537="Yes",'Item Setup Form'!G537,"")</f>
        <v/>
      </c>
      <c r="G533" s="70" t="str">
        <f>IF('Item Setup Form'!$AF537="Yes",'Item Setup Form'!H537,"")</f>
        <v/>
      </c>
      <c r="H533" s="70" t="str">
        <f>IF('Item Setup Form'!$AF537="Yes",'Item Setup Form'!V537,"")</f>
        <v/>
      </c>
      <c r="I533" s="70"/>
      <c r="J533" s="70" t="str">
        <f>IF('Item Setup Form'!$AF537="Yes",'Item Setup Form'!U537,"")</f>
        <v/>
      </c>
      <c r="K533" s="70" t="str">
        <f>IF('Item Setup Form'!$AF537="Yes",'Item Setup Form'!V537,"")</f>
        <v/>
      </c>
      <c r="L533" s="70"/>
      <c r="M533" s="70" t="str">
        <f>IF('Item Setup Form'!$AF537="Yes",'Item Setup Form'!A537,"")</f>
        <v/>
      </c>
      <c r="N533" s="70"/>
      <c r="O533" s="70"/>
      <c r="P533" s="70"/>
      <c r="Q533" s="70"/>
      <c r="R533" s="70"/>
      <c r="S533" s="70"/>
      <c r="T533" s="70"/>
      <c r="U533" s="70"/>
      <c r="V533" s="70"/>
      <c r="W533" s="70"/>
      <c r="X533" s="70"/>
      <c r="Y533" s="70"/>
      <c r="Z533" s="70"/>
    </row>
    <row r="534" spans="1:26">
      <c r="A534" s="70" t="str">
        <f>IF('Item Setup Form'!$AF538="Yes",'Item Setup Form'!$E538,"")</f>
        <v/>
      </c>
      <c r="B534" s="70" t="str">
        <f>IF('Item Setup Form'!$AF538="Yes",'Item Setup Form'!D538,"")</f>
        <v/>
      </c>
      <c r="C534" s="81" t="str">
        <f>IF('Item Setup Form'!$AF538="Yes",'Item Setup Form'!L538,"")</f>
        <v/>
      </c>
      <c r="D534" s="81" t="str">
        <f>IF('Item Setup Form'!$AF538="Yes",'Item Setup Form'!M538,"")</f>
        <v/>
      </c>
      <c r="E534" s="70"/>
      <c r="F534" s="70" t="str">
        <f>IF('Item Setup Form'!$AF538="Yes",'Item Setup Form'!G538,"")</f>
        <v/>
      </c>
      <c r="G534" s="70" t="str">
        <f>IF('Item Setup Form'!$AF538="Yes",'Item Setup Form'!H538,"")</f>
        <v/>
      </c>
      <c r="H534" s="70" t="str">
        <f>IF('Item Setup Form'!$AF538="Yes",'Item Setup Form'!V538,"")</f>
        <v/>
      </c>
      <c r="I534" s="70"/>
      <c r="J534" s="70" t="str">
        <f>IF('Item Setup Form'!$AF538="Yes",'Item Setup Form'!U538,"")</f>
        <v/>
      </c>
      <c r="K534" s="70" t="str">
        <f>IF('Item Setup Form'!$AF538="Yes",'Item Setup Form'!V538,"")</f>
        <v/>
      </c>
      <c r="L534" s="70"/>
      <c r="M534" s="70" t="str">
        <f>IF('Item Setup Form'!$AF538="Yes",'Item Setup Form'!A538,"")</f>
        <v/>
      </c>
      <c r="N534" s="70"/>
      <c r="O534" s="70"/>
      <c r="P534" s="70"/>
      <c r="Q534" s="70"/>
      <c r="R534" s="70"/>
      <c r="S534" s="70"/>
      <c r="T534" s="70"/>
      <c r="U534" s="70"/>
      <c r="V534" s="70"/>
      <c r="W534" s="70"/>
      <c r="X534" s="70"/>
      <c r="Y534" s="70"/>
      <c r="Z534" s="70"/>
    </row>
    <row r="535" spans="1:26">
      <c r="A535" s="70" t="str">
        <f>IF('Item Setup Form'!$AF539="Yes",'Item Setup Form'!$E539,"")</f>
        <v/>
      </c>
      <c r="B535" s="70" t="str">
        <f>IF('Item Setup Form'!$AF539="Yes",'Item Setup Form'!D539,"")</f>
        <v/>
      </c>
      <c r="C535" s="81" t="str">
        <f>IF('Item Setup Form'!$AF539="Yes",'Item Setup Form'!L539,"")</f>
        <v/>
      </c>
      <c r="D535" s="81" t="str">
        <f>IF('Item Setup Form'!$AF539="Yes",'Item Setup Form'!M539,"")</f>
        <v/>
      </c>
      <c r="E535" s="70"/>
      <c r="F535" s="70" t="str">
        <f>IF('Item Setup Form'!$AF539="Yes",'Item Setup Form'!G539,"")</f>
        <v/>
      </c>
      <c r="G535" s="70" t="str">
        <f>IF('Item Setup Form'!$AF539="Yes",'Item Setup Form'!H539,"")</f>
        <v/>
      </c>
      <c r="H535" s="70" t="str">
        <f>IF('Item Setup Form'!$AF539="Yes",'Item Setup Form'!V539,"")</f>
        <v/>
      </c>
      <c r="I535" s="70"/>
      <c r="J535" s="70" t="str">
        <f>IF('Item Setup Form'!$AF539="Yes",'Item Setup Form'!U539,"")</f>
        <v/>
      </c>
      <c r="K535" s="70" t="str">
        <f>IF('Item Setup Form'!$AF539="Yes",'Item Setup Form'!V539,"")</f>
        <v/>
      </c>
      <c r="L535" s="70"/>
      <c r="M535" s="70" t="str">
        <f>IF('Item Setup Form'!$AF539="Yes",'Item Setup Form'!A539,"")</f>
        <v/>
      </c>
      <c r="N535" s="70"/>
      <c r="O535" s="70"/>
      <c r="P535" s="70"/>
      <c r="Q535" s="70"/>
      <c r="R535" s="70"/>
      <c r="S535" s="70"/>
      <c r="T535" s="70"/>
      <c r="U535" s="70"/>
      <c r="V535" s="70"/>
      <c r="W535" s="70"/>
      <c r="X535" s="70"/>
      <c r="Y535" s="70"/>
      <c r="Z535" s="70"/>
    </row>
    <row r="536" spans="1:26">
      <c r="A536" s="70" t="str">
        <f>IF('Item Setup Form'!$AF540="Yes",'Item Setup Form'!$E540,"")</f>
        <v/>
      </c>
      <c r="B536" s="70" t="str">
        <f>IF('Item Setup Form'!$AF540="Yes",'Item Setup Form'!D540,"")</f>
        <v/>
      </c>
      <c r="C536" s="81" t="str">
        <f>IF('Item Setup Form'!$AF540="Yes",'Item Setup Form'!L540,"")</f>
        <v/>
      </c>
      <c r="D536" s="81" t="str">
        <f>IF('Item Setup Form'!$AF540="Yes",'Item Setup Form'!M540,"")</f>
        <v/>
      </c>
      <c r="E536" s="70"/>
      <c r="F536" s="70" t="str">
        <f>IF('Item Setup Form'!$AF540="Yes",'Item Setup Form'!G540,"")</f>
        <v/>
      </c>
      <c r="G536" s="70" t="str">
        <f>IF('Item Setup Form'!$AF540="Yes",'Item Setup Form'!H540,"")</f>
        <v/>
      </c>
      <c r="H536" s="70" t="str">
        <f>IF('Item Setup Form'!$AF540="Yes",'Item Setup Form'!V540,"")</f>
        <v/>
      </c>
      <c r="I536" s="70"/>
      <c r="J536" s="70" t="str">
        <f>IF('Item Setup Form'!$AF540="Yes",'Item Setup Form'!U540,"")</f>
        <v/>
      </c>
      <c r="K536" s="70" t="str">
        <f>IF('Item Setup Form'!$AF540="Yes",'Item Setup Form'!V540,"")</f>
        <v/>
      </c>
      <c r="L536" s="70"/>
      <c r="M536" s="70" t="str">
        <f>IF('Item Setup Form'!$AF540="Yes",'Item Setup Form'!A540,"")</f>
        <v/>
      </c>
      <c r="N536" s="70"/>
      <c r="O536" s="70"/>
      <c r="P536" s="70"/>
      <c r="Q536" s="70"/>
      <c r="R536" s="70"/>
      <c r="S536" s="70"/>
      <c r="T536" s="70"/>
      <c r="U536" s="70"/>
      <c r="V536" s="70"/>
      <c r="W536" s="70"/>
      <c r="X536" s="70"/>
      <c r="Y536" s="70"/>
      <c r="Z536" s="70"/>
    </row>
    <row r="537" spans="1:26">
      <c r="A537" s="70" t="str">
        <f>IF('Item Setup Form'!$AF541="Yes",'Item Setup Form'!$E541,"")</f>
        <v/>
      </c>
      <c r="B537" s="70" t="str">
        <f>IF('Item Setup Form'!$AF541="Yes",'Item Setup Form'!D541,"")</f>
        <v/>
      </c>
      <c r="C537" s="81" t="str">
        <f>IF('Item Setup Form'!$AF541="Yes",'Item Setup Form'!L541,"")</f>
        <v/>
      </c>
      <c r="D537" s="81" t="str">
        <f>IF('Item Setup Form'!$AF541="Yes",'Item Setup Form'!M541,"")</f>
        <v/>
      </c>
      <c r="E537" s="70"/>
      <c r="F537" s="70" t="str">
        <f>IF('Item Setup Form'!$AF541="Yes",'Item Setup Form'!G541,"")</f>
        <v/>
      </c>
      <c r="G537" s="70" t="str">
        <f>IF('Item Setup Form'!$AF541="Yes",'Item Setup Form'!H541,"")</f>
        <v/>
      </c>
      <c r="H537" s="70" t="str">
        <f>IF('Item Setup Form'!$AF541="Yes",'Item Setup Form'!V541,"")</f>
        <v/>
      </c>
      <c r="I537" s="70"/>
      <c r="J537" s="70" t="str">
        <f>IF('Item Setup Form'!$AF541="Yes",'Item Setup Form'!U541,"")</f>
        <v/>
      </c>
      <c r="K537" s="70" t="str">
        <f>IF('Item Setup Form'!$AF541="Yes",'Item Setup Form'!V541,"")</f>
        <v/>
      </c>
      <c r="L537" s="70"/>
      <c r="M537" s="70" t="str">
        <f>IF('Item Setup Form'!$AF541="Yes",'Item Setup Form'!A541,"")</f>
        <v/>
      </c>
      <c r="N537" s="70"/>
      <c r="O537" s="70"/>
      <c r="P537" s="70"/>
      <c r="Q537" s="70"/>
      <c r="R537" s="70"/>
      <c r="S537" s="70"/>
      <c r="T537" s="70"/>
      <c r="U537" s="70"/>
      <c r="V537" s="70"/>
      <c r="W537" s="70"/>
      <c r="X537" s="70"/>
      <c r="Y537" s="70"/>
      <c r="Z537" s="70"/>
    </row>
    <row r="538" spans="1:26">
      <c r="A538" s="70" t="str">
        <f>IF('Item Setup Form'!$AF542="Yes",'Item Setup Form'!$E542,"")</f>
        <v/>
      </c>
      <c r="B538" s="70" t="str">
        <f>IF('Item Setup Form'!$AF542="Yes",'Item Setup Form'!D542,"")</f>
        <v/>
      </c>
      <c r="C538" s="81" t="str">
        <f>IF('Item Setup Form'!$AF542="Yes",'Item Setup Form'!L542,"")</f>
        <v/>
      </c>
      <c r="D538" s="81" t="str">
        <f>IF('Item Setup Form'!$AF542="Yes",'Item Setup Form'!M542,"")</f>
        <v/>
      </c>
      <c r="E538" s="70"/>
      <c r="F538" s="70" t="str">
        <f>IF('Item Setup Form'!$AF542="Yes",'Item Setup Form'!G542,"")</f>
        <v/>
      </c>
      <c r="G538" s="70" t="str">
        <f>IF('Item Setup Form'!$AF542="Yes",'Item Setup Form'!H542,"")</f>
        <v/>
      </c>
      <c r="H538" s="70" t="str">
        <f>IF('Item Setup Form'!$AF542="Yes",'Item Setup Form'!V542,"")</f>
        <v/>
      </c>
      <c r="I538" s="70"/>
      <c r="J538" s="70" t="str">
        <f>IF('Item Setup Form'!$AF542="Yes",'Item Setup Form'!U542,"")</f>
        <v/>
      </c>
      <c r="K538" s="70" t="str">
        <f>IF('Item Setup Form'!$AF542="Yes",'Item Setup Form'!V542,"")</f>
        <v/>
      </c>
      <c r="L538" s="70"/>
      <c r="M538" s="70" t="str">
        <f>IF('Item Setup Form'!$AF542="Yes",'Item Setup Form'!A542,"")</f>
        <v/>
      </c>
      <c r="N538" s="70"/>
      <c r="O538" s="70"/>
      <c r="P538" s="70"/>
      <c r="Q538" s="70"/>
      <c r="R538" s="70"/>
      <c r="S538" s="70"/>
      <c r="T538" s="70"/>
      <c r="U538" s="70"/>
      <c r="V538" s="70"/>
      <c r="W538" s="70"/>
      <c r="X538" s="70"/>
      <c r="Y538" s="70"/>
      <c r="Z538" s="70"/>
    </row>
    <row r="539" spans="1:26">
      <c r="A539" s="70" t="str">
        <f>IF('Item Setup Form'!$AF543="Yes",'Item Setup Form'!$E543,"")</f>
        <v/>
      </c>
      <c r="B539" s="70" t="str">
        <f>IF('Item Setup Form'!$AF543="Yes",'Item Setup Form'!D543,"")</f>
        <v/>
      </c>
      <c r="C539" s="81" t="str">
        <f>IF('Item Setup Form'!$AF543="Yes",'Item Setup Form'!L543,"")</f>
        <v/>
      </c>
      <c r="D539" s="81" t="str">
        <f>IF('Item Setup Form'!$AF543="Yes",'Item Setup Form'!M543,"")</f>
        <v/>
      </c>
      <c r="E539" s="70"/>
      <c r="F539" s="70" t="str">
        <f>IF('Item Setup Form'!$AF543="Yes",'Item Setup Form'!G543,"")</f>
        <v/>
      </c>
      <c r="G539" s="70" t="str">
        <f>IF('Item Setup Form'!$AF543="Yes",'Item Setup Form'!H543,"")</f>
        <v/>
      </c>
      <c r="H539" s="70" t="str">
        <f>IF('Item Setup Form'!$AF543="Yes",'Item Setup Form'!V543,"")</f>
        <v/>
      </c>
      <c r="I539" s="70"/>
      <c r="J539" s="70" t="str">
        <f>IF('Item Setup Form'!$AF543="Yes",'Item Setup Form'!U543,"")</f>
        <v/>
      </c>
      <c r="K539" s="70" t="str">
        <f>IF('Item Setup Form'!$AF543="Yes",'Item Setup Form'!V543,"")</f>
        <v/>
      </c>
      <c r="L539" s="70"/>
      <c r="M539" s="70" t="str">
        <f>IF('Item Setup Form'!$AF543="Yes",'Item Setup Form'!A543,"")</f>
        <v/>
      </c>
      <c r="N539" s="70"/>
      <c r="O539" s="70"/>
      <c r="P539" s="70"/>
      <c r="Q539" s="70"/>
      <c r="R539" s="70"/>
      <c r="S539" s="70"/>
      <c r="T539" s="70"/>
      <c r="U539" s="70"/>
      <c r="V539" s="70"/>
      <c r="W539" s="70"/>
      <c r="X539" s="70"/>
      <c r="Y539" s="70"/>
      <c r="Z539" s="70"/>
    </row>
    <row r="540" spans="1:26">
      <c r="A540" s="70" t="str">
        <f>IF('Item Setup Form'!$AF544="Yes",'Item Setup Form'!$E544,"")</f>
        <v/>
      </c>
      <c r="B540" s="70" t="str">
        <f>IF('Item Setup Form'!$AF544="Yes",'Item Setup Form'!D544,"")</f>
        <v/>
      </c>
      <c r="C540" s="81" t="str">
        <f>IF('Item Setup Form'!$AF544="Yes",'Item Setup Form'!L544,"")</f>
        <v/>
      </c>
      <c r="D540" s="81" t="str">
        <f>IF('Item Setup Form'!$AF544="Yes",'Item Setup Form'!M544,"")</f>
        <v/>
      </c>
      <c r="E540" s="70"/>
      <c r="F540" s="70" t="str">
        <f>IF('Item Setup Form'!$AF544="Yes",'Item Setup Form'!G544,"")</f>
        <v/>
      </c>
      <c r="G540" s="70" t="str">
        <f>IF('Item Setup Form'!$AF544="Yes",'Item Setup Form'!H544,"")</f>
        <v/>
      </c>
      <c r="H540" s="70" t="str">
        <f>IF('Item Setup Form'!$AF544="Yes",'Item Setup Form'!V544,"")</f>
        <v/>
      </c>
      <c r="I540" s="70"/>
      <c r="J540" s="70" t="str">
        <f>IF('Item Setup Form'!$AF544="Yes",'Item Setup Form'!U544,"")</f>
        <v/>
      </c>
      <c r="K540" s="70" t="str">
        <f>IF('Item Setup Form'!$AF544="Yes",'Item Setup Form'!V544,"")</f>
        <v/>
      </c>
      <c r="L540" s="70"/>
      <c r="M540" s="70" t="str">
        <f>IF('Item Setup Form'!$AF544="Yes",'Item Setup Form'!A544,"")</f>
        <v/>
      </c>
      <c r="N540" s="70"/>
      <c r="O540" s="70"/>
      <c r="P540" s="70"/>
      <c r="Q540" s="70"/>
      <c r="R540" s="70"/>
      <c r="S540" s="70"/>
      <c r="T540" s="70"/>
      <c r="U540" s="70"/>
      <c r="V540" s="70"/>
      <c r="W540" s="70"/>
      <c r="X540" s="70"/>
      <c r="Y540" s="70"/>
      <c r="Z540" s="70"/>
    </row>
    <row r="541" spans="1:26">
      <c r="A541" s="70" t="str">
        <f>IF('Item Setup Form'!$AF545="Yes",'Item Setup Form'!$E545,"")</f>
        <v/>
      </c>
      <c r="B541" s="70" t="str">
        <f>IF('Item Setup Form'!$AF545="Yes",'Item Setup Form'!D545,"")</f>
        <v/>
      </c>
      <c r="C541" s="81" t="str">
        <f>IF('Item Setup Form'!$AF545="Yes",'Item Setup Form'!L545,"")</f>
        <v/>
      </c>
      <c r="D541" s="81" t="str">
        <f>IF('Item Setup Form'!$AF545="Yes",'Item Setup Form'!M545,"")</f>
        <v/>
      </c>
      <c r="E541" s="70"/>
      <c r="F541" s="70" t="str">
        <f>IF('Item Setup Form'!$AF545="Yes",'Item Setup Form'!G545,"")</f>
        <v/>
      </c>
      <c r="G541" s="70" t="str">
        <f>IF('Item Setup Form'!$AF545="Yes",'Item Setup Form'!H545,"")</f>
        <v/>
      </c>
      <c r="H541" s="70" t="str">
        <f>IF('Item Setup Form'!$AF545="Yes",'Item Setup Form'!V545,"")</f>
        <v/>
      </c>
      <c r="I541" s="70"/>
      <c r="J541" s="70" t="str">
        <f>IF('Item Setup Form'!$AF545="Yes",'Item Setup Form'!U545,"")</f>
        <v/>
      </c>
      <c r="K541" s="70" t="str">
        <f>IF('Item Setup Form'!$AF545="Yes",'Item Setup Form'!V545,"")</f>
        <v/>
      </c>
      <c r="L541" s="70"/>
      <c r="M541" s="70" t="str">
        <f>IF('Item Setup Form'!$AF545="Yes",'Item Setup Form'!A545,"")</f>
        <v/>
      </c>
      <c r="N541" s="70"/>
      <c r="O541" s="70"/>
      <c r="P541" s="70"/>
      <c r="Q541" s="70"/>
      <c r="R541" s="70"/>
      <c r="S541" s="70"/>
      <c r="T541" s="70"/>
      <c r="U541" s="70"/>
      <c r="V541" s="70"/>
      <c r="W541" s="70"/>
      <c r="X541" s="70"/>
      <c r="Y541" s="70"/>
      <c r="Z541" s="70"/>
    </row>
    <row r="542" spans="1:26">
      <c r="A542" s="70" t="str">
        <f>IF('Item Setup Form'!$AF546="Yes",'Item Setup Form'!$E546,"")</f>
        <v/>
      </c>
      <c r="B542" s="70" t="str">
        <f>IF('Item Setup Form'!$AF546="Yes",'Item Setup Form'!D546,"")</f>
        <v/>
      </c>
      <c r="C542" s="81" t="str">
        <f>IF('Item Setup Form'!$AF546="Yes",'Item Setup Form'!L546,"")</f>
        <v/>
      </c>
      <c r="D542" s="81" t="str">
        <f>IF('Item Setup Form'!$AF546="Yes",'Item Setup Form'!M546,"")</f>
        <v/>
      </c>
      <c r="E542" s="70"/>
      <c r="F542" s="70" t="str">
        <f>IF('Item Setup Form'!$AF546="Yes",'Item Setup Form'!G546,"")</f>
        <v/>
      </c>
      <c r="G542" s="70" t="str">
        <f>IF('Item Setup Form'!$AF546="Yes",'Item Setup Form'!H546,"")</f>
        <v/>
      </c>
      <c r="H542" s="70" t="str">
        <f>IF('Item Setup Form'!$AF546="Yes",'Item Setup Form'!V546,"")</f>
        <v/>
      </c>
      <c r="I542" s="70"/>
      <c r="J542" s="70" t="str">
        <f>IF('Item Setup Form'!$AF546="Yes",'Item Setup Form'!U546,"")</f>
        <v/>
      </c>
      <c r="K542" s="70" t="str">
        <f>IF('Item Setup Form'!$AF546="Yes",'Item Setup Form'!V546,"")</f>
        <v/>
      </c>
      <c r="L542" s="70"/>
      <c r="M542" s="70" t="str">
        <f>IF('Item Setup Form'!$AF546="Yes",'Item Setup Form'!A546,"")</f>
        <v/>
      </c>
      <c r="N542" s="70"/>
      <c r="O542" s="70"/>
      <c r="P542" s="70"/>
      <c r="Q542" s="70"/>
      <c r="R542" s="70"/>
      <c r="S542" s="70"/>
      <c r="T542" s="70"/>
      <c r="U542" s="70"/>
      <c r="V542" s="70"/>
      <c r="W542" s="70"/>
      <c r="X542" s="70"/>
      <c r="Y542" s="70"/>
      <c r="Z542" s="70"/>
    </row>
    <row r="543" spans="1:26">
      <c r="A543" s="70" t="str">
        <f>IF('Item Setup Form'!$AF547="Yes",'Item Setup Form'!$E547,"")</f>
        <v/>
      </c>
      <c r="B543" s="70" t="str">
        <f>IF('Item Setup Form'!$AF547="Yes",'Item Setup Form'!D547,"")</f>
        <v/>
      </c>
      <c r="C543" s="81" t="str">
        <f>IF('Item Setup Form'!$AF547="Yes",'Item Setup Form'!L547,"")</f>
        <v/>
      </c>
      <c r="D543" s="81" t="str">
        <f>IF('Item Setup Form'!$AF547="Yes",'Item Setup Form'!M547,"")</f>
        <v/>
      </c>
      <c r="E543" s="70"/>
      <c r="F543" s="70" t="str">
        <f>IF('Item Setup Form'!$AF547="Yes",'Item Setup Form'!G547,"")</f>
        <v/>
      </c>
      <c r="G543" s="70" t="str">
        <f>IF('Item Setup Form'!$AF547="Yes",'Item Setup Form'!H547,"")</f>
        <v/>
      </c>
      <c r="H543" s="70" t="str">
        <f>IF('Item Setup Form'!$AF547="Yes",'Item Setup Form'!V547,"")</f>
        <v/>
      </c>
      <c r="I543" s="70"/>
      <c r="J543" s="70" t="str">
        <f>IF('Item Setup Form'!$AF547="Yes",'Item Setup Form'!U547,"")</f>
        <v/>
      </c>
      <c r="K543" s="70" t="str">
        <f>IF('Item Setup Form'!$AF547="Yes",'Item Setup Form'!V547,"")</f>
        <v/>
      </c>
      <c r="L543" s="70"/>
      <c r="M543" s="70" t="str">
        <f>IF('Item Setup Form'!$AF547="Yes",'Item Setup Form'!A547,"")</f>
        <v/>
      </c>
      <c r="N543" s="70"/>
      <c r="O543" s="70"/>
      <c r="P543" s="70"/>
      <c r="Q543" s="70"/>
      <c r="R543" s="70"/>
      <c r="S543" s="70"/>
      <c r="T543" s="70"/>
      <c r="U543" s="70"/>
      <c r="V543" s="70"/>
      <c r="W543" s="70"/>
      <c r="X543" s="70"/>
      <c r="Y543" s="70"/>
      <c r="Z543" s="70"/>
    </row>
    <row r="544" spans="1:26">
      <c r="A544" s="70" t="str">
        <f>IF('Item Setup Form'!$AF548="Yes",'Item Setup Form'!$E548,"")</f>
        <v/>
      </c>
      <c r="B544" s="70" t="str">
        <f>IF('Item Setup Form'!$AF548="Yes",'Item Setup Form'!D548,"")</f>
        <v/>
      </c>
      <c r="C544" s="81" t="str">
        <f>IF('Item Setup Form'!$AF548="Yes",'Item Setup Form'!L548,"")</f>
        <v/>
      </c>
      <c r="D544" s="81" t="str">
        <f>IF('Item Setup Form'!$AF548="Yes",'Item Setup Form'!M548,"")</f>
        <v/>
      </c>
      <c r="E544" s="70"/>
      <c r="F544" s="70" t="str">
        <f>IF('Item Setup Form'!$AF548="Yes",'Item Setup Form'!G548,"")</f>
        <v/>
      </c>
      <c r="G544" s="70" t="str">
        <f>IF('Item Setup Form'!$AF548="Yes",'Item Setup Form'!H548,"")</f>
        <v/>
      </c>
      <c r="H544" s="70" t="str">
        <f>IF('Item Setup Form'!$AF548="Yes",'Item Setup Form'!V548,"")</f>
        <v/>
      </c>
      <c r="I544" s="70"/>
      <c r="J544" s="70" t="str">
        <f>IF('Item Setup Form'!$AF548="Yes",'Item Setup Form'!U548,"")</f>
        <v/>
      </c>
      <c r="K544" s="70" t="str">
        <f>IF('Item Setup Form'!$AF548="Yes",'Item Setup Form'!V548,"")</f>
        <v/>
      </c>
      <c r="L544" s="70"/>
      <c r="M544" s="70" t="str">
        <f>IF('Item Setup Form'!$AF548="Yes",'Item Setup Form'!A548,"")</f>
        <v/>
      </c>
      <c r="N544" s="70"/>
      <c r="O544" s="70"/>
      <c r="P544" s="70"/>
      <c r="Q544" s="70"/>
      <c r="R544" s="70"/>
      <c r="S544" s="70"/>
      <c r="T544" s="70"/>
      <c r="U544" s="70"/>
      <c r="V544" s="70"/>
      <c r="W544" s="70"/>
      <c r="X544" s="70"/>
      <c r="Y544" s="70"/>
      <c r="Z544" s="70"/>
    </row>
    <row r="545" spans="1:26">
      <c r="A545" s="70" t="str">
        <f>IF('Item Setup Form'!$AF549="Yes",'Item Setup Form'!$E549,"")</f>
        <v/>
      </c>
      <c r="B545" s="70" t="str">
        <f>IF('Item Setup Form'!$AF549="Yes",'Item Setup Form'!D549,"")</f>
        <v/>
      </c>
      <c r="C545" s="81" t="str">
        <f>IF('Item Setup Form'!$AF549="Yes",'Item Setup Form'!L549,"")</f>
        <v/>
      </c>
      <c r="D545" s="81" t="str">
        <f>IF('Item Setup Form'!$AF549="Yes",'Item Setup Form'!M549,"")</f>
        <v/>
      </c>
      <c r="E545" s="70"/>
      <c r="F545" s="70" t="str">
        <f>IF('Item Setup Form'!$AF549="Yes",'Item Setup Form'!G549,"")</f>
        <v/>
      </c>
      <c r="G545" s="70" t="str">
        <f>IF('Item Setup Form'!$AF549="Yes",'Item Setup Form'!H549,"")</f>
        <v/>
      </c>
      <c r="H545" s="70" t="str">
        <f>IF('Item Setup Form'!$AF549="Yes",'Item Setup Form'!V549,"")</f>
        <v/>
      </c>
      <c r="I545" s="70"/>
      <c r="J545" s="70" t="str">
        <f>IF('Item Setup Form'!$AF549="Yes",'Item Setup Form'!U549,"")</f>
        <v/>
      </c>
      <c r="K545" s="70" t="str">
        <f>IF('Item Setup Form'!$AF549="Yes",'Item Setup Form'!V549,"")</f>
        <v/>
      </c>
      <c r="L545" s="70"/>
      <c r="M545" s="70" t="str">
        <f>IF('Item Setup Form'!$AF549="Yes",'Item Setup Form'!A549,"")</f>
        <v/>
      </c>
      <c r="N545" s="70"/>
      <c r="O545" s="70"/>
      <c r="P545" s="70"/>
      <c r="Q545" s="70"/>
      <c r="R545" s="70"/>
      <c r="S545" s="70"/>
      <c r="T545" s="70"/>
      <c r="U545" s="70"/>
      <c r="V545" s="70"/>
      <c r="W545" s="70"/>
      <c r="X545" s="70"/>
      <c r="Y545" s="70"/>
      <c r="Z545" s="70"/>
    </row>
    <row r="546" spans="1:26">
      <c r="A546" s="70" t="str">
        <f>IF('Item Setup Form'!$AF550="Yes",'Item Setup Form'!$E550,"")</f>
        <v/>
      </c>
      <c r="B546" s="70" t="str">
        <f>IF('Item Setup Form'!$AF550="Yes",'Item Setup Form'!D550,"")</f>
        <v/>
      </c>
      <c r="C546" s="81" t="str">
        <f>IF('Item Setup Form'!$AF550="Yes",'Item Setup Form'!L550,"")</f>
        <v/>
      </c>
      <c r="D546" s="81" t="str">
        <f>IF('Item Setup Form'!$AF550="Yes",'Item Setup Form'!M550,"")</f>
        <v/>
      </c>
      <c r="E546" s="70"/>
      <c r="F546" s="70" t="str">
        <f>IF('Item Setup Form'!$AF550="Yes",'Item Setup Form'!G550,"")</f>
        <v/>
      </c>
      <c r="G546" s="70" t="str">
        <f>IF('Item Setup Form'!$AF550="Yes",'Item Setup Form'!H550,"")</f>
        <v/>
      </c>
      <c r="H546" s="70" t="str">
        <f>IF('Item Setup Form'!$AF550="Yes",'Item Setup Form'!V550,"")</f>
        <v/>
      </c>
      <c r="I546" s="70"/>
      <c r="J546" s="70" t="str">
        <f>IF('Item Setup Form'!$AF550="Yes",'Item Setup Form'!U550,"")</f>
        <v/>
      </c>
      <c r="K546" s="70" t="str">
        <f>IF('Item Setup Form'!$AF550="Yes",'Item Setup Form'!V550,"")</f>
        <v/>
      </c>
      <c r="L546" s="70"/>
      <c r="M546" s="70" t="str">
        <f>IF('Item Setup Form'!$AF550="Yes",'Item Setup Form'!A550,"")</f>
        <v/>
      </c>
      <c r="N546" s="70"/>
      <c r="O546" s="70"/>
      <c r="P546" s="70"/>
      <c r="Q546" s="70"/>
      <c r="R546" s="70"/>
      <c r="S546" s="70"/>
      <c r="T546" s="70"/>
      <c r="U546" s="70"/>
      <c r="V546" s="70"/>
      <c r="W546" s="70"/>
      <c r="X546" s="70"/>
      <c r="Y546" s="70"/>
      <c r="Z546" s="70"/>
    </row>
    <row r="547" spans="1:26">
      <c r="A547" s="70" t="str">
        <f>IF('Item Setup Form'!$AF551="Yes",'Item Setup Form'!$E551,"")</f>
        <v/>
      </c>
      <c r="B547" s="70" t="str">
        <f>IF('Item Setup Form'!$AF551="Yes",'Item Setup Form'!D551,"")</f>
        <v/>
      </c>
      <c r="C547" s="81" t="str">
        <f>IF('Item Setup Form'!$AF551="Yes",'Item Setup Form'!L551,"")</f>
        <v/>
      </c>
      <c r="D547" s="81" t="str">
        <f>IF('Item Setup Form'!$AF551="Yes",'Item Setup Form'!M551,"")</f>
        <v/>
      </c>
      <c r="E547" s="70"/>
      <c r="F547" s="70" t="str">
        <f>IF('Item Setup Form'!$AF551="Yes",'Item Setup Form'!G551,"")</f>
        <v/>
      </c>
      <c r="G547" s="70" t="str">
        <f>IF('Item Setup Form'!$AF551="Yes",'Item Setup Form'!H551,"")</f>
        <v/>
      </c>
      <c r="H547" s="70" t="str">
        <f>IF('Item Setup Form'!$AF551="Yes",'Item Setup Form'!V551,"")</f>
        <v/>
      </c>
      <c r="I547" s="70"/>
      <c r="J547" s="70" t="str">
        <f>IF('Item Setup Form'!$AF551="Yes",'Item Setup Form'!U551,"")</f>
        <v/>
      </c>
      <c r="K547" s="70" t="str">
        <f>IF('Item Setup Form'!$AF551="Yes",'Item Setup Form'!V551,"")</f>
        <v/>
      </c>
      <c r="L547" s="70"/>
      <c r="M547" s="70" t="str">
        <f>IF('Item Setup Form'!$AF551="Yes",'Item Setup Form'!A551,"")</f>
        <v/>
      </c>
      <c r="N547" s="70"/>
      <c r="O547" s="70"/>
      <c r="P547" s="70"/>
      <c r="Q547" s="70"/>
      <c r="R547" s="70"/>
      <c r="S547" s="70"/>
      <c r="T547" s="70"/>
      <c r="U547" s="70"/>
      <c r="V547" s="70"/>
      <c r="W547" s="70"/>
      <c r="X547" s="70"/>
      <c r="Y547" s="70"/>
      <c r="Z547" s="70"/>
    </row>
    <row r="548" spans="1:26">
      <c r="A548" s="70" t="str">
        <f>IF('Item Setup Form'!$AF552="Yes",'Item Setup Form'!$E552,"")</f>
        <v/>
      </c>
      <c r="B548" s="70" t="str">
        <f>IF('Item Setup Form'!$AF552="Yes",'Item Setup Form'!D552,"")</f>
        <v/>
      </c>
      <c r="C548" s="81" t="str">
        <f>IF('Item Setup Form'!$AF552="Yes",'Item Setup Form'!L552,"")</f>
        <v/>
      </c>
      <c r="D548" s="81" t="str">
        <f>IF('Item Setup Form'!$AF552="Yes",'Item Setup Form'!M552,"")</f>
        <v/>
      </c>
      <c r="E548" s="70"/>
      <c r="F548" s="70" t="str">
        <f>IF('Item Setup Form'!$AF552="Yes",'Item Setup Form'!G552,"")</f>
        <v/>
      </c>
      <c r="G548" s="70" t="str">
        <f>IF('Item Setup Form'!$AF552="Yes",'Item Setup Form'!H552,"")</f>
        <v/>
      </c>
      <c r="H548" s="70" t="str">
        <f>IF('Item Setup Form'!$AF552="Yes",'Item Setup Form'!V552,"")</f>
        <v/>
      </c>
      <c r="I548" s="70"/>
      <c r="J548" s="70" t="str">
        <f>IF('Item Setup Form'!$AF552="Yes",'Item Setup Form'!U552,"")</f>
        <v/>
      </c>
      <c r="K548" s="70" t="str">
        <f>IF('Item Setup Form'!$AF552="Yes",'Item Setup Form'!V552,"")</f>
        <v/>
      </c>
      <c r="L548" s="70"/>
      <c r="M548" s="70" t="str">
        <f>IF('Item Setup Form'!$AF552="Yes",'Item Setup Form'!A552,"")</f>
        <v/>
      </c>
      <c r="N548" s="70"/>
      <c r="O548" s="70"/>
      <c r="P548" s="70"/>
      <c r="Q548" s="70"/>
      <c r="R548" s="70"/>
      <c r="S548" s="70"/>
      <c r="T548" s="70"/>
      <c r="U548" s="70"/>
      <c r="V548" s="70"/>
      <c r="W548" s="70"/>
      <c r="X548" s="70"/>
      <c r="Y548" s="70"/>
      <c r="Z548" s="70"/>
    </row>
    <row r="549" spans="1:26">
      <c r="A549" s="70" t="str">
        <f>IF('Item Setup Form'!$AF553="Yes",'Item Setup Form'!$E553,"")</f>
        <v/>
      </c>
      <c r="B549" s="70" t="str">
        <f>IF('Item Setup Form'!$AF553="Yes",'Item Setup Form'!D553,"")</f>
        <v/>
      </c>
      <c r="C549" s="81" t="str">
        <f>IF('Item Setup Form'!$AF553="Yes",'Item Setup Form'!L553,"")</f>
        <v/>
      </c>
      <c r="D549" s="81" t="str">
        <f>IF('Item Setup Form'!$AF553="Yes",'Item Setup Form'!M553,"")</f>
        <v/>
      </c>
      <c r="E549" s="70"/>
      <c r="F549" s="70" t="str">
        <f>IF('Item Setup Form'!$AF553="Yes",'Item Setup Form'!G553,"")</f>
        <v/>
      </c>
      <c r="G549" s="70" t="str">
        <f>IF('Item Setup Form'!$AF553="Yes",'Item Setup Form'!H553,"")</f>
        <v/>
      </c>
      <c r="H549" s="70" t="str">
        <f>IF('Item Setup Form'!$AF553="Yes",'Item Setup Form'!V553,"")</f>
        <v/>
      </c>
      <c r="I549" s="70"/>
      <c r="J549" s="70" t="str">
        <f>IF('Item Setup Form'!$AF553="Yes",'Item Setup Form'!U553,"")</f>
        <v/>
      </c>
      <c r="K549" s="70" t="str">
        <f>IF('Item Setup Form'!$AF553="Yes",'Item Setup Form'!V553,"")</f>
        <v/>
      </c>
      <c r="L549" s="70"/>
      <c r="M549" s="70" t="str">
        <f>IF('Item Setup Form'!$AF553="Yes",'Item Setup Form'!A553,"")</f>
        <v/>
      </c>
      <c r="N549" s="70"/>
      <c r="O549" s="70"/>
      <c r="P549" s="70"/>
      <c r="Q549" s="70"/>
      <c r="R549" s="70"/>
      <c r="S549" s="70"/>
      <c r="T549" s="70"/>
      <c r="U549" s="70"/>
      <c r="V549" s="70"/>
      <c r="W549" s="70"/>
      <c r="X549" s="70"/>
      <c r="Y549" s="70"/>
      <c r="Z549" s="70"/>
    </row>
    <row r="550" spans="1:26">
      <c r="A550" s="70" t="str">
        <f>IF('Item Setup Form'!$AF554="Yes",'Item Setup Form'!$E554,"")</f>
        <v/>
      </c>
      <c r="B550" s="70" t="str">
        <f>IF('Item Setup Form'!$AF554="Yes",'Item Setup Form'!D554,"")</f>
        <v/>
      </c>
      <c r="C550" s="81" t="str">
        <f>IF('Item Setup Form'!$AF554="Yes",'Item Setup Form'!L554,"")</f>
        <v/>
      </c>
      <c r="D550" s="81" t="str">
        <f>IF('Item Setup Form'!$AF554="Yes",'Item Setup Form'!M554,"")</f>
        <v/>
      </c>
      <c r="E550" s="70"/>
      <c r="F550" s="70" t="str">
        <f>IF('Item Setup Form'!$AF554="Yes",'Item Setup Form'!G554,"")</f>
        <v/>
      </c>
      <c r="G550" s="70" t="str">
        <f>IF('Item Setup Form'!$AF554="Yes",'Item Setup Form'!H554,"")</f>
        <v/>
      </c>
      <c r="H550" s="70" t="str">
        <f>IF('Item Setup Form'!$AF554="Yes",'Item Setup Form'!V554,"")</f>
        <v/>
      </c>
      <c r="I550" s="70"/>
      <c r="J550" s="70" t="str">
        <f>IF('Item Setup Form'!$AF554="Yes",'Item Setup Form'!U554,"")</f>
        <v/>
      </c>
      <c r="K550" s="70" t="str">
        <f>IF('Item Setup Form'!$AF554="Yes",'Item Setup Form'!V554,"")</f>
        <v/>
      </c>
      <c r="L550" s="70"/>
      <c r="M550" s="70" t="str">
        <f>IF('Item Setup Form'!$AF554="Yes",'Item Setup Form'!A554,"")</f>
        <v/>
      </c>
      <c r="N550" s="70"/>
      <c r="O550" s="70"/>
      <c r="P550" s="70"/>
      <c r="Q550" s="70"/>
      <c r="R550" s="70"/>
      <c r="S550" s="70"/>
      <c r="T550" s="70"/>
      <c r="U550" s="70"/>
      <c r="V550" s="70"/>
      <c r="W550" s="70"/>
      <c r="X550" s="70"/>
      <c r="Y550" s="70"/>
      <c r="Z550" s="70"/>
    </row>
    <row r="551" spans="1:26">
      <c r="A551" s="70" t="str">
        <f>IF('Item Setup Form'!$AF555="Yes",'Item Setup Form'!$E555,"")</f>
        <v/>
      </c>
      <c r="B551" s="70" t="str">
        <f>IF('Item Setup Form'!$AF555="Yes",'Item Setup Form'!D555,"")</f>
        <v/>
      </c>
      <c r="C551" s="81" t="str">
        <f>IF('Item Setup Form'!$AF555="Yes",'Item Setup Form'!L555,"")</f>
        <v/>
      </c>
      <c r="D551" s="81" t="str">
        <f>IF('Item Setup Form'!$AF555="Yes",'Item Setup Form'!M555,"")</f>
        <v/>
      </c>
      <c r="E551" s="70"/>
      <c r="F551" s="70" t="str">
        <f>IF('Item Setup Form'!$AF555="Yes",'Item Setup Form'!G555,"")</f>
        <v/>
      </c>
      <c r="G551" s="70" t="str">
        <f>IF('Item Setup Form'!$AF555="Yes",'Item Setup Form'!H555,"")</f>
        <v/>
      </c>
      <c r="H551" s="70" t="str">
        <f>IF('Item Setup Form'!$AF555="Yes",'Item Setup Form'!V555,"")</f>
        <v/>
      </c>
      <c r="I551" s="70"/>
      <c r="J551" s="70" t="str">
        <f>IF('Item Setup Form'!$AF555="Yes",'Item Setup Form'!U555,"")</f>
        <v/>
      </c>
      <c r="K551" s="70" t="str">
        <f>IF('Item Setup Form'!$AF555="Yes",'Item Setup Form'!V555,"")</f>
        <v/>
      </c>
      <c r="L551" s="70"/>
      <c r="M551" s="70" t="str">
        <f>IF('Item Setup Form'!$AF555="Yes",'Item Setup Form'!A555,"")</f>
        <v/>
      </c>
      <c r="N551" s="70"/>
      <c r="O551" s="70"/>
      <c r="P551" s="70"/>
      <c r="Q551" s="70"/>
      <c r="R551" s="70"/>
      <c r="S551" s="70"/>
      <c r="T551" s="70"/>
      <c r="U551" s="70"/>
      <c r="V551" s="70"/>
      <c r="W551" s="70"/>
      <c r="X551" s="70"/>
      <c r="Y551" s="70"/>
      <c r="Z551" s="70"/>
    </row>
    <row r="552" spans="1:26">
      <c r="A552" s="70" t="str">
        <f>IF('Item Setup Form'!$AF556="Yes",'Item Setup Form'!$E556,"")</f>
        <v/>
      </c>
      <c r="B552" s="70" t="str">
        <f>IF('Item Setup Form'!$AF556="Yes",'Item Setup Form'!D556,"")</f>
        <v/>
      </c>
      <c r="C552" s="81" t="str">
        <f>IF('Item Setup Form'!$AF556="Yes",'Item Setup Form'!L556,"")</f>
        <v/>
      </c>
      <c r="D552" s="81" t="str">
        <f>IF('Item Setup Form'!$AF556="Yes",'Item Setup Form'!M556,"")</f>
        <v/>
      </c>
      <c r="E552" s="70"/>
      <c r="F552" s="70" t="str">
        <f>IF('Item Setup Form'!$AF556="Yes",'Item Setup Form'!G556,"")</f>
        <v/>
      </c>
      <c r="G552" s="70" t="str">
        <f>IF('Item Setup Form'!$AF556="Yes",'Item Setup Form'!H556,"")</f>
        <v/>
      </c>
      <c r="H552" s="70" t="str">
        <f>IF('Item Setup Form'!$AF556="Yes",'Item Setup Form'!V556,"")</f>
        <v/>
      </c>
      <c r="I552" s="70"/>
      <c r="J552" s="70" t="str">
        <f>IF('Item Setup Form'!$AF556="Yes",'Item Setup Form'!U556,"")</f>
        <v/>
      </c>
      <c r="K552" s="70" t="str">
        <f>IF('Item Setup Form'!$AF556="Yes",'Item Setup Form'!V556,"")</f>
        <v/>
      </c>
      <c r="L552" s="70"/>
      <c r="M552" s="70" t="str">
        <f>IF('Item Setup Form'!$AF556="Yes",'Item Setup Form'!A556,"")</f>
        <v/>
      </c>
      <c r="N552" s="70"/>
      <c r="O552" s="70"/>
      <c r="P552" s="70"/>
      <c r="Q552" s="70"/>
      <c r="R552" s="70"/>
      <c r="S552" s="70"/>
      <c r="T552" s="70"/>
      <c r="U552" s="70"/>
      <c r="V552" s="70"/>
      <c r="W552" s="70"/>
      <c r="X552" s="70"/>
      <c r="Y552" s="70"/>
      <c r="Z552" s="70"/>
    </row>
    <row r="553" spans="1:26">
      <c r="A553" s="70" t="str">
        <f>IF('Item Setup Form'!$AF557="Yes",'Item Setup Form'!$E557,"")</f>
        <v/>
      </c>
      <c r="B553" s="70" t="str">
        <f>IF('Item Setup Form'!$AF557="Yes",'Item Setup Form'!D557,"")</f>
        <v/>
      </c>
      <c r="C553" s="81" t="str">
        <f>IF('Item Setup Form'!$AF557="Yes",'Item Setup Form'!L557,"")</f>
        <v/>
      </c>
      <c r="D553" s="81" t="str">
        <f>IF('Item Setup Form'!$AF557="Yes",'Item Setup Form'!M557,"")</f>
        <v/>
      </c>
      <c r="E553" s="70"/>
      <c r="F553" s="70" t="str">
        <f>IF('Item Setup Form'!$AF557="Yes",'Item Setup Form'!G557,"")</f>
        <v/>
      </c>
      <c r="G553" s="70" t="str">
        <f>IF('Item Setup Form'!$AF557="Yes",'Item Setup Form'!H557,"")</f>
        <v/>
      </c>
      <c r="H553" s="70" t="str">
        <f>IF('Item Setup Form'!$AF557="Yes",'Item Setup Form'!V557,"")</f>
        <v/>
      </c>
      <c r="I553" s="70"/>
      <c r="J553" s="70" t="str">
        <f>IF('Item Setup Form'!$AF557="Yes",'Item Setup Form'!U557,"")</f>
        <v/>
      </c>
      <c r="K553" s="70" t="str">
        <f>IF('Item Setup Form'!$AF557="Yes",'Item Setup Form'!V557,"")</f>
        <v/>
      </c>
      <c r="L553" s="70"/>
      <c r="M553" s="70" t="str">
        <f>IF('Item Setup Form'!$AF557="Yes",'Item Setup Form'!A557,"")</f>
        <v/>
      </c>
      <c r="N553" s="70"/>
      <c r="O553" s="70"/>
      <c r="P553" s="70"/>
      <c r="Q553" s="70"/>
      <c r="R553" s="70"/>
      <c r="S553" s="70"/>
      <c r="T553" s="70"/>
      <c r="U553" s="70"/>
      <c r="V553" s="70"/>
      <c r="W553" s="70"/>
      <c r="X553" s="70"/>
      <c r="Y553" s="70"/>
      <c r="Z553" s="70"/>
    </row>
    <row r="554" spans="1:26">
      <c r="A554" s="70" t="str">
        <f>IF('Item Setup Form'!$AF558="Yes",'Item Setup Form'!$E558,"")</f>
        <v/>
      </c>
      <c r="B554" s="70" t="str">
        <f>IF('Item Setup Form'!$AF558="Yes",'Item Setup Form'!D558,"")</f>
        <v/>
      </c>
      <c r="C554" s="81" t="str">
        <f>IF('Item Setup Form'!$AF558="Yes",'Item Setup Form'!L558,"")</f>
        <v/>
      </c>
      <c r="D554" s="81" t="str">
        <f>IF('Item Setup Form'!$AF558="Yes",'Item Setup Form'!M558,"")</f>
        <v/>
      </c>
      <c r="E554" s="70"/>
      <c r="F554" s="70" t="str">
        <f>IF('Item Setup Form'!$AF558="Yes",'Item Setup Form'!G558,"")</f>
        <v/>
      </c>
      <c r="G554" s="70" t="str">
        <f>IF('Item Setup Form'!$AF558="Yes",'Item Setup Form'!H558,"")</f>
        <v/>
      </c>
      <c r="H554" s="70" t="str">
        <f>IF('Item Setup Form'!$AF558="Yes",'Item Setup Form'!V558,"")</f>
        <v/>
      </c>
      <c r="I554" s="70"/>
      <c r="J554" s="70" t="str">
        <f>IF('Item Setup Form'!$AF558="Yes",'Item Setup Form'!U558,"")</f>
        <v/>
      </c>
      <c r="K554" s="70" t="str">
        <f>IF('Item Setup Form'!$AF558="Yes",'Item Setup Form'!V558,"")</f>
        <v/>
      </c>
      <c r="L554" s="70"/>
      <c r="M554" s="70" t="str">
        <f>IF('Item Setup Form'!$AF558="Yes",'Item Setup Form'!A558,"")</f>
        <v/>
      </c>
      <c r="N554" s="70"/>
      <c r="O554" s="70"/>
      <c r="P554" s="70"/>
      <c r="Q554" s="70"/>
      <c r="R554" s="70"/>
      <c r="S554" s="70"/>
      <c r="T554" s="70"/>
      <c r="U554" s="70"/>
      <c r="V554" s="70"/>
      <c r="W554" s="70"/>
      <c r="X554" s="70"/>
      <c r="Y554" s="70"/>
      <c r="Z554" s="70"/>
    </row>
    <row r="555" spans="1:26">
      <c r="A555" s="70" t="str">
        <f>IF('Item Setup Form'!$AF559="Yes",'Item Setup Form'!$E559,"")</f>
        <v/>
      </c>
      <c r="B555" s="70" t="str">
        <f>IF('Item Setup Form'!$AF559="Yes",'Item Setup Form'!D559,"")</f>
        <v/>
      </c>
      <c r="C555" s="81" t="str">
        <f>IF('Item Setup Form'!$AF559="Yes",'Item Setup Form'!L559,"")</f>
        <v/>
      </c>
      <c r="D555" s="81" t="str">
        <f>IF('Item Setup Form'!$AF559="Yes",'Item Setup Form'!M559,"")</f>
        <v/>
      </c>
      <c r="E555" s="70"/>
      <c r="F555" s="70" t="str">
        <f>IF('Item Setup Form'!$AF559="Yes",'Item Setup Form'!G559,"")</f>
        <v/>
      </c>
      <c r="G555" s="70" t="str">
        <f>IF('Item Setup Form'!$AF559="Yes",'Item Setup Form'!H559,"")</f>
        <v/>
      </c>
      <c r="H555" s="70" t="str">
        <f>IF('Item Setup Form'!$AF559="Yes",'Item Setup Form'!V559,"")</f>
        <v/>
      </c>
      <c r="I555" s="70"/>
      <c r="J555" s="70" t="str">
        <f>IF('Item Setup Form'!$AF559="Yes",'Item Setup Form'!U559,"")</f>
        <v/>
      </c>
      <c r="K555" s="70" t="str">
        <f>IF('Item Setup Form'!$AF559="Yes",'Item Setup Form'!V559,"")</f>
        <v/>
      </c>
      <c r="L555" s="70"/>
      <c r="M555" s="70" t="str">
        <f>IF('Item Setup Form'!$AF559="Yes",'Item Setup Form'!A559,"")</f>
        <v/>
      </c>
      <c r="N555" s="70"/>
      <c r="O555" s="70"/>
      <c r="P555" s="70"/>
      <c r="Q555" s="70"/>
      <c r="R555" s="70"/>
      <c r="S555" s="70"/>
      <c r="T555" s="70"/>
      <c r="U555" s="70"/>
      <c r="V555" s="70"/>
      <c r="W555" s="70"/>
      <c r="X555" s="70"/>
      <c r="Y555" s="70"/>
      <c r="Z555" s="70"/>
    </row>
    <row r="556" spans="1:26">
      <c r="A556" s="70" t="str">
        <f>IF('Item Setup Form'!$AF560="Yes",'Item Setup Form'!$E560,"")</f>
        <v/>
      </c>
      <c r="B556" s="70" t="str">
        <f>IF('Item Setup Form'!$AF560="Yes",'Item Setup Form'!D560,"")</f>
        <v/>
      </c>
      <c r="C556" s="81" t="str">
        <f>IF('Item Setup Form'!$AF560="Yes",'Item Setup Form'!L560,"")</f>
        <v/>
      </c>
      <c r="D556" s="81" t="str">
        <f>IF('Item Setup Form'!$AF560="Yes",'Item Setup Form'!M560,"")</f>
        <v/>
      </c>
      <c r="E556" s="70"/>
      <c r="F556" s="70" t="str">
        <f>IF('Item Setup Form'!$AF560="Yes",'Item Setup Form'!G560,"")</f>
        <v/>
      </c>
      <c r="G556" s="70" t="str">
        <f>IF('Item Setup Form'!$AF560="Yes",'Item Setup Form'!H560,"")</f>
        <v/>
      </c>
      <c r="H556" s="70" t="str">
        <f>IF('Item Setup Form'!$AF560="Yes",'Item Setup Form'!V560,"")</f>
        <v/>
      </c>
      <c r="I556" s="70"/>
      <c r="J556" s="70" t="str">
        <f>IF('Item Setup Form'!$AF560="Yes",'Item Setup Form'!U560,"")</f>
        <v/>
      </c>
      <c r="K556" s="70" t="str">
        <f>IF('Item Setup Form'!$AF560="Yes",'Item Setup Form'!V560,"")</f>
        <v/>
      </c>
      <c r="L556" s="70"/>
      <c r="M556" s="70" t="str">
        <f>IF('Item Setup Form'!$AF560="Yes",'Item Setup Form'!A560,"")</f>
        <v/>
      </c>
      <c r="N556" s="70"/>
      <c r="O556" s="70"/>
      <c r="P556" s="70"/>
      <c r="Q556" s="70"/>
      <c r="R556" s="70"/>
      <c r="S556" s="70"/>
      <c r="T556" s="70"/>
      <c r="U556" s="70"/>
      <c r="V556" s="70"/>
      <c r="W556" s="70"/>
      <c r="X556" s="70"/>
      <c r="Y556" s="70"/>
      <c r="Z556" s="70"/>
    </row>
    <row r="557" spans="1:26">
      <c r="A557" s="70" t="str">
        <f>IF('Item Setup Form'!$AF561="Yes",'Item Setup Form'!$E561,"")</f>
        <v/>
      </c>
      <c r="B557" s="70" t="str">
        <f>IF('Item Setup Form'!$AF561="Yes",'Item Setup Form'!D561,"")</f>
        <v/>
      </c>
      <c r="C557" s="81" t="str">
        <f>IF('Item Setup Form'!$AF561="Yes",'Item Setup Form'!L561,"")</f>
        <v/>
      </c>
      <c r="D557" s="81" t="str">
        <f>IF('Item Setup Form'!$AF561="Yes",'Item Setup Form'!M561,"")</f>
        <v/>
      </c>
      <c r="E557" s="70"/>
      <c r="F557" s="70" t="str">
        <f>IF('Item Setup Form'!$AF561="Yes",'Item Setup Form'!G561,"")</f>
        <v/>
      </c>
      <c r="G557" s="70" t="str">
        <f>IF('Item Setup Form'!$AF561="Yes",'Item Setup Form'!H561,"")</f>
        <v/>
      </c>
      <c r="H557" s="70" t="str">
        <f>IF('Item Setup Form'!$AF561="Yes",'Item Setup Form'!V561,"")</f>
        <v/>
      </c>
      <c r="I557" s="70"/>
      <c r="J557" s="70" t="str">
        <f>IF('Item Setup Form'!$AF561="Yes",'Item Setup Form'!U561,"")</f>
        <v/>
      </c>
      <c r="K557" s="70" t="str">
        <f>IF('Item Setup Form'!$AF561="Yes",'Item Setup Form'!V561,"")</f>
        <v/>
      </c>
      <c r="L557" s="70"/>
      <c r="M557" s="70" t="str">
        <f>IF('Item Setup Form'!$AF561="Yes",'Item Setup Form'!A561,"")</f>
        <v/>
      </c>
      <c r="N557" s="70"/>
      <c r="O557" s="70"/>
      <c r="P557" s="70"/>
      <c r="Q557" s="70"/>
      <c r="R557" s="70"/>
      <c r="S557" s="70"/>
      <c r="T557" s="70"/>
      <c r="U557" s="70"/>
      <c r="V557" s="70"/>
      <c r="W557" s="70"/>
      <c r="X557" s="70"/>
      <c r="Y557" s="70"/>
      <c r="Z557" s="70"/>
    </row>
    <row r="558" spans="1:26">
      <c r="A558" s="70" t="str">
        <f>IF('Item Setup Form'!$AF562="Yes",'Item Setup Form'!$E562,"")</f>
        <v/>
      </c>
      <c r="B558" s="70" t="str">
        <f>IF('Item Setup Form'!$AF562="Yes",'Item Setup Form'!D562,"")</f>
        <v/>
      </c>
      <c r="C558" s="81" t="str">
        <f>IF('Item Setup Form'!$AF562="Yes",'Item Setup Form'!L562,"")</f>
        <v/>
      </c>
      <c r="D558" s="81" t="str">
        <f>IF('Item Setup Form'!$AF562="Yes",'Item Setup Form'!M562,"")</f>
        <v/>
      </c>
      <c r="E558" s="70"/>
      <c r="F558" s="70" t="str">
        <f>IF('Item Setup Form'!$AF562="Yes",'Item Setup Form'!G562,"")</f>
        <v/>
      </c>
      <c r="G558" s="70" t="str">
        <f>IF('Item Setup Form'!$AF562="Yes",'Item Setup Form'!H562,"")</f>
        <v/>
      </c>
      <c r="H558" s="70" t="str">
        <f>IF('Item Setup Form'!$AF562="Yes",'Item Setup Form'!V562,"")</f>
        <v/>
      </c>
      <c r="I558" s="70"/>
      <c r="J558" s="70" t="str">
        <f>IF('Item Setup Form'!$AF562="Yes",'Item Setup Form'!U562,"")</f>
        <v/>
      </c>
      <c r="K558" s="70" t="str">
        <f>IF('Item Setup Form'!$AF562="Yes",'Item Setup Form'!V562,"")</f>
        <v/>
      </c>
      <c r="L558" s="70"/>
      <c r="M558" s="70" t="str">
        <f>IF('Item Setup Form'!$AF562="Yes",'Item Setup Form'!A562,"")</f>
        <v/>
      </c>
      <c r="N558" s="70"/>
      <c r="O558" s="70"/>
      <c r="P558" s="70"/>
      <c r="Q558" s="70"/>
      <c r="R558" s="70"/>
      <c r="S558" s="70"/>
      <c r="T558" s="70"/>
      <c r="U558" s="70"/>
      <c r="V558" s="70"/>
      <c r="W558" s="70"/>
      <c r="X558" s="70"/>
      <c r="Y558" s="70"/>
      <c r="Z558" s="70"/>
    </row>
    <row r="559" spans="1:26">
      <c r="A559" s="70" t="str">
        <f>IF('Item Setup Form'!$AF563="Yes",'Item Setup Form'!$E563,"")</f>
        <v/>
      </c>
      <c r="B559" s="70" t="str">
        <f>IF('Item Setup Form'!$AF563="Yes",'Item Setup Form'!D563,"")</f>
        <v/>
      </c>
      <c r="C559" s="81" t="str">
        <f>IF('Item Setup Form'!$AF563="Yes",'Item Setup Form'!L563,"")</f>
        <v/>
      </c>
      <c r="D559" s="81" t="str">
        <f>IF('Item Setup Form'!$AF563="Yes",'Item Setup Form'!M563,"")</f>
        <v/>
      </c>
      <c r="E559" s="70"/>
      <c r="F559" s="70" t="str">
        <f>IF('Item Setup Form'!$AF563="Yes",'Item Setup Form'!G563,"")</f>
        <v/>
      </c>
      <c r="G559" s="70" t="str">
        <f>IF('Item Setup Form'!$AF563="Yes",'Item Setup Form'!H563,"")</f>
        <v/>
      </c>
      <c r="H559" s="70" t="str">
        <f>IF('Item Setup Form'!$AF563="Yes",'Item Setup Form'!V563,"")</f>
        <v/>
      </c>
      <c r="I559" s="70"/>
      <c r="J559" s="70" t="str">
        <f>IF('Item Setup Form'!$AF563="Yes",'Item Setup Form'!U563,"")</f>
        <v/>
      </c>
      <c r="K559" s="70" t="str">
        <f>IF('Item Setup Form'!$AF563="Yes",'Item Setup Form'!V563,"")</f>
        <v/>
      </c>
      <c r="L559" s="70"/>
      <c r="M559" s="70" t="str">
        <f>IF('Item Setup Form'!$AF563="Yes",'Item Setup Form'!A563,"")</f>
        <v/>
      </c>
      <c r="N559" s="70"/>
      <c r="O559" s="70"/>
      <c r="P559" s="70"/>
      <c r="Q559" s="70"/>
      <c r="R559" s="70"/>
      <c r="S559" s="70"/>
      <c r="T559" s="70"/>
      <c r="U559" s="70"/>
      <c r="V559" s="70"/>
      <c r="W559" s="70"/>
      <c r="X559" s="70"/>
      <c r="Y559" s="70"/>
      <c r="Z559" s="70"/>
    </row>
    <row r="560" spans="1:26">
      <c r="A560" s="70" t="str">
        <f>IF('Item Setup Form'!$AF564="Yes",'Item Setup Form'!$E564,"")</f>
        <v/>
      </c>
      <c r="B560" s="70" t="str">
        <f>IF('Item Setup Form'!$AF564="Yes",'Item Setup Form'!D564,"")</f>
        <v/>
      </c>
      <c r="C560" s="81" t="str">
        <f>IF('Item Setup Form'!$AF564="Yes",'Item Setup Form'!L564,"")</f>
        <v/>
      </c>
      <c r="D560" s="81" t="str">
        <f>IF('Item Setup Form'!$AF564="Yes",'Item Setup Form'!M564,"")</f>
        <v/>
      </c>
      <c r="E560" s="70"/>
      <c r="F560" s="70" t="str">
        <f>IF('Item Setup Form'!$AF564="Yes",'Item Setup Form'!G564,"")</f>
        <v/>
      </c>
      <c r="G560" s="70" t="str">
        <f>IF('Item Setup Form'!$AF564="Yes",'Item Setup Form'!H564,"")</f>
        <v/>
      </c>
      <c r="H560" s="70" t="str">
        <f>IF('Item Setup Form'!$AF564="Yes",'Item Setup Form'!V564,"")</f>
        <v/>
      </c>
      <c r="I560" s="70"/>
      <c r="J560" s="70" t="str">
        <f>IF('Item Setup Form'!$AF564="Yes",'Item Setup Form'!U564,"")</f>
        <v/>
      </c>
      <c r="K560" s="70" t="str">
        <f>IF('Item Setup Form'!$AF564="Yes",'Item Setup Form'!V564,"")</f>
        <v/>
      </c>
      <c r="L560" s="70"/>
      <c r="M560" s="70" t="str">
        <f>IF('Item Setup Form'!$AF564="Yes",'Item Setup Form'!A564,"")</f>
        <v/>
      </c>
      <c r="N560" s="70"/>
      <c r="O560" s="70"/>
      <c r="P560" s="70"/>
      <c r="Q560" s="70"/>
      <c r="R560" s="70"/>
      <c r="S560" s="70"/>
      <c r="T560" s="70"/>
      <c r="U560" s="70"/>
      <c r="V560" s="70"/>
      <c r="W560" s="70"/>
      <c r="X560" s="70"/>
      <c r="Y560" s="70"/>
      <c r="Z560" s="70"/>
    </row>
    <row r="561" spans="1:26">
      <c r="A561" s="70" t="str">
        <f>IF('Item Setup Form'!$AF565="Yes",'Item Setup Form'!$E565,"")</f>
        <v/>
      </c>
      <c r="B561" s="70" t="str">
        <f>IF('Item Setup Form'!$AF565="Yes",'Item Setup Form'!D565,"")</f>
        <v/>
      </c>
      <c r="C561" s="81" t="str">
        <f>IF('Item Setup Form'!$AF565="Yes",'Item Setup Form'!L565,"")</f>
        <v/>
      </c>
      <c r="D561" s="81" t="str">
        <f>IF('Item Setup Form'!$AF565="Yes",'Item Setup Form'!M565,"")</f>
        <v/>
      </c>
      <c r="E561" s="70"/>
      <c r="F561" s="70" t="str">
        <f>IF('Item Setup Form'!$AF565="Yes",'Item Setup Form'!G565,"")</f>
        <v/>
      </c>
      <c r="G561" s="70" t="str">
        <f>IF('Item Setup Form'!$AF565="Yes",'Item Setup Form'!H565,"")</f>
        <v/>
      </c>
      <c r="H561" s="70" t="str">
        <f>IF('Item Setup Form'!$AF565="Yes",'Item Setup Form'!V565,"")</f>
        <v/>
      </c>
      <c r="I561" s="70"/>
      <c r="J561" s="70" t="str">
        <f>IF('Item Setup Form'!$AF565="Yes",'Item Setup Form'!U565,"")</f>
        <v/>
      </c>
      <c r="K561" s="70" t="str">
        <f>IF('Item Setup Form'!$AF565="Yes",'Item Setup Form'!V565,"")</f>
        <v/>
      </c>
      <c r="L561" s="70"/>
      <c r="M561" s="70" t="str">
        <f>IF('Item Setup Form'!$AF565="Yes",'Item Setup Form'!A565,"")</f>
        <v/>
      </c>
      <c r="N561" s="70"/>
      <c r="O561" s="70"/>
      <c r="P561" s="70"/>
      <c r="Q561" s="70"/>
      <c r="R561" s="70"/>
      <c r="S561" s="70"/>
      <c r="T561" s="70"/>
      <c r="U561" s="70"/>
      <c r="V561" s="70"/>
      <c r="W561" s="70"/>
      <c r="X561" s="70"/>
      <c r="Y561" s="70"/>
      <c r="Z561" s="70"/>
    </row>
    <row r="562" spans="1:26">
      <c r="A562" s="70" t="str">
        <f>IF('Item Setup Form'!$AF566="Yes",'Item Setup Form'!$E566,"")</f>
        <v/>
      </c>
      <c r="B562" s="70" t="str">
        <f>IF('Item Setup Form'!$AF566="Yes",'Item Setup Form'!D566,"")</f>
        <v/>
      </c>
      <c r="C562" s="81" t="str">
        <f>IF('Item Setup Form'!$AF566="Yes",'Item Setup Form'!L566,"")</f>
        <v/>
      </c>
      <c r="D562" s="81" t="str">
        <f>IF('Item Setup Form'!$AF566="Yes",'Item Setup Form'!M566,"")</f>
        <v/>
      </c>
      <c r="E562" s="70"/>
      <c r="F562" s="70" t="str">
        <f>IF('Item Setup Form'!$AF566="Yes",'Item Setup Form'!G566,"")</f>
        <v/>
      </c>
      <c r="G562" s="70" t="str">
        <f>IF('Item Setup Form'!$AF566="Yes",'Item Setup Form'!H566,"")</f>
        <v/>
      </c>
      <c r="H562" s="70" t="str">
        <f>IF('Item Setup Form'!$AF566="Yes",'Item Setup Form'!V566,"")</f>
        <v/>
      </c>
      <c r="I562" s="70"/>
      <c r="J562" s="70" t="str">
        <f>IF('Item Setup Form'!$AF566="Yes",'Item Setup Form'!U566,"")</f>
        <v/>
      </c>
      <c r="K562" s="70" t="str">
        <f>IF('Item Setup Form'!$AF566="Yes",'Item Setup Form'!V566,"")</f>
        <v/>
      </c>
      <c r="L562" s="70"/>
      <c r="M562" s="70" t="str">
        <f>IF('Item Setup Form'!$AF566="Yes",'Item Setup Form'!A566,"")</f>
        <v/>
      </c>
      <c r="N562" s="70"/>
      <c r="O562" s="70"/>
      <c r="P562" s="70"/>
      <c r="Q562" s="70"/>
      <c r="R562" s="70"/>
      <c r="S562" s="70"/>
      <c r="T562" s="70"/>
      <c r="U562" s="70"/>
      <c r="V562" s="70"/>
      <c r="W562" s="70"/>
      <c r="X562" s="70"/>
      <c r="Y562" s="70"/>
      <c r="Z562" s="70"/>
    </row>
    <row r="563" spans="1:26">
      <c r="A563" s="70" t="str">
        <f>IF('Item Setup Form'!$AF567="Yes",'Item Setup Form'!$E567,"")</f>
        <v/>
      </c>
      <c r="B563" s="70" t="str">
        <f>IF('Item Setup Form'!$AF567="Yes",'Item Setup Form'!D567,"")</f>
        <v/>
      </c>
      <c r="C563" s="81" t="str">
        <f>IF('Item Setup Form'!$AF567="Yes",'Item Setup Form'!L567,"")</f>
        <v/>
      </c>
      <c r="D563" s="81" t="str">
        <f>IF('Item Setup Form'!$AF567="Yes",'Item Setup Form'!M567,"")</f>
        <v/>
      </c>
      <c r="E563" s="70"/>
      <c r="F563" s="70" t="str">
        <f>IF('Item Setup Form'!$AF567="Yes",'Item Setup Form'!G567,"")</f>
        <v/>
      </c>
      <c r="G563" s="70" t="str">
        <f>IF('Item Setup Form'!$AF567="Yes",'Item Setup Form'!H567,"")</f>
        <v/>
      </c>
      <c r="H563" s="70" t="str">
        <f>IF('Item Setup Form'!$AF567="Yes",'Item Setup Form'!V567,"")</f>
        <v/>
      </c>
      <c r="I563" s="70"/>
      <c r="J563" s="70" t="str">
        <f>IF('Item Setup Form'!$AF567="Yes",'Item Setup Form'!U567,"")</f>
        <v/>
      </c>
      <c r="K563" s="70" t="str">
        <f>IF('Item Setup Form'!$AF567="Yes",'Item Setup Form'!V567,"")</f>
        <v/>
      </c>
      <c r="L563" s="70"/>
      <c r="M563" s="70" t="str">
        <f>IF('Item Setup Form'!$AF567="Yes",'Item Setup Form'!A567,"")</f>
        <v/>
      </c>
      <c r="N563" s="70"/>
      <c r="O563" s="70"/>
      <c r="P563" s="70"/>
      <c r="Q563" s="70"/>
      <c r="R563" s="70"/>
      <c r="S563" s="70"/>
      <c r="T563" s="70"/>
      <c r="U563" s="70"/>
      <c r="V563" s="70"/>
      <c r="W563" s="70"/>
      <c r="X563" s="70"/>
      <c r="Y563" s="70"/>
      <c r="Z563" s="70"/>
    </row>
    <row r="564" spans="1:26">
      <c r="A564" s="70" t="str">
        <f>IF('Item Setup Form'!$AF568="Yes",'Item Setup Form'!$E568,"")</f>
        <v/>
      </c>
      <c r="B564" s="70" t="str">
        <f>IF('Item Setup Form'!$AF568="Yes",'Item Setup Form'!D568,"")</f>
        <v/>
      </c>
      <c r="C564" s="81" t="str">
        <f>IF('Item Setup Form'!$AF568="Yes",'Item Setup Form'!L568,"")</f>
        <v/>
      </c>
      <c r="D564" s="81" t="str">
        <f>IF('Item Setup Form'!$AF568="Yes",'Item Setup Form'!M568,"")</f>
        <v/>
      </c>
      <c r="E564" s="70"/>
      <c r="F564" s="70" t="str">
        <f>IF('Item Setup Form'!$AF568="Yes",'Item Setup Form'!G568,"")</f>
        <v/>
      </c>
      <c r="G564" s="70" t="str">
        <f>IF('Item Setup Form'!$AF568="Yes",'Item Setup Form'!H568,"")</f>
        <v/>
      </c>
      <c r="H564" s="70" t="str">
        <f>IF('Item Setup Form'!$AF568="Yes",'Item Setup Form'!V568,"")</f>
        <v/>
      </c>
      <c r="I564" s="70"/>
      <c r="J564" s="70" t="str">
        <f>IF('Item Setup Form'!$AF568="Yes",'Item Setup Form'!U568,"")</f>
        <v/>
      </c>
      <c r="K564" s="70" t="str">
        <f>IF('Item Setup Form'!$AF568="Yes",'Item Setup Form'!V568,"")</f>
        <v/>
      </c>
      <c r="L564" s="70"/>
      <c r="M564" s="70" t="str">
        <f>IF('Item Setup Form'!$AF568="Yes",'Item Setup Form'!A568,"")</f>
        <v/>
      </c>
      <c r="N564" s="70"/>
      <c r="O564" s="70"/>
      <c r="P564" s="70"/>
      <c r="Q564" s="70"/>
      <c r="R564" s="70"/>
      <c r="S564" s="70"/>
      <c r="T564" s="70"/>
      <c r="U564" s="70"/>
      <c r="V564" s="70"/>
      <c r="W564" s="70"/>
      <c r="X564" s="70"/>
      <c r="Y564" s="70"/>
      <c r="Z564" s="70"/>
    </row>
    <row r="565" spans="1:26">
      <c r="A565" s="70" t="str">
        <f>IF('Item Setup Form'!$AF569="Yes",'Item Setup Form'!$E569,"")</f>
        <v/>
      </c>
      <c r="B565" s="70" t="str">
        <f>IF('Item Setup Form'!$AF569="Yes",'Item Setup Form'!D569,"")</f>
        <v/>
      </c>
      <c r="C565" s="81" t="str">
        <f>IF('Item Setup Form'!$AF569="Yes",'Item Setup Form'!L569,"")</f>
        <v/>
      </c>
      <c r="D565" s="81" t="str">
        <f>IF('Item Setup Form'!$AF569="Yes",'Item Setup Form'!M569,"")</f>
        <v/>
      </c>
      <c r="E565" s="70"/>
      <c r="F565" s="70" t="str">
        <f>IF('Item Setup Form'!$AF569="Yes",'Item Setup Form'!G569,"")</f>
        <v/>
      </c>
      <c r="G565" s="70" t="str">
        <f>IF('Item Setup Form'!$AF569="Yes",'Item Setup Form'!H569,"")</f>
        <v/>
      </c>
      <c r="H565" s="70" t="str">
        <f>IF('Item Setup Form'!$AF569="Yes",'Item Setup Form'!V569,"")</f>
        <v/>
      </c>
      <c r="I565" s="70"/>
      <c r="J565" s="70" t="str">
        <f>IF('Item Setup Form'!$AF569="Yes",'Item Setup Form'!U569,"")</f>
        <v/>
      </c>
      <c r="K565" s="70" t="str">
        <f>IF('Item Setup Form'!$AF569="Yes",'Item Setup Form'!V569,"")</f>
        <v/>
      </c>
      <c r="L565" s="70"/>
      <c r="M565" s="70" t="str">
        <f>IF('Item Setup Form'!$AF569="Yes",'Item Setup Form'!A569,"")</f>
        <v/>
      </c>
      <c r="N565" s="70"/>
      <c r="O565" s="70"/>
      <c r="P565" s="70"/>
      <c r="Q565" s="70"/>
      <c r="R565" s="70"/>
      <c r="S565" s="70"/>
      <c r="T565" s="70"/>
      <c r="U565" s="70"/>
      <c r="V565" s="70"/>
      <c r="W565" s="70"/>
      <c r="X565" s="70"/>
      <c r="Y565" s="70"/>
      <c r="Z565" s="70"/>
    </row>
    <row r="566" spans="1:26">
      <c r="A566" s="70" t="str">
        <f>IF('Item Setup Form'!$AF570="Yes",'Item Setup Form'!$E570,"")</f>
        <v/>
      </c>
      <c r="B566" s="70" t="str">
        <f>IF('Item Setup Form'!$AF570="Yes",'Item Setup Form'!D570,"")</f>
        <v/>
      </c>
      <c r="C566" s="81" t="str">
        <f>IF('Item Setup Form'!$AF570="Yes",'Item Setup Form'!L570,"")</f>
        <v/>
      </c>
      <c r="D566" s="81" t="str">
        <f>IF('Item Setup Form'!$AF570="Yes",'Item Setup Form'!M570,"")</f>
        <v/>
      </c>
      <c r="E566" s="70"/>
      <c r="F566" s="70" t="str">
        <f>IF('Item Setup Form'!$AF570="Yes",'Item Setup Form'!G570,"")</f>
        <v/>
      </c>
      <c r="G566" s="70" t="str">
        <f>IF('Item Setup Form'!$AF570="Yes",'Item Setup Form'!H570,"")</f>
        <v/>
      </c>
      <c r="H566" s="70" t="str">
        <f>IF('Item Setup Form'!$AF570="Yes",'Item Setup Form'!V570,"")</f>
        <v/>
      </c>
      <c r="I566" s="70"/>
      <c r="J566" s="70" t="str">
        <f>IF('Item Setup Form'!$AF570="Yes",'Item Setup Form'!U570,"")</f>
        <v/>
      </c>
      <c r="K566" s="70" t="str">
        <f>IF('Item Setup Form'!$AF570="Yes",'Item Setup Form'!V570,"")</f>
        <v/>
      </c>
      <c r="L566" s="70"/>
      <c r="M566" s="70" t="str">
        <f>IF('Item Setup Form'!$AF570="Yes",'Item Setup Form'!A570,"")</f>
        <v/>
      </c>
      <c r="N566" s="70"/>
      <c r="O566" s="70"/>
      <c r="P566" s="70"/>
      <c r="Q566" s="70"/>
      <c r="R566" s="70"/>
      <c r="S566" s="70"/>
      <c r="T566" s="70"/>
      <c r="U566" s="70"/>
      <c r="V566" s="70"/>
      <c r="W566" s="70"/>
      <c r="X566" s="70"/>
      <c r="Y566" s="70"/>
      <c r="Z566" s="70"/>
    </row>
    <row r="567" spans="1:26">
      <c r="A567" s="70" t="str">
        <f>IF('Item Setup Form'!$AF571="Yes",'Item Setup Form'!$E571,"")</f>
        <v/>
      </c>
      <c r="B567" s="70" t="str">
        <f>IF('Item Setup Form'!$AF571="Yes",'Item Setup Form'!D571,"")</f>
        <v/>
      </c>
      <c r="C567" s="81" t="str">
        <f>IF('Item Setup Form'!$AF571="Yes",'Item Setup Form'!L571,"")</f>
        <v/>
      </c>
      <c r="D567" s="81" t="str">
        <f>IF('Item Setup Form'!$AF571="Yes",'Item Setup Form'!M571,"")</f>
        <v/>
      </c>
      <c r="E567" s="70"/>
      <c r="F567" s="70" t="str">
        <f>IF('Item Setup Form'!$AF571="Yes",'Item Setup Form'!G571,"")</f>
        <v/>
      </c>
      <c r="G567" s="70" t="str">
        <f>IF('Item Setup Form'!$AF571="Yes",'Item Setup Form'!H571,"")</f>
        <v/>
      </c>
      <c r="H567" s="70" t="str">
        <f>IF('Item Setup Form'!$AF571="Yes",'Item Setup Form'!V571,"")</f>
        <v/>
      </c>
      <c r="I567" s="70"/>
      <c r="J567" s="70" t="str">
        <f>IF('Item Setup Form'!$AF571="Yes",'Item Setup Form'!U571,"")</f>
        <v/>
      </c>
      <c r="K567" s="70" t="str">
        <f>IF('Item Setup Form'!$AF571="Yes",'Item Setup Form'!V571,"")</f>
        <v/>
      </c>
      <c r="L567" s="70"/>
      <c r="M567" s="70" t="str">
        <f>IF('Item Setup Form'!$AF571="Yes",'Item Setup Form'!A571,"")</f>
        <v/>
      </c>
      <c r="N567" s="70"/>
      <c r="O567" s="70"/>
      <c r="P567" s="70"/>
      <c r="Q567" s="70"/>
      <c r="R567" s="70"/>
      <c r="S567" s="70"/>
      <c r="T567" s="70"/>
      <c r="U567" s="70"/>
      <c r="V567" s="70"/>
      <c r="W567" s="70"/>
      <c r="X567" s="70"/>
      <c r="Y567" s="70"/>
      <c r="Z567" s="70"/>
    </row>
    <row r="568" spans="1:26">
      <c r="A568" s="70" t="str">
        <f>IF('Item Setup Form'!$AF572="Yes",'Item Setup Form'!$E572,"")</f>
        <v/>
      </c>
      <c r="B568" s="70" t="str">
        <f>IF('Item Setup Form'!$AF572="Yes",'Item Setup Form'!D572,"")</f>
        <v/>
      </c>
      <c r="C568" s="81" t="str">
        <f>IF('Item Setup Form'!$AF572="Yes",'Item Setup Form'!L572,"")</f>
        <v/>
      </c>
      <c r="D568" s="81" t="str">
        <f>IF('Item Setup Form'!$AF572="Yes",'Item Setup Form'!M572,"")</f>
        <v/>
      </c>
      <c r="E568" s="70"/>
      <c r="F568" s="70" t="str">
        <f>IF('Item Setup Form'!$AF572="Yes",'Item Setup Form'!G572,"")</f>
        <v/>
      </c>
      <c r="G568" s="70" t="str">
        <f>IF('Item Setup Form'!$AF572="Yes",'Item Setup Form'!H572,"")</f>
        <v/>
      </c>
      <c r="H568" s="70" t="str">
        <f>IF('Item Setup Form'!$AF572="Yes",'Item Setup Form'!V572,"")</f>
        <v/>
      </c>
      <c r="I568" s="70"/>
      <c r="J568" s="70" t="str">
        <f>IF('Item Setup Form'!$AF572="Yes",'Item Setup Form'!U572,"")</f>
        <v/>
      </c>
      <c r="K568" s="70" t="str">
        <f>IF('Item Setup Form'!$AF572="Yes",'Item Setup Form'!V572,"")</f>
        <v/>
      </c>
      <c r="L568" s="70"/>
      <c r="M568" s="70" t="str">
        <f>IF('Item Setup Form'!$AF572="Yes",'Item Setup Form'!A572,"")</f>
        <v/>
      </c>
      <c r="N568" s="70"/>
      <c r="O568" s="70"/>
      <c r="P568" s="70"/>
      <c r="Q568" s="70"/>
      <c r="R568" s="70"/>
      <c r="S568" s="70"/>
      <c r="T568" s="70"/>
      <c r="U568" s="70"/>
      <c r="V568" s="70"/>
      <c r="W568" s="70"/>
      <c r="X568" s="70"/>
      <c r="Y568" s="70"/>
      <c r="Z568" s="70"/>
    </row>
    <row r="569" spans="1:26">
      <c r="A569" s="70" t="str">
        <f>IF('Item Setup Form'!$AF573="Yes",'Item Setup Form'!$E573,"")</f>
        <v/>
      </c>
      <c r="B569" s="70" t="str">
        <f>IF('Item Setup Form'!$AF573="Yes",'Item Setup Form'!D573,"")</f>
        <v/>
      </c>
      <c r="C569" s="81" t="str">
        <f>IF('Item Setup Form'!$AF573="Yes",'Item Setup Form'!L573,"")</f>
        <v/>
      </c>
      <c r="D569" s="81" t="str">
        <f>IF('Item Setup Form'!$AF573="Yes",'Item Setup Form'!M573,"")</f>
        <v/>
      </c>
      <c r="E569" s="70"/>
      <c r="F569" s="70" t="str">
        <f>IF('Item Setup Form'!$AF573="Yes",'Item Setup Form'!G573,"")</f>
        <v/>
      </c>
      <c r="G569" s="70" t="str">
        <f>IF('Item Setup Form'!$AF573="Yes",'Item Setup Form'!H573,"")</f>
        <v/>
      </c>
      <c r="H569" s="70" t="str">
        <f>IF('Item Setup Form'!$AF573="Yes",'Item Setup Form'!V573,"")</f>
        <v/>
      </c>
      <c r="I569" s="70"/>
      <c r="J569" s="70" t="str">
        <f>IF('Item Setup Form'!$AF573="Yes",'Item Setup Form'!U573,"")</f>
        <v/>
      </c>
      <c r="K569" s="70" t="str">
        <f>IF('Item Setup Form'!$AF573="Yes",'Item Setup Form'!V573,"")</f>
        <v/>
      </c>
      <c r="L569" s="70"/>
      <c r="M569" s="70" t="str">
        <f>IF('Item Setup Form'!$AF573="Yes",'Item Setup Form'!A573,"")</f>
        <v/>
      </c>
      <c r="N569" s="70"/>
      <c r="O569" s="70"/>
      <c r="P569" s="70"/>
      <c r="Q569" s="70"/>
      <c r="R569" s="70"/>
      <c r="S569" s="70"/>
      <c r="T569" s="70"/>
      <c r="U569" s="70"/>
      <c r="V569" s="70"/>
      <c r="W569" s="70"/>
      <c r="X569" s="70"/>
      <c r="Y569" s="70"/>
      <c r="Z569" s="70"/>
    </row>
    <row r="570" spans="1:26">
      <c r="A570" s="70" t="str">
        <f>IF('Item Setup Form'!$AF574="Yes",'Item Setup Form'!$E574,"")</f>
        <v/>
      </c>
      <c r="B570" s="70" t="str">
        <f>IF('Item Setup Form'!$AF574="Yes",'Item Setup Form'!D574,"")</f>
        <v/>
      </c>
      <c r="C570" s="81" t="str">
        <f>IF('Item Setup Form'!$AF574="Yes",'Item Setup Form'!L574,"")</f>
        <v/>
      </c>
      <c r="D570" s="81" t="str">
        <f>IF('Item Setup Form'!$AF574="Yes",'Item Setup Form'!M574,"")</f>
        <v/>
      </c>
      <c r="E570" s="70"/>
      <c r="F570" s="70" t="str">
        <f>IF('Item Setup Form'!$AF574="Yes",'Item Setup Form'!G574,"")</f>
        <v/>
      </c>
      <c r="G570" s="70" t="str">
        <f>IF('Item Setup Form'!$AF574="Yes",'Item Setup Form'!H574,"")</f>
        <v/>
      </c>
      <c r="H570" s="70" t="str">
        <f>IF('Item Setup Form'!$AF574="Yes",'Item Setup Form'!V574,"")</f>
        <v/>
      </c>
      <c r="I570" s="70"/>
      <c r="J570" s="70" t="str">
        <f>IF('Item Setup Form'!$AF574="Yes",'Item Setup Form'!U574,"")</f>
        <v/>
      </c>
      <c r="K570" s="70" t="str">
        <f>IF('Item Setup Form'!$AF574="Yes",'Item Setup Form'!V574,"")</f>
        <v/>
      </c>
      <c r="L570" s="70"/>
      <c r="M570" s="70" t="str">
        <f>IF('Item Setup Form'!$AF574="Yes",'Item Setup Form'!A574,"")</f>
        <v/>
      </c>
      <c r="N570" s="70"/>
      <c r="O570" s="70"/>
      <c r="P570" s="70"/>
      <c r="Q570" s="70"/>
      <c r="R570" s="70"/>
      <c r="S570" s="70"/>
      <c r="T570" s="70"/>
      <c r="U570" s="70"/>
      <c r="V570" s="70"/>
      <c r="W570" s="70"/>
      <c r="X570" s="70"/>
      <c r="Y570" s="70"/>
      <c r="Z570" s="70"/>
    </row>
    <row r="571" spans="1:26">
      <c r="A571" s="70" t="str">
        <f>IF('Item Setup Form'!$AF575="Yes",'Item Setup Form'!$E575,"")</f>
        <v/>
      </c>
      <c r="B571" s="70" t="str">
        <f>IF('Item Setup Form'!$AF575="Yes",'Item Setup Form'!D575,"")</f>
        <v/>
      </c>
      <c r="C571" s="81" t="str">
        <f>IF('Item Setup Form'!$AF575="Yes",'Item Setup Form'!L575,"")</f>
        <v/>
      </c>
      <c r="D571" s="81" t="str">
        <f>IF('Item Setup Form'!$AF575="Yes",'Item Setup Form'!M575,"")</f>
        <v/>
      </c>
      <c r="E571" s="70"/>
      <c r="F571" s="70" t="str">
        <f>IF('Item Setup Form'!$AF575="Yes",'Item Setup Form'!G575,"")</f>
        <v/>
      </c>
      <c r="G571" s="70" t="str">
        <f>IF('Item Setup Form'!$AF575="Yes",'Item Setup Form'!H575,"")</f>
        <v/>
      </c>
      <c r="H571" s="70" t="str">
        <f>IF('Item Setup Form'!$AF575="Yes",'Item Setup Form'!V575,"")</f>
        <v/>
      </c>
      <c r="I571" s="70"/>
      <c r="J571" s="70" t="str">
        <f>IF('Item Setup Form'!$AF575="Yes",'Item Setup Form'!U575,"")</f>
        <v/>
      </c>
      <c r="K571" s="70" t="str">
        <f>IF('Item Setup Form'!$AF575="Yes",'Item Setup Form'!V575,"")</f>
        <v/>
      </c>
      <c r="L571" s="70"/>
      <c r="M571" s="70" t="str">
        <f>IF('Item Setup Form'!$AF575="Yes",'Item Setup Form'!A575,"")</f>
        <v/>
      </c>
      <c r="N571" s="70"/>
      <c r="O571" s="70"/>
      <c r="P571" s="70"/>
      <c r="Q571" s="70"/>
      <c r="R571" s="70"/>
      <c r="S571" s="70"/>
      <c r="T571" s="70"/>
      <c r="U571" s="70"/>
      <c r="V571" s="70"/>
      <c r="W571" s="70"/>
      <c r="X571" s="70"/>
      <c r="Y571" s="70"/>
      <c r="Z571" s="70"/>
    </row>
    <row r="572" spans="1:26">
      <c r="A572" s="70" t="str">
        <f>IF('Item Setup Form'!$AF576="Yes",'Item Setup Form'!$E576,"")</f>
        <v/>
      </c>
      <c r="B572" s="70" t="str">
        <f>IF('Item Setup Form'!$AF576="Yes",'Item Setup Form'!D576,"")</f>
        <v/>
      </c>
      <c r="C572" s="81" t="str">
        <f>IF('Item Setup Form'!$AF576="Yes",'Item Setup Form'!L576,"")</f>
        <v/>
      </c>
      <c r="D572" s="81" t="str">
        <f>IF('Item Setup Form'!$AF576="Yes",'Item Setup Form'!M576,"")</f>
        <v/>
      </c>
      <c r="E572" s="70"/>
      <c r="F572" s="70" t="str">
        <f>IF('Item Setup Form'!$AF576="Yes",'Item Setup Form'!G576,"")</f>
        <v/>
      </c>
      <c r="G572" s="70" t="str">
        <f>IF('Item Setup Form'!$AF576="Yes",'Item Setup Form'!H576,"")</f>
        <v/>
      </c>
      <c r="H572" s="70" t="str">
        <f>IF('Item Setup Form'!$AF576="Yes",'Item Setup Form'!V576,"")</f>
        <v/>
      </c>
      <c r="I572" s="70"/>
      <c r="J572" s="70" t="str">
        <f>IF('Item Setup Form'!$AF576="Yes",'Item Setup Form'!U576,"")</f>
        <v/>
      </c>
      <c r="K572" s="70" t="str">
        <f>IF('Item Setup Form'!$AF576="Yes",'Item Setup Form'!V576,"")</f>
        <v/>
      </c>
      <c r="L572" s="70"/>
      <c r="M572" s="70" t="str">
        <f>IF('Item Setup Form'!$AF576="Yes",'Item Setup Form'!A576,"")</f>
        <v/>
      </c>
      <c r="N572" s="70"/>
      <c r="O572" s="70"/>
      <c r="P572" s="70"/>
      <c r="Q572" s="70"/>
      <c r="R572" s="70"/>
      <c r="S572" s="70"/>
      <c r="T572" s="70"/>
      <c r="U572" s="70"/>
      <c r="V572" s="70"/>
      <c r="W572" s="70"/>
      <c r="X572" s="70"/>
      <c r="Y572" s="70"/>
      <c r="Z572" s="70"/>
    </row>
    <row r="573" spans="1:26">
      <c r="A573" s="70" t="str">
        <f>IF('Item Setup Form'!$AF577="Yes",'Item Setup Form'!$E577,"")</f>
        <v/>
      </c>
      <c r="B573" s="70" t="str">
        <f>IF('Item Setup Form'!$AF577="Yes",'Item Setup Form'!D577,"")</f>
        <v/>
      </c>
      <c r="C573" s="81" t="str">
        <f>IF('Item Setup Form'!$AF577="Yes",'Item Setup Form'!L577,"")</f>
        <v/>
      </c>
      <c r="D573" s="81" t="str">
        <f>IF('Item Setup Form'!$AF577="Yes",'Item Setup Form'!M577,"")</f>
        <v/>
      </c>
      <c r="E573" s="70"/>
      <c r="F573" s="70" t="str">
        <f>IF('Item Setup Form'!$AF577="Yes",'Item Setup Form'!G577,"")</f>
        <v/>
      </c>
      <c r="G573" s="70" t="str">
        <f>IF('Item Setup Form'!$AF577="Yes",'Item Setup Form'!H577,"")</f>
        <v/>
      </c>
      <c r="H573" s="70" t="str">
        <f>IF('Item Setup Form'!$AF577="Yes",'Item Setup Form'!V577,"")</f>
        <v/>
      </c>
      <c r="I573" s="70"/>
      <c r="J573" s="70" t="str">
        <f>IF('Item Setup Form'!$AF577="Yes",'Item Setup Form'!U577,"")</f>
        <v/>
      </c>
      <c r="K573" s="70" t="str">
        <f>IF('Item Setup Form'!$AF577="Yes",'Item Setup Form'!V577,"")</f>
        <v/>
      </c>
      <c r="L573" s="70"/>
      <c r="M573" s="70" t="str">
        <f>IF('Item Setup Form'!$AF577="Yes",'Item Setup Form'!A577,"")</f>
        <v/>
      </c>
      <c r="N573" s="70"/>
      <c r="O573" s="70"/>
      <c r="P573" s="70"/>
      <c r="Q573" s="70"/>
      <c r="R573" s="70"/>
      <c r="S573" s="70"/>
      <c r="T573" s="70"/>
      <c r="U573" s="70"/>
      <c r="V573" s="70"/>
      <c r="W573" s="70"/>
      <c r="X573" s="70"/>
      <c r="Y573" s="70"/>
      <c r="Z573" s="70"/>
    </row>
    <row r="574" spans="1:26">
      <c r="A574" s="70" t="str">
        <f>IF('Item Setup Form'!$AF578="Yes",'Item Setup Form'!$E578,"")</f>
        <v/>
      </c>
      <c r="B574" s="70" t="str">
        <f>IF('Item Setup Form'!$AF578="Yes",'Item Setup Form'!D578,"")</f>
        <v/>
      </c>
      <c r="C574" s="81" t="str">
        <f>IF('Item Setup Form'!$AF578="Yes",'Item Setup Form'!L578,"")</f>
        <v/>
      </c>
      <c r="D574" s="81" t="str">
        <f>IF('Item Setup Form'!$AF578="Yes",'Item Setup Form'!M578,"")</f>
        <v/>
      </c>
      <c r="E574" s="70"/>
      <c r="F574" s="70" t="str">
        <f>IF('Item Setup Form'!$AF578="Yes",'Item Setup Form'!G578,"")</f>
        <v/>
      </c>
      <c r="G574" s="70" t="str">
        <f>IF('Item Setup Form'!$AF578="Yes",'Item Setup Form'!H578,"")</f>
        <v/>
      </c>
      <c r="H574" s="70" t="str">
        <f>IF('Item Setup Form'!$AF578="Yes",'Item Setup Form'!V578,"")</f>
        <v/>
      </c>
      <c r="I574" s="70"/>
      <c r="J574" s="70" t="str">
        <f>IF('Item Setup Form'!$AF578="Yes",'Item Setup Form'!U578,"")</f>
        <v/>
      </c>
      <c r="K574" s="70" t="str">
        <f>IF('Item Setup Form'!$AF578="Yes",'Item Setup Form'!V578,"")</f>
        <v/>
      </c>
      <c r="L574" s="70"/>
      <c r="M574" s="70" t="str">
        <f>IF('Item Setup Form'!$AF578="Yes",'Item Setup Form'!A578,"")</f>
        <v/>
      </c>
      <c r="N574" s="70"/>
      <c r="O574" s="70"/>
      <c r="P574" s="70"/>
      <c r="Q574" s="70"/>
      <c r="R574" s="70"/>
      <c r="S574" s="70"/>
      <c r="T574" s="70"/>
      <c r="U574" s="70"/>
      <c r="V574" s="70"/>
      <c r="W574" s="70"/>
      <c r="X574" s="70"/>
      <c r="Y574" s="70"/>
      <c r="Z574" s="70"/>
    </row>
    <row r="575" spans="1:26">
      <c r="A575" s="70" t="str">
        <f>IF('Item Setup Form'!$AF579="Yes",'Item Setup Form'!$E579,"")</f>
        <v/>
      </c>
      <c r="B575" s="70" t="str">
        <f>IF('Item Setup Form'!$AF579="Yes",'Item Setup Form'!D579,"")</f>
        <v/>
      </c>
      <c r="C575" s="81" t="str">
        <f>IF('Item Setup Form'!$AF579="Yes",'Item Setup Form'!L579,"")</f>
        <v/>
      </c>
      <c r="D575" s="81" t="str">
        <f>IF('Item Setup Form'!$AF579="Yes",'Item Setup Form'!M579,"")</f>
        <v/>
      </c>
      <c r="E575" s="70"/>
      <c r="F575" s="70" t="str">
        <f>IF('Item Setup Form'!$AF579="Yes",'Item Setup Form'!G579,"")</f>
        <v/>
      </c>
      <c r="G575" s="70" t="str">
        <f>IF('Item Setup Form'!$AF579="Yes",'Item Setup Form'!H579,"")</f>
        <v/>
      </c>
      <c r="H575" s="70" t="str">
        <f>IF('Item Setup Form'!$AF579="Yes",'Item Setup Form'!V579,"")</f>
        <v/>
      </c>
      <c r="I575" s="70"/>
      <c r="J575" s="70" t="str">
        <f>IF('Item Setup Form'!$AF579="Yes",'Item Setup Form'!U579,"")</f>
        <v/>
      </c>
      <c r="K575" s="70" t="str">
        <f>IF('Item Setup Form'!$AF579="Yes",'Item Setup Form'!V579,"")</f>
        <v/>
      </c>
      <c r="L575" s="70"/>
      <c r="M575" s="70" t="str">
        <f>IF('Item Setup Form'!$AF579="Yes",'Item Setup Form'!A579,"")</f>
        <v/>
      </c>
      <c r="N575" s="70"/>
      <c r="O575" s="70"/>
      <c r="P575" s="70"/>
      <c r="Q575" s="70"/>
      <c r="R575" s="70"/>
      <c r="S575" s="70"/>
      <c r="T575" s="70"/>
      <c r="U575" s="70"/>
      <c r="V575" s="70"/>
      <c r="W575" s="70"/>
      <c r="X575" s="70"/>
      <c r="Y575" s="70"/>
      <c r="Z575" s="70"/>
    </row>
    <row r="576" spans="1:26">
      <c r="A576" s="70" t="str">
        <f>IF('Item Setup Form'!$AF580="Yes",'Item Setup Form'!$E580,"")</f>
        <v/>
      </c>
      <c r="B576" s="70" t="str">
        <f>IF('Item Setup Form'!$AF580="Yes",'Item Setup Form'!D580,"")</f>
        <v/>
      </c>
      <c r="C576" s="81" t="str">
        <f>IF('Item Setup Form'!$AF580="Yes",'Item Setup Form'!L580,"")</f>
        <v/>
      </c>
      <c r="D576" s="81" t="str">
        <f>IF('Item Setup Form'!$AF580="Yes",'Item Setup Form'!M580,"")</f>
        <v/>
      </c>
      <c r="E576" s="70"/>
      <c r="F576" s="70" t="str">
        <f>IF('Item Setup Form'!$AF580="Yes",'Item Setup Form'!G580,"")</f>
        <v/>
      </c>
      <c r="G576" s="70" t="str">
        <f>IF('Item Setup Form'!$AF580="Yes",'Item Setup Form'!H580,"")</f>
        <v/>
      </c>
      <c r="H576" s="70" t="str">
        <f>IF('Item Setup Form'!$AF580="Yes",'Item Setup Form'!V580,"")</f>
        <v/>
      </c>
      <c r="I576" s="70"/>
      <c r="J576" s="70" t="str">
        <f>IF('Item Setup Form'!$AF580="Yes",'Item Setup Form'!U580,"")</f>
        <v/>
      </c>
      <c r="K576" s="70" t="str">
        <f>IF('Item Setup Form'!$AF580="Yes",'Item Setup Form'!V580,"")</f>
        <v/>
      </c>
      <c r="L576" s="70"/>
      <c r="M576" s="70" t="str">
        <f>IF('Item Setup Form'!$AF580="Yes",'Item Setup Form'!A580,"")</f>
        <v/>
      </c>
      <c r="N576" s="70"/>
      <c r="O576" s="70"/>
      <c r="P576" s="70"/>
      <c r="Q576" s="70"/>
      <c r="R576" s="70"/>
      <c r="S576" s="70"/>
      <c r="T576" s="70"/>
      <c r="U576" s="70"/>
      <c r="V576" s="70"/>
      <c r="W576" s="70"/>
      <c r="X576" s="70"/>
      <c r="Y576" s="70"/>
      <c r="Z576" s="70"/>
    </row>
    <row r="577" spans="1:26">
      <c r="A577" s="70" t="str">
        <f>IF('Item Setup Form'!$AF581="Yes",'Item Setup Form'!$E581,"")</f>
        <v/>
      </c>
      <c r="B577" s="70" t="str">
        <f>IF('Item Setup Form'!$AF581="Yes",'Item Setup Form'!D581,"")</f>
        <v/>
      </c>
      <c r="C577" s="81" t="str">
        <f>IF('Item Setup Form'!$AF581="Yes",'Item Setup Form'!L581,"")</f>
        <v/>
      </c>
      <c r="D577" s="81" t="str">
        <f>IF('Item Setup Form'!$AF581="Yes",'Item Setup Form'!M581,"")</f>
        <v/>
      </c>
      <c r="E577" s="70"/>
      <c r="F577" s="70" t="str">
        <f>IF('Item Setup Form'!$AF581="Yes",'Item Setup Form'!G581,"")</f>
        <v/>
      </c>
      <c r="G577" s="70" t="str">
        <f>IF('Item Setup Form'!$AF581="Yes",'Item Setup Form'!H581,"")</f>
        <v/>
      </c>
      <c r="H577" s="70" t="str">
        <f>IF('Item Setup Form'!$AF581="Yes",'Item Setup Form'!V581,"")</f>
        <v/>
      </c>
      <c r="I577" s="70"/>
      <c r="J577" s="70" t="str">
        <f>IF('Item Setup Form'!$AF581="Yes",'Item Setup Form'!U581,"")</f>
        <v/>
      </c>
      <c r="K577" s="70" t="str">
        <f>IF('Item Setup Form'!$AF581="Yes",'Item Setup Form'!V581,"")</f>
        <v/>
      </c>
      <c r="L577" s="70"/>
      <c r="M577" s="70" t="str">
        <f>IF('Item Setup Form'!$AF581="Yes",'Item Setup Form'!A581,"")</f>
        <v/>
      </c>
      <c r="N577" s="70"/>
      <c r="O577" s="70"/>
      <c r="P577" s="70"/>
      <c r="Q577" s="70"/>
      <c r="R577" s="70"/>
      <c r="S577" s="70"/>
      <c r="T577" s="70"/>
      <c r="U577" s="70"/>
      <c r="V577" s="70"/>
      <c r="W577" s="70"/>
      <c r="X577" s="70"/>
      <c r="Y577" s="70"/>
      <c r="Z577" s="70"/>
    </row>
    <row r="578" spans="1:26">
      <c r="A578" s="70" t="str">
        <f>IF('Item Setup Form'!$AF582="Yes",'Item Setup Form'!$E582,"")</f>
        <v/>
      </c>
      <c r="B578" s="70" t="str">
        <f>IF('Item Setup Form'!$AF582="Yes",'Item Setup Form'!D582,"")</f>
        <v/>
      </c>
      <c r="C578" s="81" t="str">
        <f>IF('Item Setup Form'!$AF582="Yes",'Item Setup Form'!L582,"")</f>
        <v/>
      </c>
      <c r="D578" s="81" t="str">
        <f>IF('Item Setup Form'!$AF582="Yes",'Item Setup Form'!M582,"")</f>
        <v/>
      </c>
      <c r="E578" s="70"/>
      <c r="F578" s="70" t="str">
        <f>IF('Item Setup Form'!$AF582="Yes",'Item Setup Form'!G582,"")</f>
        <v/>
      </c>
      <c r="G578" s="70" t="str">
        <f>IF('Item Setup Form'!$AF582="Yes",'Item Setup Form'!H582,"")</f>
        <v/>
      </c>
      <c r="H578" s="70" t="str">
        <f>IF('Item Setup Form'!$AF582="Yes",'Item Setup Form'!V582,"")</f>
        <v/>
      </c>
      <c r="I578" s="70"/>
      <c r="J578" s="70" t="str">
        <f>IF('Item Setup Form'!$AF582="Yes",'Item Setup Form'!U582,"")</f>
        <v/>
      </c>
      <c r="K578" s="70" t="str">
        <f>IF('Item Setup Form'!$AF582="Yes",'Item Setup Form'!V582,"")</f>
        <v/>
      </c>
      <c r="L578" s="70"/>
      <c r="M578" s="70" t="str">
        <f>IF('Item Setup Form'!$AF582="Yes",'Item Setup Form'!A582,"")</f>
        <v/>
      </c>
      <c r="N578" s="70"/>
      <c r="O578" s="70"/>
      <c r="P578" s="70"/>
      <c r="Q578" s="70"/>
      <c r="R578" s="70"/>
      <c r="S578" s="70"/>
      <c r="T578" s="70"/>
      <c r="U578" s="70"/>
      <c r="V578" s="70"/>
      <c r="W578" s="70"/>
      <c r="X578" s="70"/>
      <c r="Y578" s="70"/>
      <c r="Z578" s="70"/>
    </row>
    <row r="579" spans="1:26">
      <c r="A579" s="70" t="str">
        <f>IF('Item Setup Form'!$AF583="Yes",'Item Setup Form'!$E583,"")</f>
        <v/>
      </c>
      <c r="B579" s="70" t="str">
        <f>IF('Item Setup Form'!$AF583="Yes",'Item Setup Form'!D583,"")</f>
        <v/>
      </c>
      <c r="C579" s="81" t="str">
        <f>IF('Item Setup Form'!$AF583="Yes",'Item Setup Form'!L583,"")</f>
        <v/>
      </c>
      <c r="D579" s="81" t="str">
        <f>IF('Item Setup Form'!$AF583="Yes",'Item Setup Form'!M583,"")</f>
        <v/>
      </c>
      <c r="E579" s="70"/>
      <c r="F579" s="70" t="str">
        <f>IF('Item Setup Form'!$AF583="Yes",'Item Setup Form'!G583,"")</f>
        <v/>
      </c>
      <c r="G579" s="70" t="str">
        <f>IF('Item Setup Form'!$AF583="Yes",'Item Setup Form'!H583,"")</f>
        <v/>
      </c>
      <c r="H579" s="70" t="str">
        <f>IF('Item Setup Form'!$AF583="Yes",'Item Setup Form'!V583,"")</f>
        <v/>
      </c>
      <c r="I579" s="70"/>
      <c r="J579" s="70" t="str">
        <f>IF('Item Setup Form'!$AF583="Yes",'Item Setup Form'!U583,"")</f>
        <v/>
      </c>
      <c r="K579" s="70" t="str">
        <f>IF('Item Setup Form'!$AF583="Yes",'Item Setup Form'!V583,"")</f>
        <v/>
      </c>
      <c r="L579" s="70"/>
      <c r="M579" s="70" t="str">
        <f>IF('Item Setup Form'!$AF583="Yes",'Item Setup Form'!A583,"")</f>
        <v/>
      </c>
      <c r="N579" s="70"/>
      <c r="O579" s="70"/>
      <c r="P579" s="70"/>
      <c r="Q579" s="70"/>
      <c r="R579" s="70"/>
      <c r="S579" s="70"/>
      <c r="T579" s="70"/>
      <c r="U579" s="70"/>
      <c r="V579" s="70"/>
      <c r="W579" s="70"/>
      <c r="X579" s="70"/>
      <c r="Y579" s="70"/>
      <c r="Z579" s="70"/>
    </row>
    <row r="580" spans="1:26">
      <c r="A580" s="70" t="str">
        <f>IF('Item Setup Form'!$AF584="Yes",'Item Setup Form'!$E584,"")</f>
        <v/>
      </c>
      <c r="B580" s="70" t="str">
        <f>IF('Item Setup Form'!$AF584="Yes",'Item Setup Form'!D584,"")</f>
        <v/>
      </c>
      <c r="C580" s="81" t="str">
        <f>IF('Item Setup Form'!$AF584="Yes",'Item Setup Form'!L584,"")</f>
        <v/>
      </c>
      <c r="D580" s="81" t="str">
        <f>IF('Item Setup Form'!$AF584="Yes",'Item Setup Form'!M584,"")</f>
        <v/>
      </c>
      <c r="E580" s="70"/>
      <c r="F580" s="70" t="str">
        <f>IF('Item Setup Form'!$AF584="Yes",'Item Setup Form'!G584,"")</f>
        <v/>
      </c>
      <c r="G580" s="70" t="str">
        <f>IF('Item Setup Form'!$AF584="Yes",'Item Setup Form'!H584,"")</f>
        <v/>
      </c>
      <c r="H580" s="70" t="str">
        <f>IF('Item Setup Form'!$AF584="Yes",'Item Setup Form'!V584,"")</f>
        <v/>
      </c>
      <c r="I580" s="70"/>
      <c r="J580" s="70" t="str">
        <f>IF('Item Setup Form'!$AF584="Yes",'Item Setup Form'!U584,"")</f>
        <v/>
      </c>
      <c r="K580" s="70" t="str">
        <f>IF('Item Setup Form'!$AF584="Yes",'Item Setup Form'!V584,"")</f>
        <v/>
      </c>
      <c r="L580" s="70"/>
      <c r="M580" s="70" t="str">
        <f>IF('Item Setup Form'!$AF584="Yes",'Item Setup Form'!A584,"")</f>
        <v/>
      </c>
      <c r="N580" s="70"/>
      <c r="O580" s="70"/>
      <c r="P580" s="70"/>
      <c r="Q580" s="70"/>
      <c r="R580" s="70"/>
      <c r="S580" s="70"/>
      <c r="T580" s="70"/>
      <c r="U580" s="70"/>
      <c r="V580" s="70"/>
      <c r="W580" s="70"/>
      <c r="X580" s="70"/>
      <c r="Y580" s="70"/>
      <c r="Z580" s="70"/>
    </row>
    <row r="581" spans="1:26">
      <c r="A581" s="70" t="str">
        <f>IF('Item Setup Form'!$AF585="Yes",'Item Setup Form'!$E585,"")</f>
        <v/>
      </c>
      <c r="B581" s="70" t="str">
        <f>IF('Item Setup Form'!$AF585="Yes",'Item Setup Form'!D585,"")</f>
        <v/>
      </c>
      <c r="C581" s="81" t="str">
        <f>IF('Item Setup Form'!$AF585="Yes",'Item Setup Form'!L585,"")</f>
        <v/>
      </c>
      <c r="D581" s="81" t="str">
        <f>IF('Item Setup Form'!$AF585="Yes",'Item Setup Form'!M585,"")</f>
        <v/>
      </c>
      <c r="E581" s="70"/>
      <c r="F581" s="70" t="str">
        <f>IF('Item Setup Form'!$AF585="Yes",'Item Setup Form'!G585,"")</f>
        <v/>
      </c>
      <c r="G581" s="70" t="str">
        <f>IF('Item Setup Form'!$AF585="Yes",'Item Setup Form'!H585,"")</f>
        <v/>
      </c>
      <c r="H581" s="70" t="str">
        <f>IF('Item Setup Form'!$AF585="Yes",'Item Setup Form'!V585,"")</f>
        <v/>
      </c>
      <c r="I581" s="70"/>
      <c r="J581" s="70" t="str">
        <f>IF('Item Setup Form'!$AF585="Yes",'Item Setup Form'!U585,"")</f>
        <v/>
      </c>
      <c r="K581" s="70" t="str">
        <f>IF('Item Setup Form'!$AF585="Yes",'Item Setup Form'!V585,"")</f>
        <v/>
      </c>
      <c r="L581" s="70"/>
      <c r="M581" s="70" t="str">
        <f>IF('Item Setup Form'!$AF585="Yes",'Item Setup Form'!A585,"")</f>
        <v/>
      </c>
      <c r="N581" s="70"/>
      <c r="O581" s="70"/>
      <c r="P581" s="70"/>
      <c r="Q581" s="70"/>
      <c r="R581" s="70"/>
      <c r="S581" s="70"/>
      <c r="T581" s="70"/>
      <c r="U581" s="70"/>
      <c r="V581" s="70"/>
      <c r="W581" s="70"/>
      <c r="X581" s="70"/>
      <c r="Y581" s="70"/>
      <c r="Z581" s="70"/>
    </row>
    <row r="582" spans="1:26">
      <c r="A582" s="70" t="str">
        <f>IF('Item Setup Form'!$AF586="Yes",'Item Setup Form'!$E586,"")</f>
        <v/>
      </c>
      <c r="B582" s="70" t="str">
        <f>IF('Item Setup Form'!$AF586="Yes",'Item Setup Form'!D586,"")</f>
        <v/>
      </c>
      <c r="C582" s="81" t="str">
        <f>IF('Item Setup Form'!$AF586="Yes",'Item Setup Form'!L586,"")</f>
        <v/>
      </c>
      <c r="D582" s="81" t="str">
        <f>IF('Item Setup Form'!$AF586="Yes",'Item Setup Form'!M586,"")</f>
        <v/>
      </c>
      <c r="E582" s="70"/>
      <c r="F582" s="70" t="str">
        <f>IF('Item Setup Form'!$AF586="Yes",'Item Setup Form'!G586,"")</f>
        <v/>
      </c>
      <c r="G582" s="70" t="str">
        <f>IF('Item Setup Form'!$AF586="Yes",'Item Setup Form'!H586,"")</f>
        <v/>
      </c>
      <c r="H582" s="70" t="str">
        <f>IF('Item Setup Form'!$AF586="Yes",'Item Setup Form'!V586,"")</f>
        <v/>
      </c>
      <c r="I582" s="70"/>
      <c r="J582" s="70" t="str">
        <f>IF('Item Setup Form'!$AF586="Yes",'Item Setup Form'!U586,"")</f>
        <v/>
      </c>
      <c r="K582" s="70" t="str">
        <f>IF('Item Setup Form'!$AF586="Yes",'Item Setup Form'!V586,"")</f>
        <v/>
      </c>
      <c r="L582" s="70"/>
      <c r="M582" s="70" t="str">
        <f>IF('Item Setup Form'!$AF586="Yes",'Item Setup Form'!A586,"")</f>
        <v/>
      </c>
      <c r="N582" s="70"/>
      <c r="O582" s="70"/>
      <c r="P582" s="70"/>
      <c r="Q582" s="70"/>
      <c r="R582" s="70"/>
      <c r="S582" s="70"/>
      <c r="T582" s="70"/>
      <c r="U582" s="70"/>
      <c r="V582" s="70"/>
      <c r="W582" s="70"/>
      <c r="X582" s="70"/>
      <c r="Y582" s="70"/>
      <c r="Z582" s="70"/>
    </row>
    <row r="583" spans="1:26">
      <c r="A583" s="70" t="str">
        <f>IF('Item Setup Form'!$AF587="Yes",'Item Setup Form'!$E587,"")</f>
        <v/>
      </c>
      <c r="B583" s="70" t="str">
        <f>IF('Item Setup Form'!$AF587="Yes",'Item Setup Form'!D587,"")</f>
        <v/>
      </c>
      <c r="C583" s="81" t="str">
        <f>IF('Item Setup Form'!$AF587="Yes",'Item Setup Form'!L587,"")</f>
        <v/>
      </c>
      <c r="D583" s="81" t="str">
        <f>IF('Item Setup Form'!$AF587="Yes",'Item Setup Form'!M587,"")</f>
        <v/>
      </c>
      <c r="E583" s="70"/>
      <c r="F583" s="70" t="str">
        <f>IF('Item Setup Form'!$AF587="Yes",'Item Setup Form'!G587,"")</f>
        <v/>
      </c>
      <c r="G583" s="70" t="str">
        <f>IF('Item Setup Form'!$AF587="Yes",'Item Setup Form'!H587,"")</f>
        <v/>
      </c>
      <c r="H583" s="70" t="str">
        <f>IF('Item Setup Form'!$AF587="Yes",'Item Setup Form'!V587,"")</f>
        <v/>
      </c>
      <c r="I583" s="70"/>
      <c r="J583" s="70" t="str">
        <f>IF('Item Setup Form'!$AF587="Yes",'Item Setup Form'!U587,"")</f>
        <v/>
      </c>
      <c r="K583" s="70" t="str">
        <f>IF('Item Setup Form'!$AF587="Yes",'Item Setup Form'!V587,"")</f>
        <v/>
      </c>
      <c r="L583" s="70"/>
      <c r="M583" s="70" t="str">
        <f>IF('Item Setup Form'!$AF587="Yes",'Item Setup Form'!A587,"")</f>
        <v/>
      </c>
      <c r="N583" s="70"/>
      <c r="O583" s="70"/>
      <c r="P583" s="70"/>
      <c r="Q583" s="70"/>
      <c r="R583" s="70"/>
      <c r="S583" s="70"/>
      <c r="T583" s="70"/>
      <c r="U583" s="70"/>
      <c r="V583" s="70"/>
      <c r="W583" s="70"/>
      <c r="X583" s="70"/>
      <c r="Y583" s="70"/>
      <c r="Z583" s="70"/>
    </row>
    <row r="584" spans="1:26">
      <c r="A584" s="70" t="str">
        <f>IF('Item Setup Form'!$AF588="Yes",'Item Setup Form'!$E588,"")</f>
        <v/>
      </c>
      <c r="B584" s="70" t="str">
        <f>IF('Item Setup Form'!$AF588="Yes",'Item Setup Form'!D588,"")</f>
        <v/>
      </c>
      <c r="C584" s="81" t="str">
        <f>IF('Item Setup Form'!$AF588="Yes",'Item Setup Form'!L588,"")</f>
        <v/>
      </c>
      <c r="D584" s="81" t="str">
        <f>IF('Item Setup Form'!$AF588="Yes",'Item Setup Form'!M588,"")</f>
        <v/>
      </c>
      <c r="E584" s="70"/>
      <c r="F584" s="70" t="str">
        <f>IF('Item Setup Form'!$AF588="Yes",'Item Setup Form'!G588,"")</f>
        <v/>
      </c>
      <c r="G584" s="70" t="str">
        <f>IF('Item Setup Form'!$AF588="Yes",'Item Setup Form'!H588,"")</f>
        <v/>
      </c>
      <c r="H584" s="70" t="str">
        <f>IF('Item Setup Form'!$AF588="Yes",'Item Setup Form'!V588,"")</f>
        <v/>
      </c>
      <c r="I584" s="70"/>
      <c r="J584" s="70" t="str">
        <f>IF('Item Setup Form'!$AF588="Yes",'Item Setup Form'!U588,"")</f>
        <v/>
      </c>
      <c r="K584" s="70" t="str">
        <f>IF('Item Setup Form'!$AF588="Yes",'Item Setup Form'!V588,"")</f>
        <v/>
      </c>
      <c r="L584" s="70"/>
      <c r="M584" s="70" t="str">
        <f>IF('Item Setup Form'!$AF588="Yes",'Item Setup Form'!A588,"")</f>
        <v/>
      </c>
      <c r="N584" s="70"/>
      <c r="O584" s="70"/>
      <c r="P584" s="70"/>
      <c r="Q584" s="70"/>
      <c r="R584" s="70"/>
      <c r="S584" s="70"/>
      <c r="T584" s="70"/>
      <c r="U584" s="70"/>
      <c r="V584" s="70"/>
      <c r="W584" s="70"/>
      <c r="X584" s="70"/>
      <c r="Y584" s="70"/>
      <c r="Z584" s="70"/>
    </row>
    <row r="585" spans="1:26">
      <c r="A585" s="70" t="str">
        <f>IF('Item Setup Form'!$AF589="Yes",'Item Setup Form'!$E589,"")</f>
        <v/>
      </c>
      <c r="B585" s="70" t="str">
        <f>IF('Item Setup Form'!$AF589="Yes",'Item Setup Form'!D589,"")</f>
        <v/>
      </c>
      <c r="C585" s="81" t="str">
        <f>IF('Item Setup Form'!$AF589="Yes",'Item Setup Form'!L589,"")</f>
        <v/>
      </c>
      <c r="D585" s="81" t="str">
        <f>IF('Item Setup Form'!$AF589="Yes",'Item Setup Form'!M589,"")</f>
        <v/>
      </c>
      <c r="E585" s="70"/>
      <c r="F585" s="70" t="str">
        <f>IF('Item Setup Form'!$AF589="Yes",'Item Setup Form'!G589,"")</f>
        <v/>
      </c>
      <c r="G585" s="70" t="str">
        <f>IF('Item Setup Form'!$AF589="Yes",'Item Setup Form'!H589,"")</f>
        <v/>
      </c>
      <c r="H585" s="70" t="str">
        <f>IF('Item Setup Form'!$AF589="Yes",'Item Setup Form'!V589,"")</f>
        <v/>
      </c>
      <c r="I585" s="70"/>
      <c r="J585" s="70" t="str">
        <f>IF('Item Setup Form'!$AF589="Yes",'Item Setup Form'!U589,"")</f>
        <v/>
      </c>
      <c r="K585" s="70" t="str">
        <f>IF('Item Setup Form'!$AF589="Yes",'Item Setup Form'!V589,"")</f>
        <v/>
      </c>
      <c r="L585" s="70"/>
      <c r="M585" s="70" t="str">
        <f>IF('Item Setup Form'!$AF589="Yes",'Item Setup Form'!A589,"")</f>
        <v/>
      </c>
      <c r="N585" s="70"/>
      <c r="O585" s="70"/>
      <c r="P585" s="70"/>
      <c r="Q585" s="70"/>
      <c r="R585" s="70"/>
      <c r="S585" s="70"/>
      <c r="T585" s="70"/>
      <c r="U585" s="70"/>
      <c r="V585" s="70"/>
      <c r="W585" s="70"/>
      <c r="X585" s="70"/>
      <c r="Y585" s="70"/>
      <c r="Z585" s="70"/>
    </row>
    <row r="586" spans="1:26">
      <c r="A586" s="70" t="str">
        <f>IF('Item Setup Form'!$AF590="Yes",'Item Setup Form'!$E590,"")</f>
        <v/>
      </c>
      <c r="B586" s="70" t="str">
        <f>IF('Item Setup Form'!$AF590="Yes",'Item Setup Form'!D590,"")</f>
        <v/>
      </c>
      <c r="C586" s="81" t="str">
        <f>IF('Item Setup Form'!$AF590="Yes",'Item Setup Form'!L590,"")</f>
        <v/>
      </c>
      <c r="D586" s="81" t="str">
        <f>IF('Item Setup Form'!$AF590="Yes",'Item Setup Form'!M590,"")</f>
        <v/>
      </c>
      <c r="E586" s="70"/>
      <c r="F586" s="70" t="str">
        <f>IF('Item Setup Form'!$AF590="Yes",'Item Setup Form'!G590,"")</f>
        <v/>
      </c>
      <c r="G586" s="70" t="str">
        <f>IF('Item Setup Form'!$AF590="Yes",'Item Setup Form'!H590,"")</f>
        <v/>
      </c>
      <c r="H586" s="70" t="str">
        <f>IF('Item Setup Form'!$AF590="Yes",'Item Setup Form'!V590,"")</f>
        <v/>
      </c>
      <c r="I586" s="70"/>
      <c r="J586" s="70" t="str">
        <f>IF('Item Setup Form'!$AF590="Yes",'Item Setup Form'!U590,"")</f>
        <v/>
      </c>
      <c r="K586" s="70" t="str">
        <f>IF('Item Setup Form'!$AF590="Yes",'Item Setup Form'!V590,"")</f>
        <v/>
      </c>
      <c r="L586" s="70"/>
      <c r="M586" s="70" t="str">
        <f>IF('Item Setup Form'!$AF590="Yes",'Item Setup Form'!A590,"")</f>
        <v/>
      </c>
      <c r="N586" s="70"/>
      <c r="O586" s="70"/>
      <c r="P586" s="70"/>
      <c r="Q586" s="70"/>
      <c r="R586" s="70"/>
      <c r="S586" s="70"/>
      <c r="T586" s="70"/>
      <c r="U586" s="70"/>
      <c r="V586" s="70"/>
      <c r="W586" s="70"/>
      <c r="X586" s="70"/>
      <c r="Y586" s="70"/>
      <c r="Z586" s="70"/>
    </row>
    <row r="587" spans="1:26">
      <c r="A587" s="70" t="str">
        <f>IF('Item Setup Form'!$AF591="Yes",'Item Setup Form'!$E591,"")</f>
        <v/>
      </c>
      <c r="B587" s="70" t="str">
        <f>IF('Item Setup Form'!$AF591="Yes",'Item Setup Form'!D591,"")</f>
        <v/>
      </c>
      <c r="C587" s="81" t="str">
        <f>IF('Item Setup Form'!$AF591="Yes",'Item Setup Form'!L591,"")</f>
        <v/>
      </c>
      <c r="D587" s="81" t="str">
        <f>IF('Item Setup Form'!$AF591="Yes",'Item Setup Form'!M591,"")</f>
        <v/>
      </c>
      <c r="E587" s="70"/>
      <c r="F587" s="70" t="str">
        <f>IF('Item Setup Form'!$AF591="Yes",'Item Setup Form'!G591,"")</f>
        <v/>
      </c>
      <c r="G587" s="70" t="str">
        <f>IF('Item Setup Form'!$AF591="Yes",'Item Setup Form'!H591,"")</f>
        <v/>
      </c>
      <c r="H587" s="70" t="str">
        <f>IF('Item Setup Form'!$AF591="Yes",'Item Setup Form'!V591,"")</f>
        <v/>
      </c>
      <c r="I587" s="70"/>
      <c r="J587" s="70" t="str">
        <f>IF('Item Setup Form'!$AF591="Yes",'Item Setup Form'!U591,"")</f>
        <v/>
      </c>
      <c r="K587" s="70" t="str">
        <f>IF('Item Setup Form'!$AF591="Yes",'Item Setup Form'!V591,"")</f>
        <v/>
      </c>
      <c r="L587" s="70"/>
      <c r="M587" s="70" t="str">
        <f>IF('Item Setup Form'!$AF591="Yes",'Item Setup Form'!A591,"")</f>
        <v/>
      </c>
      <c r="N587" s="70"/>
      <c r="O587" s="70"/>
      <c r="P587" s="70"/>
      <c r="Q587" s="70"/>
      <c r="R587" s="70"/>
      <c r="S587" s="70"/>
      <c r="T587" s="70"/>
      <c r="U587" s="70"/>
      <c r="V587" s="70"/>
      <c r="W587" s="70"/>
      <c r="X587" s="70"/>
      <c r="Y587" s="70"/>
      <c r="Z587" s="70"/>
    </row>
    <row r="588" spans="1:26">
      <c r="A588" s="70" t="str">
        <f>IF('Item Setup Form'!$AF592="Yes",'Item Setup Form'!$E592,"")</f>
        <v/>
      </c>
      <c r="B588" s="70" t="str">
        <f>IF('Item Setup Form'!$AF592="Yes",'Item Setup Form'!D592,"")</f>
        <v/>
      </c>
      <c r="C588" s="81" t="str">
        <f>IF('Item Setup Form'!$AF592="Yes",'Item Setup Form'!L592,"")</f>
        <v/>
      </c>
      <c r="D588" s="81" t="str">
        <f>IF('Item Setup Form'!$AF592="Yes",'Item Setup Form'!M592,"")</f>
        <v/>
      </c>
      <c r="E588" s="70"/>
      <c r="F588" s="70" t="str">
        <f>IF('Item Setup Form'!$AF592="Yes",'Item Setup Form'!G592,"")</f>
        <v/>
      </c>
      <c r="G588" s="70" t="str">
        <f>IF('Item Setup Form'!$AF592="Yes",'Item Setup Form'!H592,"")</f>
        <v/>
      </c>
      <c r="H588" s="70" t="str">
        <f>IF('Item Setup Form'!$AF592="Yes",'Item Setup Form'!V592,"")</f>
        <v/>
      </c>
      <c r="I588" s="70"/>
      <c r="J588" s="70" t="str">
        <f>IF('Item Setup Form'!$AF592="Yes",'Item Setup Form'!U592,"")</f>
        <v/>
      </c>
      <c r="K588" s="70" t="str">
        <f>IF('Item Setup Form'!$AF592="Yes",'Item Setup Form'!V592,"")</f>
        <v/>
      </c>
      <c r="L588" s="70"/>
      <c r="M588" s="70" t="str">
        <f>IF('Item Setup Form'!$AF592="Yes",'Item Setup Form'!A592,"")</f>
        <v/>
      </c>
      <c r="N588" s="70"/>
      <c r="O588" s="70"/>
      <c r="P588" s="70"/>
      <c r="Q588" s="70"/>
      <c r="R588" s="70"/>
      <c r="S588" s="70"/>
      <c r="T588" s="70"/>
      <c r="U588" s="70"/>
      <c r="V588" s="70"/>
      <c r="W588" s="70"/>
      <c r="X588" s="70"/>
      <c r="Y588" s="70"/>
      <c r="Z588" s="70"/>
    </row>
    <row r="589" spans="1:26">
      <c r="A589" s="70" t="str">
        <f>IF('Item Setup Form'!$AF593="Yes",'Item Setup Form'!$E593,"")</f>
        <v/>
      </c>
      <c r="B589" s="70" t="str">
        <f>IF('Item Setup Form'!$AF593="Yes",'Item Setup Form'!D593,"")</f>
        <v/>
      </c>
      <c r="C589" s="81" t="str">
        <f>IF('Item Setup Form'!$AF593="Yes",'Item Setup Form'!L593,"")</f>
        <v/>
      </c>
      <c r="D589" s="81" t="str">
        <f>IF('Item Setup Form'!$AF593="Yes",'Item Setup Form'!M593,"")</f>
        <v/>
      </c>
      <c r="E589" s="70"/>
      <c r="F589" s="70" t="str">
        <f>IF('Item Setup Form'!$AF593="Yes",'Item Setup Form'!G593,"")</f>
        <v/>
      </c>
      <c r="G589" s="70" t="str">
        <f>IF('Item Setup Form'!$AF593="Yes",'Item Setup Form'!H593,"")</f>
        <v/>
      </c>
      <c r="H589" s="70" t="str">
        <f>IF('Item Setup Form'!$AF593="Yes",'Item Setup Form'!V593,"")</f>
        <v/>
      </c>
      <c r="I589" s="70"/>
      <c r="J589" s="70" t="str">
        <f>IF('Item Setup Form'!$AF593="Yes",'Item Setup Form'!U593,"")</f>
        <v/>
      </c>
      <c r="K589" s="70" t="str">
        <f>IF('Item Setup Form'!$AF593="Yes",'Item Setup Form'!V593,"")</f>
        <v/>
      </c>
      <c r="L589" s="70"/>
      <c r="M589" s="70" t="str">
        <f>IF('Item Setup Form'!$AF593="Yes",'Item Setup Form'!A593,"")</f>
        <v/>
      </c>
      <c r="N589" s="70"/>
      <c r="O589" s="70"/>
      <c r="P589" s="70"/>
      <c r="Q589" s="70"/>
      <c r="R589" s="70"/>
      <c r="S589" s="70"/>
      <c r="T589" s="70"/>
      <c r="U589" s="70"/>
      <c r="V589" s="70"/>
      <c r="W589" s="70"/>
      <c r="X589" s="70"/>
      <c r="Y589" s="70"/>
      <c r="Z589" s="70"/>
    </row>
    <row r="590" spans="1:26">
      <c r="A590" s="70" t="str">
        <f>IF('Item Setup Form'!$AF594="Yes",'Item Setup Form'!$E594,"")</f>
        <v/>
      </c>
      <c r="B590" s="70" t="str">
        <f>IF('Item Setup Form'!$AF594="Yes",'Item Setup Form'!D594,"")</f>
        <v/>
      </c>
      <c r="C590" s="81" t="str">
        <f>IF('Item Setup Form'!$AF594="Yes",'Item Setup Form'!L594,"")</f>
        <v/>
      </c>
      <c r="D590" s="81" t="str">
        <f>IF('Item Setup Form'!$AF594="Yes",'Item Setup Form'!M594,"")</f>
        <v/>
      </c>
      <c r="E590" s="70"/>
      <c r="F590" s="70" t="str">
        <f>IF('Item Setup Form'!$AF594="Yes",'Item Setup Form'!G594,"")</f>
        <v/>
      </c>
      <c r="G590" s="70" t="str">
        <f>IF('Item Setup Form'!$AF594="Yes",'Item Setup Form'!H594,"")</f>
        <v/>
      </c>
      <c r="H590" s="70" t="str">
        <f>IF('Item Setup Form'!$AF594="Yes",'Item Setup Form'!V594,"")</f>
        <v/>
      </c>
      <c r="I590" s="70"/>
      <c r="J590" s="70" t="str">
        <f>IF('Item Setup Form'!$AF594="Yes",'Item Setup Form'!U594,"")</f>
        <v/>
      </c>
      <c r="K590" s="70" t="str">
        <f>IF('Item Setup Form'!$AF594="Yes",'Item Setup Form'!V594,"")</f>
        <v/>
      </c>
      <c r="L590" s="70"/>
      <c r="M590" s="70" t="str">
        <f>IF('Item Setup Form'!$AF594="Yes",'Item Setup Form'!A594,"")</f>
        <v/>
      </c>
      <c r="N590" s="70"/>
      <c r="O590" s="70"/>
      <c r="P590" s="70"/>
      <c r="Q590" s="70"/>
      <c r="R590" s="70"/>
      <c r="S590" s="70"/>
      <c r="T590" s="70"/>
      <c r="U590" s="70"/>
      <c r="V590" s="70"/>
      <c r="W590" s="70"/>
      <c r="X590" s="70"/>
      <c r="Y590" s="70"/>
      <c r="Z590" s="70"/>
    </row>
    <row r="591" spans="1:26">
      <c r="A591" s="70" t="str">
        <f>IF('Item Setup Form'!$AF595="Yes",'Item Setup Form'!$E595,"")</f>
        <v/>
      </c>
      <c r="B591" s="70" t="str">
        <f>IF('Item Setup Form'!$AF595="Yes",'Item Setup Form'!D595,"")</f>
        <v/>
      </c>
      <c r="C591" s="81" t="str">
        <f>IF('Item Setup Form'!$AF595="Yes",'Item Setup Form'!L595,"")</f>
        <v/>
      </c>
      <c r="D591" s="81" t="str">
        <f>IF('Item Setup Form'!$AF595="Yes",'Item Setup Form'!M595,"")</f>
        <v/>
      </c>
      <c r="E591" s="70"/>
      <c r="F591" s="70" t="str">
        <f>IF('Item Setup Form'!$AF595="Yes",'Item Setup Form'!G595,"")</f>
        <v/>
      </c>
      <c r="G591" s="70" t="str">
        <f>IF('Item Setup Form'!$AF595="Yes",'Item Setup Form'!H595,"")</f>
        <v/>
      </c>
      <c r="H591" s="70" t="str">
        <f>IF('Item Setup Form'!$AF595="Yes",'Item Setup Form'!V595,"")</f>
        <v/>
      </c>
      <c r="I591" s="70"/>
      <c r="J591" s="70" t="str">
        <f>IF('Item Setup Form'!$AF595="Yes",'Item Setup Form'!U595,"")</f>
        <v/>
      </c>
      <c r="K591" s="70" t="str">
        <f>IF('Item Setup Form'!$AF595="Yes",'Item Setup Form'!V595,"")</f>
        <v/>
      </c>
      <c r="L591" s="70"/>
      <c r="M591" s="70" t="str">
        <f>IF('Item Setup Form'!$AF595="Yes",'Item Setup Form'!A595,"")</f>
        <v/>
      </c>
      <c r="N591" s="70"/>
      <c r="O591" s="70"/>
      <c r="P591" s="70"/>
      <c r="Q591" s="70"/>
      <c r="R591" s="70"/>
      <c r="S591" s="70"/>
      <c r="T591" s="70"/>
      <c r="U591" s="70"/>
      <c r="V591" s="70"/>
      <c r="W591" s="70"/>
      <c r="X591" s="70"/>
      <c r="Y591" s="70"/>
      <c r="Z591" s="70"/>
    </row>
    <row r="592" spans="1:26">
      <c r="A592" s="70" t="str">
        <f>IF('Item Setup Form'!$AF596="Yes",'Item Setup Form'!$E596,"")</f>
        <v/>
      </c>
      <c r="B592" s="70" t="str">
        <f>IF('Item Setup Form'!$AF596="Yes",'Item Setup Form'!D596,"")</f>
        <v/>
      </c>
      <c r="C592" s="81" t="str">
        <f>IF('Item Setup Form'!$AF596="Yes",'Item Setup Form'!L596,"")</f>
        <v/>
      </c>
      <c r="D592" s="81" t="str">
        <f>IF('Item Setup Form'!$AF596="Yes",'Item Setup Form'!M596,"")</f>
        <v/>
      </c>
      <c r="E592" s="70"/>
      <c r="F592" s="70" t="str">
        <f>IF('Item Setup Form'!$AF596="Yes",'Item Setup Form'!G596,"")</f>
        <v/>
      </c>
      <c r="G592" s="70" t="str">
        <f>IF('Item Setup Form'!$AF596="Yes",'Item Setup Form'!H596,"")</f>
        <v/>
      </c>
      <c r="H592" s="70" t="str">
        <f>IF('Item Setup Form'!$AF596="Yes",'Item Setup Form'!V596,"")</f>
        <v/>
      </c>
      <c r="I592" s="70"/>
      <c r="J592" s="70" t="str">
        <f>IF('Item Setup Form'!$AF596="Yes",'Item Setup Form'!U596,"")</f>
        <v/>
      </c>
      <c r="K592" s="70" t="str">
        <f>IF('Item Setup Form'!$AF596="Yes",'Item Setup Form'!V596,"")</f>
        <v/>
      </c>
      <c r="L592" s="70"/>
      <c r="M592" s="70" t="str">
        <f>IF('Item Setup Form'!$AF596="Yes",'Item Setup Form'!A596,"")</f>
        <v/>
      </c>
      <c r="N592" s="70"/>
      <c r="O592" s="70"/>
      <c r="P592" s="70"/>
      <c r="Q592" s="70"/>
      <c r="R592" s="70"/>
      <c r="S592" s="70"/>
      <c r="T592" s="70"/>
      <c r="U592" s="70"/>
      <c r="V592" s="70"/>
      <c r="W592" s="70"/>
      <c r="X592" s="70"/>
      <c r="Y592" s="70"/>
      <c r="Z592" s="70"/>
    </row>
    <row r="593" spans="1:26">
      <c r="A593" s="70" t="str">
        <f>IF('Item Setup Form'!$AF597="Yes",'Item Setup Form'!$E597,"")</f>
        <v/>
      </c>
      <c r="B593" s="70" t="str">
        <f>IF('Item Setup Form'!$AF597="Yes",'Item Setup Form'!D597,"")</f>
        <v/>
      </c>
      <c r="C593" s="81" t="str">
        <f>IF('Item Setup Form'!$AF597="Yes",'Item Setup Form'!L597,"")</f>
        <v/>
      </c>
      <c r="D593" s="81" t="str">
        <f>IF('Item Setup Form'!$AF597="Yes",'Item Setup Form'!M597,"")</f>
        <v/>
      </c>
      <c r="E593" s="70"/>
      <c r="F593" s="70" t="str">
        <f>IF('Item Setup Form'!$AF597="Yes",'Item Setup Form'!G597,"")</f>
        <v/>
      </c>
      <c r="G593" s="70" t="str">
        <f>IF('Item Setup Form'!$AF597="Yes",'Item Setup Form'!H597,"")</f>
        <v/>
      </c>
      <c r="H593" s="70" t="str">
        <f>IF('Item Setup Form'!$AF597="Yes",'Item Setup Form'!V597,"")</f>
        <v/>
      </c>
      <c r="I593" s="70"/>
      <c r="J593" s="70" t="str">
        <f>IF('Item Setup Form'!$AF597="Yes",'Item Setup Form'!U597,"")</f>
        <v/>
      </c>
      <c r="K593" s="70" t="str">
        <f>IF('Item Setup Form'!$AF597="Yes",'Item Setup Form'!V597,"")</f>
        <v/>
      </c>
      <c r="L593" s="70"/>
      <c r="M593" s="70" t="str">
        <f>IF('Item Setup Form'!$AF597="Yes",'Item Setup Form'!A597,"")</f>
        <v/>
      </c>
      <c r="N593" s="70"/>
      <c r="O593" s="70"/>
      <c r="P593" s="70"/>
      <c r="Q593" s="70"/>
      <c r="R593" s="70"/>
      <c r="S593" s="70"/>
      <c r="T593" s="70"/>
      <c r="U593" s="70"/>
      <c r="V593" s="70"/>
      <c r="W593" s="70"/>
      <c r="X593" s="70"/>
      <c r="Y593" s="70"/>
      <c r="Z593" s="70"/>
    </row>
    <row r="594" spans="1:26">
      <c r="A594" s="70" t="str">
        <f>IF('Item Setup Form'!$AF598="Yes",'Item Setup Form'!$E598,"")</f>
        <v/>
      </c>
      <c r="B594" s="70" t="str">
        <f>IF('Item Setup Form'!$AF598="Yes",'Item Setup Form'!D598,"")</f>
        <v/>
      </c>
      <c r="C594" s="81" t="str">
        <f>IF('Item Setup Form'!$AF598="Yes",'Item Setup Form'!L598,"")</f>
        <v/>
      </c>
      <c r="D594" s="81" t="str">
        <f>IF('Item Setup Form'!$AF598="Yes",'Item Setup Form'!M598,"")</f>
        <v/>
      </c>
      <c r="E594" s="70"/>
      <c r="F594" s="70" t="str">
        <f>IF('Item Setup Form'!$AF598="Yes",'Item Setup Form'!G598,"")</f>
        <v/>
      </c>
      <c r="G594" s="70" t="str">
        <f>IF('Item Setup Form'!$AF598="Yes",'Item Setup Form'!H598,"")</f>
        <v/>
      </c>
      <c r="H594" s="70" t="str">
        <f>IF('Item Setup Form'!$AF598="Yes",'Item Setup Form'!V598,"")</f>
        <v/>
      </c>
      <c r="I594" s="70"/>
      <c r="J594" s="70" t="str">
        <f>IF('Item Setup Form'!$AF598="Yes",'Item Setup Form'!U598,"")</f>
        <v/>
      </c>
      <c r="K594" s="70" t="str">
        <f>IF('Item Setup Form'!$AF598="Yes",'Item Setup Form'!V598,"")</f>
        <v/>
      </c>
      <c r="L594" s="70"/>
      <c r="M594" s="70" t="str">
        <f>IF('Item Setup Form'!$AF598="Yes",'Item Setup Form'!A598,"")</f>
        <v/>
      </c>
      <c r="N594" s="70"/>
      <c r="O594" s="70"/>
      <c r="P594" s="70"/>
      <c r="Q594" s="70"/>
      <c r="R594" s="70"/>
      <c r="S594" s="70"/>
      <c r="T594" s="70"/>
      <c r="U594" s="70"/>
      <c r="V594" s="70"/>
      <c r="W594" s="70"/>
      <c r="X594" s="70"/>
      <c r="Y594" s="70"/>
      <c r="Z594" s="70"/>
    </row>
    <row r="595" spans="1:26">
      <c r="A595" s="70" t="str">
        <f>IF('Item Setup Form'!$AF599="Yes",'Item Setup Form'!$E599,"")</f>
        <v/>
      </c>
      <c r="B595" s="70" t="str">
        <f>IF('Item Setup Form'!$AF599="Yes",'Item Setup Form'!D599,"")</f>
        <v/>
      </c>
      <c r="C595" s="81" t="str">
        <f>IF('Item Setup Form'!$AF599="Yes",'Item Setup Form'!L599,"")</f>
        <v/>
      </c>
      <c r="D595" s="81" t="str">
        <f>IF('Item Setup Form'!$AF599="Yes",'Item Setup Form'!M599,"")</f>
        <v/>
      </c>
      <c r="E595" s="70"/>
      <c r="F595" s="70" t="str">
        <f>IF('Item Setup Form'!$AF599="Yes",'Item Setup Form'!G599,"")</f>
        <v/>
      </c>
      <c r="G595" s="70" t="str">
        <f>IF('Item Setup Form'!$AF599="Yes",'Item Setup Form'!H599,"")</f>
        <v/>
      </c>
      <c r="H595" s="70" t="str">
        <f>IF('Item Setup Form'!$AF599="Yes",'Item Setup Form'!V599,"")</f>
        <v/>
      </c>
      <c r="I595" s="70"/>
      <c r="J595" s="70" t="str">
        <f>IF('Item Setup Form'!$AF599="Yes",'Item Setup Form'!U599,"")</f>
        <v/>
      </c>
      <c r="K595" s="70" t="str">
        <f>IF('Item Setup Form'!$AF599="Yes",'Item Setup Form'!V599,"")</f>
        <v/>
      </c>
      <c r="L595" s="70"/>
      <c r="M595" s="70" t="str">
        <f>IF('Item Setup Form'!$AF599="Yes",'Item Setup Form'!A599,"")</f>
        <v/>
      </c>
      <c r="N595" s="70"/>
      <c r="O595" s="70"/>
      <c r="P595" s="70"/>
      <c r="Q595" s="70"/>
      <c r="R595" s="70"/>
      <c r="S595" s="70"/>
      <c r="T595" s="70"/>
      <c r="U595" s="70"/>
      <c r="V595" s="70"/>
      <c r="W595" s="70"/>
      <c r="X595" s="70"/>
      <c r="Y595" s="70"/>
      <c r="Z595" s="70"/>
    </row>
    <row r="596" spans="1:26">
      <c r="A596" s="70" t="str">
        <f>IF('Item Setup Form'!$AF600="Yes",'Item Setup Form'!$E600,"")</f>
        <v/>
      </c>
      <c r="B596" s="70" t="str">
        <f>IF('Item Setup Form'!$AF600="Yes",'Item Setup Form'!D600,"")</f>
        <v/>
      </c>
      <c r="C596" s="81" t="str">
        <f>IF('Item Setup Form'!$AF600="Yes",'Item Setup Form'!L600,"")</f>
        <v/>
      </c>
      <c r="D596" s="81" t="str">
        <f>IF('Item Setup Form'!$AF600="Yes",'Item Setup Form'!M600,"")</f>
        <v/>
      </c>
      <c r="E596" s="70"/>
      <c r="F596" s="70" t="str">
        <f>IF('Item Setup Form'!$AF600="Yes",'Item Setup Form'!G600,"")</f>
        <v/>
      </c>
      <c r="G596" s="70" t="str">
        <f>IF('Item Setup Form'!$AF600="Yes",'Item Setup Form'!H600,"")</f>
        <v/>
      </c>
      <c r="H596" s="70" t="str">
        <f>IF('Item Setup Form'!$AF600="Yes",'Item Setup Form'!V600,"")</f>
        <v/>
      </c>
      <c r="I596" s="70"/>
      <c r="J596" s="70" t="str">
        <f>IF('Item Setup Form'!$AF600="Yes",'Item Setup Form'!U600,"")</f>
        <v/>
      </c>
      <c r="K596" s="70" t="str">
        <f>IF('Item Setup Form'!$AF600="Yes",'Item Setup Form'!V600,"")</f>
        <v/>
      </c>
      <c r="L596" s="70"/>
      <c r="M596" s="70" t="str">
        <f>IF('Item Setup Form'!$AF600="Yes",'Item Setup Form'!A600,"")</f>
        <v/>
      </c>
      <c r="N596" s="70"/>
      <c r="O596" s="70"/>
      <c r="P596" s="70"/>
      <c r="Q596" s="70"/>
      <c r="R596" s="70"/>
      <c r="S596" s="70"/>
      <c r="T596" s="70"/>
      <c r="U596" s="70"/>
      <c r="V596" s="70"/>
      <c r="W596" s="70"/>
      <c r="X596" s="70"/>
      <c r="Y596" s="70"/>
      <c r="Z596" s="70"/>
    </row>
    <row r="597" spans="1:26">
      <c r="A597" s="70" t="str">
        <f>IF('Item Setup Form'!$AF601="Yes",'Item Setup Form'!$E601,"")</f>
        <v/>
      </c>
      <c r="B597" s="70" t="str">
        <f>IF('Item Setup Form'!$AF601="Yes",'Item Setup Form'!D601,"")</f>
        <v/>
      </c>
      <c r="C597" s="81" t="str">
        <f>IF('Item Setup Form'!$AF601="Yes",'Item Setup Form'!L601,"")</f>
        <v/>
      </c>
      <c r="D597" s="81" t="str">
        <f>IF('Item Setup Form'!$AF601="Yes",'Item Setup Form'!M601,"")</f>
        <v/>
      </c>
      <c r="E597" s="70"/>
      <c r="F597" s="70" t="str">
        <f>IF('Item Setup Form'!$AF601="Yes",'Item Setup Form'!G601,"")</f>
        <v/>
      </c>
      <c r="G597" s="70" t="str">
        <f>IF('Item Setup Form'!$AF601="Yes",'Item Setup Form'!H601,"")</f>
        <v/>
      </c>
      <c r="H597" s="70" t="str">
        <f>IF('Item Setup Form'!$AF601="Yes",'Item Setup Form'!V601,"")</f>
        <v/>
      </c>
      <c r="I597" s="70"/>
      <c r="J597" s="70" t="str">
        <f>IF('Item Setup Form'!$AF601="Yes",'Item Setup Form'!U601,"")</f>
        <v/>
      </c>
      <c r="K597" s="70" t="str">
        <f>IF('Item Setup Form'!$AF601="Yes",'Item Setup Form'!V601,"")</f>
        <v/>
      </c>
      <c r="L597" s="70"/>
      <c r="M597" s="70" t="str">
        <f>IF('Item Setup Form'!$AF601="Yes",'Item Setup Form'!A601,"")</f>
        <v/>
      </c>
      <c r="N597" s="70"/>
      <c r="O597" s="70"/>
      <c r="P597" s="70"/>
      <c r="Q597" s="70"/>
      <c r="R597" s="70"/>
      <c r="S597" s="70"/>
      <c r="T597" s="70"/>
      <c r="U597" s="70"/>
      <c r="V597" s="70"/>
      <c r="W597" s="70"/>
      <c r="X597" s="70"/>
      <c r="Y597" s="70"/>
      <c r="Z597" s="70"/>
    </row>
    <row r="598" spans="1:26">
      <c r="A598" s="70" t="str">
        <f>IF('Item Setup Form'!$AF602="Yes",'Item Setup Form'!$E602,"")</f>
        <v/>
      </c>
      <c r="B598" s="70" t="str">
        <f>IF('Item Setup Form'!$AF602="Yes",'Item Setup Form'!D602,"")</f>
        <v/>
      </c>
      <c r="C598" s="81" t="str">
        <f>IF('Item Setup Form'!$AF602="Yes",'Item Setup Form'!L602,"")</f>
        <v/>
      </c>
      <c r="D598" s="81" t="str">
        <f>IF('Item Setup Form'!$AF602="Yes",'Item Setup Form'!M602,"")</f>
        <v/>
      </c>
      <c r="E598" s="70"/>
      <c r="F598" s="70" t="str">
        <f>IF('Item Setup Form'!$AF602="Yes",'Item Setup Form'!G602,"")</f>
        <v/>
      </c>
      <c r="G598" s="70" t="str">
        <f>IF('Item Setup Form'!$AF602="Yes",'Item Setup Form'!H602,"")</f>
        <v/>
      </c>
      <c r="H598" s="70" t="str">
        <f>IF('Item Setup Form'!$AF602="Yes",'Item Setup Form'!V602,"")</f>
        <v/>
      </c>
      <c r="I598" s="70"/>
      <c r="J598" s="70" t="str">
        <f>IF('Item Setup Form'!$AF602="Yes",'Item Setup Form'!U602,"")</f>
        <v/>
      </c>
      <c r="K598" s="70" t="str">
        <f>IF('Item Setup Form'!$AF602="Yes",'Item Setup Form'!V602,"")</f>
        <v/>
      </c>
      <c r="L598" s="70"/>
      <c r="M598" s="70" t="str">
        <f>IF('Item Setup Form'!$AF602="Yes",'Item Setup Form'!A602,"")</f>
        <v/>
      </c>
      <c r="N598" s="70"/>
      <c r="O598" s="70"/>
      <c r="P598" s="70"/>
      <c r="Q598" s="70"/>
      <c r="R598" s="70"/>
      <c r="S598" s="70"/>
      <c r="T598" s="70"/>
      <c r="U598" s="70"/>
      <c r="V598" s="70"/>
      <c r="W598" s="70"/>
      <c r="X598" s="70"/>
      <c r="Y598" s="70"/>
      <c r="Z598" s="70"/>
    </row>
    <row r="599" spans="1:26">
      <c r="A599" s="70" t="str">
        <f>IF('Item Setup Form'!$AF603="Yes",'Item Setup Form'!$E603,"")</f>
        <v/>
      </c>
      <c r="B599" s="70" t="str">
        <f>IF('Item Setup Form'!$AF603="Yes",'Item Setup Form'!D603,"")</f>
        <v/>
      </c>
      <c r="C599" s="81" t="str">
        <f>IF('Item Setup Form'!$AF603="Yes",'Item Setup Form'!L603,"")</f>
        <v/>
      </c>
      <c r="D599" s="81" t="str">
        <f>IF('Item Setup Form'!$AF603="Yes",'Item Setup Form'!M603,"")</f>
        <v/>
      </c>
      <c r="E599" s="70"/>
      <c r="F599" s="70" t="str">
        <f>IF('Item Setup Form'!$AF603="Yes",'Item Setup Form'!G603,"")</f>
        <v/>
      </c>
      <c r="G599" s="70" t="str">
        <f>IF('Item Setup Form'!$AF603="Yes",'Item Setup Form'!H603,"")</f>
        <v/>
      </c>
      <c r="H599" s="70" t="str">
        <f>IF('Item Setup Form'!$AF603="Yes",'Item Setup Form'!V603,"")</f>
        <v/>
      </c>
      <c r="I599" s="70"/>
      <c r="J599" s="70" t="str">
        <f>IF('Item Setup Form'!$AF603="Yes",'Item Setup Form'!U603,"")</f>
        <v/>
      </c>
      <c r="K599" s="70" t="str">
        <f>IF('Item Setup Form'!$AF603="Yes",'Item Setup Form'!V603,"")</f>
        <v/>
      </c>
      <c r="L599" s="70"/>
      <c r="M599" s="70" t="str">
        <f>IF('Item Setup Form'!$AF603="Yes",'Item Setup Form'!A603,"")</f>
        <v/>
      </c>
      <c r="N599" s="70"/>
      <c r="O599" s="70"/>
      <c r="P599" s="70"/>
      <c r="Q599" s="70"/>
      <c r="R599" s="70"/>
      <c r="S599" s="70"/>
      <c r="T599" s="70"/>
      <c r="U599" s="70"/>
      <c r="V599" s="70"/>
      <c r="W599" s="70"/>
      <c r="X599" s="70"/>
      <c r="Y599" s="70"/>
      <c r="Z599" s="70"/>
    </row>
    <row r="600" spans="1:26">
      <c r="A600" s="70" t="str">
        <f>IF('Item Setup Form'!$AF604="Yes",'Item Setup Form'!$E604,"")</f>
        <v/>
      </c>
      <c r="B600" s="70" t="str">
        <f>IF('Item Setup Form'!$AF604="Yes",'Item Setup Form'!D604,"")</f>
        <v/>
      </c>
      <c r="C600" s="81" t="str">
        <f>IF('Item Setup Form'!$AF604="Yes",'Item Setup Form'!L604,"")</f>
        <v/>
      </c>
      <c r="D600" s="81" t="str">
        <f>IF('Item Setup Form'!$AF604="Yes",'Item Setup Form'!M604,"")</f>
        <v/>
      </c>
      <c r="E600" s="70"/>
      <c r="F600" s="70" t="str">
        <f>IF('Item Setup Form'!$AF604="Yes",'Item Setup Form'!G604,"")</f>
        <v/>
      </c>
      <c r="G600" s="70" t="str">
        <f>IF('Item Setup Form'!$AF604="Yes",'Item Setup Form'!H604,"")</f>
        <v/>
      </c>
      <c r="H600" s="70" t="str">
        <f>IF('Item Setup Form'!$AF604="Yes",'Item Setup Form'!V604,"")</f>
        <v/>
      </c>
      <c r="I600" s="70"/>
      <c r="J600" s="70" t="str">
        <f>IF('Item Setup Form'!$AF604="Yes",'Item Setup Form'!U604,"")</f>
        <v/>
      </c>
      <c r="K600" s="70" t="str">
        <f>IF('Item Setup Form'!$AF604="Yes",'Item Setup Form'!V604,"")</f>
        <v/>
      </c>
      <c r="L600" s="70"/>
      <c r="M600" s="70" t="str">
        <f>IF('Item Setup Form'!$AF604="Yes",'Item Setup Form'!A604,"")</f>
        <v/>
      </c>
      <c r="N600" s="70"/>
      <c r="O600" s="70"/>
      <c r="P600" s="70"/>
      <c r="Q600" s="70"/>
      <c r="R600" s="70"/>
      <c r="S600" s="70"/>
      <c r="T600" s="70"/>
      <c r="U600" s="70"/>
      <c r="V600" s="70"/>
      <c r="W600" s="70"/>
      <c r="X600" s="70"/>
      <c r="Y600" s="70"/>
      <c r="Z600" s="70"/>
    </row>
    <row r="601" spans="1:26">
      <c r="A601" s="70" t="str">
        <f>IF('Item Setup Form'!$AF605="Yes",'Item Setup Form'!$E605,"")</f>
        <v/>
      </c>
      <c r="B601" s="70" t="str">
        <f>IF('Item Setup Form'!$AF605="Yes",'Item Setup Form'!D605,"")</f>
        <v/>
      </c>
      <c r="C601" s="81" t="str">
        <f>IF('Item Setup Form'!$AF605="Yes",'Item Setup Form'!L605,"")</f>
        <v/>
      </c>
      <c r="D601" s="81" t="str">
        <f>IF('Item Setup Form'!$AF605="Yes",'Item Setup Form'!M605,"")</f>
        <v/>
      </c>
      <c r="E601" s="70"/>
      <c r="F601" s="70" t="str">
        <f>IF('Item Setup Form'!$AF605="Yes",'Item Setup Form'!G605,"")</f>
        <v/>
      </c>
      <c r="G601" s="70" t="str">
        <f>IF('Item Setup Form'!$AF605="Yes",'Item Setup Form'!H605,"")</f>
        <v/>
      </c>
      <c r="H601" s="70" t="str">
        <f>IF('Item Setup Form'!$AF605="Yes",'Item Setup Form'!V605,"")</f>
        <v/>
      </c>
      <c r="I601" s="70"/>
      <c r="J601" s="70" t="str">
        <f>IF('Item Setup Form'!$AF605="Yes",'Item Setup Form'!U605,"")</f>
        <v/>
      </c>
      <c r="K601" s="70" t="str">
        <f>IF('Item Setup Form'!$AF605="Yes",'Item Setup Form'!V605,"")</f>
        <v/>
      </c>
      <c r="L601" s="70"/>
      <c r="M601" s="70" t="str">
        <f>IF('Item Setup Form'!$AF605="Yes",'Item Setup Form'!A605,"")</f>
        <v/>
      </c>
      <c r="N601" s="70"/>
      <c r="O601" s="70"/>
      <c r="P601" s="70"/>
      <c r="Q601" s="70"/>
      <c r="R601" s="70"/>
      <c r="S601" s="70"/>
      <c r="T601" s="70"/>
      <c r="U601" s="70"/>
      <c r="V601" s="70"/>
      <c r="W601" s="70"/>
      <c r="X601" s="70"/>
      <c r="Y601" s="70"/>
      <c r="Z601" s="70"/>
    </row>
    <row r="602" spans="1:26">
      <c r="A602" s="70" t="str">
        <f>IF('Item Setup Form'!$AF606="Yes",'Item Setup Form'!$E606,"")</f>
        <v/>
      </c>
      <c r="B602" s="70" t="str">
        <f>IF('Item Setup Form'!$AF606="Yes",'Item Setup Form'!D606,"")</f>
        <v/>
      </c>
      <c r="C602" s="81" t="str">
        <f>IF('Item Setup Form'!$AF606="Yes",'Item Setup Form'!L606,"")</f>
        <v/>
      </c>
      <c r="D602" s="81" t="str">
        <f>IF('Item Setup Form'!$AF606="Yes",'Item Setup Form'!M606,"")</f>
        <v/>
      </c>
      <c r="E602" s="70"/>
      <c r="F602" s="70" t="str">
        <f>IF('Item Setup Form'!$AF606="Yes",'Item Setup Form'!G606,"")</f>
        <v/>
      </c>
      <c r="G602" s="70" t="str">
        <f>IF('Item Setup Form'!$AF606="Yes",'Item Setup Form'!H606,"")</f>
        <v/>
      </c>
      <c r="H602" s="70" t="str">
        <f>IF('Item Setup Form'!$AF606="Yes",'Item Setup Form'!V606,"")</f>
        <v/>
      </c>
      <c r="I602" s="70"/>
      <c r="J602" s="70" t="str">
        <f>IF('Item Setup Form'!$AF606="Yes",'Item Setup Form'!U606,"")</f>
        <v/>
      </c>
      <c r="K602" s="70" t="str">
        <f>IF('Item Setup Form'!$AF606="Yes",'Item Setup Form'!V606,"")</f>
        <v/>
      </c>
      <c r="L602" s="70"/>
      <c r="M602" s="70" t="str">
        <f>IF('Item Setup Form'!$AF606="Yes",'Item Setup Form'!A606,"")</f>
        <v/>
      </c>
      <c r="N602" s="70"/>
      <c r="O602" s="70"/>
      <c r="P602" s="70"/>
      <c r="Q602" s="70"/>
      <c r="R602" s="70"/>
      <c r="S602" s="70"/>
      <c r="T602" s="70"/>
      <c r="U602" s="70"/>
      <c r="V602" s="70"/>
      <c r="W602" s="70"/>
      <c r="X602" s="70"/>
      <c r="Y602" s="70"/>
      <c r="Z602" s="70"/>
    </row>
    <row r="603" spans="1:26">
      <c r="A603" s="70" t="str">
        <f>IF('Item Setup Form'!$AF607="Yes",'Item Setup Form'!$E607,"")</f>
        <v/>
      </c>
      <c r="B603" s="70" t="str">
        <f>IF('Item Setup Form'!$AF607="Yes",'Item Setup Form'!D607,"")</f>
        <v/>
      </c>
      <c r="C603" s="81" t="str">
        <f>IF('Item Setup Form'!$AF607="Yes",'Item Setup Form'!L607,"")</f>
        <v/>
      </c>
      <c r="D603" s="81" t="str">
        <f>IF('Item Setup Form'!$AF607="Yes",'Item Setup Form'!M607,"")</f>
        <v/>
      </c>
      <c r="E603" s="70"/>
      <c r="F603" s="70" t="str">
        <f>IF('Item Setup Form'!$AF607="Yes",'Item Setup Form'!G607,"")</f>
        <v/>
      </c>
      <c r="G603" s="70" t="str">
        <f>IF('Item Setup Form'!$AF607="Yes",'Item Setup Form'!H607,"")</f>
        <v/>
      </c>
      <c r="H603" s="70" t="str">
        <f>IF('Item Setup Form'!$AF607="Yes",'Item Setup Form'!V607,"")</f>
        <v/>
      </c>
      <c r="I603" s="70"/>
      <c r="J603" s="70" t="str">
        <f>IF('Item Setup Form'!$AF607="Yes",'Item Setup Form'!U607,"")</f>
        <v/>
      </c>
      <c r="K603" s="70" t="str">
        <f>IF('Item Setup Form'!$AF607="Yes",'Item Setup Form'!V607,"")</f>
        <v/>
      </c>
      <c r="L603" s="70"/>
      <c r="M603" s="70" t="str">
        <f>IF('Item Setup Form'!$AF607="Yes",'Item Setup Form'!A607,"")</f>
        <v/>
      </c>
      <c r="N603" s="70"/>
      <c r="O603" s="70"/>
      <c r="P603" s="70"/>
      <c r="Q603" s="70"/>
      <c r="R603" s="70"/>
      <c r="S603" s="70"/>
      <c r="T603" s="70"/>
      <c r="U603" s="70"/>
      <c r="V603" s="70"/>
      <c r="W603" s="70"/>
      <c r="X603" s="70"/>
      <c r="Y603" s="70"/>
      <c r="Z603" s="70"/>
    </row>
    <row r="604" spans="1:26">
      <c r="A604" s="70" t="str">
        <f>IF('Item Setup Form'!$AF608="Yes",'Item Setup Form'!$E608,"")</f>
        <v/>
      </c>
      <c r="B604" s="70" t="str">
        <f>IF('Item Setup Form'!$AF608="Yes",'Item Setup Form'!D608,"")</f>
        <v/>
      </c>
      <c r="C604" s="81" t="str">
        <f>IF('Item Setup Form'!$AF608="Yes",'Item Setup Form'!L608,"")</f>
        <v/>
      </c>
      <c r="D604" s="81" t="str">
        <f>IF('Item Setup Form'!$AF608="Yes",'Item Setup Form'!M608,"")</f>
        <v/>
      </c>
      <c r="E604" s="70"/>
      <c r="F604" s="70" t="str">
        <f>IF('Item Setup Form'!$AF608="Yes",'Item Setup Form'!G608,"")</f>
        <v/>
      </c>
      <c r="G604" s="70" t="str">
        <f>IF('Item Setup Form'!$AF608="Yes",'Item Setup Form'!H608,"")</f>
        <v/>
      </c>
      <c r="H604" s="70" t="str">
        <f>IF('Item Setup Form'!$AF608="Yes",'Item Setup Form'!V608,"")</f>
        <v/>
      </c>
      <c r="I604" s="70"/>
      <c r="J604" s="70" t="str">
        <f>IF('Item Setup Form'!$AF608="Yes",'Item Setup Form'!U608,"")</f>
        <v/>
      </c>
      <c r="K604" s="70" t="str">
        <f>IF('Item Setup Form'!$AF608="Yes",'Item Setup Form'!V608,"")</f>
        <v/>
      </c>
      <c r="L604" s="70"/>
      <c r="M604" s="70" t="str">
        <f>IF('Item Setup Form'!$AF608="Yes",'Item Setup Form'!A608,"")</f>
        <v/>
      </c>
      <c r="N604" s="70"/>
      <c r="O604" s="70"/>
      <c r="P604" s="70"/>
      <c r="Q604" s="70"/>
      <c r="R604" s="70"/>
      <c r="S604" s="70"/>
      <c r="T604" s="70"/>
      <c r="U604" s="70"/>
      <c r="V604" s="70"/>
      <c r="W604" s="70"/>
      <c r="X604" s="70"/>
      <c r="Y604" s="70"/>
      <c r="Z604" s="70"/>
    </row>
    <row r="605" spans="1:26">
      <c r="A605" s="70" t="str">
        <f>IF('Item Setup Form'!$AF609="Yes",'Item Setup Form'!$E609,"")</f>
        <v/>
      </c>
      <c r="B605" s="70" t="str">
        <f>IF('Item Setup Form'!$AF609="Yes",'Item Setup Form'!D609,"")</f>
        <v/>
      </c>
      <c r="C605" s="81" t="str">
        <f>IF('Item Setup Form'!$AF609="Yes",'Item Setup Form'!L609,"")</f>
        <v/>
      </c>
      <c r="D605" s="81" t="str">
        <f>IF('Item Setup Form'!$AF609="Yes",'Item Setup Form'!M609,"")</f>
        <v/>
      </c>
      <c r="E605" s="70"/>
      <c r="F605" s="70" t="str">
        <f>IF('Item Setup Form'!$AF609="Yes",'Item Setup Form'!G609,"")</f>
        <v/>
      </c>
      <c r="G605" s="70" t="str">
        <f>IF('Item Setup Form'!$AF609="Yes",'Item Setup Form'!H609,"")</f>
        <v/>
      </c>
      <c r="H605" s="70" t="str">
        <f>IF('Item Setup Form'!$AF609="Yes",'Item Setup Form'!V609,"")</f>
        <v/>
      </c>
      <c r="I605" s="70"/>
      <c r="J605" s="70" t="str">
        <f>IF('Item Setup Form'!$AF609="Yes",'Item Setup Form'!U609,"")</f>
        <v/>
      </c>
      <c r="K605" s="70" t="str">
        <f>IF('Item Setup Form'!$AF609="Yes",'Item Setup Form'!V609,"")</f>
        <v/>
      </c>
      <c r="L605" s="70"/>
      <c r="M605" s="70" t="str">
        <f>IF('Item Setup Form'!$AF609="Yes",'Item Setup Form'!A609,"")</f>
        <v/>
      </c>
      <c r="N605" s="70"/>
      <c r="O605" s="70"/>
      <c r="P605" s="70"/>
      <c r="Q605" s="70"/>
      <c r="R605" s="70"/>
      <c r="S605" s="70"/>
      <c r="T605" s="70"/>
      <c r="U605" s="70"/>
      <c r="V605" s="70"/>
      <c r="W605" s="70"/>
      <c r="X605" s="70"/>
      <c r="Y605" s="70"/>
      <c r="Z605" s="70"/>
    </row>
    <row r="606" spans="1:26">
      <c r="A606" s="70" t="str">
        <f>IF('Item Setup Form'!$AF610="Yes",'Item Setup Form'!$E610,"")</f>
        <v/>
      </c>
      <c r="B606" s="70" t="str">
        <f>IF('Item Setup Form'!$AF610="Yes",'Item Setup Form'!D610,"")</f>
        <v/>
      </c>
      <c r="C606" s="81" t="str">
        <f>IF('Item Setup Form'!$AF610="Yes",'Item Setup Form'!L610,"")</f>
        <v/>
      </c>
      <c r="D606" s="81" t="str">
        <f>IF('Item Setup Form'!$AF610="Yes",'Item Setup Form'!M610,"")</f>
        <v/>
      </c>
      <c r="E606" s="70"/>
      <c r="F606" s="70" t="str">
        <f>IF('Item Setup Form'!$AF610="Yes",'Item Setup Form'!G610,"")</f>
        <v/>
      </c>
      <c r="G606" s="70" t="str">
        <f>IF('Item Setup Form'!$AF610="Yes",'Item Setup Form'!H610,"")</f>
        <v/>
      </c>
      <c r="H606" s="70" t="str">
        <f>IF('Item Setup Form'!$AF610="Yes",'Item Setup Form'!V610,"")</f>
        <v/>
      </c>
      <c r="I606" s="70"/>
      <c r="J606" s="70" t="str">
        <f>IF('Item Setup Form'!$AF610="Yes",'Item Setup Form'!U610,"")</f>
        <v/>
      </c>
      <c r="K606" s="70" t="str">
        <f>IF('Item Setup Form'!$AF610="Yes",'Item Setup Form'!V610,"")</f>
        <v/>
      </c>
      <c r="L606" s="70"/>
      <c r="M606" s="70" t="str">
        <f>IF('Item Setup Form'!$AF610="Yes",'Item Setup Form'!A610,"")</f>
        <v/>
      </c>
      <c r="N606" s="70"/>
      <c r="O606" s="70"/>
      <c r="P606" s="70"/>
      <c r="Q606" s="70"/>
      <c r="R606" s="70"/>
      <c r="S606" s="70"/>
      <c r="T606" s="70"/>
      <c r="U606" s="70"/>
      <c r="V606" s="70"/>
      <c r="W606" s="70"/>
      <c r="X606" s="70"/>
      <c r="Y606" s="70"/>
      <c r="Z606" s="70"/>
    </row>
    <row r="607" spans="1:26">
      <c r="A607" s="70" t="str">
        <f>IF('Item Setup Form'!$AF611="Yes",'Item Setup Form'!$E611,"")</f>
        <v/>
      </c>
      <c r="B607" s="70" t="str">
        <f>IF('Item Setup Form'!$AF611="Yes",'Item Setup Form'!D611,"")</f>
        <v/>
      </c>
      <c r="C607" s="81" t="str">
        <f>IF('Item Setup Form'!$AF611="Yes",'Item Setup Form'!L611,"")</f>
        <v/>
      </c>
      <c r="D607" s="81" t="str">
        <f>IF('Item Setup Form'!$AF611="Yes",'Item Setup Form'!M611,"")</f>
        <v/>
      </c>
      <c r="E607" s="70"/>
      <c r="F607" s="70" t="str">
        <f>IF('Item Setup Form'!$AF611="Yes",'Item Setup Form'!G611,"")</f>
        <v/>
      </c>
      <c r="G607" s="70" t="str">
        <f>IF('Item Setup Form'!$AF611="Yes",'Item Setup Form'!H611,"")</f>
        <v/>
      </c>
      <c r="H607" s="70" t="str">
        <f>IF('Item Setup Form'!$AF611="Yes",'Item Setup Form'!V611,"")</f>
        <v/>
      </c>
      <c r="I607" s="70"/>
      <c r="J607" s="70" t="str">
        <f>IF('Item Setup Form'!$AF611="Yes",'Item Setup Form'!U611,"")</f>
        <v/>
      </c>
      <c r="K607" s="70" t="str">
        <f>IF('Item Setup Form'!$AF611="Yes",'Item Setup Form'!V611,"")</f>
        <v/>
      </c>
      <c r="L607" s="70"/>
      <c r="M607" s="70" t="str">
        <f>IF('Item Setup Form'!$AF611="Yes",'Item Setup Form'!A611,"")</f>
        <v/>
      </c>
      <c r="N607" s="70"/>
      <c r="O607" s="70"/>
      <c r="P607" s="70"/>
      <c r="Q607" s="70"/>
      <c r="R607" s="70"/>
      <c r="S607" s="70"/>
      <c r="T607" s="70"/>
      <c r="U607" s="70"/>
      <c r="V607" s="70"/>
      <c r="W607" s="70"/>
      <c r="X607" s="70"/>
      <c r="Y607" s="70"/>
      <c r="Z607" s="70"/>
    </row>
    <row r="608" spans="1:26">
      <c r="A608" s="70" t="str">
        <f>IF('Item Setup Form'!$AF612="Yes",'Item Setup Form'!$E612,"")</f>
        <v/>
      </c>
      <c r="B608" s="70" t="str">
        <f>IF('Item Setup Form'!$AF612="Yes",'Item Setup Form'!D612,"")</f>
        <v/>
      </c>
      <c r="C608" s="81" t="str">
        <f>IF('Item Setup Form'!$AF612="Yes",'Item Setup Form'!L612,"")</f>
        <v/>
      </c>
      <c r="D608" s="81" t="str">
        <f>IF('Item Setup Form'!$AF612="Yes",'Item Setup Form'!M612,"")</f>
        <v/>
      </c>
      <c r="E608" s="70"/>
      <c r="F608" s="70" t="str">
        <f>IF('Item Setup Form'!$AF612="Yes",'Item Setup Form'!G612,"")</f>
        <v/>
      </c>
      <c r="G608" s="70" t="str">
        <f>IF('Item Setup Form'!$AF612="Yes",'Item Setup Form'!H612,"")</f>
        <v/>
      </c>
      <c r="H608" s="70" t="str">
        <f>IF('Item Setup Form'!$AF612="Yes",'Item Setup Form'!V612,"")</f>
        <v/>
      </c>
      <c r="I608" s="70"/>
      <c r="J608" s="70" t="str">
        <f>IF('Item Setup Form'!$AF612="Yes",'Item Setup Form'!U612,"")</f>
        <v/>
      </c>
      <c r="K608" s="70" t="str">
        <f>IF('Item Setup Form'!$AF612="Yes",'Item Setup Form'!V612,"")</f>
        <v/>
      </c>
      <c r="L608" s="70"/>
      <c r="M608" s="70" t="str">
        <f>IF('Item Setup Form'!$AF612="Yes",'Item Setup Form'!A612,"")</f>
        <v/>
      </c>
      <c r="N608" s="70"/>
      <c r="O608" s="70"/>
      <c r="P608" s="70"/>
      <c r="Q608" s="70"/>
      <c r="R608" s="70"/>
      <c r="S608" s="70"/>
      <c r="T608" s="70"/>
      <c r="U608" s="70"/>
      <c r="V608" s="70"/>
      <c r="W608" s="70"/>
      <c r="X608" s="70"/>
      <c r="Y608" s="70"/>
      <c r="Z608" s="70"/>
    </row>
    <row r="609" spans="1:26">
      <c r="A609" s="70" t="str">
        <f>IF('Item Setup Form'!$AF613="Yes",'Item Setup Form'!$E613,"")</f>
        <v/>
      </c>
      <c r="B609" s="70" t="str">
        <f>IF('Item Setup Form'!$AF613="Yes",'Item Setup Form'!D613,"")</f>
        <v/>
      </c>
      <c r="C609" s="81" t="str">
        <f>IF('Item Setup Form'!$AF613="Yes",'Item Setup Form'!L613,"")</f>
        <v/>
      </c>
      <c r="D609" s="81" t="str">
        <f>IF('Item Setup Form'!$AF613="Yes",'Item Setup Form'!M613,"")</f>
        <v/>
      </c>
      <c r="E609" s="70"/>
      <c r="F609" s="70" t="str">
        <f>IF('Item Setup Form'!$AF613="Yes",'Item Setup Form'!G613,"")</f>
        <v/>
      </c>
      <c r="G609" s="70" t="str">
        <f>IF('Item Setup Form'!$AF613="Yes",'Item Setup Form'!H613,"")</f>
        <v/>
      </c>
      <c r="H609" s="70" t="str">
        <f>IF('Item Setup Form'!$AF613="Yes",'Item Setup Form'!V613,"")</f>
        <v/>
      </c>
      <c r="I609" s="70"/>
      <c r="J609" s="70" t="str">
        <f>IF('Item Setup Form'!$AF613="Yes",'Item Setup Form'!U613,"")</f>
        <v/>
      </c>
      <c r="K609" s="70" t="str">
        <f>IF('Item Setup Form'!$AF613="Yes",'Item Setup Form'!V613,"")</f>
        <v/>
      </c>
      <c r="L609" s="70"/>
      <c r="M609" s="70" t="str">
        <f>IF('Item Setup Form'!$AF613="Yes",'Item Setup Form'!A613,"")</f>
        <v/>
      </c>
      <c r="N609" s="70"/>
      <c r="O609" s="70"/>
      <c r="P609" s="70"/>
      <c r="Q609" s="70"/>
      <c r="R609" s="70"/>
      <c r="S609" s="70"/>
      <c r="T609" s="70"/>
      <c r="U609" s="70"/>
      <c r="V609" s="70"/>
      <c r="W609" s="70"/>
      <c r="X609" s="70"/>
      <c r="Y609" s="70"/>
      <c r="Z609" s="70"/>
    </row>
    <row r="610" spans="1:26">
      <c r="A610" s="70" t="str">
        <f>IF('Item Setup Form'!$AF614="Yes",'Item Setup Form'!$E614,"")</f>
        <v/>
      </c>
      <c r="B610" s="70" t="str">
        <f>IF('Item Setup Form'!$AF614="Yes",'Item Setup Form'!D614,"")</f>
        <v/>
      </c>
      <c r="C610" s="81" t="str">
        <f>IF('Item Setup Form'!$AF614="Yes",'Item Setup Form'!L614,"")</f>
        <v/>
      </c>
      <c r="D610" s="81" t="str">
        <f>IF('Item Setup Form'!$AF614="Yes",'Item Setup Form'!M614,"")</f>
        <v/>
      </c>
      <c r="E610" s="70"/>
      <c r="F610" s="70" t="str">
        <f>IF('Item Setup Form'!$AF614="Yes",'Item Setup Form'!G614,"")</f>
        <v/>
      </c>
      <c r="G610" s="70" t="str">
        <f>IF('Item Setup Form'!$AF614="Yes",'Item Setup Form'!H614,"")</f>
        <v/>
      </c>
      <c r="H610" s="70" t="str">
        <f>IF('Item Setup Form'!$AF614="Yes",'Item Setup Form'!V614,"")</f>
        <v/>
      </c>
      <c r="I610" s="70"/>
      <c r="J610" s="70" t="str">
        <f>IF('Item Setup Form'!$AF614="Yes",'Item Setup Form'!U614,"")</f>
        <v/>
      </c>
      <c r="K610" s="70" t="str">
        <f>IF('Item Setup Form'!$AF614="Yes",'Item Setup Form'!V614,"")</f>
        <v/>
      </c>
      <c r="L610" s="70"/>
      <c r="M610" s="70" t="str">
        <f>IF('Item Setup Form'!$AF614="Yes",'Item Setup Form'!A614,"")</f>
        <v/>
      </c>
      <c r="N610" s="70"/>
      <c r="O610" s="70"/>
      <c r="P610" s="70"/>
      <c r="Q610" s="70"/>
      <c r="R610" s="70"/>
      <c r="S610" s="70"/>
      <c r="T610" s="70"/>
      <c r="U610" s="70"/>
      <c r="V610" s="70"/>
      <c r="W610" s="70"/>
      <c r="X610" s="70"/>
      <c r="Y610" s="70"/>
      <c r="Z610" s="70"/>
    </row>
    <row r="611" spans="1:26">
      <c r="A611" s="70" t="str">
        <f>IF('Item Setup Form'!$AF615="Yes",'Item Setup Form'!$E615,"")</f>
        <v/>
      </c>
      <c r="B611" s="70" t="str">
        <f>IF('Item Setup Form'!$AF615="Yes",'Item Setup Form'!D615,"")</f>
        <v/>
      </c>
      <c r="C611" s="81" t="str">
        <f>IF('Item Setup Form'!$AF615="Yes",'Item Setup Form'!L615,"")</f>
        <v/>
      </c>
      <c r="D611" s="81" t="str">
        <f>IF('Item Setup Form'!$AF615="Yes",'Item Setup Form'!M615,"")</f>
        <v/>
      </c>
      <c r="E611" s="70"/>
      <c r="F611" s="70" t="str">
        <f>IF('Item Setup Form'!$AF615="Yes",'Item Setup Form'!G615,"")</f>
        <v/>
      </c>
      <c r="G611" s="70" t="str">
        <f>IF('Item Setup Form'!$AF615="Yes",'Item Setup Form'!H615,"")</f>
        <v/>
      </c>
      <c r="H611" s="70" t="str">
        <f>IF('Item Setup Form'!$AF615="Yes",'Item Setup Form'!V615,"")</f>
        <v/>
      </c>
      <c r="I611" s="70"/>
      <c r="J611" s="70" t="str">
        <f>IF('Item Setup Form'!$AF615="Yes",'Item Setup Form'!U615,"")</f>
        <v/>
      </c>
      <c r="K611" s="70" t="str">
        <f>IF('Item Setup Form'!$AF615="Yes",'Item Setup Form'!V615,"")</f>
        <v/>
      </c>
      <c r="L611" s="70"/>
      <c r="M611" s="70" t="str">
        <f>IF('Item Setup Form'!$AF615="Yes",'Item Setup Form'!A615,"")</f>
        <v/>
      </c>
      <c r="N611" s="70"/>
      <c r="O611" s="70"/>
      <c r="P611" s="70"/>
      <c r="Q611" s="70"/>
      <c r="R611" s="70"/>
      <c r="S611" s="70"/>
      <c r="T611" s="70"/>
      <c r="U611" s="70"/>
      <c r="V611" s="70"/>
      <c r="W611" s="70"/>
      <c r="X611" s="70"/>
      <c r="Y611" s="70"/>
      <c r="Z611" s="70"/>
    </row>
    <row r="612" spans="1:26">
      <c r="A612" s="70" t="str">
        <f>IF('Item Setup Form'!$AF616="Yes",'Item Setup Form'!$E616,"")</f>
        <v/>
      </c>
      <c r="B612" s="70" t="str">
        <f>IF('Item Setup Form'!$AF616="Yes",'Item Setup Form'!D616,"")</f>
        <v/>
      </c>
      <c r="C612" s="81" t="str">
        <f>IF('Item Setup Form'!$AF616="Yes",'Item Setup Form'!L616,"")</f>
        <v/>
      </c>
      <c r="D612" s="81" t="str">
        <f>IF('Item Setup Form'!$AF616="Yes",'Item Setup Form'!M616,"")</f>
        <v/>
      </c>
      <c r="E612" s="70"/>
      <c r="F612" s="70" t="str">
        <f>IF('Item Setup Form'!$AF616="Yes",'Item Setup Form'!G616,"")</f>
        <v/>
      </c>
      <c r="G612" s="70" t="str">
        <f>IF('Item Setup Form'!$AF616="Yes",'Item Setup Form'!H616,"")</f>
        <v/>
      </c>
      <c r="H612" s="70" t="str">
        <f>IF('Item Setup Form'!$AF616="Yes",'Item Setup Form'!V616,"")</f>
        <v/>
      </c>
      <c r="I612" s="70"/>
      <c r="J612" s="70" t="str">
        <f>IF('Item Setup Form'!$AF616="Yes",'Item Setup Form'!U616,"")</f>
        <v/>
      </c>
      <c r="K612" s="70" t="str">
        <f>IF('Item Setup Form'!$AF616="Yes",'Item Setup Form'!V616,"")</f>
        <v/>
      </c>
      <c r="L612" s="70"/>
      <c r="M612" s="70" t="str">
        <f>IF('Item Setup Form'!$AF616="Yes",'Item Setup Form'!A616,"")</f>
        <v/>
      </c>
      <c r="N612" s="70"/>
      <c r="O612" s="70"/>
      <c r="P612" s="70"/>
      <c r="Q612" s="70"/>
      <c r="R612" s="70"/>
      <c r="S612" s="70"/>
      <c r="T612" s="70"/>
      <c r="U612" s="70"/>
      <c r="V612" s="70"/>
      <c r="W612" s="70"/>
      <c r="X612" s="70"/>
      <c r="Y612" s="70"/>
      <c r="Z612" s="70"/>
    </row>
    <row r="613" spans="1:26">
      <c r="A613" s="70" t="str">
        <f>IF('Item Setup Form'!$AF617="Yes",'Item Setup Form'!$E617,"")</f>
        <v/>
      </c>
      <c r="B613" s="70" t="str">
        <f>IF('Item Setup Form'!$AF617="Yes",'Item Setup Form'!D617,"")</f>
        <v/>
      </c>
      <c r="C613" s="81" t="str">
        <f>IF('Item Setup Form'!$AF617="Yes",'Item Setup Form'!L617,"")</f>
        <v/>
      </c>
      <c r="D613" s="81" t="str">
        <f>IF('Item Setup Form'!$AF617="Yes",'Item Setup Form'!M617,"")</f>
        <v/>
      </c>
      <c r="E613" s="70"/>
      <c r="F613" s="70" t="str">
        <f>IF('Item Setup Form'!$AF617="Yes",'Item Setup Form'!G617,"")</f>
        <v/>
      </c>
      <c r="G613" s="70" t="str">
        <f>IF('Item Setup Form'!$AF617="Yes",'Item Setup Form'!H617,"")</f>
        <v/>
      </c>
      <c r="H613" s="70" t="str">
        <f>IF('Item Setup Form'!$AF617="Yes",'Item Setup Form'!V617,"")</f>
        <v/>
      </c>
      <c r="I613" s="70"/>
      <c r="J613" s="70" t="str">
        <f>IF('Item Setup Form'!$AF617="Yes",'Item Setup Form'!U617,"")</f>
        <v/>
      </c>
      <c r="K613" s="70" t="str">
        <f>IF('Item Setup Form'!$AF617="Yes",'Item Setup Form'!V617,"")</f>
        <v/>
      </c>
      <c r="L613" s="70"/>
      <c r="M613" s="70" t="str">
        <f>IF('Item Setup Form'!$AF617="Yes",'Item Setup Form'!A617,"")</f>
        <v/>
      </c>
      <c r="N613" s="70"/>
      <c r="O613" s="70"/>
      <c r="P613" s="70"/>
      <c r="Q613" s="70"/>
      <c r="R613" s="70"/>
      <c r="S613" s="70"/>
      <c r="T613" s="70"/>
      <c r="U613" s="70"/>
      <c r="V613" s="70"/>
      <c r="W613" s="70"/>
      <c r="X613" s="70"/>
      <c r="Y613" s="70"/>
      <c r="Z613" s="70"/>
    </row>
    <row r="614" spans="1:26">
      <c r="A614" s="70" t="str">
        <f>IF('Item Setup Form'!$AF618="Yes",'Item Setup Form'!$E618,"")</f>
        <v/>
      </c>
      <c r="B614" s="70" t="str">
        <f>IF('Item Setup Form'!$AF618="Yes",'Item Setup Form'!D618,"")</f>
        <v/>
      </c>
      <c r="C614" s="81" t="str">
        <f>IF('Item Setup Form'!$AF618="Yes",'Item Setup Form'!L618,"")</f>
        <v/>
      </c>
      <c r="D614" s="81" t="str">
        <f>IF('Item Setup Form'!$AF618="Yes",'Item Setup Form'!M618,"")</f>
        <v/>
      </c>
      <c r="E614" s="70"/>
      <c r="F614" s="70" t="str">
        <f>IF('Item Setup Form'!$AF618="Yes",'Item Setup Form'!G618,"")</f>
        <v/>
      </c>
      <c r="G614" s="70" t="str">
        <f>IF('Item Setup Form'!$AF618="Yes",'Item Setup Form'!H618,"")</f>
        <v/>
      </c>
      <c r="H614" s="70" t="str">
        <f>IF('Item Setup Form'!$AF618="Yes",'Item Setup Form'!V618,"")</f>
        <v/>
      </c>
      <c r="I614" s="70"/>
      <c r="J614" s="70" t="str">
        <f>IF('Item Setup Form'!$AF618="Yes",'Item Setup Form'!U618,"")</f>
        <v/>
      </c>
      <c r="K614" s="70" t="str">
        <f>IF('Item Setup Form'!$AF618="Yes",'Item Setup Form'!V618,"")</f>
        <v/>
      </c>
      <c r="L614" s="70"/>
      <c r="M614" s="70" t="str">
        <f>IF('Item Setup Form'!$AF618="Yes",'Item Setup Form'!A618,"")</f>
        <v/>
      </c>
      <c r="N614" s="70"/>
      <c r="O614" s="70"/>
      <c r="P614" s="70"/>
      <c r="Q614" s="70"/>
      <c r="R614" s="70"/>
      <c r="S614" s="70"/>
      <c r="T614" s="70"/>
      <c r="U614" s="70"/>
      <c r="V614" s="70"/>
      <c r="W614" s="70"/>
      <c r="X614" s="70"/>
      <c r="Y614" s="70"/>
      <c r="Z614" s="70"/>
    </row>
    <row r="615" spans="1:26">
      <c r="A615" s="70" t="str">
        <f>IF('Item Setup Form'!$AF619="Yes",'Item Setup Form'!$E619,"")</f>
        <v/>
      </c>
      <c r="B615" s="70" t="str">
        <f>IF('Item Setup Form'!$AF619="Yes",'Item Setup Form'!D619,"")</f>
        <v/>
      </c>
      <c r="C615" s="81" t="str">
        <f>IF('Item Setup Form'!$AF619="Yes",'Item Setup Form'!L619,"")</f>
        <v/>
      </c>
      <c r="D615" s="81" t="str">
        <f>IF('Item Setup Form'!$AF619="Yes",'Item Setup Form'!M619,"")</f>
        <v/>
      </c>
      <c r="E615" s="70"/>
      <c r="F615" s="70" t="str">
        <f>IF('Item Setup Form'!$AF619="Yes",'Item Setup Form'!G619,"")</f>
        <v/>
      </c>
      <c r="G615" s="70" t="str">
        <f>IF('Item Setup Form'!$AF619="Yes",'Item Setup Form'!H619,"")</f>
        <v/>
      </c>
      <c r="H615" s="70" t="str">
        <f>IF('Item Setup Form'!$AF619="Yes",'Item Setup Form'!V619,"")</f>
        <v/>
      </c>
      <c r="I615" s="70"/>
      <c r="J615" s="70" t="str">
        <f>IF('Item Setup Form'!$AF619="Yes",'Item Setup Form'!U619,"")</f>
        <v/>
      </c>
      <c r="K615" s="70" t="str">
        <f>IF('Item Setup Form'!$AF619="Yes",'Item Setup Form'!V619,"")</f>
        <v/>
      </c>
      <c r="L615" s="70"/>
      <c r="M615" s="70" t="str">
        <f>IF('Item Setup Form'!$AF619="Yes",'Item Setup Form'!A619,"")</f>
        <v/>
      </c>
      <c r="N615" s="70"/>
      <c r="O615" s="70"/>
      <c r="P615" s="70"/>
      <c r="Q615" s="70"/>
      <c r="R615" s="70"/>
      <c r="S615" s="70"/>
      <c r="T615" s="70"/>
      <c r="U615" s="70"/>
      <c r="V615" s="70"/>
      <c r="W615" s="70"/>
      <c r="X615" s="70"/>
      <c r="Y615" s="70"/>
      <c r="Z615" s="70"/>
    </row>
    <row r="616" spans="1:26">
      <c r="A616" s="70" t="str">
        <f>IF('Item Setup Form'!$AF620="Yes",'Item Setup Form'!$E620,"")</f>
        <v/>
      </c>
      <c r="B616" s="70" t="str">
        <f>IF('Item Setup Form'!$AF620="Yes",'Item Setup Form'!D620,"")</f>
        <v/>
      </c>
      <c r="C616" s="81" t="str">
        <f>IF('Item Setup Form'!$AF620="Yes",'Item Setup Form'!L620,"")</f>
        <v/>
      </c>
      <c r="D616" s="81" t="str">
        <f>IF('Item Setup Form'!$AF620="Yes",'Item Setup Form'!M620,"")</f>
        <v/>
      </c>
      <c r="E616" s="70"/>
      <c r="F616" s="70" t="str">
        <f>IF('Item Setup Form'!$AF620="Yes",'Item Setup Form'!G620,"")</f>
        <v/>
      </c>
      <c r="G616" s="70" t="str">
        <f>IF('Item Setup Form'!$AF620="Yes",'Item Setup Form'!H620,"")</f>
        <v/>
      </c>
      <c r="H616" s="70" t="str">
        <f>IF('Item Setup Form'!$AF620="Yes",'Item Setup Form'!V620,"")</f>
        <v/>
      </c>
      <c r="I616" s="70"/>
      <c r="J616" s="70" t="str">
        <f>IF('Item Setup Form'!$AF620="Yes",'Item Setup Form'!U620,"")</f>
        <v/>
      </c>
      <c r="K616" s="70" t="str">
        <f>IF('Item Setup Form'!$AF620="Yes",'Item Setup Form'!V620,"")</f>
        <v/>
      </c>
      <c r="L616" s="70"/>
      <c r="M616" s="70" t="str">
        <f>IF('Item Setup Form'!$AF620="Yes",'Item Setup Form'!A620,"")</f>
        <v/>
      </c>
      <c r="N616" s="70"/>
      <c r="O616" s="70"/>
      <c r="P616" s="70"/>
      <c r="Q616" s="70"/>
      <c r="R616" s="70"/>
      <c r="S616" s="70"/>
      <c r="T616" s="70"/>
      <c r="U616" s="70"/>
      <c r="V616" s="70"/>
      <c r="W616" s="70"/>
      <c r="X616" s="70"/>
      <c r="Y616" s="70"/>
      <c r="Z616" s="70"/>
    </row>
    <row r="617" spans="1:26">
      <c r="A617" s="70" t="str">
        <f>IF('Item Setup Form'!$AF621="Yes",'Item Setup Form'!$E621,"")</f>
        <v/>
      </c>
      <c r="B617" s="70" t="str">
        <f>IF('Item Setup Form'!$AF621="Yes",'Item Setup Form'!D621,"")</f>
        <v/>
      </c>
      <c r="C617" s="81" t="str">
        <f>IF('Item Setup Form'!$AF621="Yes",'Item Setup Form'!L621,"")</f>
        <v/>
      </c>
      <c r="D617" s="81" t="str">
        <f>IF('Item Setup Form'!$AF621="Yes",'Item Setup Form'!M621,"")</f>
        <v/>
      </c>
      <c r="E617" s="70"/>
      <c r="F617" s="70" t="str">
        <f>IF('Item Setup Form'!$AF621="Yes",'Item Setup Form'!G621,"")</f>
        <v/>
      </c>
      <c r="G617" s="70" t="str">
        <f>IF('Item Setup Form'!$AF621="Yes",'Item Setup Form'!H621,"")</f>
        <v/>
      </c>
      <c r="H617" s="70" t="str">
        <f>IF('Item Setup Form'!$AF621="Yes",'Item Setup Form'!V621,"")</f>
        <v/>
      </c>
      <c r="I617" s="70"/>
      <c r="J617" s="70" t="str">
        <f>IF('Item Setup Form'!$AF621="Yes",'Item Setup Form'!U621,"")</f>
        <v/>
      </c>
      <c r="K617" s="70" t="str">
        <f>IF('Item Setup Form'!$AF621="Yes",'Item Setup Form'!V621,"")</f>
        <v/>
      </c>
      <c r="L617" s="70"/>
      <c r="M617" s="70" t="str">
        <f>IF('Item Setup Form'!$AF621="Yes",'Item Setup Form'!A621,"")</f>
        <v/>
      </c>
      <c r="N617" s="70"/>
      <c r="O617" s="70"/>
      <c r="P617" s="70"/>
      <c r="Q617" s="70"/>
      <c r="R617" s="70"/>
      <c r="S617" s="70"/>
      <c r="T617" s="70"/>
      <c r="U617" s="70"/>
      <c r="V617" s="70"/>
      <c r="W617" s="70"/>
      <c r="X617" s="70"/>
      <c r="Y617" s="70"/>
      <c r="Z617" s="70"/>
    </row>
    <row r="618" spans="1:26">
      <c r="A618" s="70" t="str">
        <f>IF('Item Setup Form'!$AF622="Yes",'Item Setup Form'!$E622,"")</f>
        <v/>
      </c>
      <c r="B618" s="70" t="str">
        <f>IF('Item Setup Form'!$AF622="Yes",'Item Setup Form'!D622,"")</f>
        <v/>
      </c>
      <c r="C618" s="81" t="str">
        <f>IF('Item Setup Form'!$AF622="Yes",'Item Setup Form'!L622,"")</f>
        <v/>
      </c>
      <c r="D618" s="81" t="str">
        <f>IF('Item Setup Form'!$AF622="Yes",'Item Setup Form'!M622,"")</f>
        <v/>
      </c>
      <c r="E618" s="70"/>
      <c r="F618" s="70" t="str">
        <f>IF('Item Setup Form'!$AF622="Yes",'Item Setup Form'!G622,"")</f>
        <v/>
      </c>
      <c r="G618" s="70" t="str">
        <f>IF('Item Setup Form'!$AF622="Yes",'Item Setup Form'!H622,"")</f>
        <v/>
      </c>
      <c r="H618" s="70" t="str">
        <f>IF('Item Setup Form'!$AF622="Yes",'Item Setup Form'!V622,"")</f>
        <v/>
      </c>
      <c r="I618" s="70"/>
      <c r="J618" s="70" t="str">
        <f>IF('Item Setup Form'!$AF622="Yes",'Item Setup Form'!U622,"")</f>
        <v/>
      </c>
      <c r="K618" s="70" t="str">
        <f>IF('Item Setup Form'!$AF622="Yes",'Item Setup Form'!V622,"")</f>
        <v/>
      </c>
      <c r="L618" s="70"/>
      <c r="M618" s="70" t="str">
        <f>IF('Item Setup Form'!$AF622="Yes",'Item Setup Form'!A622,"")</f>
        <v/>
      </c>
      <c r="N618" s="70"/>
      <c r="O618" s="70"/>
      <c r="P618" s="70"/>
      <c r="Q618" s="70"/>
      <c r="R618" s="70"/>
      <c r="S618" s="70"/>
      <c r="T618" s="70"/>
      <c r="U618" s="70"/>
      <c r="V618" s="70"/>
      <c r="W618" s="70"/>
      <c r="X618" s="70"/>
      <c r="Y618" s="70"/>
      <c r="Z618" s="70"/>
    </row>
    <row r="619" spans="1:26">
      <c r="A619" s="70" t="str">
        <f>IF('Item Setup Form'!$AF623="Yes",'Item Setup Form'!$E623,"")</f>
        <v/>
      </c>
      <c r="B619" s="70" t="str">
        <f>IF('Item Setup Form'!$AF623="Yes",'Item Setup Form'!D623,"")</f>
        <v/>
      </c>
      <c r="C619" s="81" t="str">
        <f>IF('Item Setup Form'!$AF623="Yes",'Item Setup Form'!L623,"")</f>
        <v/>
      </c>
      <c r="D619" s="81" t="str">
        <f>IF('Item Setup Form'!$AF623="Yes",'Item Setup Form'!M623,"")</f>
        <v/>
      </c>
      <c r="E619" s="70"/>
      <c r="F619" s="70" t="str">
        <f>IF('Item Setup Form'!$AF623="Yes",'Item Setup Form'!G623,"")</f>
        <v/>
      </c>
      <c r="G619" s="70" t="str">
        <f>IF('Item Setup Form'!$AF623="Yes",'Item Setup Form'!H623,"")</f>
        <v/>
      </c>
      <c r="H619" s="70" t="str">
        <f>IF('Item Setup Form'!$AF623="Yes",'Item Setup Form'!V623,"")</f>
        <v/>
      </c>
      <c r="I619" s="70"/>
      <c r="J619" s="70" t="str">
        <f>IF('Item Setup Form'!$AF623="Yes",'Item Setup Form'!U623,"")</f>
        <v/>
      </c>
      <c r="K619" s="70" t="str">
        <f>IF('Item Setup Form'!$AF623="Yes",'Item Setup Form'!V623,"")</f>
        <v/>
      </c>
      <c r="L619" s="70"/>
      <c r="M619" s="70" t="str">
        <f>IF('Item Setup Form'!$AF623="Yes",'Item Setup Form'!A623,"")</f>
        <v/>
      </c>
      <c r="N619" s="70"/>
      <c r="O619" s="70"/>
      <c r="P619" s="70"/>
      <c r="Q619" s="70"/>
      <c r="R619" s="70"/>
      <c r="S619" s="70"/>
      <c r="T619" s="70"/>
      <c r="U619" s="70"/>
      <c r="V619" s="70"/>
      <c r="W619" s="70"/>
      <c r="X619" s="70"/>
      <c r="Y619" s="70"/>
      <c r="Z619" s="70"/>
    </row>
    <row r="620" spans="1:26">
      <c r="A620" s="70" t="str">
        <f>IF('Item Setup Form'!$AF624="Yes",'Item Setup Form'!$E624,"")</f>
        <v/>
      </c>
      <c r="B620" s="70" t="str">
        <f>IF('Item Setup Form'!$AF624="Yes",'Item Setup Form'!D624,"")</f>
        <v/>
      </c>
      <c r="C620" s="81" t="str">
        <f>IF('Item Setup Form'!$AF624="Yes",'Item Setup Form'!L624,"")</f>
        <v/>
      </c>
      <c r="D620" s="81" t="str">
        <f>IF('Item Setup Form'!$AF624="Yes",'Item Setup Form'!M624,"")</f>
        <v/>
      </c>
      <c r="E620" s="70"/>
      <c r="F620" s="70" t="str">
        <f>IF('Item Setup Form'!$AF624="Yes",'Item Setup Form'!G624,"")</f>
        <v/>
      </c>
      <c r="G620" s="70" t="str">
        <f>IF('Item Setup Form'!$AF624="Yes",'Item Setup Form'!H624,"")</f>
        <v/>
      </c>
      <c r="H620" s="70" t="str">
        <f>IF('Item Setup Form'!$AF624="Yes",'Item Setup Form'!V624,"")</f>
        <v/>
      </c>
      <c r="I620" s="70"/>
      <c r="J620" s="70" t="str">
        <f>IF('Item Setup Form'!$AF624="Yes",'Item Setup Form'!U624,"")</f>
        <v/>
      </c>
      <c r="K620" s="70" t="str">
        <f>IF('Item Setup Form'!$AF624="Yes",'Item Setup Form'!V624,"")</f>
        <v/>
      </c>
      <c r="L620" s="70"/>
      <c r="M620" s="70" t="str">
        <f>IF('Item Setup Form'!$AF624="Yes",'Item Setup Form'!A624,"")</f>
        <v/>
      </c>
      <c r="N620" s="70"/>
      <c r="O620" s="70"/>
      <c r="P620" s="70"/>
      <c r="Q620" s="70"/>
      <c r="R620" s="70"/>
      <c r="S620" s="70"/>
      <c r="T620" s="70"/>
      <c r="U620" s="70"/>
      <c r="V620" s="70"/>
      <c r="W620" s="70"/>
      <c r="X620" s="70"/>
      <c r="Y620" s="70"/>
      <c r="Z620" s="70"/>
    </row>
    <row r="621" spans="1:26">
      <c r="A621" s="70" t="str">
        <f>IF('Item Setup Form'!$AF625="Yes",'Item Setup Form'!$E625,"")</f>
        <v/>
      </c>
      <c r="B621" s="70" t="str">
        <f>IF('Item Setup Form'!$AF625="Yes",'Item Setup Form'!D625,"")</f>
        <v/>
      </c>
      <c r="C621" s="81" t="str">
        <f>IF('Item Setup Form'!$AF625="Yes",'Item Setup Form'!L625,"")</f>
        <v/>
      </c>
      <c r="D621" s="81" t="str">
        <f>IF('Item Setup Form'!$AF625="Yes",'Item Setup Form'!M625,"")</f>
        <v/>
      </c>
      <c r="E621" s="70"/>
      <c r="F621" s="70" t="str">
        <f>IF('Item Setup Form'!$AF625="Yes",'Item Setup Form'!G625,"")</f>
        <v/>
      </c>
      <c r="G621" s="70" t="str">
        <f>IF('Item Setup Form'!$AF625="Yes",'Item Setup Form'!H625,"")</f>
        <v/>
      </c>
      <c r="H621" s="70" t="str">
        <f>IF('Item Setup Form'!$AF625="Yes",'Item Setup Form'!V625,"")</f>
        <v/>
      </c>
      <c r="I621" s="70"/>
      <c r="J621" s="70" t="str">
        <f>IF('Item Setup Form'!$AF625="Yes",'Item Setup Form'!U625,"")</f>
        <v/>
      </c>
      <c r="K621" s="70" t="str">
        <f>IF('Item Setup Form'!$AF625="Yes",'Item Setup Form'!V625,"")</f>
        <v/>
      </c>
      <c r="L621" s="70"/>
      <c r="M621" s="70" t="str">
        <f>IF('Item Setup Form'!$AF625="Yes",'Item Setup Form'!A625,"")</f>
        <v/>
      </c>
      <c r="N621" s="70"/>
      <c r="O621" s="70"/>
      <c r="P621" s="70"/>
      <c r="Q621" s="70"/>
      <c r="R621" s="70"/>
      <c r="S621" s="70"/>
      <c r="T621" s="70"/>
      <c r="U621" s="70"/>
      <c r="V621" s="70"/>
      <c r="W621" s="70"/>
      <c r="X621" s="70"/>
      <c r="Y621" s="70"/>
      <c r="Z621" s="70"/>
    </row>
    <row r="622" spans="1:26">
      <c r="A622" s="70" t="str">
        <f>IF('Item Setup Form'!$AF626="Yes",'Item Setup Form'!$E626,"")</f>
        <v/>
      </c>
      <c r="B622" s="70" t="str">
        <f>IF('Item Setup Form'!$AF626="Yes",'Item Setup Form'!D626,"")</f>
        <v/>
      </c>
      <c r="C622" s="81" t="str">
        <f>IF('Item Setup Form'!$AF626="Yes",'Item Setup Form'!L626,"")</f>
        <v/>
      </c>
      <c r="D622" s="81" t="str">
        <f>IF('Item Setup Form'!$AF626="Yes",'Item Setup Form'!M626,"")</f>
        <v/>
      </c>
      <c r="E622" s="70"/>
      <c r="F622" s="70" t="str">
        <f>IF('Item Setup Form'!$AF626="Yes",'Item Setup Form'!G626,"")</f>
        <v/>
      </c>
      <c r="G622" s="70" t="str">
        <f>IF('Item Setup Form'!$AF626="Yes",'Item Setup Form'!H626,"")</f>
        <v/>
      </c>
      <c r="H622" s="70" t="str">
        <f>IF('Item Setup Form'!$AF626="Yes",'Item Setup Form'!V626,"")</f>
        <v/>
      </c>
      <c r="I622" s="70"/>
      <c r="J622" s="70" t="str">
        <f>IF('Item Setup Form'!$AF626="Yes",'Item Setup Form'!U626,"")</f>
        <v/>
      </c>
      <c r="K622" s="70" t="str">
        <f>IF('Item Setup Form'!$AF626="Yes",'Item Setup Form'!V626,"")</f>
        <v/>
      </c>
      <c r="L622" s="70"/>
      <c r="M622" s="70" t="str">
        <f>IF('Item Setup Form'!$AF626="Yes",'Item Setup Form'!A626,"")</f>
        <v/>
      </c>
      <c r="N622" s="70"/>
      <c r="O622" s="70"/>
      <c r="P622" s="70"/>
      <c r="Q622" s="70"/>
      <c r="R622" s="70"/>
      <c r="S622" s="70"/>
      <c r="T622" s="70"/>
      <c r="U622" s="70"/>
      <c r="V622" s="70"/>
      <c r="W622" s="70"/>
      <c r="X622" s="70"/>
      <c r="Y622" s="70"/>
      <c r="Z622" s="70"/>
    </row>
    <row r="623" spans="1:26">
      <c r="A623" s="70" t="str">
        <f>IF('Item Setup Form'!$AF627="Yes",'Item Setup Form'!$E627,"")</f>
        <v/>
      </c>
      <c r="B623" s="70" t="str">
        <f>IF('Item Setup Form'!$AF627="Yes",'Item Setup Form'!D627,"")</f>
        <v/>
      </c>
      <c r="C623" s="81" t="str">
        <f>IF('Item Setup Form'!$AF627="Yes",'Item Setup Form'!L627,"")</f>
        <v/>
      </c>
      <c r="D623" s="81" t="str">
        <f>IF('Item Setup Form'!$AF627="Yes",'Item Setup Form'!M627,"")</f>
        <v/>
      </c>
      <c r="E623" s="70"/>
      <c r="F623" s="70" t="str">
        <f>IF('Item Setup Form'!$AF627="Yes",'Item Setup Form'!G627,"")</f>
        <v/>
      </c>
      <c r="G623" s="70" t="str">
        <f>IF('Item Setup Form'!$AF627="Yes",'Item Setup Form'!H627,"")</f>
        <v/>
      </c>
      <c r="H623" s="70" t="str">
        <f>IF('Item Setup Form'!$AF627="Yes",'Item Setup Form'!V627,"")</f>
        <v/>
      </c>
      <c r="I623" s="70"/>
      <c r="J623" s="70" t="str">
        <f>IF('Item Setup Form'!$AF627="Yes",'Item Setup Form'!U627,"")</f>
        <v/>
      </c>
      <c r="K623" s="70" t="str">
        <f>IF('Item Setup Form'!$AF627="Yes",'Item Setup Form'!V627,"")</f>
        <v/>
      </c>
      <c r="L623" s="70"/>
      <c r="M623" s="70" t="str">
        <f>IF('Item Setup Form'!$AF627="Yes",'Item Setup Form'!A627,"")</f>
        <v/>
      </c>
      <c r="N623" s="70"/>
      <c r="O623" s="70"/>
      <c r="P623" s="70"/>
      <c r="Q623" s="70"/>
      <c r="R623" s="70"/>
      <c r="S623" s="70"/>
      <c r="T623" s="70"/>
      <c r="U623" s="70"/>
      <c r="V623" s="70"/>
      <c r="W623" s="70"/>
      <c r="X623" s="70"/>
      <c r="Y623" s="70"/>
      <c r="Z623" s="70"/>
    </row>
    <row r="624" spans="1:26">
      <c r="A624" s="70" t="str">
        <f>IF('Item Setup Form'!$AF628="Yes",'Item Setup Form'!$E628,"")</f>
        <v/>
      </c>
      <c r="B624" s="70" t="str">
        <f>IF('Item Setup Form'!$AF628="Yes",'Item Setup Form'!D628,"")</f>
        <v/>
      </c>
      <c r="C624" s="81" t="str">
        <f>IF('Item Setup Form'!$AF628="Yes",'Item Setup Form'!L628,"")</f>
        <v/>
      </c>
      <c r="D624" s="81" t="str">
        <f>IF('Item Setup Form'!$AF628="Yes",'Item Setup Form'!M628,"")</f>
        <v/>
      </c>
      <c r="E624" s="70"/>
      <c r="F624" s="70" t="str">
        <f>IF('Item Setup Form'!$AF628="Yes",'Item Setup Form'!G628,"")</f>
        <v/>
      </c>
      <c r="G624" s="70" t="str">
        <f>IF('Item Setup Form'!$AF628="Yes",'Item Setup Form'!H628,"")</f>
        <v/>
      </c>
      <c r="H624" s="70" t="str">
        <f>IF('Item Setup Form'!$AF628="Yes",'Item Setup Form'!V628,"")</f>
        <v/>
      </c>
      <c r="I624" s="70"/>
      <c r="J624" s="70" t="str">
        <f>IF('Item Setup Form'!$AF628="Yes",'Item Setup Form'!U628,"")</f>
        <v/>
      </c>
      <c r="K624" s="70" t="str">
        <f>IF('Item Setup Form'!$AF628="Yes",'Item Setup Form'!V628,"")</f>
        <v/>
      </c>
      <c r="L624" s="70"/>
      <c r="M624" s="70" t="str">
        <f>IF('Item Setup Form'!$AF628="Yes",'Item Setup Form'!A628,"")</f>
        <v/>
      </c>
      <c r="N624" s="70"/>
      <c r="O624" s="70"/>
      <c r="P624" s="70"/>
      <c r="Q624" s="70"/>
      <c r="R624" s="70"/>
      <c r="S624" s="70"/>
      <c r="T624" s="70"/>
      <c r="U624" s="70"/>
      <c r="V624" s="70"/>
      <c r="W624" s="70"/>
      <c r="X624" s="70"/>
      <c r="Y624" s="70"/>
      <c r="Z624" s="70"/>
    </row>
    <row r="625" spans="1:26">
      <c r="A625" s="70" t="str">
        <f>IF('Item Setup Form'!$AF629="Yes",'Item Setup Form'!$E629,"")</f>
        <v/>
      </c>
      <c r="B625" s="70" t="str">
        <f>IF('Item Setup Form'!$AF629="Yes",'Item Setup Form'!D629,"")</f>
        <v/>
      </c>
      <c r="C625" s="81" t="str">
        <f>IF('Item Setup Form'!$AF629="Yes",'Item Setup Form'!L629,"")</f>
        <v/>
      </c>
      <c r="D625" s="81" t="str">
        <f>IF('Item Setup Form'!$AF629="Yes",'Item Setup Form'!M629,"")</f>
        <v/>
      </c>
      <c r="E625" s="70"/>
      <c r="F625" s="70" t="str">
        <f>IF('Item Setup Form'!$AF629="Yes",'Item Setup Form'!G629,"")</f>
        <v/>
      </c>
      <c r="G625" s="70" t="str">
        <f>IF('Item Setup Form'!$AF629="Yes",'Item Setup Form'!H629,"")</f>
        <v/>
      </c>
      <c r="H625" s="70" t="str">
        <f>IF('Item Setup Form'!$AF629="Yes",'Item Setup Form'!V629,"")</f>
        <v/>
      </c>
      <c r="I625" s="70"/>
      <c r="J625" s="70" t="str">
        <f>IF('Item Setup Form'!$AF629="Yes",'Item Setup Form'!U629,"")</f>
        <v/>
      </c>
      <c r="K625" s="70" t="str">
        <f>IF('Item Setup Form'!$AF629="Yes",'Item Setup Form'!V629,"")</f>
        <v/>
      </c>
      <c r="L625" s="70"/>
      <c r="M625" s="70" t="str">
        <f>IF('Item Setup Form'!$AF629="Yes",'Item Setup Form'!A629,"")</f>
        <v/>
      </c>
      <c r="N625" s="70"/>
      <c r="O625" s="70"/>
      <c r="P625" s="70"/>
      <c r="Q625" s="70"/>
      <c r="R625" s="70"/>
      <c r="S625" s="70"/>
      <c r="T625" s="70"/>
      <c r="U625" s="70"/>
      <c r="V625" s="70"/>
      <c r="W625" s="70"/>
      <c r="X625" s="70"/>
      <c r="Y625" s="70"/>
      <c r="Z625" s="70"/>
    </row>
    <row r="626" spans="1:26">
      <c r="A626" s="70" t="str">
        <f>IF('Item Setup Form'!$AF630="Yes",'Item Setup Form'!$E630,"")</f>
        <v/>
      </c>
      <c r="B626" s="70" t="str">
        <f>IF('Item Setup Form'!$AF630="Yes",'Item Setup Form'!D630,"")</f>
        <v/>
      </c>
      <c r="C626" s="81" t="str">
        <f>IF('Item Setup Form'!$AF630="Yes",'Item Setup Form'!L630,"")</f>
        <v/>
      </c>
      <c r="D626" s="81" t="str">
        <f>IF('Item Setup Form'!$AF630="Yes",'Item Setup Form'!M630,"")</f>
        <v/>
      </c>
      <c r="E626" s="70"/>
      <c r="F626" s="70" t="str">
        <f>IF('Item Setup Form'!$AF630="Yes",'Item Setup Form'!G630,"")</f>
        <v/>
      </c>
      <c r="G626" s="70" t="str">
        <f>IF('Item Setup Form'!$AF630="Yes",'Item Setup Form'!H630,"")</f>
        <v/>
      </c>
      <c r="H626" s="70" t="str">
        <f>IF('Item Setup Form'!$AF630="Yes",'Item Setup Form'!V630,"")</f>
        <v/>
      </c>
      <c r="I626" s="70"/>
      <c r="J626" s="70" t="str">
        <f>IF('Item Setup Form'!$AF630="Yes",'Item Setup Form'!U630,"")</f>
        <v/>
      </c>
      <c r="K626" s="70" t="str">
        <f>IF('Item Setup Form'!$AF630="Yes",'Item Setup Form'!V630,"")</f>
        <v/>
      </c>
      <c r="L626" s="70"/>
      <c r="M626" s="70" t="str">
        <f>IF('Item Setup Form'!$AF630="Yes",'Item Setup Form'!A630,"")</f>
        <v/>
      </c>
      <c r="N626" s="70"/>
      <c r="O626" s="70"/>
      <c r="P626" s="70"/>
      <c r="Q626" s="70"/>
      <c r="R626" s="70"/>
      <c r="S626" s="70"/>
      <c r="T626" s="70"/>
      <c r="U626" s="70"/>
      <c r="V626" s="70"/>
      <c r="W626" s="70"/>
      <c r="X626" s="70"/>
      <c r="Y626" s="70"/>
      <c r="Z626" s="70"/>
    </row>
    <row r="627" spans="1:26">
      <c r="A627" s="70" t="str">
        <f>IF('Item Setup Form'!$AF631="Yes",'Item Setup Form'!$E631,"")</f>
        <v/>
      </c>
      <c r="B627" s="70" t="str">
        <f>IF('Item Setup Form'!$AF631="Yes",'Item Setup Form'!D631,"")</f>
        <v/>
      </c>
      <c r="C627" s="81" t="str">
        <f>IF('Item Setup Form'!$AF631="Yes",'Item Setup Form'!L631,"")</f>
        <v/>
      </c>
      <c r="D627" s="81" t="str">
        <f>IF('Item Setup Form'!$AF631="Yes",'Item Setup Form'!M631,"")</f>
        <v/>
      </c>
      <c r="E627" s="70"/>
      <c r="F627" s="70" t="str">
        <f>IF('Item Setup Form'!$AF631="Yes",'Item Setup Form'!G631,"")</f>
        <v/>
      </c>
      <c r="G627" s="70" t="str">
        <f>IF('Item Setup Form'!$AF631="Yes",'Item Setup Form'!H631,"")</f>
        <v/>
      </c>
      <c r="H627" s="70" t="str">
        <f>IF('Item Setup Form'!$AF631="Yes",'Item Setup Form'!V631,"")</f>
        <v/>
      </c>
      <c r="I627" s="70"/>
      <c r="J627" s="70" t="str">
        <f>IF('Item Setup Form'!$AF631="Yes",'Item Setup Form'!U631,"")</f>
        <v/>
      </c>
      <c r="K627" s="70" t="str">
        <f>IF('Item Setup Form'!$AF631="Yes",'Item Setup Form'!V631,"")</f>
        <v/>
      </c>
      <c r="L627" s="70"/>
      <c r="M627" s="70" t="str">
        <f>IF('Item Setup Form'!$AF631="Yes",'Item Setup Form'!A631,"")</f>
        <v/>
      </c>
      <c r="N627" s="70"/>
      <c r="O627" s="70"/>
      <c r="P627" s="70"/>
      <c r="Q627" s="70"/>
      <c r="R627" s="70"/>
      <c r="S627" s="70"/>
      <c r="T627" s="70"/>
      <c r="U627" s="70"/>
      <c r="V627" s="70"/>
      <c r="W627" s="70"/>
      <c r="X627" s="70"/>
      <c r="Y627" s="70"/>
      <c r="Z627" s="70"/>
    </row>
    <row r="628" spans="1:26">
      <c r="A628" s="70" t="str">
        <f>IF('Item Setup Form'!$AF632="Yes",'Item Setup Form'!$E632,"")</f>
        <v/>
      </c>
      <c r="B628" s="70" t="str">
        <f>IF('Item Setup Form'!$AF632="Yes",'Item Setup Form'!D632,"")</f>
        <v/>
      </c>
      <c r="C628" s="81" t="str">
        <f>IF('Item Setup Form'!$AF632="Yes",'Item Setup Form'!L632,"")</f>
        <v/>
      </c>
      <c r="D628" s="81" t="str">
        <f>IF('Item Setup Form'!$AF632="Yes",'Item Setup Form'!M632,"")</f>
        <v/>
      </c>
      <c r="E628" s="70"/>
      <c r="F628" s="70" t="str">
        <f>IF('Item Setup Form'!$AF632="Yes",'Item Setup Form'!G632,"")</f>
        <v/>
      </c>
      <c r="G628" s="70" t="str">
        <f>IF('Item Setup Form'!$AF632="Yes",'Item Setup Form'!H632,"")</f>
        <v/>
      </c>
      <c r="H628" s="70" t="str">
        <f>IF('Item Setup Form'!$AF632="Yes",'Item Setup Form'!V632,"")</f>
        <v/>
      </c>
      <c r="I628" s="70"/>
      <c r="J628" s="70" t="str">
        <f>IF('Item Setup Form'!$AF632="Yes",'Item Setup Form'!U632,"")</f>
        <v/>
      </c>
      <c r="K628" s="70" t="str">
        <f>IF('Item Setup Form'!$AF632="Yes",'Item Setup Form'!V632,"")</f>
        <v/>
      </c>
      <c r="L628" s="70"/>
      <c r="M628" s="70" t="str">
        <f>IF('Item Setup Form'!$AF632="Yes",'Item Setup Form'!A632,"")</f>
        <v/>
      </c>
      <c r="N628" s="70"/>
      <c r="O628" s="70"/>
      <c r="P628" s="70"/>
      <c r="Q628" s="70"/>
      <c r="R628" s="70"/>
      <c r="S628" s="70"/>
      <c r="T628" s="70"/>
      <c r="U628" s="70"/>
      <c r="V628" s="70"/>
      <c r="W628" s="70"/>
      <c r="X628" s="70"/>
      <c r="Y628" s="70"/>
      <c r="Z628" s="70"/>
    </row>
    <row r="629" spans="1:26">
      <c r="A629" s="70" t="str">
        <f>IF('Item Setup Form'!$AF633="Yes",'Item Setup Form'!$E633,"")</f>
        <v/>
      </c>
      <c r="B629" s="70" t="str">
        <f>IF('Item Setup Form'!$AF633="Yes",'Item Setup Form'!D633,"")</f>
        <v/>
      </c>
      <c r="C629" s="81" t="str">
        <f>IF('Item Setup Form'!$AF633="Yes",'Item Setup Form'!L633,"")</f>
        <v/>
      </c>
      <c r="D629" s="81" t="str">
        <f>IF('Item Setup Form'!$AF633="Yes",'Item Setup Form'!M633,"")</f>
        <v/>
      </c>
      <c r="E629" s="70"/>
      <c r="F629" s="70" t="str">
        <f>IF('Item Setup Form'!$AF633="Yes",'Item Setup Form'!G633,"")</f>
        <v/>
      </c>
      <c r="G629" s="70" t="str">
        <f>IF('Item Setup Form'!$AF633="Yes",'Item Setup Form'!H633,"")</f>
        <v/>
      </c>
      <c r="H629" s="70" t="str">
        <f>IF('Item Setup Form'!$AF633="Yes",'Item Setup Form'!V633,"")</f>
        <v/>
      </c>
      <c r="I629" s="70"/>
      <c r="J629" s="70" t="str">
        <f>IF('Item Setup Form'!$AF633="Yes",'Item Setup Form'!U633,"")</f>
        <v/>
      </c>
      <c r="K629" s="70" t="str">
        <f>IF('Item Setup Form'!$AF633="Yes",'Item Setup Form'!V633,"")</f>
        <v/>
      </c>
      <c r="L629" s="70"/>
      <c r="M629" s="70" t="str">
        <f>IF('Item Setup Form'!$AF633="Yes",'Item Setup Form'!A633,"")</f>
        <v/>
      </c>
      <c r="N629" s="70"/>
      <c r="O629" s="70"/>
      <c r="P629" s="70"/>
      <c r="Q629" s="70"/>
      <c r="R629" s="70"/>
      <c r="S629" s="70"/>
      <c r="T629" s="70"/>
      <c r="U629" s="70"/>
      <c r="V629" s="70"/>
      <c r="W629" s="70"/>
      <c r="X629" s="70"/>
      <c r="Y629" s="70"/>
      <c r="Z629" s="70"/>
    </row>
    <row r="630" spans="1:26">
      <c r="A630" s="70" t="str">
        <f>IF('Item Setup Form'!$AF634="Yes",'Item Setup Form'!$E634,"")</f>
        <v/>
      </c>
      <c r="B630" s="70" t="str">
        <f>IF('Item Setup Form'!$AF634="Yes",'Item Setup Form'!D634,"")</f>
        <v/>
      </c>
      <c r="C630" s="81" t="str">
        <f>IF('Item Setup Form'!$AF634="Yes",'Item Setup Form'!L634,"")</f>
        <v/>
      </c>
      <c r="D630" s="81" t="str">
        <f>IF('Item Setup Form'!$AF634="Yes",'Item Setup Form'!M634,"")</f>
        <v/>
      </c>
      <c r="E630" s="70"/>
      <c r="F630" s="70" t="str">
        <f>IF('Item Setup Form'!$AF634="Yes",'Item Setup Form'!G634,"")</f>
        <v/>
      </c>
      <c r="G630" s="70" t="str">
        <f>IF('Item Setup Form'!$AF634="Yes",'Item Setup Form'!H634,"")</f>
        <v/>
      </c>
      <c r="H630" s="70" t="str">
        <f>IF('Item Setup Form'!$AF634="Yes",'Item Setup Form'!V634,"")</f>
        <v/>
      </c>
      <c r="I630" s="70"/>
      <c r="J630" s="70" t="str">
        <f>IF('Item Setup Form'!$AF634="Yes",'Item Setup Form'!U634,"")</f>
        <v/>
      </c>
      <c r="K630" s="70" t="str">
        <f>IF('Item Setup Form'!$AF634="Yes",'Item Setup Form'!V634,"")</f>
        <v/>
      </c>
      <c r="L630" s="70"/>
      <c r="M630" s="70" t="str">
        <f>IF('Item Setup Form'!$AF634="Yes",'Item Setup Form'!A634,"")</f>
        <v/>
      </c>
      <c r="N630" s="70"/>
      <c r="O630" s="70"/>
      <c r="P630" s="70"/>
      <c r="Q630" s="70"/>
      <c r="R630" s="70"/>
      <c r="S630" s="70"/>
      <c r="T630" s="70"/>
      <c r="U630" s="70"/>
      <c r="V630" s="70"/>
      <c r="W630" s="70"/>
      <c r="X630" s="70"/>
      <c r="Y630" s="70"/>
      <c r="Z630" s="70"/>
    </row>
    <row r="631" spans="1:26">
      <c r="A631" s="70" t="str">
        <f>IF('Item Setup Form'!$AF635="Yes",'Item Setup Form'!$E635,"")</f>
        <v/>
      </c>
      <c r="B631" s="70" t="str">
        <f>IF('Item Setup Form'!$AF635="Yes",'Item Setup Form'!D635,"")</f>
        <v/>
      </c>
      <c r="C631" s="81" t="str">
        <f>IF('Item Setup Form'!$AF635="Yes",'Item Setup Form'!L635,"")</f>
        <v/>
      </c>
      <c r="D631" s="81" t="str">
        <f>IF('Item Setup Form'!$AF635="Yes",'Item Setup Form'!M635,"")</f>
        <v/>
      </c>
      <c r="E631" s="70"/>
      <c r="F631" s="70" t="str">
        <f>IF('Item Setup Form'!$AF635="Yes",'Item Setup Form'!G635,"")</f>
        <v/>
      </c>
      <c r="G631" s="70" t="str">
        <f>IF('Item Setup Form'!$AF635="Yes",'Item Setup Form'!H635,"")</f>
        <v/>
      </c>
      <c r="H631" s="70" t="str">
        <f>IF('Item Setup Form'!$AF635="Yes",'Item Setup Form'!V635,"")</f>
        <v/>
      </c>
      <c r="I631" s="70"/>
      <c r="J631" s="70" t="str">
        <f>IF('Item Setup Form'!$AF635="Yes",'Item Setup Form'!U635,"")</f>
        <v/>
      </c>
      <c r="K631" s="70" t="str">
        <f>IF('Item Setup Form'!$AF635="Yes",'Item Setup Form'!V635,"")</f>
        <v/>
      </c>
      <c r="L631" s="70"/>
      <c r="M631" s="70" t="str">
        <f>IF('Item Setup Form'!$AF635="Yes",'Item Setup Form'!A635,"")</f>
        <v/>
      </c>
      <c r="N631" s="70"/>
      <c r="O631" s="70"/>
      <c r="P631" s="70"/>
      <c r="Q631" s="70"/>
      <c r="R631" s="70"/>
      <c r="S631" s="70"/>
      <c r="T631" s="70"/>
      <c r="U631" s="70"/>
      <c r="V631" s="70"/>
      <c r="W631" s="70"/>
      <c r="X631" s="70"/>
      <c r="Y631" s="70"/>
      <c r="Z631" s="70"/>
    </row>
    <row r="632" spans="1:26">
      <c r="A632" s="70" t="str">
        <f>IF('Item Setup Form'!$AF636="Yes",'Item Setup Form'!$E636,"")</f>
        <v/>
      </c>
      <c r="B632" s="70" t="str">
        <f>IF('Item Setup Form'!$AF636="Yes",'Item Setup Form'!D636,"")</f>
        <v/>
      </c>
      <c r="C632" s="81" t="str">
        <f>IF('Item Setup Form'!$AF636="Yes",'Item Setup Form'!L636,"")</f>
        <v/>
      </c>
      <c r="D632" s="81" t="str">
        <f>IF('Item Setup Form'!$AF636="Yes",'Item Setup Form'!M636,"")</f>
        <v/>
      </c>
      <c r="E632" s="70"/>
      <c r="F632" s="70" t="str">
        <f>IF('Item Setup Form'!$AF636="Yes",'Item Setup Form'!G636,"")</f>
        <v/>
      </c>
      <c r="G632" s="70" t="str">
        <f>IF('Item Setup Form'!$AF636="Yes",'Item Setup Form'!H636,"")</f>
        <v/>
      </c>
      <c r="H632" s="70" t="str">
        <f>IF('Item Setup Form'!$AF636="Yes",'Item Setup Form'!V636,"")</f>
        <v/>
      </c>
      <c r="I632" s="70"/>
      <c r="J632" s="70" t="str">
        <f>IF('Item Setup Form'!$AF636="Yes",'Item Setup Form'!U636,"")</f>
        <v/>
      </c>
      <c r="K632" s="70" t="str">
        <f>IF('Item Setup Form'!$AF636="Yes",'Item Setup Form'!V636,"")</f>
        <v/>
      </c>
      <c r="L632" s="70"/>
      <c r="M632" s="70" t="str">
        <f>IF('Item Setup Form'!$AF636="Yes",'Item Setup Form'!A636,"")</f>
        <v/>
      </c>
      <c r="N632" s="70"/>
      <c r="O632" s="70"/>
      <c r="P632" s="70"/>
      <c r="Q632" s="70"/>
      <c r="R632" s="70"/>
      <c r="S632" s="70"/>
      <c r="T632" s="70"/>
      <c r="U632" s="70"/>
      <c r="V632" s="70"/>
      <c r="W632" s="70"/>
      <c r="X632" s="70"/>
      <c r="Y632" s="70"/>
      <c r="Z632" s="70"/>
    </row>
    <row r="633" spans="1:26">
      <c r="A633" s="70" t="str">
        <f>IF('Item Setup Form'!$AF637="Yes",'Item Setup Form'!$E637,"")</f>
        <v/>
      </c>
      <c r="B633" s="70" t="str">
        <f>IF('Item Setup Form'!$AF637="Yes",'Item Setup Form'!D637,"")</f>
        <v/>
      </c>
      <c r="C633" s="81" t="str">
        <f>IF('Item Setup Form'!$AF637="Yes",'Item Setup Form'!L637,"")</f>
        <v/>
      </c>
      <c r="D633" s="81" t="str">
        <f>IF('Item Setup Form'!$AF637="Yes",'Item Setup Form'!M637,"")</f>
        <v/>
      </c>
      <c r="E633" s="70"/>
      <c r="F633" s="70" t="str">
        <f>IF('Item Setup Form'!$AF637="Yes",'Item Setup Form'!G637,"")</f>
        <v/>
      </c>
      <c r="G633" s="70" t="str">
        <f>IF('Item Setup Form'!$AF637="Yes",'Item Setup Form'!H637,"")</f>
        <v/>
      </c>
      <c r="H633" s="70" t="str">
        <f>IF('Item Setup Form'!$AF637="Yes",'Item Setup Form'!V637,"")</f>
        <v/>
      </c>
      <c r="I633" s="70"/>
      <c r="J633" s="70" t="str">
        <f>IF('Item Setup Form'!$AF637="Yes",'Item Setup Form'!U637,"")</f>
        <v/>
      </c>
      <c r="K633" s="70" t="str">
        <f>IF('Item Setup Form'!$AF637="Yes",'Item Setup Form'!V637,"")</f>
        <v/>
      </c>
      <c r="L633" s="70"/>
      <c r="M633" s="70" t="str">
        <f>IF('Item Setup Form'!$AF637="Yes",'Item Setup Form'!A637,"")</f>
        <v/>
      </c>
      <c r="N633" s="70"/>
      <c r="O633" s="70"/>
      <c r="P633" s="70"/>
      <c r="Q633" s="70"/>
      <c r="R633" s="70"/>
      <c r="S633" s="70"/>
      <c r="T633" s="70"/>
      <c r="U633" s="70"/>
      <c r="V633" s="70"/>
      <c r="W633" s="70"/>
      <c r="X633" s="70"/>
      <c r="Y633" s="70"/>
      <c r="Z633" s="70"/>
    </row>
    <row r="634" spans="1:26">
      <c r="A634" s="70" t="str">
        <f>IF('Item Setup Form'!$AF638="Yes",'Item Setup Form'!$E638,"")</f>
        <v/>
      </c>
      <c r="B634" s="70" t="str">
        <f>IF('Item Setup Form'!$AF638="Yes",'Item Setup Form'!D638,"")</f>
        <v/>
      </c>
      <c r="C634" s="81" t="str">
        <f>IF('Item Setup Form'!$AF638="Yes",'Item Setup Form'!L638,"")</f>
        <v/>
      </c>
      <c r="D634" s="81" t="str">
        <f>IF('Item Setup Form'!$AF638="Yes",'Item Setup Form'!M638,"")</f>
        <v/>
      </c>
      <c r="E634" s="70"/>
      <c r="F634" s="70" t="str">
        <f>IF('Item Setup Form'!$AF638="Yes",'Item Setup Form'!G638,"")</f>
        <v/>
      </c>
      <c r="G634" s="70" t="str">
        <f>IF('Item Setup Form'!$AF638="Yes",'Item Setup Form'!H638,"")</f>
        <v/>
      </c>
      <c r="H634" s="70" t="str">
        <f>IF('Item Setup Form'!$AF638="Yes",'Item Setup Form'!V638,"")</f>
        <v/>
      </c>
      <c r="I634" s="70"/>
      <c r="J634" s="70" t="str">
        <f>IF('Item Setup Form'!$AF638="Yes",'Item Setup Form'!U638,"")</f>
        <v/>
      </c>
      <c r="K634" s="70" t="str">
        <f>IF('Item Setup Form'!$AF638="Yes",'Item Setup Form'!V638,"")</f>
        <v/>
      </c>
      <c r="L634" s="70"/>
      <c r="M634" s="70" t="str">
        <f>IF('Item Setup Form'!$AF638="Yes",'Item Setup Form'!A638,"")</f>
        <v/>
      </c>
      <c r="N634" s="70"/>
      <c r="O634" s="70"/>
      <c r="P634" s="70"/>
      <c r="Q634" s="70"/>
      <c r="R634" s="70"/>
      <c r="S634" s="70"/>
      <c r="T634" s="70"/>
      <c r="U634" s="70"/>
      <c r="V634" s="70"/>
      <c r="W634" s="70"/>
      <c r="X634" s="70"/>
      <c r="Y634" s="70"/>
      <c r="Z634" s="70"/>
    </row>
    <row r="635" spans="1:26">
      <c r="A635" s="70" t="str">
        <f>IF('Item Setup Form'!$AF639="Yes",'Item Setup Form'!$E639,"")</f>
        <v/>
      </c>
      <c r="B635" s="70" t="str">
        <f>IF('Item Setup Form'!$AF639="Yes",'Item Setup Form'!D639,"")</f>
        <v/>
      </c>
      <c r="C635" s="81" t="str">
        <f>IF('Item Setup Form'!$AF639="Yes",'Item Setup Form'!L639,"")</f>
        <v/>
      </c>
      <c r="D635" s="81" t="str">
        <f>IF('Item Setup Form'!$AF639="Yes",'Item Setup Form'!M639,"")</f>
        <v/>
      </c>
      <c r="E635" s="70"/>
      <c r="F635" s="70" t="str">
        <f>IF('Item Setup Form'!$AF639="Yes",'Item Setup Form'!G639,"")</f>
        <v/>
      </c>
      <c r="G635" s="70" t="str">
        <f>IF('Item Setup Form'!$AF639="Yes",'Item Setup Form'!H639,"")</f>
        <v/>
      </c>
      <c r="H635" s="70" t="str">
        <f>IF('Item Setup Form'!$AF639="Yes",'Item Setup Form'!V639,"")</f>
        <v/>
      </c>
      <c r="I635" s="70"/>
      <c r="J635" s="70" t="str">
        <f>IF('Item Setup Form'!$AF639="Yes",'Item Setup Form'!U639,"")</f>
        <v/>
      </c>
      <c r="K635" s="70" t="str">
        <f>IF('Item Setup Form'!$AF639="Yes",'Item Setup Form'!V639,"")</f>
        <v/>
      </c>
      <c r="L635" s="70"/>
      <c r="M635" s="70" t="str">
        <f>IF('Item Setup Form'!$AF639="Yes",'Item Setup Form'!A639,"")</f>
        <v/>
      </c>
      <c r="N635" s="70"/>
      <c r="O635" s="70"/>
      <c r="P635" s="70"/>
      <c r="Q635" s="70"/>
      <c r="R635" s="70"/>
      <c r="S635" s="70"/>
      <c r="T635" s="70"/>
      <c r="U635" s="70"/>
      <c r="V635" s="70"/>
      <c r="W635" s="70"/>
      <c r="X635" s="70"/>
      <c r="Y635" s="70"/>
      <c r="Z635" s="70"/>
    </row>
    <row r="636" spans="1:26">
      <c r="A636" s="70" t="str">
        <f>IF('Item Setup Form'!$AF640="Yes",'Item Setup Form'!$E640,"")</f>
        <v/>
      </c>
      <c r="B636" s="70" t="str">
        <f>IF('Item Setup Form'!$AF640="Yes",'Item Setup Form'!D640,"")</f>
        <v/>
      </c>
      <c r="C636" s="81" t="str">
        <f>IF('Item Setup Form'!$AF640="Yes",'Item Setup Form'!L640,"")</f>
        <v/>
      </c>
      <c r="D636" s="81" t="str">
        <f>IF('Item Setup Form'!$AF640="Yes",'Item Setup Form'!M640,"")</f>
        <v/>
      </c>
      <c r="E636" s="70"/>
      <c r="F636" s="70" t="str">
        <f>IF('Item Setup Form'!$AF640="Yes",'Item Setup Form'!G640,"")</f>
        <v/>
      </c>
      <c r="G636" s="70" t="str">
        <f>IF('Item Setup Form'!$AF640="Yes",'Item Setup Form'!H640,"")</f>
        <v/>
      </c>
      <c r="H636" s="70" t="str">
        <f>IF('Item Setup Form'!$AF640="Yes",'Item Setup Form'!V640,"")</f>
        <v/>
      </c>
      <c r="I636" s="70"/>
      <c r="J636" s="70" t="str">
        <f>IF('Item Setup Form'!$AF640="Yes",'Item Setup Form'!U640,"")</f>
        <v/>
      </c>
      <c r="K636" s="70" t="str">
        <f>IF('Item Setup Form'!$AF640="Yes",'Item Setup Form'!V640,"")</f>
        <v/>
      </c>
      <c r="L636" s="70"/>
      <c r="M636" s="70" t="str">
        <f>IF('Item Setup Form'!$AF640="Yes",'Item Setup Form'!A640,"")</f>
        <v/>
      </c>
      <c r="N636" s="70"/>
      <c r="O636" s="70"/>
      <c r="P636" s="70"/>
      <c r="Q636" s="70"/>
      <c r="R636" s="70"/>
      <c r="S636" s="70"/>
      <c r="T636" s="70"/>
      <c r="U636" s="70"/>
      <c r="V636" s="70"/>
      <c r="W636" s="70"/>
      <c r="X636" s="70"/>
      <c r="Y636" s="70"/>
      <c r="Z636" s="70"/>
    </row>
    <row r="637" spans="1:26">
      <c r="A637" s="70" t="str">
        <f>IF('Item Setup Form'!$AF641="Yes",'Item Setup Form'!$E641,"")</f>
        <v/>
      </c>
      <c r="B637" s="70" t="str">
        <f>IF('Item Setup Form'!$AF641="Yes",'Item Setup Form'!D641,"")</f>
        <v/>
      </c>
      <c r="C637" s="81" t="str">
        <f>IF('Item Setup Form'!$AF641="Yes",'Item Setup Form'!L641,"")</f>
        <v/>
      </c>
      <c r="D637" s="81" t="str">
        <f>IF('Item Setup Form'!$AF641="Yes",'Item Setup Form'!M641,"")</f>
        <v/>
      </c>
      <c r="E637" s="70"/>
      <c r="F637" s="70" t="str">
        <f>IF('Item Setup Form'!$AF641="Yes",'Item Setup Form'!G641,"")</f>
        <v/>
      </c>
      <c r="G637" s="70" t="str">
        <f>IF('Item Setup Form'!$AF641="Yes",'Item Setup Form'!H641,"")</f>
        <v/>
      </c>
      <c r="H637" s="70" t="str">
        <f>IF('Item Setup Form'!$AF641="Yes",'Item Setup Form'!V641,"")</f>
        <v/>
      </c>
      <c r="I637" s="70"/>
      <c r="J637" s="70" t="str">
        <f>IF('Item Setup Form'!$AF641="Yes",'Item Setup Form'!U641,"")</f>
        <v/>
      </c>
      <c r="K637" s="70" t="str">
        <f>IF('Item Setup Form'!$AF641="Yes",'Item Setup Form'!V641,"")</f>
        <v/>
      </c>
      <c r="L637" s="70"/>
      <c r="M637" s="70" t="str">
        <f>IF('Item Setup Form'!$AF641="Yes",'Item Setup Form'!A641,"")</f>
        <v/>
      </c>
      <c r="N637" s="70"/>
      <c r="O637" s="70"/>
      <c r="P637" s="70"/>
      <c r="Q637" s="70"/>
      <c r="R637" s="70"/>
      <c r="S637" s="70"/>
      <c r="T637" s="70"/>
      <c r="U637" s="70"/>
      <c r="V637" s="70"/>
      <c r="W637" s="70"/>
      <c r="X637" s="70"/>
      <c r="Y637" s="70"/>
      <c r="Z637" s="70"/>
    </row>
    <row r="638" spans="1:26">
      <c r="A638" s="70" t="str">
        <f>IF('Item Setup Form'!$AF642="Yes",'Item Setup Form'!$E642,"")</f>
        <v/>
      </c>
      <c r="B638" s="70" t="str">
        <f>IF('Item Setup Form'!$AF642="Yes",'Item Setup Form'!D642,"")</f>
        <v/>
      </c>
      <c r="C638" s="81" t="str">
        <f>IF('Item Setup Form'!$AF642="Yes",'Item Setup Form'!L642,"")</f>
        <v/>
      </c>
      <c r="D638" s="81" t="str">
        <f>IF('Item Setup Form'!$AF642="Yes",'Item Setup Form'!M642,"")</f>
        <v/>
      </c>
      <c r="E638" s="70"/>
      <c r="F638" s="70" t="str">
        <f>IF('Item Setup Form'!$AF642="Yes",'Item Setup Form'!G642,"")</f>
        <v/>
      </c>
      <c r="G638" s="70" t="str">
        <f>IF('Item Setup Form'!$AF642="Yes",'Item Setup Form'!H642,"")</f>
        <v/>
      </c>
      <c r="H638" s="70" t="str">
        <f>IF('Item Setup Form'!$AF642="Yes",'Item Setup Form'!V642,"")</f>
        <v/>
      </c>
      <c r="I638" s="70"/>
      <c r="J638" s="70" t="str">
        <f>IF('Item Setup Form'!$AF642="Yes",'Item Setup Form'!U642,"")</f>
        <v/>
      </c>
      <c r="K638" s="70" t="str">
        <f>IF('Item Setup Form'!$AF642="Yes",'Item Setup Form'!V642,"")</f>
        <v/>
      </c>
      <c r="L638" s="70"/>
      <c r="M638" s="70" t="str">
        <f>IF('Item Setup Form'!$AF642="Yes",'Item Setup Form'!A642,"")</f>
        <v/>
      </c>
      <c r="N638" s="70"/>
      <c r="O638" s="70"/>
      <c r="P638" s="70"/>
      <c r="Q638" s="70"/>
      <c r="R638" s="70"/>
      <c r="S638" s="70"/>
      <c r="T638" s="70"/>
      <c r="U638" s="70"/>
      <c r="V638" s="70"/>
      <c r="W638" s="70"/>
      <c r="X638" s="70"/>
      <c r="Y638" s="70"/>
      <c r="Z638" s="70"/>
    </row>
    <row r="639" spans="1:26">
      <c r="A639" s="70" t="str">
        <f>IF('Item Setup Form'!$AF643="Yes",'Item Setup Form'!$E643,"")</f>
        <v/>
      </c>
      <c r="B639" s="70" t="str">
        <f>IF('Item Setup Form'!$AF643="Yes",'Item Setup Form'!D643,"")</f>
        <v/>
      </c>
      <c r="C639" s="81" t="str">
        <f>IF('Item Setup Form'!$AF643="Yes",'Item Setup Form'!L643,"")</f>
        <v/>
      </c>
      <c r="D639" s="81" t="str">
        <f>IF('Item Setup Form'!$AF643="Yes",'Item Setup Form'!M643,"")</f>
        <v/>
      </c>
      <c r="E639" s="70"/>
      <c r="F639" s="70" t="str">
        <f>IF('Item Setup Form'!$AF643="Yes",'Item Setup Form'!G643,"")</f>
        <v/>
      </c>
      <c r="G639" s="70" t="str">
        <f>IF('Item Setup Form'!$AF643="Yes",'Item Setup Form'!H643,"")</f>
        <v/>
      </c>
      <c r="H639" s="70" t="str">
        <f>IF('Item Setup Form'!$AF643="Yes",'Item Setup Form'!V643,"")</f>
        <v/>
      </c>
      <c r="I639" s="70"/>
      <c r="J639" s="70" t="str">
        <f>IF('Item Setup Form'!$AF643="Yes",'Item Setup Form'!U643,"")</f>
        <v/>
      </c>
      <c r="K639" s="70" t="str">
        <f>IF('Item Setup Form'!$AF643="Yes",'Item Setup Form'!V643,"")</f>
        <v/>
      </c>
      <c r="L639" s="70"/>
      <c r="M639" s="70" t="str">
        <f>IF('Item Setup Form'!$AF643="Yes",'Item Setup Form'!A643,"")</f>
        <v/>
      </c>
      <c r="N639" s="70"/>
      <c r="O639" s="70"/>
      <c r="P639" s="70"/>
      <c r="Q639" s="70"/>
      <c r="R639" s="70"/>
      <c r="S639" s="70"/>
      <c r="T639" s="70"/>
      <c r="U639" s="70"/>
      <c r="V639" s="70"/>
      <c r="W639" s="70"/>
      <c r="X639" s="70"/>
      <c r="Y639" s="70"/>
      <c r="Z639" s="70"/>
    </row>
    <row r="640" spans="1:26">
      <c r="A640" s="70" t="str">
        <f>IF('Item Setup Form'!$AF644="Yes",'Item Setup Form'!$E644,"")</f>
        <v/>
      </c>
      <c r="B640" s="70" t="str">
        <f>IF('Item Setup Form'!$AF644="Yes",'Item Setup Form'!D644,"")</f>
        <v/>
      </c>
      <c r="C640" s="81" t="str">
        <f>IF('Item Setup Form'!$AF644="Yes",'Item Setup Form'!L644,"")</f>
        <v/>
      </c>
      <c r="D640" s="81" t="str">
        <f>IF('Item Setup Form'!$AF644="Yes",'Item Setup Form'!M644,"")</f>
        <v/>
      </c>
      <c r="E640" s="70"/>
      <c r="F640" s="70" t="str">
        <f>IF('Item Setup Form'!$AF644="Yes",'Item Setup Form'!G644,"")</f>
        <v/>
      </c>
      <c r="G640" s="70" t="str">
        <f>IF('Item Setup Form'!$AF644="Yes",'Item Setup Form'!H644,"")</f>
        <v/>
      </c>
      <c r="H640" s="70" t="str">
        <f>IF('Item Setup Form'!$AF644="Yes",'Item Setup Form'!V644,"")</f>
        <v/>
      </c>
      <c r="I640" s="70"/>
      <c r="J640" s="70" t="str">
        <f>IF('Item Setup Form'!$AF644="Yes",'Item Setup Form'!U644,"")</f>
        <v/>
      </c>
      <c r="K640" s="70" t="str">
        <f>IF('Item Setup Form'!$AF644="Yes",'Item Setup Form'!V644,"")</f>
        <v/>
      </c>
      <c r="L640" s="70"/>
      <c r="M640" s="70" t="str">
        <f>IF('Item Setup Form'!$AF644="Yes",'Item Setup Form'!A644,"")</f>
        <v/>
      </c>
      <c r="N640" s="70"/>
      <c r="O640" s="70"/>
      <c r="P640" s="70"/>
      <c r="Q640" s="70"/>
      <c r="R640" s="70"/>
      <c r="S640" s="70"/>
      <c r="T640" s="70"/>
      <c r="U640" s="70"/>
      <c r="V640" s="70"/>
      <c r="W640" s="70"/>
      <c r="X640" s="70"/>
      <c r="Y640" s="70"/>
      <c r="Z640" s="70"/>
    </row>
    <row r="641" spans="1:26">
      <c r="A641" s="70" t="str">
        <f>IF('Item Setup Form'!$AF645="Yes",'Item Setup Form'!$E645,"")</f>
        <v/>
      </c>
      <c r="B641" s="70" t="str">
        <f>IF('Item Setup Form'!$AF645="Yes",'Item Setup Form'!D645,"")</f>
        <v/>
      </c>
      <c r="C641" s="81" t="str">
        <f>IF('Item Setup Form'!$AF645="Yes",'Item Setup Form'!L645,"")</f>
        <v/>
      </c>
      <c r="D641" s="81" t="str">
        <f>IF('Item Setup Form'!$AF645="Yes",'Item Setup Form'!M645,"")</f>
        <v/>
      </c>
      <c r="E641" s="70"/>
      <c r="F641" s="70" t="str">
        <f>IF('Item Setup Form'!$AF645="Yes",'Item Setup Form'!G645,"")</f>
        <v/>
      </c>
      <c r="G641" s="70" t="str">
        <f>IF('Item Setup Form'!$AF645="Yes",'Item Setup Form'!H645,"")</f>
        <v/>
      </c>
      <c r="H641" s="70" t="str">
        <f>IF('Item Setup Form'!$AF645="Yes",'Item Setup Form'!V645,"")</f>
        <v/>
      </c>
      <c r="I641" s="70"/>
      <c r="J641" s="70" t="str">
        <f>IF('Item Setup Form'!$AF645="Yes",'Item Setup Form'!U645,"")</f>
        <v/>
      </c>
      <c r="K641" s="70" t="str">
        <f>IF('Item Setup Form'!$AF645="Yes",'Item Setup Form'!V645,"")</f>
        <v/>
      </c>
      <c r="L641" s="70"/>
      <c r="M641" s="70" t="str">
        <f>IF('Item Setup Form'!$AF645="Yes",'Item Setup Form'!A645,"")</f>
        <v/>
      </c>
      <c r="N641" s="70"/>
      <c r="O641" s="70"/>
      <c r="P641" s="70"/>
      <c r="Q641" s="70"/>
      <c r="R641" s="70"/>
      <c r="S641" s="70"/>
      <c r="T641" s="70"/>
      <c r="U641" s="70"/>
      <c r="V641" s="70"/>
      <c r="W641" s="70"/>
      <c r="X641" s="70"/>
      <c r="Y641" s="70"/>
      <c r="Z641" s="70"/>
    </row>
    <row r="642" spans="1:26">
      <c r="A642" s="70" t="str">
        <f>IF('Item Setup Form'!$AF646="Yes",'Item Setup Form'!$E646,"")</f>
        <v/>
      </c>
      <c r="B642" s="70" t="str">
        <f>IF('Item Setup Form'!$AF646="Yes",'Item Setup Form'!D646,"")</f>
        <v/>
      </c>
      <c r="C642" s="81" t="str">
        <f>IF('Item Setup Form'!$AF646="Yes",'Item Setup Form'!L646,"")</f>
        <v/>
      </c>
      <c r="D642" s="81" t="str">
        <f>IF('Item Setup Form'!$AF646="Yes",'Item Setup Form'!M646,"")</f>
        <v/>
      </c>
      <c r="E642" s="70"/>
      <c r="F642" s="70" t="str">
        <f>IF('Item Setup Form'!$AF646="Yes",'Item Setup Form'!G646,"")</f>
        <v/>
      </c>
      <c r="G642" s="70" t="str">
        <f>IF('Item Setup Form'!$AF646="Yes",'Item Setup Form'!H646,"")</f>
        <v/>
      </c>
      <c r="H642" s="70" t="str">
        <f>IF('Item Setup Form'!$AF646="Yes",'Item Setup Form'!V646,"")</f>
        <v/>
      </c>
      <c r="I642" s="70"/>
      <c r="J642" s="70" t="str">
        <f>IF('Item Setup Form'!$AF646="Yes",'Item Setup Form'!U646,"")</f>
        <v/>
      </c>
      <c r="K642" s="70" t="str">
        <f>IF('Item Setup Form'!$AF646="Yes",'Item Setup Form'!V646,"")</f>
        <v/>
      </c>
      <c r="L642" s="70"/>
      <c r="M642" s="70" t="str">
        <f>IF('Item Setup Form'!$AF646="Yes",'Item Setup Form'!A646,"")</f>
        <v/>
      </c>
      <c r="N642" s="70"/>
      <c r="O642" s="70"/>
      <c r="P642" s="70"/>
      <c r="Q642" s="70"/>
      <c r="R642" s="70"/>
      <c r="S642" s="70"/>
      <c r="T642" s="70"/>
      <c r="U642" s="70"/>
      <c r="V642" s="70"/>
      <c r="W642" s="70"/>
      <c r="X642" s="70"/>
      <c r="Y642" s="70"/>
      <c r="Z642" s="70"/>
    </row>
    <row r="643" spans="1:26">
      <c r="A643" s="70" t="str">
        <f>IF('Item Setup Form'!$AF647="Yes",'Item Setup Form'!$E647,"")</f>
        <v/>
      </c>
      <c r="B643" s="70" t="str">
        <f>IF('Item Setup Form'!$AF647="Yes",'Item Setup Form'!D647,"")</f>
        <v/>
      </c>
      <c r="C643" s="81" t="str">
        <f>IF('Item Setup Form'!$AF647="Yes",'Item Setup Form'!L647,"")</f>
        <v/>
      </c>
      <c r="D643" s="81" t="str">
        <f>IF('Item Setup Form'!$AF647="Yes",'Item Setup Form'!M647,"")</f>
        <v/>
      </c>
      <c r="E643" s="70"/>
      <c r="F643" s="70" t="str">
        <f>IF('Item Setup Form'!$AF647="Yes",'Item Setup Form'!G647,"")</f>
        <v/>
      </c>
      <c r="G643" s="70" t="str">
        <f>IF('Item Setup Form'!$AF647="Yes",'Item Setup Form'!H647,"")</f>
        <v/>
      </c>
      <c r="H643" s="70" t="str">
        <f>IF('Item Setup Form'!$AF647="Yes",'Item Setup Form'!V647,"")</f>
        <v/>
      </c>
      <c r="I643" s="70"/>
      <c r="J643" s="70" t="str">
        <f>IF('Item Setup Form'!$AF647="Yes",'Item Setup Form'!U647,"")</f>
        <v/>
      </c>
      <c r="K643" s="70" t="str">
        <f>IF('Item Setup Form'!$AF647="Yes",'Item Setup Form'!V647,"")</f>
        <v/>
      </c>
      <c r="L643" s="70"/>
      <c r="M643" s="70" t="str">
        <f>IF('Item Setup Form'!$AF647="Yes",'Item Setup Form'!A647,"")</f>
        <v/>
      </c>
      <c r="N643" s="70"/>
      <c r="O643" s="70"/>
      <c r="P643" s="70"/>
      <c r="Q643" s="70"/>
      <c r="R643" s="70"/>
      <c r="S643" s="70"/>
      <c r="T643" s="70"/>
      <c r="U643" s="70"/>
      <c r="V643" s="70"/>
      <c r="W643" s="70"/>
      <c r="X643" s="70"/>
      <c r="Y643" s="70"/>
      <c r="Z643" s="70"/>
    </row>
    <row r="644" spans="1:26">
      <c r="A644" s="70" t="str">
        <f>IF('Item Setup Form'!$AF648="Yes",'Item Setup Form'!$E648,"")</f>
        <v/>
      </c>
      <c r="B644" s="70" t="str">
        <f>IF('Item Setup Form'!$AF648="Yes",'Item Setup Form'!D648,"")</f>
        <v/>
      </c>
      <c r="C644" s="81" t="str">
        <f>IF('Item Setup Form'!$AF648="Yes",'Item Setup Form'!L648,"")</f>
        <v/>
      </c>
      <c r="D644" s="81" t="str">
        <f>IF('Item Setup Form'!$AF648="Yes",'Item Setup Form'!M648,"")</f>
        <v/>
      </c>
      <c r="E644" s="70"/>
      <c r="F644" s="70" t="str">
        <f>IF('Item Setup Form'!$AF648="Yes",'Item Setup Form'!G648,"")</f>
        <v/>
      </c>
      <c r="G644" s="70" t="str">
        <f>IF('Item Setup Form'!$AF648="Yes",'Item Setup Form'!H648,"")</f>
        <v/>
      </c>
      <c r="H644" s="70" t="str">
        <f>IF('Item Setup Form'!$AF648="Yes",'Item Setup Form'!V648,"")</f>
        <v/>
      </c>
      <c r="I644" s="70"/>
      <c r="J644" s="70" t="str">
        <f>IF('Item Setup Form'!$AF648="Yes",'Item Setup Form'!U648,"")</f>
        <v/>
      </c>
      <c r="K644" s="70" t="str">
        <f>IF('Item Setup Form'!$AF648="Yes",'Item Setup Form'!V648,"")</f>
        <v/>
      </c>
      <c r="L644" s="70"/>
      <c r="M644" s="70" t="str">
        <f>IF('Item Setup Form'!$AF648="Yes",'Item Setup Form'!A648,"")</f>
        <v/>
      </c>
      <c r="N644" s="70"/>
      <c r="O644" s="70"/>
      <c r="P644" s="70"/>
      <c r="Q644" s="70"/>
      <c r="R644" s="70"/>
      <c r="S644" s="70"/>
      <c r="T644" s="70"/>
      <c r="U644" s="70"/>
      <c r="V644" s="70"/>
      <c r="W644" s="70"/>
      <c r="X644" s="70"/>
      <c r="Y644" s="70"/>
      <c r="Z644" s="70"/>
    </row>
    <row r="645" spans="1:26">
      <c r="A645" s="70" t="str">
        <f>IF('Item Setup Form'!$AF649="Yes",'Item Setup Form'!$E649,"")</f>
        <v/>
      </c>
      <c r="B645" s="70" t="str">
        <f>IF('Item Setup Form'!$AF649="Yes",'Item Setup Form'!D649,"")</f>
        <v/>
      </c>
      <c r="C645" s="81" t="str">
        <f>IF('Item Setup Form'!$AF649="Yes",'Item Setup Form'!L649,"")</f>
        <v/>
      </c>
      <c r="D645" s="81" t="str">
        <f>IF('Item Setup Form'!$AF649="Yes",'Item Setup Form'!M649,"")</f>
        <v/>
      </c>
      <c r="E645" s="70"/>
      <c r="F645" s="70" t="str">
        <f>IF('Item Setup Form'!$AF649="Yes",'Item Setup Form'!G649,"")</f>
        <v/>
      </c>
      <c r="G645" s="70" t="str">
        <f>IF('Item Setup Form'!$AF649="Yes",'Item Setup Form'!H649,"")</f>
        <v/>
      </c>
      <c r="H645" s="70" t="str">
        <f>IF('Item Setup Form'!$AF649="Yes",'Item Setup Form'!V649,"")</f>
        <v/>
      </c>
      <c r="I645" s="70"/>
      <c r="J645" s="70" t="str">
        <f>IF('Item Setup Form'!$AF649="Yes",'Item Setup Form'!U649,"")</f>
        <v/>
      </c>
      <c r="K645" s="70" t="str">
        <f>IF('Item Setup Form'!$AF649="Yes",'Item Setup Form'!V649,"")</f>
        <v/>
      </c>
      <c r="L645" s="70"/>
      <c r="M645" s="70" t="str">
        <f>IF('Item Setup Form'!$AF649="Yes",'Item Setup Form'!A649,"")</f>
        <v/>
      </c>
      <c r="N645" s="70"/>
      <c r="O645" s="70"/>
      <c r="P645" s="70"/>
      <c r="Q645" s="70"/>
      <c r="R645" s="70"/>
      <c r="S645" s="70"/>
      <c r="T645" s="70"/>
      <c r="U645" s="70"/>
      <c r="V645" s="70"/>
      <c r="W645" s="70"/>
      <c r="X645" s="70"/>
      <c r="Y645" s="70"/>
      <c r="Z645" s="70"/>
    </row>
    <row r="646" spans="1:26">
      <c r="A646" s="70" t="str">
        <f>IF('Item Setup Form'!$AF650="Yes",'Item Setup Form'!$E650,"")</f>
        <v/>
      </c>
      <c r="B646" s="70" t="str">
        <f>IF('Item Setup Form'!$AF650="Yes",'Item Setup Form'!D650,"")</f>
        <v/>
      </c>
      <c r="C646" s="81" t="str">
        <f>IF('Item Setup Form'!$AF650="Yes",'Item Setup Form'!L650,"")</f>
        <v/>
      </c>
      <c r="D646" s="81" t="str">
        <f>IF('Item Setup Form'!$AF650="Yes",'Item Setup Form'!M650,"")</f>
        <v/>
      </c>
      <c r="E646" s="70"/>
      <c r="F646" s="70" t="str">
        <f>IF('Item Setup Form'!$AF650="Yes",'Item Setup Form'!G650,"")</f>
        <v/>
      </c>
      <c r="G646" s="70" t="str">
        <f>IF('Item Setup Form'!$AF650="Yes",'Item Setup Form'!H650,"")</f>
        <v/>
      </c>
      <c r="H646" s="70" t="str">
        <f>IF('Item Setup Form'!$AF650="Yes",'Item Setup Form'!V650,"")</f>
        <v/>
      </c>
      <c r="I646" s="70"/>
      <c r="J646" s="70" t="str">
        <f>IF('Item Setup Form'!$AF650="Yes",'Item Setup Form'!U650,"")</f>
        <v/>
      </c>
      <c r="K646" s="70" t="str">
        <f>IF('Item Setup Form'!$AF650="Yes",'Item Setup Form'!V650,"")</f>
        <v/>
      </c>
      <c r="L646" s="70"/>
      <c r="M646" s="70" t="str">
        <f>IF('Item Setup Form'!$AF650="Yes",'Item Setup Form'!A650,"")</f>
        <v/>
      </c>
      <c r="N646" s="70"/>
      <c r="O646" s="70"/>
      <c r="P646" s="70"/>
      <c r="Q646" s="70"/>
      <c r="R646" s="70"/>
      <c r="S646" s="70"/>
      <c r="T646" s="70"/>
      <c r="U646" s="70"/>
      <c r="V646" s="70"/>
      <c r="W646" s="70"/>
      <c r="X646" s="70"/>
      <c r="Y646" s="70"/>
      <c r="Z646" s="70"/>
    </row>
    <row r="647" spans="1:26">
      <c r="A647" s="70" t="str">
        <f>IF('Item Setup Form'!$AF651="Yes",'Item Setup Form'!$E651,"")</f>
        <v/>
      </c>
      <c r="B647" s="70" t="str">
        <f>IF('Item Setup Form'!$AF651="Yes",'Item Setup Form'!D651,"")</f>
        <v/>
      </c>
      <c r="C647" s="81" t="str">
        <f>IF('Item Setup Form'!$AF651="Yes",'Item Setup Form'!L651,"")</f>
        <v/>
      </c>
      <c r="D647" s="81" t="str">
        <f>IF('Item Setup Form'!$AF651="Yes",'Item Setup Form'!M651,"")</f>
        <v/>
      </c>
      <c r="E647" s="70"/>
      <c r="F647" s="70" t="str">
        <f>IF('Item Setup Form'!$AF651="Yes",'Item Setup Form'!G651,"")</f>
        <v/>
      </c>
      <c r="G647" s="70" t="str">
        <f>IF('Item Setup Form'!$AF651="Yes",'Item Setup Form'!H651,"")</f>
        <v/>
      </c>
      <c r="H647" s="70" t="str">
        <f>IF('Item Setup Form'!$AF651="Yes",'Item Setup Form'!V651,"")</f>
        <v/>
      </c>
      <c r="I647" s="70"/>
      <c r="J647" s="70" t="str">
        <f>IF('Item Setup Form'!$AF651="Yes",'Item Setup Form'!U651,"")</f>
        <v/>
      </c>
      <c r="K647" s="70" t="str">
        <f>IF('Item Setup Form'!$AF651="Yes",'Item Setup Form'!V651,"")</f>
        <v/>
      </c>
      <c r="L647" s="70"/>
      <c r="M647" s="70" t="str">
        <f>IF('Item Setup Form'!$AF651="Yes",'Item Setup Form'!A651,"")</f>
        <v/>
      </c>
      <c r="N647" s="70"/>
      <c r="O647" s="70"/>
      <c r="P647" s="70"/>
      <c r="Q647" s="70"/>
      <c r="R647" s="70"/>
      <c r="S647" s="70"/>
      <c r="T647" s="70"/>
      <c r="U647" s="70"/>
      <c r="V647" s="70"/>
      <c r="W647" s="70"/>
      <c r="X647" s="70"/>
      <c r="Y647" s="70"/>
      <c r="Z647" s="70"/>
    </row>
    <row r="648" spans="1:26">
      <c r="A648" s="70" t="str">
        <f>IF('Item Setup Form'!$AF652="Yes",'Item Setup Form'!$E652,"")</f>
        <v/>
      </c>
      <c r="B648" s="70" t="str">
        <f>IF('Item Setup Form'!$AF652="Yes",'Item Setup Form'!D652,"")</f>
        <v/>
      </c>
      <c r="C648" s="81" t="str">
        <f>IF('Item Setup Form'!$AF652="Yes",'Item Setup Form'!L652,"")</f>
        <v/>
      </c>
      <c r="D648" s="81" t="str">
        <f>IF('Item Setup Form'!$AF652="Yes",'Item Setup Form'!M652,"")</f>
        <v/>
      </c>
      <c r="E648" s="70"/>
      <c r="F648" s="70" t="str">
        <f>IF('Item Setup Form'!$AF652="Yes",'Item Setup Form'!G652,"")</f>
        <v/>
      </c>
      <c r="G648" s="70" t="str">
        <f>IF('Item Setup Form'!$AF652="Yes",'Item Setup Form'!H652,"")</f>
        <v/>
      </c>
      <c r="H648" s="70" t="str">
        <f>IF('Item Setup Form'!$AF652="Yes",'Item Setup Form'!V652,"")</f>
        <v/>
      </c>
      <c r="I648" s="70"/>
      <c r="J648" s="70" t="str">
        <f>IF('Item Setup Form'!$AF652="Yes",'Item Setup Form'!U652,"")</f>
        <v/>
      </c>
      <c r="K648" s="70" t="str">
        <f>IF('Item Setup Form'!$AF652="Yes",'Item Setup Form'!V652,"")</f>
        <v/>
      </c>
      <c r="L648" s="70"/>
      <c r="M648" s="70" t="str">
        <f>IF('Item Setup Form'!$AF652="Yes",'Item Setup Form'!A652,"")</f>
        <v/>
      </c>
      <c r="N648" s="70"/>
      <c r="O648" s="70"/>
      <c r="P648" s="70"/>
      <c r="Q648" s="70"/>
      <c r="R648" s="70"/>
      <c r="S648" s="70"/>
      <c r="T648" s="70"/>
      <c r="U648" s="70"/>
      <c r="V648" s="70"/>
      <c r="W648" s="70"/>
      <c r="X648" s="70"/>
      <c r="Y648" s="70"/>
      <c r="Z648" s="70"/>
    </row>
    <row r="649" spans="1:26">
      <c r="A649" s="70" t="str">
        <f>IF('Item Setup Form'!$AF653="Yes",'Item Setup Form'!$E653,"")</f>
        <v/>
      </c>
      <c r="B649" s="70" t="str">
        <f>IF('Item Setup Form'!$AF653="Yes",'Item Setup Form'!D653,"")</f>
        <v/>
      </c>
      <c r="C649" s="81" t="str">
        <f>IF('Item Setup Form'!$AF653="Yes",'Item Setup Form'!L653,"")</f>
        <v/>
      </c>
      <c r="D649" s="81" t="str">
        <f>IF('Item Setup Form'!$AF653="Yes",'Item Setup Form'!M653,"")</f>
        <v/>
      </c>
      <c r="E649" s="70"/>
      <c r="F649" s="70" t="str">
        <f>IF('Item Setup Form'!$AF653="Yes",'Item Setup Form'!G653,"")</f>
        <v/>
      </c>
      <c r="G649" s="70" t="str">
        <f>IF('Item Setup Form'!$AF653="Yes",'Item Setup Form'!H653,"")</f>
        <v/>
      </c>
      <c r="H649" s="70" t="str">
        <f>IF('Item Setup Form'!$AF653="Yes",'Item Setup Form'!V653,"")</f>
        <v/>
      </c>
      <c r="I649" s="70"/>
      <c r="J649" s="70" t="str">
        <f>IF('Item Setup Form'!$AF653="Yes",'Item Setup Form'!U653,"")</f>
        <v/>
      </c>
      <c r="K649" s="70" t="str">
        <f>IF('Item Setup Form'!$AF653="Yes",'Item Setup Form'!V653,"")</f>
        <v/>
      </c>
      <c r="L649" s="70"/>
      <c r="M649" s="70" t="str">
        <f>IF('Item Setup Form'!$AF653="Yes",'Item Setup Form'!A653,"")</f>
        <v/>
      </c>
      <c r="N649" s="70"/>
      <c r="O649" s="70"/>
      <c r="P649" s="70"/>
      <c r="Q649" s="70"/>
      <c r="R649" s="70"/>
      <c r="S649" s="70"/>
      <c r="T649" s="70"/>
      <c r="U649" s="70"/>
      <c r="V649" s="70"/>
      <c r="W649" s="70"/>
      <c r="X649" s="70"/>
      <c r="Y649" s="70"/>
      <c r="Z649" s="70"/>
    </row>
    <row r="650" spans="1:26">
      <c r="A650" s="70" t="str">
        <f>IF('Item Setup Form'!$AF654="Yes",'Item Setup Form'!$E654,"")</f>
        <v/>
      </c>
      <c r="B650" s="70" t="str">
        <f>IF('Item Setup Form'!$AF654="Yes",'Item Setup Form'!D654,"")</f>
        <v/>
      </c>
      <c r="C650" s="81" t="str">
        <f>IF('Item Setup Form'!$AF654="Yes",'Item Setup Form'!L654,"")</f>
        <v/>
      </c>
      <c r="D650" s="81" t="str">
        <f>IF('Item Setup Form'!$AF654="Yes",'Item Setup Form'!M654,"")</f>
        <v/>
      </c>
      <c r="E650" s="70"/>
      <c r="F650" s="70" t="str">
        <f>IF('Item Setup Form'!$AF654="Yes",'Item Setup Form'!G654,"")</f>
        <v/>
      </c>
      <c r="G650" s="70" t="str">
        <f>IF('Item Setup Form'!$AF654="Yes",'Item Setup Form'!H654,"")</f>
        <v/>
      </c>
      <c r="H650" s="70" t="str">
        <f>IF('Item Setup Form'!$AF654="Yes",'Item Setup Form'!V654,"")</f>
        <v/>
      </c>
      <c r="I650" s="70"/>
      <c r="J650" s="70" t="str">
        <f>IF('Item Setup Form'!$AF654="Yes",'Item Setup Form'!U654,"")</f>
        <v/>
      </c>
      <c r="K650" s="70" t="str">
        <f>IF('Item Setup Form'!$AF654="Yes",'Item Setup Form'!V654,"")</f>
        <v/>
      </c>
      <c r="L650" s="70"/>
      <c r="M650" s="70" t="str">
        <f>IF('Item Setup Form'!$AF654="Yes",'Item Setup Form'!A654,"")</f>
        <v/>
      </c>
      <c r="N650" s="70"/>
      <c r="O650" s="70"/>
      <c r="P650" s="70"/>
      <c r="Q650" s="70"/>
      <c r="R650" s="70"/>
      <c r="S650" s="70"/>
      <c r="T650" s="70"/>
      <c r="U650" s="70"/>
      <c r="V650" s="70"/>
      <c r="W650" s="70"/>
      <c r="X650" s="70"/>
      <c r="Y650" s="70"/>
      <c r="Z650" s="70"/>
    </row>
    <row r="651" spans="1:26">
      <c r="A651" s="70" t="str">
        <f>IF('Item Setup Form'!$AF655="Yes",'Item Setup Form'!$E655,"")</f>
        <v/>
      </c>
      <c r="B651" s="70" t="str">
        <f>IF('Item Setup Form'!$AF655="Yes",'Item Setup Form'!D655,"")</f>
        <v/>
      </c>
      <c r="C651" s="81" t="str">
        <f>IF('Item Setup Form'!$AF655="Yes",'Item Setup Form'!L655,"")</f>
        <v/>
      </c>
      <c r="D651" s="81" t="str">
        <f>IF('Item Setup Form'!$AF655="Yes",'Item Setup Form'!M655,"")</f>
        <v/>
      </c>
      <c r="E651" s="70"/>
      <c r="F651" s="70" t="str">
        <f>IF('Item Setup Form'!$AF655="Yes",'Item Setup Form'!G655,"")</f>
        <v/>
      </c>
      <c r="G651" s="70" t="str">
        <f>IF('Item Setup Form'!$AF655="Yes",'Item Setup Form'!H655,"")</f>
        <v/>
      </c>
      <c r="H651" s="70" t="str">
        <f>IF('Item Setup Form'!$AF655="Yes",'Item Setup Form'!V655,"")</f>
        <v/>
      </c>
      <c r="I651" s="70"/>
      <c r="J651" s="70" t="str">
        <f>IF('Item Setup Form'!$AF655="Yes",'Item Setup Form'!U655,"")</f>
        <v/>
      </c>
      <c r="K651" s="70" t="str">
        <f>IF('Item Setup Form'!$AF655="Yes",'Item Setup Form'!V655,"")</f>
        <v/>
      </c>
      <c r="L651" s="70"/>
      <c r="M651" s="70" t="str">
        <f>IF('Item Setup Form'!$AF655="Yes",'Item Setup Form'!A655,"")</f>
        <v/>
      </c>
      <c r="N651" s="70"/>
      <c r="O651" s="70"/>
      <c r="P651" s="70"/>
      <c r="Q651" s="70"/>
      <c r="R651" s="70"/>
      <c r="S651" s="70"/>
      <c r="T651" s="70"/>
      <c r="U651" s="70"/>
      <c r="V651" s="70"/>
      <c r="W651" s="70"/>
      <c r="X651" s="70"/>
      <c r="Y651" s="70"/>
      <c r="Z651" s="70"/>
    </row>
    <row r="652" spans="1:26">
      <c r="A652" s="70" t="str">
        <f>IF('Item Setup Form'!$AF656="Yes",'Item Setup Form'!$E656,"")</f>
        <v/>
      </c>
      <c r="B652" s="70" t="str">
        <f>IF('Item Setup Form'!$AF656="Yes",'Item Setup Form'!D656,"")</f>
        <v/>
      </c>
      <c r="C652" s="81" t="str">
        <f>IF('Item Setup Form'!$AF656="Yes",'Item Setup Form'!L656,"")</f>
        <v/>
      </c>
      <c r="D652" s="81" t="str">
        <f>IF('Item Setup Form'!$AF656="Yes",'Item Setup Form'!M656,"")</f>
        <v/>
      </c>
      <c r="E652" s="70"/>
      <c r="F652" s="70" t="str">
        <f>IF('Item Setup Form'!$AF656="Yes",'Item Setup Form'!G656,"")</f>
        <v/>
      </c>
      <c r="G652" s="70" t="str">
        <f>IF('Item Setup Form'!$AF656="Yes",'Item Setup Form'!H656,"")</f>
        <v/>
      </c>
      <c r="H652" s="70" t="str">
        <f>IF('Item Setup Form'!$AF656="Yes",'Item Setup Form'!V656,"")</f>
        <v/>
      </c>
      <c r="I652" s="70"/>
      <c r="J652" s="70" t="str">
        <f>IF('Item Setup Form'!$AF656="Yes",'Item Setup Form'!U656,"")</f>
        <v/>
      </c>
      <c r="K652" s="70" t="str">
        <f>IF('Item Setup Form'!$AF656="Yes",'Item Setup Form'!V656,"")</f>
        <v/>
      </c>
      <c r="L652" s="70"/>
      <c r="M652" s="70" t="str">
        <f>IF('Item Setup Form'!$AF656="Yes",'Item Setup Form'!A656,"")</f>
        <v/>
      </c>
      <c r="N652" s="70"/>
      <c r="O652" s="70"/>
      <c r="P652" s="70"/>
      <c r="Q652" s="70"/>
      <c r="R652" s="70"/>
      <c r="S652" s="70"/>
      <c r="T652" s="70"/>
      <c r="U652" s="70"/>
      <c r="V652" s="70"/>
      <c r="W652" s="70"/>
      <c r="X652" s="70"/>
      <c r="Y652" s="70"/>
      <c r="Z652" s="70"/>
    </row>
    <row r="653" spans="1:26">
      <c r="A653" s="70" t="str">
        <f>IF('Item Setup Form'!$AF657="Yes",'Item Setup Form'!$E657,"")</f>
        <v/>
      </c>
      <c r="B653" s="70" t="str">
        <f>IF('Item Setup Form'!$AF657="Yes",'Item Setup Form'!D657,"")</f>
        <v/>
      </c>
      <c r="C653" s="81" t="str">
        <f>IF('Item Setup Form'!$AF657="Yes",'Item Setup Form'!L657,"")</f>
        <v/>
      </c>
      <c r="D653" s="81" t="str">
        <f>IF('Item Setup Form'!$AF657="Yes",'Item Setup Form'!M657,"")</f>
        <v/>
      </c>
      <c r="E653" s="70"/>
      <c r="F653" s="70" t="str">
        <f>IF('Item Setup Form'!$AF657="Yes",'Item Setup Form'!G657,"")</f>
        <v/>
      </c>
      <c r="G653" s="70" t="str">
        <f>IF('Item Setup Form'!$AF657="Yes",'Item Setup Form'!H657,"")</f>
        <v/>
      </c>
      <c r="H653" s="70" t="str">
        <f>IF('Item Setup Form'!$AF657="Yes",'Item Setup Form'!V657,"")</f>
        <v/>
      </c>
      <c r="I653" s="70"/>
      <c r="J653" s="70" t="str">
        <f>IF('Item Setup Form'!$AF657="Yes",'Item Setup Form'!U657,"")</f>
        <v/>
      </c>
      <c r="K653" s="70" t="str">
        <f>IF('Item Setup Form'!$AF657="Yes",'Item Setup Form'!V657,"")</f>
        <v/>
      </c>
      <c r="L653" s="70"/>
      <c r="M653" s="70" t="str">
        <f>IF('Item Setup Form'!$AF657="Yes",'Item Setup Form'!A657,"")</f>
        <v/>
      </c>
      <c r="N653" s="70"/>
      <c r="O653" s="70"/>
      <c r="P653" s="70"/>
      <c r="Q653" s="70"/>
      <c r="R653" s="70"/>
      <c r="S653" s="70"/>
      <c r="T653" s="70"/>
      <c r="U653" s="70"/>
      <c r="V653" s="70"/>
      <c r="W653" s="70"/>
      <c r="X653" s="70"/>
      <c r="Y653" s="70"/>
      <c r="Z653" s="70"/>
    </row>
    <row r="654" spans="1:26">
      <c r="A654" s="70" t="str">
        <f>IF('Item Setup Form'!$AF658="Yes",'Item Setup Form'!$E658,"")</f>
        <v/>
      </c>
      <c r="B654" s="70" t="str">
        <f>IF('Item Setup Form'!$AF658="Yes",'Item Setup Form'!D658,"")</f>
        <v/>
      </c>
      <c r="C654" s="81" t="str">
        <f>IF('Item Setup Form'!$AF658="Yes",'Item Setup Form'!L658,"")</f>
        <v/>
      </c>
      <c r="D654" s="81" t="str">
        <f>IF('Item Setup Form'!$AF658="Yes",'Item Setup Form'!M658,"")</f>
        <v/>
      </c>
      <c r="E654" s="70"/>
      <c r="F654" s="70" t="str">
        <f>IF('Item Setup Form'!$AF658="Yes",'Item Setup Form'!G658,"")</f>
        <v/>
      </c>
      <c r="G654" s="70" t="str">
        <f>IF('Item Setup Form'!$AF658="Yes",'Item Setup Form'!H658,"")</f>
        <v/>
      </c>
      <c r="H654" s="70" t="str">
        <f>IF('Item Setup Form'!$AF658="Yes",'Item Setup Form'!V658,"")</f>
        <v/>
      </c>
      <c r="I654" s="70"/>
      <c r="J654" s="70" t="str">
        <f>IF('Item Setup Form'!$AF658="Yes",'Item Setup Form'!U658,"")</f>
        <v/>
      </c>
      <c r="K654" s="70" t="str">
        <f>IF('Item Setup Form'!$AF658="Yes",'Item Setup Form'!V658,"")</f>
        <v/>
      </c>
      <c r="L654" s="70"/>
      <c r="M654" s="70" t="str">
        <f>IF('Item Setup Form'!$AF658="Yes",'Item Setup Form'!A658,"")</f>
        <v/>
      </c>
      <c r="N654" s="70"/>
      <c r="O654" s="70"/>
      <c r="P654" s="70"/>
      <c r="Q654" s="70"/>
      <c r="R654" s="70"/>
      <c r="S654" s="70"/>
      <c r="T654" s="70"/>
      <c r="U654" s="70"/>
      <c r="V654" s="70"/>
      <c r="W654" s="70"/>
      <c r="X654" s="70"/>
      <c r="Y654" s="70"/>
      <c r="Z654" s="70"/>
    </row>
    <row r="655" spans="1:26">
      <c r="A655" s="70" t="str">
        <f>IF('Item Setup Form'!$AF659="Yes",'Item Setup Form'!$E659,"")</f>
        <v/>
      </c>
      <c r="B655" s="70" t="str">
        <f>IF('Item Setup Form'!$AF659="Yes",'Item Setup Form'!D659,"")</f>
        <v/>
      </c>
      <c r="C655" s="81" t="str">
        <f>IF('Item Setup Form'!$AF659="Yes",'Item Setup Form'!L659,"")</f>
        <v/>
      </c>
      <c r="D655" s="81" t="str">
        <f>IF('Item Setup Form'!$AF659="Yes",'Item Setup Form'!M659,"")</f>
        <v/>
      </c>
      <c r="E655" s="70"/>
      <c r="F655" s="70" t="str">
        <f>IF('Item Setup Form'!$AF659="Yes",'Item Setup Form'!G659,"")</f>
        <v/>
      </c>
      <c r="G655" s="70" t="str">
        <f>IF('Item Setup Form'!$AF659="Yes",'Item Setup Form'!H659,"")</f>
        <v/>
      </c>
      <c r="H655" s="70" t="str">
        <f>IF('Item Setup Form'!$AF659="Yes",'Item Setup Form'!V659,"")</f>
        <v/>
      </c>
      <c r="I655" s="70"/>
      <c r="J655" s="70" t="str">
        <f>IF('Item Setup Form'!$AF659="Yes",'Item Setup Form'!U659,"")</f>
        <v/>
      </c>
      <c r="K655" s="70" t="str">
        <f>IF('Item Setup Form'!$AF659="Yes",'Item Setup Form'!V659,"")</f>
        <v/>
      </c>
      <c r="L655" s="70"/>
      <c r="M655" s="70" t="str">
        <f>IF('Item Setup Form'!$AF659="Yes",'Item Setup Form'!A659,"")</f>
        <v/>
      </c>
      <c r="N655" s="70"/>
      <c r="O655" s="70"/>
      <c r="P655" s="70"/>
      <c r="Q655" s="70"/>
      <c r="R655" s="70"/>
      <c r="S655" s="70"/>
      <c r="T655" s="70"/>
      <c r="U655" s="70"/>
      <c r="V655" s="70"/>
      <c r="W655" s="70"/>
      <c r="X655" s="70"/>
      <c r="Y655" s="70"/>
      <c r="Z655" s="70"/>
    </row>
    <row r="656" spans="1:26">
      <c r="A656" s="70" t="str">
        <f>IF('Item Setup Form'!$AF660="Yes",'Item Setup Form'!$E660,"")</f>
        <v/>
      </c>
      <c r="B656" s="70" t="str">
        <f>IF('Item Setup Form'!$AF660="Yes",'Item Setup Form'!D660,"")</f>
        <v/>
      </c>
      <c r="C656" s="81" t="str">
        <f>IF('Item Setup Form'!$AF660="Yes",'Item Setup Form'!L660,"")</f>
        <v/>
      </c>
      <c r="D656" s="81" t="str">
        <f>IF('Item Setup Form'!$AF660="Yes",'Item Setup Form'!M660,"")</f>
        <v/>
      </c>
      <c r="E656" s="70"/>
      <c r="F656" s="70" t="str">
        <f>IF('Item Setup Form'!$AF660="Yes",'Item Setup Form'!G660,"")</f>
        <v/>
      </c>
      <c r="G656" s="70" t="str">
        <f>IF('Item Setup Form'!$AF660="Yes",'Item Setup Form'!H660,"")</f>
        <v/>
      </c>
      <c r="H656" s="70" t="str">
        <f>IF('Item Setup Form'!$AF660="Yes",'Item Setup Form'!V660,"")</f>
        <v/>
      </c>
      <c r="I656" s="70"/>
      <c r="J656" s="70" t="str">
        <f>IF('Item Setup Form'!$AF660="Yes",'Item Setup Form'!U660,"")</f>
        <v/>
      </c>
      <c r="K656" s="70" t="str">
        <f>IF('Item Setup Form'!$AF660="Yes",'Item Setup Form'!V660,"")</f>
        <v/>
      </c>
      <c r="L656" s="70"/>
      <c r="M656" s="70" t="str">
        <f>IF('Item Setup Form'!$AF660="Yes",'Item Setup Form'!A660,"")</f>
        <v/>
      </c>
      <c r="N656" s="70"/>
      <c r="O656" s="70"/>
      <c r="P656" s="70"/>
      <c r="Q656" s="70"/>
      <c r="R656" s="70"/>
      <c r="S656" s="70"/>
      <c r="T656" s="70"/>
      <c r="U656" s="70"/>
      <c r="V656" s="70"/>
      <c r="W656" s="70"/>
      <c r="X656" s="70"/>
      <c r="Y656" s="70"/>
      <c r="Z656" s="70"/>
    </row>
    <row r="657" spans="1:26">
      <c r="A657" s="70" t="str">
        <f>IF('Item Setup Form'!$AF661="Yes",'Item Setup Form'!$E661,"")</f>
        <v/>
      </c>
      <c r="B657" s="70" t="str">
        <f>IF('Item Setup Form'!$AF661="Yes",'Item Setup Form'!D661,"")</f>
        <v/>
      </c>
      <c r="C657" s="81" t="str">
        <f>IF('Item Setup Form'!$AF661="Yes",'Item Setup Form'!L661,"")</f>
        <v/>
      </c>
      <c r="D657" s="81" t="str">
        <f>IF('Item Setup Form'!$AF661="Yes",'Item Setup Form'!M661,"")</f>
        <v/>
      </c>
      <c r="E657" s="70"/>
      <c r="F657" s="70" t="str">
        <f>IF('Item Setup Form'!$AF661="Yes",'Item Setup Form'!G661,"")</f>
        <v/>
      </c>
      <c r="G657" s="70" t="str">
        <f>IF('Item Setup Form'!$AF661="Yes",'Item Setup Form'!H661,"")</f>
        <v/>
      </c>
      <c r="H657" s="70" t="str">
        <f>IF('Item Setup Form'!$AF661="Yes",'Item Setup Form'!V661,"")</f>
        <v/>
      </c>
      <c r="I657" s="70"/>
      <c r="J657" s="70" t="str">
        <f>IF('Item Setup Form'!$AF661="Yes",'Item Setup Form'!U661,"")</f>
        <v/>
      </c>
      <c r="K657" s="70" t="str">
        <f>IF('Item Setup Form'!$AF661="Yes",'Item Setup Form'!V661,"")</f>
        <v/>
      </c>
      <c r="L657" s="70"/>
      <c r="M657" s="70" t="str">
        <f>IF('Item Setup Form'!$AF661="Yes",'Item Setup Form'!A661,"")</f>
        <v/>
      </c>
      <c r="N657" s="70"/>
      <c r="O657" s="70"/>
      <c r="P657" s="70"/>
      <c r="Q657" s="70"/>
      <c r="R657" s="70"/>
      <c r="S657" s="70"/>
      <c r="T657" s="70"/>
      <c r="U657" s="70"/>
      <c r="V657" s="70"/>
      <c r="W657" s="70"/>
      <c r="X657" s="70"/>
      <c r="Y657" s="70"/>
      <c r="Z657" s="70"/>
    </row>
    <row r="658" spans="1:26">
      <c r="A658" s="70" t="str">
        <f>IF('Item Setup Form'!$AF662="Yes",'Item Setup Form'!$E662,"")</f>
        <v/>
      </c>
      <c r="B658" s="70" t="str">
        <f>IF('Item Setup Form'!$AF662="Yes",'Item Setup Form'!D662,"")</f>
        <v/>
      </c>
      <c r="C658" s="81" t="str">
        <f>IF('Item Setup Form'!$AF662="Yes",'Item Setup Form'!L662,"")</f>
        <v/>
      </c>
      <c r="D658" s="81" t="str">
        <f>IF('Item Setup Form'!$AF662="Yes",'Item Setup Form'!M662,"")</f>
        <v/>
      </c>
      <c r="E658" s="70"/>
      <c r="F658" s="70" t="str">
        <f>IF('Item Setup Form'!$AF662="Yes",'Item Setup Form'!G662,"")</f>
        <v/>
      </c>
      <c r="G658" s="70" t="str">
        <f>IF('Item Setup Form'!$AF662="Yes",'Item Setup Form'!H662,"")</f>
        <v/>
      </c>
      <c r="H658" s="70" t="str">
        <f>IF('Item Setup Form'!$AF662="Yes",'Item Setup Form'!V662,"")</f>
        <v/>
      </c>
      <c r="I658" s="70"/>
      <c r="J658" s="70" t="str">
        <f>IF('Item Setup Form'!$AF662="Yes",'Item Setup Form'!U662,"")</f>
        <v/>
      </c>
      <c r="K658" s="70" t="str">
        <f>IF('Item Setup Form'!$AF662="Yes",'Item Setup Form'!V662,"")</f>
        <v/>
      </c>
      <c r="L658" s="70"/>
      <c r="M658" s="70" t="str">
        <f>IF('Item Setup Form'!$AF662="Yes",'Item Setup Form'!A662,"")</f>
        <v/>
      </c>
      <c r="N658" s="70"/>
      <c r="O658" s="70"/>
      <c r="P658" s="70"/>
      <c r="Q658" s="70"/>
      <c r="R658" s="70"/>
      <c r="S658" s="70"/>
      <c r="T658" s="70"/>
      <c r="U658" s="70"/>
      <c r="V658" s="70"/>
      <c r="W658" s="70"/>
      <c r="X658" s="70"/>
      <c r="Y658" s="70"/>
      <c r="Z658" s="70"/>
    </row>
    <row r="659" spans="1:26">
      <c r="A659" s="70" t="str">
        <f>IF('Item Setup Form'!$AF663="Yes",'Item Setup Form'!$E663,"")</f>
        <v/>
      </c>
      <c r="B659" s="70" t="str">
        <f>IF('Item Setup Form'!$AF663="Yes",'Item Setup Form'!D663,"")</f>
        <v/>
      </c>
      <c r="C659" s="81" t="str">
        <f>IF('Item Setup Form'!$AF663="Yes",'Item Setup Form'!L663,"")</f>
        <v/>
      </c>
      <c r="D659" s="81" t="str">
        <f>IF('Item Setup Form'!$AF663="Yes",'Item Setup Form'!M663,"")</f>
        <v/>
      </c>
      <c r="E659" s="70"/>
      <c r="F659" s="70" t="str">
        <f>IF('Item Setup Form'!$AF663="Yes",'Item Setup Form'!G663,"")</f>
        <v/>
      </c>
      <c r="G659" s="70" t="str">
        <f>IF('Item Setup Form'!$AF663="Yes",'Item Setup Form'!H663,"")</f>
        <v/>
      </c>
      <c r="H659" s="70" t="str">
        <f>IF('Item Setup Form'!$AF663="Yes",'Item Setup Form'!V663,"")</f>
        <v/>
      </c>
      <c r="I659" s="70"/>
      <c r="J659" s="70" t="str">
        <f>IF('Item Setup Form'!$AF663="Yes",'Item Setup Form'!U663,"")</f>
        <v/>
      </c>
      <c r="K659" s="70" t="str">
        <f>IF('Item Setup Form'!$AF663="Yes",'Item Setup Form'!V663,"")</f>
        <v/>
      </c>
      <c r="L659" s="70"/>
      <c r="M659" s="70" t="str">
        <f>IF('Item Setup Form'!$AF663="Yes",'Item Setup Form'!A663,"")</f>
        <v/>
      </c>
      <c r="N659" s="70"/>
      <c r="O659" s="70"/>
      <c r="P659" s="70"/>
      <c r="Q659" s="70"/>
      <c r="R659" s="70"/>
      <c r="S659" s="70"/>
      <c r="T659" s="70"/>
      <c r="U659" s="70"/>
      <c r="V659" s="70"/>
      <c r="W659" s="70"/>
      <c r="X659" s="70"/>
      <c r="Y659" s="70"/>
      <c r="Z659" s="70"/>
    </row>
    <row r="660" spans="1:26">
      <c r="A660" s="70" t="str">
        <f>IF('Item Setup Form'!$AF664="Yes",'Item Setup Form'!$E664,"")</f>
        <v/>
      </c>
      <c r="B660" s="70" t="str">
        <f>IF('Item Setup Form'!$AF664="Yes",'Item Setup Form'!D664,"")</f>
        <v/>
      </c>
      <c r="C660" s="81" t="str">
        <f>IF('Item Setup Form'!$AF664="Yes",'Item Setup Form'!L664,"")</f>
        <v/>
      </c>
      <c r="D660" s="81" t="str">
        <f>IF('Item Setup Form'!$AF664="Yes",'Item Setup Form'!M664,"")</f>
        <v/>
      </c>
      <c r="E660" s="70"/>
      <c r="F660" s="70" t="str">
        <f>IF('Item Setup Form'!$AF664="Yes",'Item Setup Form'!G664,"")</f>
        <v/>
      </c>
      <c r="G660" s="70" t="str">
        <f>IF('Item Setup Form'!$AF664="Yes",'Item Setup Form'!H664,"")</f>
        <v/>
      </c>
      <c r="H660" s="70" t="str">
        <f>IF('Item Setup Form'!$AF664="Yes",'Item Setup Form'!V664,"")</f>
        <v/>
      </c>
      <c r="I660" s="70"/>
      <c r="J660" s="70" t="str">
        <f>IF('Item Setup Form'!$AF664="Yes",'Item Setup Form'!U664,"")</f>
        <v/>
      </c>
      <c r="K660" s="70" t="str">
        <f>IF('Item Setup Form'!$AF664="Yes",'Item Setup Form'!V664,"")</f>
        <v/>
      </c>
      <c r="L660" s="70"/>
      <c r="M660" s="70" t="str">
        <f>IF('Item Setup Form'!$AF664="Yes",'Item Setup Form'!A664,"")</f>
        <v/>
      </c>
      <c r="N660" s="70"/>
      <c r="O660" s="70"/>
      <c r="P660" s="70"/>
      <c r="Q660" s="70"/>
      <c r="R660" s="70"/>
      <c r="S660" s="70"/>
      <c r="T660" s="70"/>
      <c r="U660" s="70"/>
      <c r="V660" s="70"/>
      <c r="W660" s="70"/>
      <c r="X660" s="70"/>
      <c r="Y660" s="70"/>
      <c r="Z660" s="70"/>
    </row>
    <row r="661" spans="1:26">
      <c r="A661" s="70" t="str">
        <f>IF('Item Setup Form'!$AF665="Yes",'Item Setup Form'!$E665,"")</f>
        <v/>
      </c>
      <c r="B661" s="70" t="str">
        <f>IF('Item Setup Form'!$AF665="Yes",'Item Setup Form'!D665,"")</f>
        <v/>
      </c>
      <c r="C661" s="81" t="str">
        <f>IF('Item Setup Form'!$AF665="Yes",'Item Setup Form'!L665,"")</f>
        <v/>
      </c>
      <c r="D661" s="81" t="str">
        <f>IF('Item Setup Form'!$AF665="Yes",'Item Setup Form'!M665,"")</f>
        <v/>
      </c>
      <c r="E661" s="70"/>
      <c r="F661" s="70" t="str">
        <f>IF('Item Setup Form'!$AF665="Yes",'Item Setup Form'!G665,"")</f>
        <v/>
      </c>
      <c r="G661" s="70" t="str">
        <f>IF('Item Setup Form'!$AF665="Yes",'Item Setup Form'!H665,"")</f>
        <v/>
      </c>
      <c r="H661" s="70" t="str">
        <f>IF('Item Setup Form'!$AF665="Yes",'Item Setup Form'!V665,"")</f>
        <v/>
      </c>
      <c r="I661" s="70"/>
      <c r="J661" s="70" t="str">
        <f>IF('Item Setup Form'!$AF665="Yes",'Item Setup Form'!U665,"")</f>
        <v/>
      </c>
      <c r="K661" s="70" t="str">
        <f>IF('Item Setup Form'!$AF665="Yes",'Item Setup Form'!V665,"")</f>
        <v/>
      </c>
      <c r="L661" s="70"/>
      <c r="M661" s="70" t="str">
        <f>IF('Item Setup Form'!$AF665="Yes",'Item Setup Form'!A665,"")</f>
        <v/>
      </c>
      <c r="N661" s="70"/>
      <c r="O661" s="70"/>
      <c r="P661" s="70"/>
      <c r="Q661" s="70"/>
      <c r="R661" s="70"/>
      <c r="S661" s="70"/>
      <c r="T661" s="70"/>
      <c r="U661" s="70"/>
      <c r="V661" s="70"/>
      <c r="W661" s="70"/>
      <c r="X661" s="70"/>
      <c r="Y661" s="70"/>
      <c r="Z661" s="70"/>
    </row>
    <row r="662" spans="1:26">
      <c r="A662" s="70" t="str">
        <f>IF('Item Setup Form'!$AF666="Yes",'Item Setup Form'!$E666,"")</f>
        <v/>
      </c>
      <c r="B662" s="70" t="str">
        <f>IF('Item Setup Form'!$AF666="Yes",'Item Setup Form'!D666,"")</f>
        <v/>
      </c>
      <c r="C662" s="81" t="str">
        <f>IF('Item Setup Form'!$AF666="Yes",'Item Setup Form'!L666,"")</f>
        <v/>
      </c>
      <c r="D662" s="81" t="str">
        <f>IF('Item Setup Form'!$AF666="Yes",'Item Setup Form'!M666,"")</f>
        <v/>
      </c>
      <c r="E662" s="70"/>
      <c r="F662" s="70" t="str">
        <f>IF('Item Setup Form'!$AF666="Yes",'Item Setup Form'!G666,"")</f>
        <v/>
      </c>
      <c r="G662" s="70" t="str">
        <f>IF('Item Setup Form'!$AF666="Yes",'Item Setup Form'!H666,"")</f>
        <v/>
      </c>
      <c r="H662" s="70" t="str">
        <f>IF('Item Setup Form'!$AF666="Yes",'Item Setup Form'!V666,"")</f>
        <v/>
      </c>
      <c r="I662" s="70"/>
      <c r="J662" s="70" t="str">
        <f>IF('Item Setup Form'!$AF666="Yes",'Item Setup Form'!U666,"")</f>
        <v/>
      </c>
      <c r="K662" s="70" t="str">
        <f>IF('Item Setup Form'!$AF666="Yes",'Item Setup Form'!V666,"")</f>
        <v/>
      </c>
      <c r="L662" s="70"/>
      <c r="M662" s="70" t="str">
        <f>IF('Item Setup Form'!$AF666="Yes",'Item Setup Form'!A666,"")</f>
        <v/>
      </c>
      <c r="N662" s="70"/>
      <c r="O662" s="70"/>
      <c r="P662" s="70"/>
      <c r="Q662" s="70"/>
      <c r="R662" s="70"/>
      <c r="S662" s="70"/>
      <c r="T662" s="70"/>
      <c r="U662" s="70"/>
      <c r="V662" s="70"/>
      <c r="W662" s="70"/>
      <c r="X662" s="70"/>
      <c r="Y662" s="70"/>
      <c r="Z662" s="70"/>
    </row>
    <row r="663" spans="1:26">
      <c r="A663" s="70" t="str">
        <f>IF('Item Setup Form'!$AF667="Yes",'Item Setup Form'!$E667,"")</f>
        <v/>
      </c>
      <c r="B663" s="70" t="str">
        <f>IF('Item Setup Form'!$AF667="Yes",'Item Setup Form'!D667,"")</f>
        <v/>
      </c>
      <c r="C663" s="81" t="str">
        <f>IF('Item Setup Form'!$AF667="Yes",'Item Setup Form'!L667,"")</f>
        <v/>
      </c>
      <c r="D663" s="81" t="str">
        <f>IF('Item Setup Form'!$AF667="Yes",'Item Setup Form'!M667,"")</f>
        <v/>
      </c>
      <c r="E663" s="70"/>
      <c r="F663" s="70" t="str">
        <f>IF('Item Setup Form'!$AF667="Yes",'Item Setup Form'!G667,"")</f>
        <v/>
      </c>
      <c r="G663" s="70" t="str">
        <f>IF('Item Setup Form'!$AF667="Yes",'Item Setup Form'!H667,"")</f>
        <v/>
      </c>
      <c r="H663" s="70" t="str">
        <f>IF('Item Setup Form'!$AF667="Yes",'Item Setup Form'!V667,"")</f>
        <v/>
      </c>
      <c r="I663" s="70"/>
      <c r="J663" s="70" t="str">
        <f>IF('Item Setup Form'!$AF667="Yes",'Item Setup Form'!U667,"")</f>
        <v/>
      </c>
      <c r="K663" s="70" t="str">
        <f>IF('Item Setup Form'!$AF667="Yes",'Item Setup Form'!V667,"")</f>
        <v/>
      </c>
      <c r="L663" s="70"/>
      <c r="M663" s="70" t="str">
        <f>IF('Item Setup Form'!$AF667="Yes",'Item Setup Form'!A667,"")</f>
        <v/>
      </c>
      <c r="N663" s="70"/>
      <c r="O663" s="70"/>
      <c r="P663" s="70"/>
      <c r="Q663" s="70"/>
      <c r="R663" s="70"/>
      <c r="S663" s="70"/>
      <c r="T663" s="70"/>
      <c r="U663" s="70"/>
      <c r="V663" s="70"/>
      <c r="W663" s="70"/>
      <c r="X663" s="70"/>
      <c r="Y663" s="70"/>
      <c r="Z663" s="70"/>
    </row>
    <row r="664" spans="1:26">
      <c r="A664" s="70" t="str">
        <f>IF('Item Setup Form'!$AF668="Yes",'Item Setup Form'!$E668,"")</f>
        <v/>
      </c>
      <c r="B664" s="70" t="str">
        <f>IF('Item Setup Form'!$AF668="Yes",'Item Setup Form'!D668,"")</f>
        <v/>
      </c>
      <c r="C664" s="81" t="str">
        <f>IF('Item Setup Form'!$AF668="Yes",'Item Setup Form'!L668,"")</f>
        <v/>
      </c>
      <c r="D664" s="81" t="str">
        <f>IF('Item Setup Form'!$AF668="Yes",'Item Setup Form'!M668,"")</f>
        <v/>
      </c>
      <c r="E664" s="70"/>
      <c r="F664" s="70" t="str">
        <f>IF('Item Setup Form'!$AF668="Yes",'Item Setup Form'!G668,"")</f>
        <v/>
      </c>
      <c r="G664" s="70" t="str">
        <f>IF('Item Setup Form'!$AF668="Yes",'Item Setup Form'!H668,"")</f>
        <v/>
      </c>
      <c r="H664" s="70" t="str">
        <f>IF('Item Setup Form'!$AF668="Yes",'Item Setup Form'!V668,"")</f>
        <v/>
      </c>
      <c r="I664" s="70"/>
      <c r="J664" s="70" t="str">
        <f>IF('Item Setup Form'!$AF668="Yes",'Item Setup Form'!U668,"")</f>
        <v/>
      </c>
      <c r="K664" s="70" t="str">
        <f>IF('Item Setup Form'!$AF668="Yes",'Item Setup Form'!V668,"")</f>
        <v/>
      </c>
      <c r="L664" s="70"/>
      <c r="M664" s="70" t="str">
        <f>IF('Item Setup Form'!$AF668="Yes",'Item Setup Form'!A668,"")</f>
        <v/>
      </c>
      <c r="N664" s="70"/>
      <c r="O664" s="70"/>
      <c r="P664" s="70"/>
      <c r="Q664" s="70"/>
      <c r="R664" s="70"/>
      <c r="S664" s="70"/>
      <c r="T664" s="70"/>
      <c r="U664" s="70"/>
      <c r="V664" s="70"/>
      <c r="W664" s="70"/>
      <c r="X664" s="70"/>
      <c r="Y664" s="70"/>
      <c r="Z664" s="70"/>
    </row>
    <row r="665" spans="1:26">
      <c r="A665" s="70" t="str">
        <f>IF('Item Setup Form'!$AF669="Yes",'Item Setup Form'!$E669,"")</f>
        <v/>
      </c>
      <c r="B665" s="70" t="str">
        <f>IF('Item Setup Form'!$AF669="Yes",'Item Setup Form'!D669,"")</f>
        <v/>
      </c>
      <c r="C665" s="81" t="str">
        <f>IF('Item Setup Form'!$AF669="Yes",'Item Setup Form'!L669,"")</f>
        <v/>
      </c>
      <c r="D665" s="81" t="str">
        <f>IF('Item Setup Form'!$AF669="Yes",'Item Setup Form'!M669,"")</f>
        <v/>
      </c>
      <c r="E665" s="70"/>
      <c r="F665" s="70" t="str">
        <f>IF('Item Setup Form'!$AF669="Yes",'Item Setup Form'!G669,"")</f>
        <v/>
      </c>
      <c r="G665" s="70" t="str">
        <f>IF('Item Setup Form'!$AF669="Yes",'Item Setup Form'!H669,"")</f>
        <v/>
      </c>
      <c r="H665" s="70" t="str">
        <f>IF('Item Setup Form'!$AF669="Yes",'Item Setup Form'!V669,"")</f>
        <v/>
      </c>
      <c r="I665" s="70"/>
      <c r="J665" s="70" t="str">
        <f>IF('Item Setup Form'!$AF669="Yes",'Item Setup Form'!U669,"")</f>
        <v/>
      </c>
      <c r="K665" s="70" t="str">
        <f>IF('Item Setup Form'!$AF669="Yes",'Item Setup Form'!V669,"")</f>
        <v/>
      </c>
      <c r="L665" s="70"/>
      <c r="M665" s="70" t="str">
        <f>IF('Item Setup Form'!$AF669="Yes",'Item Setup Form'!A669,"")</f>
        <v/>
      </c>
      <c r="N665" s="70"/>
      <c r="O665" s="70"/>
      <c r="P665" s="70"/>
      <c r="Q665" s="70"/>
      <c r="R665" s="70"/>
      <c r="S665" s="70"/>
      <c r="T665" s="70"/>
      <c r="U665" s="70"/>
      <c r="V665" s="70"/>
      <c r="W665" s="70"/>
      <c r="X665" s="70"/>
      <c r="Y665" s="70"/>
      <c r="Z665" s="70"/>
    </row>
    <row r="666" spans="1:26">
      <c r="A666" s="70" t="str">
        <f>IF('Item Setup Form'!$AF670="Yes",'Item Setup Form'!$E670,"")</f>
        <v/>
      </c>
      <c r="B666" s="70" t="str">
        <f>IF('Item Setup Form'!$AF670="Yes",'Item Setup Form'!D670,"")</f>
        <v/>
      </c>
      <c r="C666" s="81" t="str">
        <f>IF('Item Setup Form'!$AF670="Yes",'Item Setup Form'!L670,"")</f>
        <v/>
      </c>
      <c r="D666" s="81" t="str">
        <f>IF('Item Setup Form'!$AF670="Yes",'Item Setup Form'!M670,"")</f>
        <v/>
      </c>
      <c r="E666" s="70"/>
      <c r="F666" s="70" t="str">
        <f>IF('Item Setup Form'!$AF670="Yes",'Item Setup Form'!G670,"")</f>
        <v/>
      </c>
      <c r="G666" s="70" t="str">
        <f>IF('Item Setup Form'!$AF670="Yes",'Item Setup Form'!H670,"")</f>
        <v/>
      </c>
      <c r="H666" s="70" t="str">
        <f>IF('Item Setup Form'!$AF670="Yes",'Item Setup Form'!V670,"")</f>
        <v/>
      </c>
      <c r="I666" s="70"/>
      <c r="J666" s="70" t="str">
        <f>IF('Item Setup Form'!$AF670="Yes",'Item Setup Form'!U670,"")</f>
        <v/>
      </c>
      <c r="K666" s="70" t="str">
        <f>IF('Item Setup Form'!$AF670="Yes",'Item Setup Form'!V670,"")</f>
        <v/>
      </c>
      <c r="L666" s="70"/>
      <c r="M666" s="70" t="str">
        <f>IF('Item Setup Form'!$AF670="Yes",'Item Setup Form'!A670,"")</f>
        <v/>
      </c>
      <c r="N666" s="70"/>
      <c r="O666" s="70"/>
      <c r="P666" s="70"/>
      <c r="Q666" s="70"/>
      <c r="R666" s="70"/>
      <c r="S666" s="70"/>
      <c r="T666" s="70"/>
      <c r="U666" s="70"/>
      <c r="V666" s="70"/>
      <c r="W666" s="70"/>
      <c r="X666" s="70"/>
      <c r="Y666" s="70"/>
      <c r="Z666" s="70"/>
    </row>
    <row r="667" spans="1:26">
      <c r="A667" s="70" t="str">
        <f>IF('Item Setup Form'!$AF671="Yes",'Item Setup Form'!$E671,"")</f>
        <v/>
      </c>
      <c r="B667" s="70" t="str">
        <f>IF('Item Setup Form'!$AF671="Yes",'Item Setup Form'!D671,"")</f>
        <v/>
      </c>
      <c r="C667" s="81" t="str">
        <f>IF('Item Setup Form'!$AF671="Yes",'Item Setup Form'!L671,"")</f>
        <v/>
      </c>
      <c r="D667" s="81" t="str">
        <f>IF('Item Setup Form'!$AF671="Yes",'Item Setup Form'!M671,"")</f>
        <v/>
      </c>
      <c r="E667" s="70"/>
      <c r="F667" s="70" t="str">
        <f>IF('Item Setup Form'!$AF671="Yes",'Item Setup Form'!G671,"")</f>
        <v/>
      </c>
      <c r="G667" s="70" t="str">
        <f>IF('Item Setup Form'!$AF671="Yes",'Item Setup Form'!H671,"")</f>
        <v/>
      </c>
      <c r="H667" s="70" t="str">
        <f>IF('Item Setup Form'!$AF671="Yes",'Item Setup Form'!V671,"")</f>
        <v/>
      </c>
      <c r="I667" s="70"/>
      <c r="J667" s="70" t="str">
        <f>IF('Item Setup Form'!$AF671="Yes",'Item Setup Form'!U671,"")</f>
        <v/>
      </c>
      <c r="K667" s="70" t="str">
        <f>IF('Item Setup Form'!$AF671="Yes",'Item Setup Form'!V671,"")</f>
        <v/>
      </c>
      <c r="L667" s="70"/>
      <c r="M667" s="70" t="str">
        <f>IF('Item Setup Form'!$AF671="Yes",'Item Setup Form'!A671,"")</f>
        <v/>
      </c>
      <c r="N667" s="70"/>
      <c r="O667" s="70"/>
      <c r="P667" s="70"/>
      <c r="Q667" s="70"/>
      <c r="R667" s="70"/>
      <c r="S667" s="70"/>
      <c r="T667" s="70"/>
      <c r="U667" s="70"/>
      <c r="V667" s="70"/>
      <c r="W667" s="70"/>
      <c r="X667" s="70"/>
      <c r="Y667" s="70"/>
      <c r="Z667" s="70"/>
    </row>
    <row r="668" spans="1:26">
      <c r="A668" s="70" t="str">
        <f>IF('Item Setup Form'!$AF672="Yes",'Item Setup Form'!$E672,"")</f>
        <v/>
      </c>
      <c r="B668" s="70" t="str">
        <f>IF('Item Setup Form'!$AF672="Yes",'Item Setup Form'!D672,"")</f>
        <v/>
      </c>
      <c r="C668" s="81" t="str">
        <f>IF('Item Setup Form'!$AF672="Yes",'Item Setup Form'!L672,"")</f>
        <v/>
      </c>
      <c r="D668" s="81" t="str">
        <f>IF('Item Setup Form'!$AF672="Yes",'Item Setup Form'!M672,"")</f>
        <v/>
      </c>
      <c r="E668" s="70"/>
      <c r="F668" s="70" t="str">
        <f>IF('Item Setup Form'!$AF672="Yes",'Item Setup Form'!G672,"")</f>
        <v/>
      </c>
      <c r="G668" s="70" t="str">
        <f>IF('Item Setup Form'!$AF672="Yes",'Item Setup Form'!H672,"")</f>
        <v/>
      </c>
      <c r="H668" s="70" t="str">
        <f>IF('Item Setup Form'!$AF672="Yes",'Item Setup Form'!V672,"")</f>
        <v/>
      </c>
      <c r="I668" s="70"/>
      <c r="J668" s="70" t="str">
        <f>IF('Item Setup Form'!$AF672="Yes",'Item Setup Form'!U672,"")</f>
        <v/>
      </c>
      <c r="K668" s="70" t="str">
        <f>IF('Item Setup Form'!$AF672="Yes",'Item Setup Form'!V672,"")</f>
        <v/>
      </c>
      <c r="L668" s="70"/>
      <c r="M668" s="70" t="str">
        <f>IF('Item Setup Form'!$AF672="Yes",'Item Setup Form'!A672,"")</f>
        <v/>
      </c>
      <c r="N668" s="70"/>
      <c r="O668" s="70"/>
      <c r="P668" s="70"/>
      <c r="Q668" s="70"/>
      <c r="R668" s="70"/>
      <c r="S668" s="70"/>
      <c r="T668" s="70"/>
      <c r="U668" s="70"/>
      <c r="V668" s="70"/>
      <c r="W668" s="70"/>
      <c r="X668" s="70"/>
      <c r="Y668" s="70"/>
      <c r="Z668" s="70"/>
    </row>
    <row r="669" spans="1:26">
      <c r="A669" s="70" t="str">
        <f>IF('Item Setup Form'!$AF673="Yes",'Item Setup Form'!$E673,"")</f>
        <v/>
      </c>
      <c r="B669" s="70" t="str">
        <f>IF('Item Setup Form'!$AF673="Yes",'Item Setup Form'!D673,"")</f>
        <v/>
      </c>
      <c r="C669" s="81" t="str">
        <f>IF('Item Setup Form'!$AF673="Yes",'Item Setup Form'!L673,"")</f>
        <v/>
      </c>
      <c r="D669" s="81" t="str">
        <f>IF('Item Setup Form'!$AF673="Yes",'Item Setup Form'!M673,"")</f>
        <v/>
      </c>
      <c r="E669" s="70"/>
      <c r="F669" s="70" t="str">
        <f>IF('Item Setup Form'!$AF673="Yes",'Item Setup Form'!G673,"")</f>
        <v/>
      </c>
      <c r="G669" s="70" t="str">
        <f>IF('Item Setup Form'!$AF673="Yes",'Item Setup Form'!H673,"")</f>
        <v/>
      </c>
      <c r="H669" s="70" t="str">
        <f>IF('Item Setup Form'!$AF673="Yes",'Item Setup Form'!V673,"")</f>
        <v/>
      </c>
      <c r="I669" s="70"/>
      <c r="J669" s="70" t="str">
        <f>IF('Item Setup Form'!$AF673="Yes",'Item Setup Form'!U673,"")</f>
        <v/>
      </c>
      <c r="K669" s="70" t="str">
        <f>IF('Item Setup Form'!$AF673="Yes",'Item Setup Form'!V673,"")</f>
        <v/>
      </c>
      <c r="L669" s="70"/>
      <c r="M669" s="70" t="str">
        <f>IF('Item Setup Form'!$AF673="Yes",'Item Setup Form'!A673,"")</f>
        <v/>
      </c>
      <c r="N669" s="70"/>
      <c r="O669" s="70"/>
      <c r="P669" s="70"/>
      <c r="Q669" s="70"/>
      <c r="R669" s="70"/>
      <c r="S669" s="70"/>
      <c r="T669" s="70"/>
      <c r="U669" s="70"/>
      <c r="V669" s="70"/>
      <c r="W669" s="70"/>
      <c r="X669" s="70"/>
      <c r="Y669" s="70"/>
      <c r="Z669" s="70"/>
    </row>
    <row r="670" spans="1:26">
      <c r="A670" s="70" t="str">
        <f>IF('Item Setup Form'!$AF674="Yes",'Item Setup Form'!$E674,"")</f>
        <v/>
      </c>
      <c r="B670" s="70" t="str">
        <f>IF('Item Setup Form'!$AF674="Yes",'Item Setup Form'!D674,"")</f>
        <v/>
      </c>
      <c r="C670" s="81" t="str">
        <f>IF('Item Setup Form'!$AF674="Yes",'Item Setup Form'!L674,"")</f>
        <v/>
      </c>
      <c r="D670" s="81" t="str">
        <f>IF('Item Setup Form'!$AF674="Yes",'Item Setup Form'!M674,"")</f>
        <v/>
      </c>
      <c r="E670" s="70"/>
      <c r="F670" s="70" t="str">
        <f>IF('Item Setup Form'!$AF674="Yes",'Item Setup Form'!G674,"")</f>
        <v/>
      </c>
      <c r="G670" s="70" t="str">
        <f>IF('Item Setup Form'!$AF674="Yes",'Item Setup Form'!H674,"")</f>
        <v/>
      </c>
      <c r="H670" s="70" t="str">
        <f>IF('Item Setup Form'!$AF674="Yes",'Item Setup Form'!V674,"")</f>
        <v/>
      </c>
      <c r="I670" s="70"/>
      <c r="J670" s="70" t="str">
        <f>IF('Item Setup Form'!$AF674="Yes",'Item Setup Form'!U674,"")</f>
        <v/>
      </c>
      <c r="K670" s="70" t="str">
        <f>IF('Item Setup Form'!$AF674="Yes",'Item Setup Form'!V674,"")</f>
        <v/>
      </c>
      <c r="L670" s="70"/>
      <c r="M670" s="70" t="str">
        <f>IF('Item Setup Form'!$AF674="Yes",'Item Setup Form'!A674,"")</f>
        <v/>
      </c>
      <c r="N670" s="70"/>
      <c r="O670" s="70"/>
      <c r="P670" s="70"/>
      <c r="Q670" s="70"/>
      <c r="R670" s="70"/>
      <c r="S670" s="70"/>
      <c r="T670" s="70"/>
      <c r="U670" s="70"/>
      <c r="V670" s="70"/>
      <c r="W670" s="70"/>
      <c r="X670" s="70"/>
      <c r="Y670" s="70"/>
      <c r="Z670" s="70"/>
    </row>
    <row r="671" spans="1:26">
      <c r="A671" s="70" t="str">
        <f>IF('Item Setup Form'!$AF675="Yes",'Item Setup Form'!$E675,"")</f>
        <v/>
      </c>
      <c r="B671" s="70" t="str">
        <f>IF('Item Setup Form'!$AF675="Yes",'Item Setup Form'!D675,"")</f>
        <v/>
      </c>
      <c r="C671" s="81" t="str">
        <f>IF('Item Setup Form'!$AF675="Yes",'Item Setup Form'!L675,"")</f>
        <v/>
      </c>
      <c r="D671" s="81" t="str">
        <f>IF('Item Setup Form'!$AF675="Yes",'Item Setup Form'!M675,"")</f>
        <v/>
      </c>
      <c r="E671" s="70"/>
      <c r="F671" s="70" t="str">
        <f>IF('Item Setup Form'!$AF675="Yes",'Item Setup Form'!G675,"")</f>
        <v/>
      </c>
      <c r="G671" s="70" t="str">
        <f>IF('Item Setup Form'!$AF675="Yes",'Item Setup Form'!H675,"")</f>
        <v/>
      </c>
      <c r="H671" s="70" t="str">
        <f>IF('Item Setup Form'!$AF675="Yes",'Item Setup Form'!V675,"")</f>
        <v/>
      </c>
      <c r="I671" s="70"/>
      <c r="J671" s="70" t="str">
        <f>IF('Item Setup Form'!$AF675="Yes",'Item Setup Form'!U675,"")</f>
        <v/>
      </c>
      <c r="K671" s="70" t="str">
        <f>IF('Item Setup Form'!$AF675="Yes",'Item Setup Form'!V675,"")</f>
        <v/>
      </c>
      <c r="L671" s="70"/>
      <c r="M671" s="70" t="str">
        <f>IF('Item Setup Form'!$AF675="Yes",'Item Setup Form'!A675,"")</f>
        <v/>
      </c>
      <c r="N671" s="70"/>
      <c r="O671" s="70"/>
      <c r="P671" s="70"/>
      <c r="Q671" s="70"/>
      <c r="R671" s="70"/>
      <c r="S671" s="70"/>
      <c r="T671" s="70"/>
      <c r="U671" s="70"/>
      <c r="V671" s="70"/>
      <c r="W671" s="70"/>
      <c r="X671" s="70"/>
      <c r="Y671" s="70"/>
      <c r="Z671" s="70"/>
    </row>
    <row r="672" spans="1:26">
      <c r="A672" s="70" t="str">
        <f>IF('Item Setup Form'!$AF676="Yes",'Item Setup Form'!$E676,"")</f>
        <v/>
      </c>
      <c r="B672" s="70" t="str">
        <f>IF('Item Setup Form'!$AF676="Yes",'Item Setup Form'!D676,"")</f>
        <v/>
      </c>
      <c r="C672" s="81" t="str">
        <f>IF('Item Setup Form'!$AF676="Yes",'Item Setup Form'!L676,"")</f>
        <v/>
      </c>
      <c r="D672" s="81" t="str">
        <f>IF('Item Setup Form'!$AF676="Yes",'Item Setup Form'!M676,"")</f>
        <v/>
      </c>
      <c r="E672" s="70"/>
      <c r="F672" s="70" t="str">
        <f>IF('Item Setup Form'!$AF676="Yes",'Item Setup Form'!G676,"")</f>
        <v/>
      </c>
      <c r="G672" s="70" t="str">
        <f>IF('Item Setup Form'!$AF676="Yes",'Item Setup Form'!H676,"")</f>
        <v/>
      </c>
      <c r="H672" s="70" t="str">
        <f>IF('Item Setup Form'!$AF676="Yes",'Item Setup Form'!V676,"")</f>
        <v/>
      </c>
      <c r="I672" s="70"/>
      <c r="J672" s="70" t="str">
        <f>IF('Item Setup Form'!$AF676="Yes",'Item Setup Form'!U676,"")</f>
        <v/>
      </c>
      <c r="K672" s="70" t="str">
        <f>IF('Item Setup Form'!$AF676="Yes",'Item Setup Form'!V676,"")</f>
        <v/>
      </c>
      <c r="L672" s="70"/>
      <c r="M672" s="70" t="str">
        <f>IF('Item Setup Form'!$AF676="Yes",'Item Setup Form'!A676,"")</f>
        <v/>
      </c>
      <c r="N672" s="70"/>
      <c r="O672" s="70"/>
      <c r="P672" s="70"/>
      <c r="Q672" s="70"/>
      <c r="R672" s="70"/>
      <c r="S672" s="70"/>
      <c r="T672" s="70"/>
      <c r="U672" s="70"/>
      <c r="V672" s="70"/>
      <c r="W672" s="70"/>
      <c r="X672" s="70"/>
      <c r="Y672" s="70"/>
      <c r="Z672" s="70"/>
    </row>
    <row r="673" spans="1:26">
      <c r="A673" s="70" t="str">
        <f>IF('Item Setup Form'!$AF677="Yes",'Item Setup Form'!$E677,"")</f>
        <v/>
      </c>
      <c r="B673" s="70" t="str">
        <f>IF('Item Setup Form'!$AF677="Yes",'Item Setup Form'!D677,"")</f>
        <v/>
      </c>
      <c r="C673" s="81" t="str">
        <f>IF('Item Setup Form'!$AF677="Yes",'Item Setup Form'!L677,"")</f>
        <v/>
      </c>
      <c r="D673" s="81" t="str">
        <f>IF('Item Setup Form'!$AF677="Yes",'Item Setup Form'!M677,"")</f>
        <v/>
      </c>
      <c r="E673" s="70"/>
      <c r="F673" s="70" t="str">
        <f>IF('Item Setup Form'!$AF677="Yes",'Item Setup Form'!G677,"")</f>
        <v/>
      </c>
      <c r="G673" s="70" t="str">
        <f>IF('Item Setup Form'!$AF677="Yes",'Item Setup Form'!H677,"")</f>
        <v/>
      </c>
      <c r="H673" s="70" t="str">
        <f>IF('Item Setup Form'!$AF677="Yes",'Item Setup Form'!V677,"")</f>
        <v/>
      </c>
      <c r="I673" s="70"/>
      <c r="J673" s="70" t="str">
        <f>IF('Item Setup Form'!$AF677="Yes",'Item Setup Form'!U677,"")</f>
        <v/>
      </c>
      <c r="K673" s="70" t="str">
        <f>IF('Item Setup Form'!$AF677="Yes",'Item Setup Form'!V677,"")</f>
        <v/>
      </c>
      <c r="L673" s="70"/>
      <c r="M673" s="70" t="str">
        <f>IF('Item Setup Form'!$AF677="Yes",'Item Setup Form'!A677,"")</f>
        <v/>
      </c>
      <c r="N673" s="70"/>
      <c r="O673" s="70"/>
      <c r="P673" s="70"/>
      <c r="Q673" s="70"/>
      <c r="R673" s="70"/>
      <c r="S673" s="70"/>
      <c r="T673" s="70"/>
      <c r="U673" s="70"/>
      <c r="V673" s="70"/>
      <c r="W673" s="70"/>
      <c r="X673" s="70"/>
      <c r="Y673" s="70"/>
      <c r="Z673" s="70"/>
    </row>
    <row r="674" spans="1:26">
      <c r="A674" s="70" t="str">
        <f>IF('Item Setup Form'!$AF678="Yes",'Item Setup Form'!$E678,"")</f>
        <v/>
      </c>
      <c r="B674" s="70" t="str">
        <f>IF('Item Setup Form'!$AF678="Yes",'Item Setup Form'!D678,"")</f>
        <v/>
      </c>
      <c r="C674" s="81" t="str">
        <f>IF('Item Setup Form'!$AF678="Yes",'Item Setup Form'!L678,"")</f>
        <v/>
      </c>
      <c r="D674" s="81" t="str">
        <f>IF('Item Setup Form'!$AF678="Yes",'Item Setup Form'!M678,"")</f>
        <v/>
      </c>
      <c r="E674" s="70"/>
      <c r="F674" s="70" t="str">
        <f>IF('Item Setup Form'!$AF678="Yes",'Item Setup Form'!G678,"")</f>
        <v/>
      </c>
      <c r="G674" s="70" t="str">
        <f>IF('Item Setup Form'!$AF678="Yes",'Item Setup Form'!H678,"")</f>
        <v/>
      </c>
      <c r="H674" s="70" t="str">
        <f>IF('Item Setup Form'!$AF678="Yes",'Item Setup Form'!V678,"")</f>
        <v/>
      </c>
      <c r="I674" s="70"/>
      <c r="J674" s="70" t="str">
        <f>IF('Item Setup Form'!$AF678="Yes",'Item Setup Form'!U678,"")</f>
        <v/>
      </c>
      <c r="K674" s="70" t="str">
        <f>IF('Item Setup Form'!$AF678="Yes",'Item Setup Form'!V678,"")</f>
        <v/>
      </c>
      <c r="L674" s="70"/>
      <c r="M674" s="70" t="str">
        <f>IF('Item Setup Form'!$AF678="Yes",'Item Setup Form'!A678,"")</f>
        <v/>
      </c>
      <c r="N674" s="70"/>
      <c r="O674" s="70"/>
      <c r="P674" s="70"/>
      <c r="Q674" s="70"/>
      <c r="R674" s="70"/>
      <c r="S674" s="70"/>
      <c r="T674" s="70"/>
      <c r="U674" s="70"/>
      <c r="V674" s="70"/>
      <c r="W674" s="70"/>
      <c r="X674" s="70"/>
      <c r="Y674" s="70"/>
      <c r="Z674" s="70"/>
    </row>
    <row r="675" spans="1:26">
      <c r="A675" s="70" t="str">
        <f>IF('Item Setup Form'!$AF679="Yes",'Item Setup Form'!$E679,"")</f>
        <v/>
      </c>
      <c r="B675" s="70" t="str">
        <f>IF('Item Setup Form'!$AF679="Yes",'Item Setup Form'!D679,"")</f>
        <v/>
      </c>
      <c r="C675" s="81" t="str">
        <f>IF('Item Setup Form'!$AF679="Yes",'Item Setup Form'!L679,"")</f>
        <v/>
      </c>
      <c r="D675" s="81" t="str">
        <f>IF('Item Setup Form'!$AF679="Yes",'Item Setup Form'!M679,"")</f>
        <v/>
      </c>
      <c r="E675" s="70"/>
      <c r="F675" s="70" t="str">
        <f>IF('Item Setup Form'!$AF679="Yes",'Item Setup Form'!G679,"")</f>
        <v/>
      </c>
      <c r="G675" s="70" t="str">
        <f>IF('Item Setup Form'!$AF679="Yes",'Item Setup Form'!H679,"")</f>
        <v/>
      </c>
      <c r="H675" s="70" t="str">
        <f>IF('Item Setup Form'!$AF679="Yes",'Item Setup Form'!V679,"")</f>
        <v/>
      </c>
      <c r="I675" s="70"/>
      <c r="J675" s="70" t="str">
        <f>IF('Item Setup Form'!$AF679="Yes",'Item Setup Form'!U679,"")</f>
        <v/>
      </c>
      <c r="K675" s="70" t="str">
        <f>IF('Item Setup Form'!$AF679="Yes",'Item Setup Form'!V679,"")</f>
        <v/>
      </c>
      <c r="L675" s="70"/>
      <c r="M675" s="70" t="str">
        <f>IF('Item Setup Form'!$AF679="Yes",'Item Setup Form'!A679,"")</f>
        <v/>
      </c>
      <c r="N675" s="70"/>
      <c r="O675" s="70"/>
      <c r="P675" s="70"/>
      <c r="Q675" s="70"/>
      <c r="R675" s="70"/>
      <c r="S675" s="70"/>
      <c r="T675" s="70"/>
      <c r="U675" s="70"/>
      <c r="V675" s="70"/>
      <c r="W675" s="70"/>
      <c r="X675" s="70"/>
      <c r="Y675" s="70"/>
      <c r="Z675" s="70"/>
    </row>
    <row r="676" spans="1:26">
      <c r="A676" s="70" t="str">
        <f>IF('Item Setup Form'!$AF680="Yes",'Item Setup Form'!$E680,"")</f>
        <v/>
      </c>
      <c r="B676" s="70" t="str">
        <f>IF('Item Setup Form'!$AF680="Yes",'Item Setup Form'!D680,"")</f>
        <v/>
      </c>
      <c r="C676" s="81" t="str">
        <f>IF('Item Setup Form'!$AF680="Yes",'Item Setup Form'!L680,"")</f>
        <v/>
      </c>
      <c r="D676" s="81" t="str">
        <f>IF('Item Setup Form'!$AF680="Yes",'Item Setup Form'!M680,"")</f>
        <v/>
      </c>
      <c r="E676" s="70"/>
      <c r="F676" s="70" t="str">
        <f>IF('Item Setup Form'!$AF680="Yes",'Item Setup Form'!G680,"")</f>
        <v/>
      </c>
      <c r="G676" s="70" t="str">
        <f>IF('Item Setup Form'!$AF680="Yes",'Item Setup Form'!H680,"")</f>
        <v/>
      </c>
      <c r="H676" s="70" t="str">
        <f>IF('Item Setup Form'!$AF680="Yes",'Item Setup Form'!V680,"")</f>
        <v/>
      </c>
      <c r="I676" s="70"/>
      <c r="J676" s="70" t="str">
        <f>IF('Item Setup Form'!$AF680="Yes",'Item Setup Form'!U680,"")</f>
        <v/>
      </c>
      <c r="K676" s="70" t="str">
        <f>IF('Item Setup Form'!$AF680="Yes",'Item Setup Form'!V680,"")</f>
        <v/>
      </c>
      <c r="L676" s="70"/>
      <c r="M676" s="70" t="str">
        <f>IF('Item Setup Form'!$AF680="Yes",'Item Setup Form'!A680,"")</f>
        <v/>
      </c>
      <c r="N676" s="70"/>
      <c r="O676" s="70"/>
      <c r="P676" s="70"/>
      <c r="Q676" s="70"/>
      <c r="R676" s="70"/>
      <c r="S676" s="70"/>
      <c r="T676" s="70"/>
      <c r="U676" s="70"/>
      <c r="V676" s="70"/>
      <c r="W676" s="70"/>
      <c r="X676" s="70"/>
      <c r="Y676" s="70"/>
      <c r="Z676" s="70"/>
    </row>
    <row r="677" spans="1:26">
      <c r="A677" s="70" t="str">
        <f>IF('Item Setup Form'!$AF681="Yes",'Item Setup Form'!$E681,"")</f>
        <v/>
      </c>
      <c r="B677" s="70" t="str">
        <f>IF('Item Setup Form'!$AF681="Yes",'Item Setup Form'!D681,"")</f>
        <v/>
      </c>
      <c r="C677" s="81" t="str">
        <f>IF('Item Setup Form'!$AF681="Yes",'Item Setup Form'!L681,"")</f>
        <v/>
      </c>
      <c r="D677" s="81" t="str">
        <f>IF('Item Setup Form'!$AF681="Yes",'Item Setup Form'!M681,"")</f>
        <v/>
      </c>
      <c r="E677" s="70"/>
      <c r="F677" s="70" t="str">
        <f>IF('Item Setup Form'!$AF681="Yes",'Item Setup Form'!G681,"")</f>
        <v/>
      </c>
      <c r="G677" s="70" t="str">
        <f>IF('Item Setup Form'!$AF681="Yes",'Item Setup Form'!H681,"")</f>
        <v/>
      </c>
      <c r="H677" s="70" t="str">
        <f>IF('Item Setup Form'!$AF681="Yes",'Item Setup Form'!V681,"")</f>
        <v/>
      </c>
      <c r="I677" s="70"/>
      <c r="J677" s="70" t="str">
        <f>IF('Item Setup Form'!$AF681="Yes",'Item Setup Form'!U681,"")</f>
        <v/>
      </c>
      <c r="K677" s="70" t="str">
        <f>IF('Item Setup Form'!$AF681="Yes",'Item Setup Form'!V681,"")</f>
        <v/>
      </c>
      <c r="L677" s="70"/>
      <c r="M677" s="70" t="str">
        <f>IF('Item Setup Form'!$AF681="Yes",'Item Setup Form'!A681,"")</f>
        <v/>
      </c>
      <c r="N677" s="70"/>
      <c r="O677" s="70"/>
      <c r="P677" s="70"/>
      <c r="Q677" s="70"/>
      <c r="R677" s="70"/>
      <c r="S677" s="70"/>
      <c r="T677" s="70"/>
      <c r="U677" s="70"/>
      <c r="V677" s="70"/>
      <c r="W677" s="70"/>
      <c r="X677" s="70"/>
      <c r="Y677" s="70"/>
      <c r="Z677" s="70"/>
    </row>
    <row r="678" spans="1:26">
      <c r="A678" s="70" t="str">
        <f>IF('Item Setup Form'!$AF682="Yes",'Item Setup Form'!$E682,"")</f>
        <v/>
      </c>
      <c r="B678" s="70" t="str">
        <f>IF('Item Setup Form'!$AF682="Yes",'Item Setup Form'!D682,"")</f>
        <v/>
      </c>
      <c r="C678" s="81" t="str">
        <f>IF('Item Setup Form'!$AF682="Yes",'Item Setup Form'!L682,"")</f>
        <v/>
      </c>
      <c r="D678" s="81" t="str">
        <f>IF('Item Setup Form'!$AF682="Yes",'Item Setup Form'!M682,"")</f>
        <v/>
      </c>
      <c r="E678" s="70"/>
      <c r="F678" s="70" t="str">
        <f>IF('Item Setup Form'!$AF682="Yes",'Item Setup Form'!G682,"")</f>
        <v/>
      </c>
      <c r="G678" s="70" t="str">
        <f>IF('Item Setup Form'!$AF682="Yes",'Item Setup Form'!H682,"")</f>
        <v/>
      </c>
      <c r="H678" s="70" t="str">
        <f>IF('Item Setup Form'!$AF682="Yes",'Item Setup Form'!V682,"")</f>
        <v/>
      </c>
      <c r="I678" s="70"/>
      <c r="J678" s="70" t="str">
        <f>IF('Item Setup Form'!$AF682="Yes",'Item Setup Form'!U682,"")</f>
        <v/>
      </c>
      <c r="K678" s="70" t="str">
        <f>IF('Item Setup Form'!$AF682="Yes",'Item Setup Form'!V682,"")</f>
        <v/>
      </c>
      <c r="L678" s="70"/>
      <c r="M678" s="70" t="str">
        <f>IF('Item Setup Form'!$AF682="Yes",'Item Setup Form'!A682,"")</f>
        <v/>
      </c>
      <c r="N678" s="70"/>
      <c r="O678" s="70"/>
      <c r="P678" s="70"/>
      <c r="Q678" s="70"/>
      <c r="R678" s="70"/>
      <c r="S678" s="70"/>
      <c r="T678" s="70"/>
      <c r="U678" s="70"/>
      <c r="V678" s="70"/>
      <c r="W678" s="70"/>
      <c r="X678" s="70"/>
      <c r="Y678" s="70"/>
      <c r="Z678" s="70"/>
    </row>
    <row r="679" spans="1:26">
      <c r="A679" s="70" t="str">
        <f>IF('Item Setup Form'!$AF683="Yes",'Item Setup Form'!$E683,"")</f>
        <v/>
      </c>
      <c r="B679" s="70" t="str">
        <f>IF('Item Setup Form'!$AF683="Yes",'Item Setup Form'!D683,"")</f>
        <v/>
      </c>
      <c r="C679" s="81" t="str">
        <f>IF('Item Setup Form'!$AF683="Yes",'Item Setup Form'!L683,"")</f>
        <v/>
      </c>
      <c r="D679" s="81" t="str">
        <f>IF('Item Setup Form'!$AF683="Yes",'Item Setup Form'!M683,"")</f>
        <v/>
      </c>
      <c r="E679" s="70"/>
      <c r="F679" s="70" t="str">
        <f>IF('Item Setup Form'!$AF683="Yes",'Item Setup Form'!G683,"")</f>
        <v/>
      </c>
      <c r="G679" s="70" t="str">
        <f>IF('Item Setup Form'!$AF683="Yes",'Item Setup Form'!H683,"")</f>
        <v/>
      </c>
      <c r="H679" s="70" t="str">
        <f>IF('Item Setup Form'!$AF683="Yes",'Item Setup Form'!V683,"")</f>
        <v/>
      </c>
      <c r="I679" s="70"/>
      <c r="J679" s="70" t="str">
        <f>IF('Item Setup Form'!$AF683="Yes",'Item Setup Form'!U683,"")</f>
        <v/>
      </c>
      <c r="K679" s="70" t="str">
        <f>IF('Item Setup Form'!$AF683="Yes",'Item Setup Form'!V683,"")</f>
        <v/>
      </c>
      <c r="L679" s="70"/>
      <c r="M679" s="70" t="str">
        <f>IF('Item Setup Form'!$AF683="Yes",'Item Setup Form'!A683,"")</f>
        <v/>
      </c>
      <c r="N679" s="70"/>
      <c r="O679" s="70"/>
      <c r="P679" s="70"/>
      <c r="Q679" s="70"/>
      <c r="R679" s="70"/>
      <c r="S679" s="70"/>
      <c r="T679" s="70"/>
      <c r="U679" s="70"/>
      <c r="V679" s="70"/>
      <c r="W679" s="70"/>
      <c r="X679" s="70"/>
      <c r="Y679" s="70"/>
      <c r="Z679" s="70"/>
    </row>
    <row r="680" spans="1:26">
      <c r="A680" s="70" t="str">
        <f>IF('Item Setup Form'!$AF684="Yes",'Item Setup Form'!$E684,"")</f>
        <v/>
      </c>
      <c r="B680" s="70" t="str">
        <f>IF('Item Setup Form'!$AF684="Yes",'Item Setup Form'!D684,"")</f>
        <v/>
      </c>
      <c r="C680" s="81" t="str">
        <f>IF('Item Setup Form'!$AF684="Yes",'Item Setup Form'!L684,"")</f>
        <v/>
      </c>
      <c r="D680" s="81" t="str">
        <f>IF('Item Setup Form'!$AF684="Yes",'Item Setup Form'!M684,"")</f>
        <v/>
      </c>
      <c r="E680" s="70"/>
      <c r="F680" s="70" t="str">
        <f>IF('Item Setup Form'!$AF684="Yes",'Item Setup Form'!G684,"")</f>
        <v/>
      </c>
      <c r="G680" s="70" t="str">
        <f>IF('Item Setup Form'!$AF684="Yes",'Item Setup Form'!H684,"")</f>
        <v/>
      </c>
      <c r="H680" s="70" t="str">
        <f>IF('Item Setup Form'!$AF684="Yes",'Item Setup Form'!V684,"")</f>
        <v/>
      </c>
      <c r="I680" s="70"/>
      <c r="J680" s="70" t="str">
        <f>IF('Item Setup Form'!$AF684="Yes",'Item Setup Form'!U684,"")</f>
        <v/>
      </c>
      <c r="K680" s="70" t="str">
        <f>IF('Item Setup Form'!$AF684="Yes",'Item Setup Form'!V684,"")</f>
        <v/>
      </c>
      <c r="L680" s="70"/>
      <c r="M680" s="70" t="str">
        <f>IF('Item Setup Form'!$AF684="Yes",'Item Setup Form'!A684,"")</f>
        <v/>
      </c>
      <c r="N680" s="70"/>
      <c r="O680" s="70"/>
      <c r="P680" s="70"/>
      <c r="Q680" s="70"/>
      <c r="R680" s="70"/>
      <c r="S680" s="70"/>
      <c r="T680" s="70"/>
      <c r="U680" s="70"/>
      <c r="V680" s="70"/>
      <c r="W680" s="70"/>
      <c r="X680" s="70"/>
      <c r="Y680" s="70"/>
      <c r="Z680" s="70"/>
    </row>
    <row r="681" spans="1:26">
      <c r="A681" s="70" t="str">
        <f>IF('Item Setup Form'!$AF685="Yes",'Item Setup Form'!$E685,"")</f>
        <v/>
      </c>
      <c r="B681" s="70" t="str">
        <f>IF('Item Setup Form'!$AF685="Yes",'Item Setup Form'!D685,"")</f>
        <v/>
      </c>
      <c r="C681" s="81" t="str">
        <f>IF('Item Setup Form'!$AF685="Yes",'Item Setup Form'!L685,"")</f>
        <v/>
      </c>
      <c r="D681" s="81" t="str">
        <f>IF('Item Setup Form'!$AF685="Yes",'Item Setup Form'!M685,"")</f>
        <v/>
      </c>
      <c r="E681" s="70"/>
      <c r="F681" s="70" t="str">
        <f>IF('Item Setup Form'!$AF685="Yes",'Item Setup Form'!G685,"")</f>
        <v/>
      </c>
      <c r="G681" s="70" t="str">
        <f>IF('Item Setup Form'!$AF685="Yes",'Item Setup Form'!H685,"")</f>
        <v/>
      </c>
      <c r="H681" s="70" t="str">
        <f>IF('Item Setup Form'!$AF685="Yes",'Item Setup Form'!V685,"")</f>
        <v/>
      </c>
      <c r="I681" s="70"/>
      <c r="J681" s="70" t="str">
        <f>IF('Item Setup Form'!$AF685="Yes",'Item Setup Form'!U685,"")</f>
        <v/>
      </c>
      <c r="K681" s="70" t="str">
        <f>IF('Item Setup Form'!$AF685="Yes",'Item Setup Form'!V685,"")</f>
        <v/>
      </c>
      <c r="L681" s="70"/>
      <c r="M681" s="70" t="str">
        <f>IF('Item Setup Form'!$AF685="Yes",'Item Setup Form'!A685,"")</f>
        <v/>
      </c>
      <c r="N681" s="70"/>
      <c r="O681" s="70"/>
      <c r="P681" s="70"/>
      <c r="Q681" s="70"/>
      <c r="R681" s="70"/>
      <c r="S681" s="70"/>
      <c r="T681" s="70"/>
      <c r="U681" s="70"/>
      <c r="V681" s="70"/>
      <c r="W681" s="70"/>
      <c r="X681" s="70"/>
      <c r="Y681" s="70"/>
      <c r="Z681" s="70"/>
    </row>
    <row r="682" spans="1:26">
      <c r="A682" s="70" t="str">
        <f>IF('Item Setup Form'!$AF686="Yes",'Item Setup Form'!$E686,"")</f>
        <v/>
      </c>
      <c r="B682" s="70" t="str">
        <f>IF('Item Setup Form'!$AF686="Yes",'Item Setup Form'!D686,"")</f>
        <v/>
      </c>
      <c r="C682" s="81" t="str">
        <f>IF('Item Setup Form'!$AF686="Yes",'Item Setup Form'!L686,"")</f>
        <v/>
      </c>
      <c r="D682" s="81" t="str">
        <f>IF('Item Setup Form'!$AF686="Yes",'Item Setup Form'!M686,"")</f>
        <v/>
      </c>
      <c r="E682" s="70"/>
      <c r="F682" s="70" t="str">
        <f>IF('Item Setup Form'!$AF686="Yes",'Item Setup Form'!G686,"")</f>
        <v/>
      </c>
      <c r="G682" s="70" t="str">
        <f>IF('Item Setup Form'!$AF686="Yes",'Item Setup Form'!H686,"")</f>
        <v/>
      </c>
      <c r="H682" s="70" t="str">
        <f>IF('Item Setup Form'!$AF686="Yes",'Item Setup Form'!V686,"")</f>
        <v/>
      </c>
      <c r="I682" s="70"/>
      <c r="J682" s="70" t="str">
        <f>IF('Item Setup Form'!$AF686="Yes",'Item Setup Form'!U686,"")</f>
        <v/>
      </c>
      <c r="K682" s="70" t="str">
        <f>IF('Item Setup Form'!$AF686="Yes",'Item Setup Form'!V686,"")</f>
        <v/>
      </c>
      <c r="L682" s="70"/>
      <c r="M682" s="70" t="str">
        <f>IF('Item Setup Form'!$AF686="Yes",'Item Setup Form'!A686,"")</f>
        <v/>
      </c>
      <c r="N682" s="70"/>
      <c r="O682" s="70"/>
      <c r="P682" s="70"/>
      <c r="Q682" s="70"/>
      <c r="R682" s="70"/>
      <c r="S682" s="70"/>
      <c r="T682" s="70"/>
      <c r="U682" s="70"/>
      <c r="V682" s="70"/>
      <c r="W682" s="70"/>
      <c r="X682" s="70"/>
      <c r="Y682" s="70"/>
      <c r="Z682" s="70"/>
    </row>
    <row r="683" spans="1:26">
      <c r="A683" s="70" t="str">
        <f>IF('Item Setup Form'!$AF687="Yes",'Item Setup Form'!$E687,"")</f>
        <v/>
      </c>
      <c r="B683" s="70" t="str">
        <f>IF('Item Setup Form'!$AF687="Yes",'Item Setup Form'!D687,"")</f>
        <v/>
      </c>
      <c r="C683" s="81" t="str">
        <f>IF('Item Setup Form'!$AF687="Yes",'Item Setup Form'!L687,"")</f>
        <v/>
      </c>
      <c r="D683" s="81" t="str">
        <f>IF('Item Setup Form'!$AF687="Yes",'Item Setup Form'!M687,"")</f>
        <v/>
      </c>
      <c r="E683" s="70"/>
      <c r="F683" s="70" t="str">
        <f>IF('Item Setup Form'!$AF687="Yes",'Item Setup Form'!G687,"")</f>
        <v/>
      </c>
      <c r="G683" s="70" t="str">
        <f>IF('Item Setup Form'!$AF687="Yes",'Item Setup Form'!H687,"")</f>
        <v/>
      </c>
      <c r="H683" s="70" t="str">
        <f>IF('Item Setup Form'!$AF687="Yes",'Item Setup Form'!V687,"")</f>
        <v/>
      </c>
      <c r="I683" s="70"/>
      <c r="J683" s="70" t="str">
        <f>IF('Item Setup Form'!$AF687="Yes",'Item Setup Form'!U687,"")</f>
        <v/>
      </c>
      <c r="K683" s="70" t="str">
        <f>IF('Item Setup Form'!$AF687="Yes",'Item Setup Form'!V687,"")</f>
        <v/>
      </c>
      <c r="L683" s="70"/>
      <c r="M683" s="70" t="str">
        <f>IF('Item Setup Form'!$AF687="Yes",'Item Setup Form'!A687,"")</f>
        <v/>
      </c>
      <c r="N683" s="70"/>
      <c r="O683" s="70"/>
      <c r="P683" s="70"/>
      <c r="Q683" s="70"/>
      <c r="R683" s="70"/>
      <c r="S683" s="70"/>
      <c r="T683" s="70"/>
      <c r="U683" s="70"/>
      <c r="V683" s="70"/>
      <c r="W683" s="70"/>
      <c r="X683" s="70"/>
      <c r="Y683" s="70"/>
      <c r="Z683" s="70"/>
    </row>
    <row r="684" spans="1:26">
      <c r="A684" s="70" t="str">
        <f>IF('Item Setup Form'!$AF688="Yes",'Item Setup Form'!$E688,"")</f>
        <v/>
      </c>
      <c r="B684" s="70" t="str">
        <f>IF('Item Setup Form'!$AF688="Yes",'Item Setup Form'!D688,"")</f>
        <v/>
      </c>
      <c r="C684" s="81" t="str">
        <f>IF('Item Setup Form'!$AF688="Yes",'Item Setup Form'!L688,"")</f>
        <v/>
      </c>
      <c r="D684" s="81" t="str">
        <f>IF('Item Setup Form'!$AF688="Yes",'Item Setup Form'!M688,"")</f>
        <v/>
      </c>
      <c r="E684" s="70"/>
      <c r="F684" s="70" t="str">
        <f>IF('Item Setup Form'!$AF688="Yes",'Item Setup Form'!G688,"")</f>
        <v/>
      </c>
      <c r="G684" s="70" t="str">
        <f>IF('Item Setup Form'!$AF688="Yes",'Item Setup Form'!H688,"")</f>
        <v/>
      </c>
      <c r="H684" s="70" t="str">
        <f>IF('Item Setup Form'!$AF688="Yes",'Item Setup Form'!V688,"")</f>
        <v/>
      </c>
      <c r="I684" s="70"/>
      <c r="J684" s="70" t="str">
        <f>IF('Item Setup Form'!$AF688="Yes",'Item Setup Form'!U688,"")</f>
        <v/>
      </c>
      <c r="K684" s="70" t="str">
        <f>IF('Item Setup Form'!$AF688="Yes",'Item Setup Form'!V688,"")</f>
        <v/>
      </c>
      <c r="L684" s="70"/>
      <c r="M684" s="70" t="str">
        <f>IF('Item Setup Form'!$AF688="Yes",'Item Setup Form'!A688,"")</f>
        <v/>
      </c>
      <c r="N684" s="70"/>
      <c r="O684" s="70"/>
      <c r="P684" s="70"/>
      <c r="Q684" s="70"/>
      <c r="R684" s="70"/>
      <c r="S684" s="70"/>
      <c r="T684" s="70"/>
      <c r="U684" s="70"/>
      <c r="V684" s="70"/>
      <c r="W684" s="70"/>
      <c r="X684" s="70"/>
      <c r="Y684" s="70"/>
      <c r="Z684" s="70"/>
    </row>
    <row r="685" spans="1:26">
      <c r="A685" s="70" t="str">
        <f>IF('Item Setup Form'!$AF689="Yes",'Item Setup Form'!$E689,"")</f>
        <v/>
      </c>
      <c r="B685" s="70" t="str">
        <f>IF('Item Setup Form'!$AF689="Yes",'Item Setup Form'!D689,"")</f>
        <v/>
      </c>
      <c r="C685" s="81" t="str">
        <f>IF('Item Setup Form'!$AF689="Yes",'Item Setup Form'!L689,"")</f>
        <v/>
      </c>
      <c r="D685" s="81" t="str">
        <f>IF('Item Setup Form'!$AF689="Yes",'Item Setup Form'!M689,"")</f>
        <v/>
      </c>
      <c r="E685" s="70"/>
      <c r="F685" s="70" t="str">
        <f>IF('Item Setup Form'!$AF689="Yes",'Item Setup Form'!G689,"")</f>
        <v/>
      </c>
      <c r="G685" s="70" t="str">
        <f>IF('Item Setup Form'!$AF689="Yes",'Item Setup Form'!H689,"")</f>
        <v/>
      </c>
      <c r="H685" s="70" t="str">
        <f>IF('Item Setup Form'!$AF689="Yes",'Item Setup Form'!V689,"")</f>
        <v/>
      </c>
      <c r="I685" s="70"/>
      <c r="J685" s="70" t="str">
        <f>IF('Item Setup Form'!$AF689="Yes",'Item Setup Form'!U689,"")</f>
        <v/>
      </c>
      <c r="K685" s="70" t="str">
        <f>IF('Item Setup Form'!$AF689="Yes",'Item Setup Form'!V689,"")</f>
        <v/>
      </c>
      <c r="L685" s="70"/>
      <c r="M685" s="70" t="str">
        <f>IF('Item Setup Form'!$AF689="Yes",'Item Setup Form'!A689,"")</f>
        <v/>
      </c>
      <c r="N685" s="70"/>
      <c r="O685" s="70"/>
      <c r="P685" s="70"/>
      <c r="Q685" s="70"/>
      <c r="R685" s="70"/>
      <c r="S685" s="70"/>
      <c r="T685" s="70"/>
      <c r="U685" s="70"/>
      <c r="V685" s="70"/>
      <c r="W685" s="70"/>
      <c r="X685" s="70"/>
      <c r="Y685" s="70"/>
      <c r="Z685" s="70"/>
    </row>
    <row r="686" spans="1:26">
      <c r="A686" s="70" t="str">
        <f>IF('Item Setup Form'!$AF690="Yes",'Item Setup Form'!$E690,"")</f>
        <v/>
      </c>
      <c r="B686" s="70" t="str">
        <f>IF('Item Setup Form'!$AF690="Yes",'Item Setup Form'!D690,"")</f>
        <v/>
      </c>
      <c r="C686" s="81" t="str">
        <f>IF('Item Setup Form'!$AF690="Yes",'Item Setup Form'!L690,"")</f>
        <v/>
      </c>
      <c r="D686" s="81" t="str">
        <f>IF('Item Setup Form'!$AF690="Yes",'Item Setup Form'!M690,"")</f>
        <v/>
      </c>
      <c r="E686" s="70"/>
      <c r="F686" s="70" t="str">
        <f>IF('Item Setup Form'!$AF690="Yes",'Item Setup Form'!G690,"")</f>
        <v/>
      </c>
      <c r="G686" s="70" t="str">
        <f>IF('Item Setup Form'!$AF690="Yes",'Item Setup Form'!H690,"")</f>
        <v/>
      </c>
      <c r="H686" s="70" t="str">
        <f>IF('Item Setup Form'!$AF690="Yes",'Item Setup Form'!V690,"")</f>
        <v/>
      </c>
      <c r="I686" s="70"/>
      <c r="J686" s="70" t="str">
        <f>IF('Item Setup Form'!$AF690="Yes",'Item Setup Form'!U690,"")</f>
        <v/>
      </c>
      <c r="K686" s="70" t="str">
        <f>IF('Item Setup Form'!$AF690="Yes",'Item Setup Form'!V690,"")</f>
        <v/>
      </c>
      <c r="L686" s="70"/>
      <c r="M686" s="70" t="str">
        <f>IF('Item Setup Form'!$AF690="Yes",'Item Setup Form'!A690,"")</f>
        <v/>
      </c>
      <c r="N686" s="70"/>
      <c r="O686" s="70"/>
      <c r="P686" s="70"/>
      <c r="Q686" s="70"/>
      <c r="R686" s="70"/>
      <c r="S686" s="70"/>
      <c r="T686" s="70"/>
      <c r="U686" s="70"/>
      <c r="V686" s="70"/>
      <c r="W686" s="70"/>
      <c r="X686" s="70"/>
      <c r="Y686" s="70"/>
      <c r="Z686" s="70"/>
    </row>
    <row r="687" spans="1:26">
      <c r="A687" s="70" t="str">
        <f>IF('Item Setup Form'!$AF691="Yes",'Item Setup Form'!$E691,"")</f>
        <v/>
      </c>
      <c r="B687" s="70" t="str">
        <f>IF('Item Setup Form'!$AF691="Yes",'Item Setup Form'!D691,"")</f>
        <v/>
      </c>
      <c r="C687" s="81" t="str">
        <f>IF('Item Setup Form'!$AF691="Yes",'Item Setup Form'!L691,"")</f>
        <v/>
      </c>
      <c r="D687" s="81" t="str">
        <f>IF('Item Setup Form'!$AF691="Yes",'Item Setup Form'!M691,"")</f>
        <v/>
      </c>
      <c r="E687" s="70"/>
      <c r="F687" s="70" t="str">
        <f>IF('Item Setup Form'!$AF691="Yes",'Item Setup Form'!G691,"")</f>
        <v/>
      </c>
      <c r="G687" s="70" t="str">
        <f>IF('Item Setup Form'!$AF691="Yes",'Item Setup Form'!H691,"")</f>
        <v/>
      </c>
      <c r="H687" s="70" t="str">
        <f>IF('Item Setup Form'!$AF691="Yes",'Item Setup Form'!V691,"")</f>
        <v/>
      </c>
      <c r="I687" s="70"/>
      <c r="J687" s="70" t="str">
        <f>IF('Item Setup Form'!$AF691="Yes",'Item Setup Form'!U691,"")</f>
        <v/>
      </c>
      <c r="K687" s="70" t="str">
        <f>IF('Item Setup Form'!$AF691="Yes",'Item Setup Form'!V691,"")</f>
        <v/>
      </c>
      <c r="L687" s="70"/>
      <c r="M687" s="70" t="str">
        <f>IF('Item Setup Form'!$AF691="Yes",'Item Setup Form'!A691,"")</f>
        <v/>
      </c>
      <c r="N687" s="70"/>
      <c r="O687" s="70"/>
      <c r="P687" s="70"/>
      <c r="Q687" s="70"/>
      <c r="R687" s="70"/>
      <c r="S687" s="70"/>
      <c r="T687" s="70"/>
      <c r="U687" s="70"/>
      <c r="V687" s="70"/>
      <c r="W687" s="70"/>
      <c r="X687" s="70"/>
      <c r="Y687" s="70"/>
      <c r="Z687" s="70"/>
    </row>
    <row r="688" spans="1:26">
      <c r="A688" s="70" t="str">
        <f>IF('Item Setup Form'!$AF692="Yes",'Item Setup Form'!$E692,"")</f>
        <v/>
      </c>
      <c r="B688" s="70" t="str">
        <f>IF('Item Setup Form'!$AF692="Yes",'Item Setup Form'!D692,"")</f>
        <v/>
      </c>
      <c r="C688" s="81" t="str">
        <f>IF('Item Setup Form'!$AF692="Yes",'Item Setup Form'!L692,"")</f>
        <v/>
      </c>
      <c r="D688" s="81" t="str">
        <f>IF('Item Setup Form'!$AF692="Yes",'Item Setup Form'!M692,"")</f>
        <v/>
      </c>
      <c r="E688" s="70"/>
      <c r="F688" s="70" t="str">
        <f>IF('Item Setup Form'!$AF692="Yes",'Item Setup Form'!G692,"")</f>
        <v/>
      </c>
      <c r="G688" s="70" t="str">
        <f>IF('Item Setup Form'!$AF692="Yes",'Item Setup Form'!H692,"")</f>
        <v/>
      </c>
      <c r="H688" s="70" t="str">
        <f>IF('Item Setup Form'!$AF692="Yes",'Item Setup Form'!V692,"")</f>
        <v/>
      </c>
      <c r="I688" s="70"/>
      <c r="J688" s="70" t="str">
        <f>IF('Item Setup Form'!$AF692="Yes",'Item Setup Form'!U692,"")</f>
        <v/>
      </c>
      <c r="K688" s="70" t="str">
        <f>IF('Item Setup Form'!$AF692="Yes",'Item Setup Form'!V692,"")</f>
        <v/>
      </c>
      <c r="L688" s="70"/>
      <c r="M688" s="70" t="str">
        <f>IF('Item Setup Form'!$AF692="Yes",'Item Setup Form'!A692,"")</f>
        <v/>
      </c>
      <c r="N688" s="70"/>
      <c r="O688" s="70"/>
      <c r="P688" s="70"/>
      <c r="Q688" s="70"/>
      <c r="R688" s="70"/>
      <c r="S688" s="70"/>
      <c r="T688" s="70"/>
      <c r="U688" s="70"/>
      <c r="V688" s="70"/>
      <c r="W688" s="70"/>
      <c r="X688" s="70"/>
      <c r="Y688" s="70"/>
      <c r="Z688" s="70"/>
    </row>
    <row r="689" spans="1:26">
      <c r="A689" s="70" t="str">
        <f>IF('Item Setup Form'!$AF693="Yes",'Item Setup Form'!$E693,"")</f>
        <v/>
      </c>
      <c r="B689" s="70" t="str">
        <f>IF('Item Setup Form'!$AF693="Yes",'Item Setup Form'!D693,"")</f>
        <v/>
      </c>
      <c r="C689" s="81" t="str">
        <f>IF('Item Setup Form'!$AF693="Yes",'Item Setup Form'!L693,"")</f>
        <v/>
      </c>
      <c r="D689" s="81" t="str">
        <f>IF('Item Setup Form'!$AF693="Yes",'Item Setup Form'!M693,"")</f>
        <v/>
      </c>
      <c r="E689" s="70"/>
      <c r="F689" s="70" t="str">
        <f>IF('Item Setup Form'!$AF693="Yes",'Item Setup Form'!G693,"")</f>
        <v/>
      </c>
      <c r="G689" s="70" t="str">
        <f>IF('Item Setup Form'!$AF693="Yes",'Item Setup Form'!H693,"")</f>
        <v/>
      </c>
      <c r="H689" s="70" t="str">
        <f>IF('Item Setup Form'!$AF693="Yes",'Item Setup Form'!V693,"")</f>
        <v/>
      </c>
      <c r="I689" s="70"/>
      <c r="J689" s="70" t="str">
        <f>IF('Item Setup Form'!$AF693="Yes",'Item Setup Form'!U693,"")</f>
        <v/>
      </c>
      <c r="K689" s="70" t="str">
        <f>IF('Item Setup Form'!$AF693="Yes",'Item Setup Form'!V693,"")</f>
        <v/>
      </c>
      <c r="L689" s="70"/>
      <c r="M689" s="70" t="str">
        <f>IF('Item Setup Form'!$AF693="Yes",'Item Setup Form'!A693,"")</f>
        <v/>
      </c>
      <c r="N689" s="70"/>
      <c r="O689" s="70"/>
      <c r="P689" s="70"/>
      <c r="Q689" s="70"/>
      <c r="R689" s="70"/>
      <c r="S689" s="70"/>
      <c r="T689" s="70"/>
      <c r="U689" s="70"/>
      <c r="V689" s="70"/>
      <c r="W689" s="70"/>
      <c r="X689" s="70"/>
      <c r="Y689" s="70"/>
      <c r="Z689" s="70"/>
    </row>
    <row r="690" spans="1:26">
      <c r="A690" s="70" t="str">
        <f>IF('Item Setup Form'!$AF694="Yes",'Item Setup Form'!$E694,"")</f>
        <v/>
      </c>
      <c r="B690" s="70" t="str">
        <f>IF('Item Setup Form'!$AF694="Yes",'Item Setup Form'!D694,"")</f>
        <v/>
      </c>
      <c r="C690" s="81" t="str">
        <f>IF('Item Setup Form'!$AF694="Yes",'Item Setup Form'!L694,"")</f>
        <v/>
      </c>
      <c r="D690" s="81" t="str">
        <f>IF('Item Setup Form'!$AF694="Yes",'Item Setup Form'!M694,"")</f>
        <v/>
      </c>
      <c r="E690" s="70"/>
      <c r="F690" s="70" t="str">
        <f>IF('Item Setup Form'!$AF694="Yes",'Item Setup Form'!G694,"")</f>
        <v/>
      </c>
      <c r="G690" s="70" t="str">
        <f>IF('Item Setup Form'!$AF694="Yes",'Item Setup Form'!H694,"")</f>
        <v/>
      </c>
      <c r="H690" s="70" t="str">
        <f>IF('Item Setup Form'!$AF694="Yes",'Item Setup Form'!V694,"")</f>
        <v/>
      </c>
      <c r="I690" s="70"/>
      <c r="J690" s="70" t="str">
        <f>IF('Item Setup Form'!$AF694="Yes",'Item Setup Form'!U694,"")</f>
        <v/>
      </c>
      <c r="K690" s="70" t="str">
        <f>IF('Item Setup Form'!$AF694="Yes",'Item Setup Form'!V694,"")</f>
        <v/>
      </c>
      <c r="L690" s="70"/>
      <c r="M690" s="70" t="str">
        <f>IF('Item Setup Form'!$AF694="Yes",'Item Setup Form'!A694,"")</f>
        <v/>
      </c>
      <c r="N690" s="70"/>
      <c r="O690" s="70"/>
      <c r="P690" s="70"/>
      <c r="Q690" s="70"/>
      <c r="R690" s="70"/>
      <c r="S690" s="70"/>
      <c r="T690" s="70"/>
      <c r="U690" s="70"/>
      <c r="V690" s="70"/>
      <c r="W690" s="70"/>
      <c r="X690" s="70"/>
      <c r="Y690" s="70"/>
      <c r="Z690" s="70"/>
    </row>
    <row r="691" spans="1:26">
      <c r="A691" s="70" t="str">
        <f>IF('Item Setup Form'!$AF695="Yes",'Item Setup Form'!$E695,"")</f>
        <v/>
      </c>
      <c r="B691" s="70" t="str">
        <f>IF('Item Setup Form'!$AF695="Yes",'Item Setup Form'!D695,"")</f>
        <v/>
      </c>
      <c r="C691" s="81" t="str">
        <f>IF('Item Setup Form'!$AF695="Yes",'Item Setup Form'!L695,"")</f>
        <v/>
      </c>
      <c r="D691" s="81" t="str">
        <f>IF('Item Setup Form'!$AF695="Yes",'Item Setup Form'!M695,"")</f>
        <v/>
      </c>
      <c r="E691" s="70"/>
      <c r="F691" s="70" t="str">
        <f>IF('Item Setup Form'!$AF695="Yes",'Item Setup Form'!G695,"")</f>
        <v/>
      </c>
      <c r="G691" s="70" t="str">
        <f>IF('Item Setup Form'!$AF695="Yes",'Item Setup Form'!H695,"")</f>
        <v/>
      </c>
      <c r="H691" s="70" t="str">
        <f>IF('Item Setup Form'!$AF695="Yes",'Item Setup Form'!V695,"")</f>
        <v/>
      </c>
      <c r="I691" s="70"/>
      <c r="J691" s="70" t="str">
        <f>IF('Item Setup Form'!$AF695="Yes",'Item Setup Form'!U695,"")</f>
        <v/>
      </c>
      <c r="K691" s="70" t="str">
        <f>IF('Item Setup Form'!$AF695="Yes",'Item Setup Form'!V695,"")</f>
        <v/>
      </c>
      <c r="L691" s="70"/>
      <c r="M691" s="70" t="str">
        <f>IF('Item Setup Form'!$AF695="Yes",'Item Setup Form'!A695,"")</f>
        <v/>
      </c>
      <c r="N691" s="70"/>
      <c r="O691" s="70"/>
      <c r="P691" s="70"/>
      <c r="Q691" s="70"/>
      <c r="R691" s="70"/>
      <c r="S691" s="70"/>
      <c r="T691" s="70"/>
      <c r="U691" s="70"/>
      <c r="V691" s="70"/>
      <c r="W691" s="70"/>
      <c r="X691" s="70"/>
      <c r="Y691" s="70"/>
      <c r="Z691" s="70"/>
    </row>
    <row r="692" spans="1:26">
      <c r="A692" s="70" t="str">
        <f>IF('Item Setup Form'!$AF696="Yes",'Item Setup Form'!$E696,"")</f>
        <v/>
      </c>
      <c r="B692" s="70" t="str">
        <f>IF('Item Setup Form'!$AF696="Yes",'Item Setup Form'!D696,"")</f>
        <v/>
      </c>
      <c r="C692" s="81" t="str">
        <f>IF('Item Setup Form'!$AF696="Yes",'Item Setup Form'!L696,"")</f>
        <v/>
      </c>
      <c r="D692" s="81" t="str">
        <f>IF('Item Setup Form'!$AF696="Yes",'Item Setup Form'!M696,"")</f>
        <v/>
      </c>
      <c r="E692" s="70"/>
      <c r="F692" s="70" t="str">
        <f>IF('Item Setup Form'!$AF696="Yes",'Item Setup Form'!G696,"")</f>
        <v/>
      </c>
      <c r="G692" s="70" t="str">
        <f>IF('Item Setup Form'!$AF696="Yes",'Item Setup Form'!H696,"")</f>
        <v/>
      </c>
      <c r="H692" s="70" t="str">
        <f>IF('Item Setup Form'!$AF696="Yes",'Item Setup Form'!V696,"")</f>
        <v/>
      </c>
      <c r="I692" s="70"/>
      <c r="J692" s="70" t="str">
        <f>IF('Item Setup Form'!$AF696="Yes",'Item Setup Form'!U696,"")</f>
        <v/>
      </c>
      <c r="K692" s="70" t="str">
        <f>IF('Item Setup Form'!$AF696="Yes",'Item Setup Form'!V696,"")</f>
        <v/>
      </c>
      <c r="L692" s="70"/>
      <c r="M692" s="70" t="str">
        <f>IF('Item Setup Form'!$AF696="Yes",'Item Setup Form'!A696,"")</f>
        <v/>
      </c>
      <c r="N692" s="70"/>
      <c r="O692" s="70"/>
      <c r="P692" s="70"/>
      <c r="Q692" s="70"/>
      <c r="R692" s="70"/>
      <c r="S692" s="70"/>
      <c r="T692" s="70"/>
      <c r="U692" s="70"/>
      <c r="V692" s="70"/>
      <c r="W692" s="70"/>
      <c r="X692" s="70"/>
      <c r="Y692" s="70"/>
      <c r="Z692" s="70"/>
    </row>
    <row r="693" spans="1:26">
      <c r="A693" s="70" t="str">
        <f>IF('Item Setup Form'!$AF697="Yes",'Item Setup Form'!$E697,"")</f>
        <v/>
      </c>
      <c r="B693" s="70" t="str">
        <f>IF('Item Setup Form'!$AF697="Yes",'Item Setup Form'!D697,"")</f>
        <v/>
      </c>
      <c r="C693" s="81" t="str">
        <f>IF('Item Setup Form'!$AF697="Yes",'Item Setup Form'!L697,"")</f>
        <v/>
      </c>
      <c r="D693" s="81" t="str">
        <f>IF('Item Setup Form'!$AF697="Yes",'Item Setup Form'!M697,"")</f>
        <v/>
      </c>
      <c r="E693" s="70"/>
      <c r="F693" s="70" t="str">
        <f>IF('Item Setup Form'!$AF697="Yes",'Item Setup Form'!G697,"")</f>
        <v/>
      </c>
      <c r="G693" s="70" t="str">
        <f>IF('Item Setup Form'!$AF697="Yes",'Item Setup Form'!H697,"")</f>
        <v/>
      </c>
      <c r="H693" s="70" t="str">
        <f>IF('Item Setup Form'!$AF697="Yes",'Item Setup Form'!V697,"")</f>
        <v/>
      </c>
      <c r="I693" s="70"/>
      <c r="J693" s="70" t="str">
        <f>IF('Item Setup Form'!$AF697="Yes",'Item Setup Form'!U697,"")</f>
        <v/>
      </c>
      <c r="K693" s="70" t="str">
        <f>IF('Item Setup Form'!$AF697="Yes",'Item Setup Form'!V697,"")</f>
        <v/>
      </c>
      <c r="L693" s="70"/>
      <c r="M693" s="70" t="str">
        <f>IF('Item Setup Form'!$AF697="Yes",'Item Setup Form'!A697,"")</f>
        <v/>
      </c>
      <c r="N693" s="70"/>
      <c r="O693" s="70"/>
      <c r="P693" s="70"/>
      <c r="Q693" s="70"/>
      <c r="R693" s="70"/>
      <c r="S693" s="70"/>
      <c r="T693" s="70"/>
      <c r="U693" s="70"/>
      <c r="V693" s="70"/>
      <c r="W693" s="70"/>
      <c r="X693" s="70"/>
      <c r="Y693" s="70"/>
      <c r="Z693" s="70"/>
    </row>
    <row r="694" spans="1:26">
      <c r="A694" s="70" t="str">
        <f>IF('Item Setup Form'!$AF698="Yes",'Item Setup Form'!$E698,"")</f>
        <v/>
      </c>
      <c r="B694" s="70" t="str">
        <f>IF('Item Setup Form'!$AF698="Yes",'Item Setup Form'!D698,"")</f>
        <v/>
      </c>
      <c r="C694" s="81" t="str">
        <f>IF('Item Setup Form'!$AF698="Yes",'Item Setup Form'!L698,"")</f>
        <v/>
      </c>
      <c r="D694" s="81" t="str">
        <f>IF('Item Setup Form'!$AF698="Yes",'Item Setup Form'!M698,"")</f>
        <v/>
      </c>
      <c r="E694" s="70"/>
      <c r="F694" s="70" t="str">
        <f>IF('Item Setup Form'!$AF698="Yes",'Item Setup Form'!G698,"")</f>
        <v/>
      </c>
      <c r="G694" s="70" t="str">
        <f>IF('Item Setup Form'!$AF698="Yes",'Item Setup Form'!H698,"")</f>
        <v/>
      </c>
      <c r="H694" s="70" t="str">
        <f>IF('Item Setup Form'!$AF698="Yes",'Item Setup Form'!V698,"")</f>
        <v/>
      </c>
      <c r="I694" s="70"/>
      <c r="J694" s="70" t="str">
        <f>IF('Item Setup Form'!$AF698="Yes",'Item Setup Form'!U698,"")</f>
        <v/>
      </c>
      <c r="K694" s="70" t="str">
        <f>IF('Item Setup Form'!$AF698="Yes",'Item Setup Form'!V698,"")</f>
        <v/>
      </c>
      <c r="L694" s="70"/>
      <c r="M694" s="70" t="str">
        <f>IF('Item Setup Form'!$AF698="Yes",'Item Setup Form'!A698,"")</f>
        <v/>
      </c>
      <c r="N694" s="70"/>
      <c r="O694" s="70"/>
      <c r="P694" s="70"/>
      <c r="Q694" s="70"/>
      <c r="R694" s="70"/>
      <c r="S694" s="70"/>
      <c r="T694" s="70"/>
      <c r="U694" s="70"/>
      <c r="V694" s="70"/>
      <c r="W694" s="70"/>
      <c r="X694" s="70"/>
      <c r="Y694" s="70"/>
      <c r="Z694" s="70"/>
    </row>
    <row r="695" spans="1:26">
      <c r="A695" s="70" t="str">
        <f>IF('Item Setup Form'!$AF699="Yes",'Item Setup Form'!$E699,"")</f>
        <v/>
      </c>
      <c r="B695" s="70" t="str">
        <f>IF('Item Setup Form'!$AF699="Yes",'Item Setup Form'!D699,"")</f>
        <v/>
      </c>
      <c r="C695" s="81" t="str">
        <f>IF('Item Setup Form'!$AF699="Yes",'Item Setup Form'!L699,"")</f>
        <v/>
      </c>
      <c r="D695" s="81" t="str">
        <f>IF('Item Setup Form'!$AF699="Yes",'Item Setup Form'!M699,"")</f>
        <v/>
      </c>
      <c r="E695" s="70"/>
      <c r="F695" s="70" t="str">
        <f>IF('Item Setup Form'!$AF699="Yes",'Item Setup Form'!G699,"")</f>
        <v/>
      </c>
      <c r="G695" s="70" t="str">
        <f>IF('Item Setup Form'!$AF699="Yes",'Item Setup Form'!H699,"")</f>
        <v/>
      </c>
      <c r="H695" s="70" t="str">
        <f>IF('Item Setup Form'!$AF699="Yes",'Item Setup Form'!V699,"")</f>
        <v/>
      </c>
      <c r="I695" s="70"/>
      <c r="J695" s="70" t="str">
        <f>IF('Item Setup Form'!$AF699="Yes",'Item Setup Form'!U699,"")</f>
        <v/>
      </c>
      <c r="K695" s="70" t="str">
        <f>IF('Item Setup Form'!$AF699="Yes",'Item Setup Form'!V699,"")</f>
        <v/>
      </c>
      <c r="L695" s="70"/>
      <c r="M695" s="70" t="str">
        <f>IF('Item Setup Form'!$AF699="Yes",'Item Setup Form'!A699,"")</f>
        <v/>
      </c>
      <c r="N695" s="70"/>
      <c r="O695" s="70"/>
      <c r="P695" s="70"/>
      <c r="Q695" s="70"/>
      <c r="R695" s="70"/>
      <c r="S695" s="70"/>
      <c r="T695" s="70"/>
      <c r="U695" s="70"/>
      <c r="V695" s="70"/>
      <c r="W695" s="70"/>
      <c r="X695" s="70"/>
      <c r="Y695" s="70"/>
      <c r="Z695" s="70"/>
    </row>
    <row r="696" spans="1:26">
      <c r="A696" s="70" t="str">
        <f>IF('Item Setup Form'!$AF700="Yes",'Item Setup Form'!$E700,"")</f>
        <v/>
      </c>
      <c r="B696" s="70" t="str">
        <f>IF('Item Setup Form'!$AF700="Yes",'Item Setup Form'!D700,"")</f>
        <v/>
      </c>
      <c r="C696" s="81" t="str">
        <f>IF('Item Setup Form'!$AF700="Yes",'Item Setup Form'!L700,"")</f>
        <v/>
      </c>
      <c r="D696" s="81" t="str">
        <f>IF('Item Setup Form'!$AF700="Yes",'Item Setup Form'!M700,"")</f>
        <v/>
      </c>
      <c r="E696" s="70"/>
      <c r="F696" s="70" t="str">
        <f>IF('Item Setup Form'!$AF700="Yes",'Item Setup Form'!G700,"")</f>
        <v/>
      </c>
      <c r="G696" s="70" t="str">
        <f>IF('Item Setup Form'!$AF700="Yes",'Item Setup Form'!H700,"")</f>
        <v/>
      </c>
      <c r="H696" s="70" t="str">
        <f>IF('Item Setup Form'!$AF700="Yes",'Item Setup Form'!V700,"")</f>
        <v/>
      </c>
      <c r="I696" s="70"/>
      <c r="J696" s="70" t="str">
        <f>IF('Item Setup Form'!$AF700="Yes",'Item Setup Form'!U700,"")</f>
        <v/>
      </c>
      <c r="K696" s="70" t="str">
        <f>IF('Item Setup Form'!$AF700="Yes",'Item Setup Form'!V700,"")</f>
        <v/>
      </c>
      <c r="L696" s="70"/>
      <c r="M696" s="70" t="str">
        <f>IF('Item Setup Form'!$AF700="Yes",'Item Setup Form'!A700,"")</f>
        <v/>
      </c>
      <c r="N696" s="70"/>
      <c r="O696" s="70"/>
      <c r="P696" s="70"/>
      <c r="Q696" s="70"/>
      <c r="R696" s="70"/>
      <c r="S696" s="70"/>
      <c r="T696" s="70"/>
      <c r="U696" s="70"/>
      <c r="V696" s="70"/>
      <c r="W696" s="70"/>
      <c r="X696" s="70"/>
      <c r="Y696" s="70"/>
      <c r="Z696" s="70"/>
    </row>
    <row r="697" spans="1:26">
      <c r="A697" s="70" t="str">
        <f>IF('Item Setup Form'!$AF701="Yes",'Item Setup Form'!$E701,"")</f>
        <v/>
      </c>
      <c r="B697" s="70" t="str">
        <f>IF('Item Setup Form'!$AF701="Yes",'Item Setup Form'!D701,"")</f>
        <v/>
      </c>
      <c r="C697" s="81" t="str">
        <f>IF('Item Setup Form'!$AF701="Yes",'Item Setup Form'!L701,"")</f>
        <v/>
      </c>
      <c r="D697" s="81" t="str">
        <f>IF('Item Setup Form'!$AF701="Yes",'Item Setup Form'!M701,"")</f>
        <v/>
      </c>
      <c r="E697" s="70"/>
      <c r="F697" s="70" t="str">
        <f>IF('Item Setup Form'!$AF701="Yes",'Item Setup Form'!G701,"")</f>
        <v/>
      </c>
      <c r="G697" s="70" t="str">
        <f>IF('Item Setup Form'!$AF701="Yes",'Item Setup Form'!H701,"")</f>
        <v/>
      </c>
      <c r="H697" s="70" t="str">
        <f>IF('Item Setup Form'!$AF701="Yes",'Item Setup Form'!V701,"")</f>
        <v/>
      </c>
      <c r="I697" s="70"/>
      <c r="J697" s="70" t="str">
        <f>IF('Item Setup Form'!$AF701="Yes",'Item Setup Form'!U701,"")</f>
        <v/>
      </c>
      <c r="K697" s="70" t="str">
        <f>IF('Item Setup Form'!$AF701="Yes",'Item Setup Form'!V701,"")</f>
        <v/>
      </c>
      <c r="L697" s="70"/>
      <c r="M697" s="70" t="str">
        <f>IF('Item Setup Form'!$AF701="Yes",'Item Setup Form'!A701,"")</f>
        <v/>
      </c>
      <c r="N697" s="70"/>
      <c r="O697" s="70"/>
      <c r="P697" s="70"/>
      <c r="Q697" s="70"/>
      <c r="R697" s="70"/>
      <c r="S697" s="70"/>
      <c r="T697" s="70"/>
      <c r="U697" s="70"/>
      <c r="V697" s="70"/>
      <c r="W697" s="70"/>
      <c r="X697" s="70"/>
      <c r="Y697" s="70"/>
      <c r="Z697" s="70"/>
    </row>
    <row r="698" spans="1:26">
      <c r="A698" s="70" t="str">
        <f>IF('Item Setup Form'!$AF702="Yes",'Item Setup Form'!$E702,"")</f>
        <v/>
      </c>
      <c r="B698" s="70" t="str">
        <f>IF('Item Setup Form'!$AF702="Yes",'Item Setup Form'!D702,"")</f>
        <v/>
      </c>
      <c r="C698" s="81" t="str">
        <f>IF('Item Setup Form'!$AF702="Yes",'Item Setup Form'!L702,"")</f>
        <v/>
      </c>
      <c r="D698" s="81" t="str">
        <f>IF('Item Setup Form'!$AF702="Yes",'Item Setup Form'!M702,"")</f>
        <v/>
      </c>
      <c r="E698" s="70"/>
      <c r="F698" s="70" t="str">
        <f>IF('Item Setup Form'!$AF702="Yes",'Item Setup Form'!G702,"")</f>
        <v/>
      </c>
      <c r="G698" s="70" t="str">
        <f>IF('Item Setup Form'!$AF702="Yes",'Item Setup Form'!H702,"")</f>
        <v/>
      </c>
      <c r="H698" s="70" t="str">
        <f>IF('Item Setup Form'!$AF702="Yes",'Item Setup Form'!V702,"")</f>
        <v/>
      </c>
      <c r="I698" s="70"/>
      <c r="J698" s="70" t="str">
        <f>IF('Item Setup Form'!$AF702="Yes",'Item Setup Form'!U702,"")</f>
        <v/>
      </c>
      <c r="K698" s="70" t="str">
        <f>IF('Item Setup Form'!$AF702="Yes",'Item Setup Form'!V702,"")</f>
        <v/>
      </c>
      <c r="L698" s="70"/>
      <c r="M698" s="70" t="str">
        <f>IF('Item Setup Form'!$AF702="Yes",'Item Setup Form'!A702,"")</f>
        <v/>
      </c>
      <c r="N698" s="70"/>
      <c r="O698" s="70"/>
      <c r="P698" s="70"/>
      <c r="Q698" s="70"/>
      <c r="R698" s="70"/>
      <c r="S698" s="70"/>
      <c r="T698" s="70"/>
      <c r="U698" s="70"/>
      <c r="V698" s="70"/>
      <c r="W698" s="70"/>
      <c r="X698" s="70"/>
      <c r="Y698" s="70"/>
      <c r="Z698" s="70"/>
    </row>
    <row r="699" spans="1:26">
      <c r="A699" s="70" t="str">
        <f>IF('Item Setup Form'!$AF703="Yes",'Item Setup Form'!$E703,"")</f>
        <v/>
      </c>
      <c r="B699" s="70" t="str">
        <f>IF('Item Setup Form'!$AF703="Yes",'Item Setup Form'!D703,"")</f>
        <v/>
      </c>
      <c r="C699" s="81" t="str">
        <f>IF('Item Setup Form'!$AF703="Yes",'Item Setup Form'!L703,"")</f>
        <v/>
      </c>
      <c r="D699" s="81" t="str">
        <f>IF('Item Setup Form'!$AF703="Yes",'Item Setup Form'!M703,"")</f>
        <v/>
      </c>
      <c r="E699" s="70"/>
      <c r="F699" s="70" t="str">
        <f>IF('Item Setup Form'!$AF703="Yes",'Item Setup Form'!G703,"")</f>
        <v/>
      </c>
      <c r="G699" s="70" t="str">
        <f>IF('Item Setup Form'!$AF703="Yes",'Item Setup Form'!H703,"")</f>
        <v/>
      </c>
      <c r="H699" s="70" t="str">
        <f>IF('Item Setup Form'!$AF703="Yes",'Item Setup Form'!V703,"")</f>
        <v/>
      </c>
      <c r="I699" s="70"/>
      <c r="J699" s="70" t="str">
        <f>IF('Item Setup Form'!$AF703="Yes",'Item Setup Form'!U703,"")</f>
        <v/>
      </c>
      <c r="K699" s="70" t="str">
        <f>IF('Item Setup Form'!$AF703="Yes",'Item Setup Form'!V703,"")</f>
        <v/>
      </c>
      <c r="L699" s="70"/>
      <c r="M699" s="70" t="str">
        <f>IF('Item Setup Form'!$AF703="Yes",'Item Setup Form'!A703,"")</f>
        <v/>
      </c>
      <c r="N699" s="70"/>
      <c r="O699" s="70"/>
      <c r="P699" s="70"/>
      <c r="Q699" s="70"/>
      <c r="R699" s="70"/>
      <c r="S699" s="70"/>
      <c r="T699" s="70"/>
      <c r="U699" s="70"/>
      <c r="V699" s="70"/>
      <c r="W699" s="70"/>
      <c r="X699" s="70"/>
      <c r="Y699" s="70"/>
      <c r="Z699" s="70"/>
    </row>
    <row r="700" spans="1:26">
      <c r="A700" s="70" t="str">
        <f>IF('Item Setup Form'!$AF704="Yes",'Item Setup Form'!$E704,"")</f>
        <v/>
      </c>
      <c r="B700" s="70" t="str">
        <f>IF('Item Setup Form'!$AF704="Yes",'Item Setup Form'!D704,"")</f>
        <v/>
      </c>
      <c r="C700" s="81" t="str">
        <f>IF('Item Setup Form'!$AF704="Yes",'Item Setup Form'!L704,"")</f>
        <v/>
      </c>
      <c r="D700" s="81" t="str">
        <f>IF('Item Setup Form'!$AF704="Yes",'Item Setup Form'!M704,"")</f>
        <v/>
      </c>
      <c r="E700" s="70"/>
      <c r="F700" s="70" t="str">
        <f>IF('Item Setup Form'!$AF704="Yes",'Item Setup Form'!G704,"")</f>
        <v/>
      </c>
      <c r="G700" s="70" t="str">
        <f>IF('Item Setup Form'!$AF704="Yes",'Item Setup Form'!H704,"")</f>
        <v/>
      </c>
      <c r="H700" s="70" t="str">
        <f>IF('Item Setup Form'!$AF704="Yes",'Item Setup Form'!V704,"")</f>
        <v/>
      </c>
      <c r="I700" s="70"/>
      <c r="J700" s="70" t="str">
        <f>IF('Item Setup Form'!$AF704="Yes",'Item Setup Form'!U704,"")</f>
        <v/>
      </c>
      <c r="K700" s="70" t="str">
        <f>IF('Item Setup Form'!$AF704="Yes",'Item Setup Form'!V704,"")</f>
        <v/>
      </c>
      <c r="L700" s="70"/>
      <c r="M700" s="70" t="str">
        <f>IF('Item Setup Form'!$AF704="Yes",'Item Setup Form'!A704,"")</f>
        <v/>
      </c>
      <c r="N700" s="70"/>
      <c r="O700" s="70"/>
      <c r="P700" s="70"/>
      <c r="Q700" s="70"/>
      <c r="R700" s="70"/>
      <c r="S700" s="70"/>
      <c r="T700" s="70"/>
      <c r="U700" s="70"/>
      <c r="V700" s="70"/>
      <c r="W700" s="70"/>
      <c r="X700" s="70"/>
      <c r="Y700" s="70"/>
      <c r="Z700" s="70"/>
    </row>
    <row r="701" spans="1:26">
      <c r="A701" s="70" t="str">
        <f>IF('Item Setup Form'!$AF705="Yes",'Item Setup Form'!$E705,"")</f>
        <v/>
      </c>
      <c r="B701" s="70" t="str">
        <f>IF('Item Setup Form'!$AF705="Yes",'Item Setup Form'!D705,"")</f>
        <v/>
      </c>
      <c r="C701" s="81" t="str">
        <f>IF('Item Setup Form'!$AF705="Yes",'Item Setup Form'!L705,"")</f>
        <v/>
      </c>
      <c r="D701" s="81" t="str">
        <f>IF('Item Setup Form'!$AF705="Yes",'Item Setup Form'!M705,"")</f>
        <v/>
      </c>
      <c r="E701" s="70"/>
      <c r="F701" s="70" t="str">
        <f>IF('Item Setup Form'!$AF705="Yes",'Item Setup Form'!G705,"")</f>
        <v/>
      </c>
      <c r="G701" s="70" t="str">
        <f>IF('Item Setup Form'!$AF705="Yes",'Item Setup Form'!H705,"")</f>
        <v/>
      </c>
      <c r="H701" s="70" t="str">
        <f>IF('Item Setup Form'!$AF705="Yes",'Item Setup Form'!V705,"")</f>
        <v/>
      </c>
      <c r="I701" s="70"/>
      <c r="J701" s="70" t="str">
        <f>IF('Item Setup Form'!$AF705="Yes",'Item Setup Form'!U705,"")</f>
        <v/>
      </c>
      <c r="K701" s="70" t="str">
        <f>IF('Item Setup Form'!$AF705="Yes",'Item Setup Form'!V705,"")</f>
        <v/>
      </c>
      <c r="L701" s="70"/>
      <c r="M701" s="70" t="str">
        <f>IF('Item Setup Form'!$AF705="Yes",'Item Setup Form'!A705,"")</f>
        <v/>
      </c>
      <c r="N701" s="70"/>
      <c r="O701" s="70"/>
      <c r="P701" s="70"/>
      <c r="Q701" s="70"/>
      <c r="R701" s="70"/>
      <c r="S701" s="70"/>
      <c r="T701" s="70"/>
      <c r="U701" s="70"/>
      <c r="V701" s="70"/>
      <c r="W701" s="70"/>
      <c r="X701" s="70"/>
      <c r="Y701" s="70"/>
      <c r="Z701" s="70"/>
    </row>
    <row r="702" spans="1:26">
      <c r="A702" s="70" t="str">
        <f>IF('Item Setup Form'!$AF706="Yes",'Item Setup Form'!$E706,"")</f>
        <v/>
      </c>
      <c r="B702" s="70" t="str">
        <f>IF('Item Setup Form'!$AF706="Yes",'Item Setup Form'!D706,"")</f>
        <v/>
      </c>
      <c r="C702" s="81" t="str">
        <f>IF('Item Setup Form'!$AF706="Yes",'Item Setup Form'!L706,"")</f>
        <v/>
      </c>
      <c r="D702" s="81" t="str">
        <f>IF('Item Setup Form'!$AF706="Yes",'Item Setup Form'!M706,"")</f>
        <v/>
      </c>
      <c r="E702" s="70"/>
      <c r="F702" s="70" t="str">
        <f>IF('Item Setup Form'!$AF706="Yes",'Item Setup Form'!G706,"")</f>
        <v/>
      </c>
      <c r="G702" s="70" t="str">
        <f>IF('Item Setup Form'!$AF706="Yes",'Item Setup Form'!H706,"")</f>
        <v/>
      </c>
      <c r="H702" s="70" t="str">
        <f>IF('Item Setup Form'!$AF706="Yes",'Item Setup Form'!V706,"")</f>
        <v/>
      </c>
      <c r="I702" s="70"/>
      <c r="J702" s="70" t="str">
        <f>IF('Item Setup Form'!$AF706="Yes",'Item Setup Form'!U706,"")</f>
        <v/>
      </c>
      <c r="K702" s="70" t="str">
        <f>IF('Item Setup Form'!$AF706="Yes",'Item Setup Form'!V706,"")</f>
        <v/>
      </c>
      <c r="L702" s="70"/>
      <c r="M702" s="70" t="str">
        <f>IF('Item Setup Form'!$AF706="Yes",'Item Setup Form'!A706,"")</f>
        <v/>
      </c>
      <c r="N702" s="70"/>
      <c r="O702" s="70"/>
      <c r="P702" s="70"/>
      <c r="Q702" s="70"/>
      <c r="R702" s="70"/>
      <c r="S702" s="70"/>
      <c r="T702" s="70"/>
      <c r="U702" s="70"/>
      <c r="V702" s="70"/>
      <c r="W702" s="70"/>
      <c r="X702" s="70"/>
      <c r="Y702" s="70"/>
      <c r="Z702" s="70"/>
    </row>
    <row r="703" spans="1:26">
      <c r="A703" s="70" t="str">
        <f>IF('Item Setup Form'!$AF707="Yes",'Item Setup Form'!$E707,"")</f>
        <v/>
      </c>
      <c r="B703" s="70" t="str">
        <f>IF('Item Setup Form'!$AF707="Yes",'Item Setup Form'!D707,"")</f>
        <v/>
      </c>
      <c r="C703" s="81" t="str">
        <f>IF('Item Setup Form'!$AF707="Yes",'Item Setup Form'!L707,"")</f>
        <v/>
      </c>
      <c r="D703" s="81" t="str">
        <f>IF('Item Setup Form'!$AF707="Yes",'Item Setup Form'!M707,"")</f>
        <v/>
      </c>
      <c r="E703" s="70"/>
      <c r="F703" s="70" t="str">
        <f>IF('Item Setup Form'!$AF707="Yes",'Item Setup Form'!G707,"")</f>
        <v/>
      </c>
      <c r="G703" s="70" t="str">
        <f>IF('Item Setup Form'!$AF707="Yes",'Item Setup Form'!H707,"")</f>
        <v/>
      </c>
      <c r="H703" s="70" t="str">
        <f>IF('Item Setup Form'!$AF707="Yes",'Item Setup Form'!V707,"")</f>
        <v/>
      </c>
      <c r="I703" s="70"/>
      <c r="J703" s="70" t="str">
        <f>IF('Item Setup Form'!$AF707="Yes",'Item Setup Form'!U707,"")</f>
        <v/>
      </c>
      <c r="K703" s="70" t="str">
        <f>IF('Item Setup Form'!$AF707="Yes",'Item Setup Form'!V707,"")</f>
        <v/>
      </c>
      <c r="L703" s="70"/>
      <c r="M703" s="70" t="str">
        <f>IF('Item Setup Form'!$AF707="Yes",'Item Setup Form'!A707,"")</f>
        <v/>
      </c>
      <c r="N703" s="70"/>
      <c r="O703" s="70"/>
      <c r="P703" s="70"/>
      <c r="Q703" s="70"/>
      <c r="R703" s="70"/>
      <c r="S703" s="70"/>
      <c r="T703" s="70"/>
      <c r="U703" s="70"/>
      <c r="V703" s="70"/>
      <c r="W703" s="70"/>
      <c r="X703" s="70"/>
      <c r="Y703" s="70"/>
      <c r="Z703" s="70"/>
    </row>
    <row r="704" spans="1:26">
      <c r="A704" s="70" t="str">
        <f>IF('Item Setup Form'!$AF708="Yes",'Item Setup Form'!$E708,"")</f>
        <v/>
      </c>
      <c r="B704" s="70" t="str">
        <f>IF('Item Setup Form'!$AF708="Yes",'Item Setup Form'!D708,"")</f>
        <v/>
      </c>
      <c r="C704" s="81" t="str">
        <f>IF('Item Setup Form'!$AF708="Yes",'Item Setup Form'!L708,"")</f>
        <v/>
      </c>
      <c r="D704" s="81" t="str">
        <f>IF('Item Setup Form'!$AF708="Yes",'Item Setup Form'!M708,"")</f>
        <v/>
      </c>
      <c r="E704" s="70"/>
      <c r="F704" s="70" t="str">
        <f>IF('Item Setup Form'!$AF708="Yes",'Item Setup Form'!G708,"")</f>
        <v/>
      </c>
      <c r="G704" s="70" t="str">
        <f>IF('Item Setup Form'!$AF708="Yes",'Item Setup Form'!H708,"")</f>
        <v/>
      </c>
      <c r="H704" s="70" t="str">
        <f>IF('Item Setup Form'!$AF708="Yes",'Item Setup Form'!V708,"")</f>
        <v/>
      </c>
      <c r="I704" s="70"/>
      <c r="J704" s="70" t="str">
        <f>IF('Item Setup Form'!$AF708="Yes",'Item Setup Form'!U708,"")</f>
        <v/>
      </c>
      <c r="K704" s="70" t="str">
        <f>IF('Item Setup Form'!$AF708="Yes",'Item Setup Form'!V708,"")</f>
        <v/>
      </c>
      <c r="L704" s="70"/>
      <c r="M704" s="70" t="str">
        <f>IF('Item Setup Form'!$AF708="Yes",'Item Setup Form'!A708,"")</f>
        <v/>
      </c>
      <c r="N704" s="70"/>
      <c r="O704" s="70"/>
      <c r="P704" s="70"/>
      <c r="Q704" s="70"/>
      <c r="R704" s="70"/>
      <c r="S704" s="70"/>
      <c r="T704" s="70"/>
      <c r="U704" s="70"/>
      <c r="V704" s="70"/>
      <c r="W704" s="70"/>
      <c r="X704" s="70"/>
      <c r="Y704" s="70"/>
      <c r="Z704" s="70"/>
    </row>
    <row r="705" spans="1:26">
      <c r="A705" s="70" t="str">
        <f>IF('Item Setup Form'!$AF709="Yes",'Item Setup Form'!$E709,"")</f>
        <v/>
      </c>
      <c r="B705" s="70" t="str">
        <f>IF('Item Setup Form'!$AF709="Yes",'Item Setup Form'!D709,"")</f>
        <v/>
      </c>
      <c r="C705" s="81" t="str">
        <f>IF('Item Setup Form'!$AF709="Yes",'Item Setup Form'!L709,"")</f>
        <v/>
      </c>
      <c r="D705" s="81" t="str">
        <f>IF('Item Setup Form'!$AF709="Yes",'Item Setup Form'!M709,"")</f>
        <v/>
      </c>
      <c r="E705" s="70"/>
      <c r="F705" s="70" t="str">
        <f>IF('Item Setup Form'!$AF709="Yes",'Item Setup Form'!G709,"")</f>
        <v/>
      </c>
      <c r="G705" s="70" t="str">
        <f>IF('Item Setup Form'!$AF709="Yes",'Item Setup Form'!H709,"")</f>
        <v/>
      </c>
      <c r="H705" s="70" t="str">
        <f>IF('Item Setup Form'!$AF709="Yes",'Item Setup Form'!V709,"")</f>
        <v/>
      </c>
      <c r="I705" s="70"/>
      <c r="J705" s="70" t="str">
        <f>IF('Item Setup Form'!$AF709="Yes",'Item Setup Form'!U709,"")</f>
        <v/>
      </c>
      <c r="K705" s="70" t="str">
        <f>IF('Item Setup Form'!$AF709="Yes",'Item Setup Form'!V709,"")</f>
        <v/>
      </c>
      <c r="L705" s="70"/>
      <c r="M705" s="70" t="str">
        <f>IF('Item Setup Form'!$AF709="Yes",'Item Setup Form'!A709,"")</f>
        <v/>
      </c>
      <c r="N705" s="70"/>
      <c r="O705" s="70"/>
      <c r="P705" s="70"/>
      <c r="Q705" s="70"/>
      <c r="R705" s="70"/>
      <c r="S705" s="70"/>
      <c r="T705" s="70"/>
      <c r="U705" s="70"/>
      <c r="V705" s="70"/>
      <c r="W705" s="70"/>
      <c r="X705" s="70"/>
      <c r="Y705" s="70"/>
      <c r="Z705" s="70"/>
    </row>
    <row r="706" spans="1:26">
      <c r="A706" s="70" t="str">
        <f>IF('Item Setup Form'!$AF710="Yes",'Item Setup Form'!$E710,"")</f>
        <v/>
      </c>
      <c r="B706" s="70" t="str">
        <f>IF('Item Setup Form'!$AF710="Yes",'Item Setup Form'!D710,"")</f>
        <v/>
      </c>
      <c r="C706" s="81" t="str">
        <f>IF('Item Setup Form'!$AF710="Yes",'Item Setup Form'!L710,"")</f>
        <v/>
      </c>
      <c r="D706" s="81" t="str">
        <f>IF('Item Setup Form'!$AF710="Yes",'Item Setup Form'!M710,"")</f>
        <v/>
      </c>
      <c r="E706" s="70"/>
      <c r="F706" s="70" t="str">
        <f>IF('Item Setup Form'!$AF710="Yes",'Item Setup Form'!G710,"")</f>
        <v/>
      </c>
      <c r="G706" s="70" t="str">
        <f>IF('Item Setup Form'!$AF710="Yes",'Item Setup Form'!H710,"")</f>
        <v/>
      </c>
      <c r="H706" s="70" t="str">
        <f>IF('Item Setup Form'!$AF710="Yes",'Item Setup Form'!V710,"")</f>
        <v/>
      </c>
      <c r="I706" s="70"/>
      <c r="J706" s="70" t="str">
        <f>IF('Item Setup Form'!$AF710="Yes",'Item Setup Form'!U710,"")</f>
        <v/>
      </c>
      <c r="K706" s="70" t="str">
        <f>IF('Item Setup Form'!$AF710="Yes",'Item Setup Form'!V710,"")</f>
        <v/>
      </c>
      <c r="L706" s="70"/>
      <c r="M706" s="70" t="str">
        <f>IF('Item Setup Form'!$AF710="Yes",'Item Setup Form'!A710,"")</f>
        <v/>
      </c>
      <c r="N706" s="70"/>
      <c r="O706" s="70"/>
      <c r="P706" s="70"/>
      <c r="Q706" s="70"/>
      <c r="R706" s="70"/>
      <c r="S706" s="70"/>
      <c r="T706" s="70"/>
      <c r="U706" s="70"/>
      <c r="V706" s="70"/>
      <c r="W706" s="70"/>
      <c r="X706" s="70"/>
      <c r="Y706" s="70"/>
      <c r="Z706" s="70"/>
    </row>
    <row r="707" spans="1:26">
      <c r="A707" s="70" t="str">
        <f>IF('Item Setup Form'!$AF711="Yes",'Item Setup Form'!$E711,"")</f>
        <v/>
      </c>
      <c r="B707" s="70" t="str">
        <f>IF('Item Setup Form'!$AF711="Yes",'Item Setup Form'!D711,"")</f>
        <v/>
      </c>
      <c r="C707" s="81" t="str">
        <f>IF('Item Setup Form'!$AF711="Yes",'Item Setup Form'!L711,"")</f>
        <v/>
      </c>
      <c r="D707" s="81" t="str">
        <f>IF('Item Setup Form'!$AF711="Yes",'Item Setup Form'!M711,"")</f>
        <v/>
      </c>
      <c r="E707" s="70"/>
      <c r="F707" s="70" t="str">
        <f>IF('Item Setup Form'!$AF711="Yes",'Item Setup Form'!G711,"")</f>
        <v/>
      </c>
      <c r="G707" s="70" t="str">
        <f>IF('Item Setup Form'!$AF711="Yes",'Item Setup Form'!H711,"")</f>
        <v/>
      </c>
      <c r="H707" s="70" t="str">
        <f>IF('Item Setup Form'!$AF711="Yes",'Item Setup Form'!V711,"")</f>
        <v/>
      </c>
      <c r="I707" s="70"/>
      <c r="J707" s="70" t="str">
        <f>IF('Item Setup Form'!$AF711="Yes",'Item Setup Form'!U711,"")</f>
        <v/>
      </c>
      <c r="K707" s="70" t="str">
        <f>IF('Item Setup Form'!$AF711="Yes",'Item Setup Form'!V711,"")</f>
        <v/>
      </c>
      <c r="L707" s="70"/>
      <c r="M707" s="70" t="str">
        <f>IF('Item Setup Form'!$AF711="Yes",'Item Setup Form'!A711,"")</f>
        <v/>
      </c>
      <c r="N707" s="70"/>
      <c r="O707" s="70"/>
      <c r="P707" s="70"/>
      <c r="Q707" s="70"/>
      <c r="R707" s="70"/>
      <c r="S707" s="70"/>
      <c r="T707" s="70"/>
      <c r="U707" s="70"/>
      <c r="V707" s="70"/>
      <c r="W707" s="70"/>
      <c r="X707" s="70"/>
      <c r="Y707" s="70"/>
      <c r="Z707" s="70"/>
    </row>
    <row r="708" spans="1:26">
      <c r="A708" s="70" t="str">
        <f>IF('Item Setup Form'!$AF712="Yes",'Item Setup Form'!$E712,"")</f>
        <v/>
      </c>
      <c r="B708" s="70" t="str">
        <f>IF('Item Setup Form'!$AF712="Yes",'Item Setup Form'!D712,"")</f>
        <v/>
      </c>
      <c r="C708" s="81" t="str">
        <f>IF('Item Setup Form'!$AF712="Yes",'Item Setup Form'!L712,"")</f>
        <v/>
      </c>
      <c r="D708" s="81" t="str">
        <f>IF('Item Setup Form'!$AF712="Yes",'Item Setup Form'!M712,"")</f>
        <v/>
      </c>
      <c r="E708" s="70"/>
      <c r="F708" s="70" t="str">
        <f>IF('Item Setup Form'!$AF712="Yes",'Item Setup Form'!G712,"")</f>
        <v/>
      </c>
      <c r="G708" s="70" t="str">
        <f>IF('Item Setup Form'!$AF712="Yes",'Item Setup Form'!H712,"")</f>
        <v/>
      </c>
      <c r="H708" s="70" t="str">
        <f>IF('Item Setup Form'!$AF712="Yes",'Item Setup Form'!V712,"")</f>
        <v/>
      </c>
      <c r="I708" s="70"/>
      <c r="J708" s="70" t="str">
        <f>IF('Item Setup Form'!$AF712="Yes",'Item Setup Form'!U712,"")</f>
        <v/>
      </c>
      <c r="K708" s="70" t="str">
        <f>IF('Item Setup Form'!$AF712="Yes",'Item Setup Form'!V712,"")</f>
        <v/>
      </c>
      <c r="L708" s="70"/>
      <c r="M708" s="70" t="str">
        <f>IF('Item Setup Form'!$AF712="Yes",'Item Setup Form'!A712,"")</f>
        <v/>
      </c>
      <c r="N708" s="70"/>
      <c r="O708" s="70"/>
      <c r="P708" s="70"/>
      <c r="Q708" s="70"/>
      <c r="R708" s="70"/>
      <c r="S708" s="70"/>
      <c r="T708" s="70"/>
      <c r="U708" s="70"/>
      <c r="V708" s="70"/>
      <c r="W708" s="70"/>
      <c r="X708" s="70"/>
      <c r="Y708" s="70"/>
      <c r="Z708" s="70"/>
    </row>
    <row r="709" spans="1:26">
      <c r="A709" s="70" t="str">
        <f>IF('Item Setup Form'!$AF713="Yes",'Item Setup Form'!$E713,"")</f>
        <v/>
      </c>
      <c r="B709" s="70" t="str">
        <f>IF('Item Setup Form'!$AF713="Yes",'Item Setup Form'!D713,"")</f>
        <v/>
      </c>
      <c r="C709" s="81" t="str">
        <f>IF('Item Setup Form'!$AF713="Yes",'Item Setup Form'!L713,"")</f>
        <v/>
      </c>
      <c r="D709" s="81" t="str">
        <f>IF('Item Setup Form'!$AF713="Yes",'Item Setup Form'!M713,"")</f>
        <v/>
      </c>
      <c r="E709" s="70"/>
      <c r="F709" s="70" t="str">
        <f>IF('Item Setup Form'!$AF713="Yes",'Item Setup Form'!G713,"")</f>
        <v/>
      </c>
      <c r="G709" s="70" t="str">
        <f>IF('Item Setup Form'!$AF713="Yes",'Item Setup Form'!H713,"")</f>
        <v/>
      </c>
      <c r="H709" s="70" t="str">
        <f>IF('Item Setup Form'!$AF713="Yes",'Item Setup Form'!V713,"")</f>
        <v/>
      </c>
      <c r="I709" s="70"/>
      <c r="J709" s="70" t="str">
        <f>IF('Item Setup Form'!$AF713="Yes",'Item Setup Form'!U713,"")</f>
        <v/>
      </c>
      <c r="K709" s="70" t="str">
        <f>IF('Item Setup Form'!$AF713="Yes",'Item Setup Form'!V713,"")</f>
        <v/>
      </c>
      <c r="L709" s="70"/>
      <c r="M709" s="70" t="str">
        <f>IF('Item Setup Form'!$AF713="Yes",'Item Setup Form'!A713,"")</f>
        <v/>
      </c>
      <c r="N709" s="70"/>
      <c r="O709" s="70"/>
      <c r="P709" s="70"/>
      <c r="Q709" s="70"/>
      <c r="R709" s="70"/>
      <c r="S709" s="70"/>
      <c r="T709" s="70"/>
      <c r="U709" s="70"/>
      <c r="V709" s="70"/>
      <c r="W709" s="70"/>
      <c r="X709" s="70"/>
      <c r="Y709" s="70"/>
      <c r="Z709" s="70"/>
    </row>
    <row r="710" spans="1:26">
      <c r="A710" s="70" t="str">
        <f>IF('Item Setup Form'!$AF714="Yes",'Item Setup Form'!$E714,"")</f>
        <v/>
      </c>
      <c r="B710" s="70" t="str">
        <f>IF('Item Setup Form'!$AF714="Yes",'Item Setup Form'!D714,"")</f>
        <v/>
      </c>
      <c r="C710" s="81" t="str">
        <f>IF('Item Setup Form'!$AF714="Yes",'Item Setup Form'!L714,"")</f>
        <v/>
      </c>
      <c r="D710" s="81" t="str">
        <f>IF('Item Setup Form'!$AF714="Yes",'Item Setup Form'!M714,"")</f>
        <v/>
      </c>
      <c r="E710" s="70"/>
      <c r="F710" s="70" t="str">
        <f>IF('Item Setup Form'!$AF714="Yes",'Item Setup Form'!G714,"")</f>
        <v/>
      </c>
      <c r="G710" s="70" t="str">
        <f>IF('Item Setup Form'!$AF714="Yes",'Item Setup Form'!H714,"")</f>
        <v/>
      </c>
      <c r="H710" s="70" t="str">
        <f>IF('Item Setup Form'!$AF714="Yes",'Item Setup Form'!V714,"")</f>
        <v/>
      </c>
      <c r="I710" s="70"/>
      <c r="J710" s="70" t="str">
        <f>IF('Item Setup Form'!$AF714="Yes",'Item Setup Form'!U714,"")</f>
        <v/>
      </c>
      <c r="K710" s="70" t="str">
        <f>IF('Item Setup Form'!$AF714="Yes",'Item Setup Form'!V714,"")</f>
        <v/>
      </c>
      <c r="L710" s="70"/>
      <c r="M710" s="70" t="str">
        <f>IF('Item Setup Form'!$AF714="Yes",'Item Setup Form'!A714,"")</f>
        <v/>
      </c>
      <c r="N710" s="70"/>
      <c r="O710" s="70"/>
      <c r="P710" s="70"/>
      <c r="Q710" s="70"/>
      <c r="R710" s="70"/>
      <c r="S710" s="70"/>
      <c r="T710" s="70"/>
      <c r="U710" s="70"/>
      <c r="V710" s="70"/>
      <c r="W710" s="70"/>
      <c r="X710" s="70"/>
      <c r="Y710" s="70"/>
      <c r="Z710" s="70"/>
    </row>
    <row r="711" spans="1:26">
      <c r="A711" s="70" t="str">
        <f>IF('Item Setup Form'!$AF715="Yes",'Item Setup Form'!$E715,"")</f>
        <v/>
      </c>
      <c r="B711" s="70" t="str">
        <f>IF('Item Setup Form'!$AF715="Yes",'Item Setup Form'!D715,"")</f>
        <v/>
      </c>
      <c r="C711" s="81" t="str">
        <f>IF('Item Setup Form'!$AF715="Yes",'Item Setup Form'!L715,"")</f>
        <v/>
      </c>
      <c r="D711" s="81" t="str">
        <f>IF('Item Setup Form'!$AF715="Yes",'Item Setup Form'!M715,"")</f>
        <v/>
      </c>
      <c r="E711" s="70"/>
      <c r="F711" s="70" t="str">
        <f>IF('Item Setup Form'!$AF715="Yes",'Item Setup Form'!G715,"")</f>
        <v/>
      </c>
      <c r="G711" s="70" t="str">
        <f>IF('Item Setup Form'!$AF715="Yes",'Item Setup Form'!H715,"")</f>
        <v/>
      </c>
      <c r="H711" s="70" t="str">
        <f>IF('Item Setup Form'!$AF715="Yes",'Item Setup Form'!V715,"")</f>
        <v/>
      </c>
      <c r="I711" s="70"/>
      <c r="J711" s="70" t="str">
        <f>IF('Item Setup Form'!$AF715="Yes",'Item Setup Form'!U715,"")</f>
        <v/>
      </c>
      <c r="K711" s="70" t="str">
        <f>IF('Item Setup Form'!$AF715="Yes",'Item Setup Form'!V715,"")</f>
        <v/>
      </c>
      <c r="L711" s="70"/>
      <c r="M711" s="70" t="str">
        <f>IF('Item Setup Form'!$AF715="Yes",'Item Setup Form'!A715,"")</f>
        <v/>
      </c>
      <c r="N711" s="70"/>
      <c r="O711" s="70"/>
      <c r="P711" s="70"/>
      <c r="Q711" s="70"/>
      <c r="R711" s="70"/>
      <c r="S711" s="70"/>
      <c r="T711" s="70"/>
      <c r="U711" s="70"/>
      <c r="V711" s="70"/>
      <c r="W711" s="70"/>
      <c r="X711" s="70"/>
      <c r="Y711" s="70"/>
      <c r="Z711" s="70"/>
    </row>
    <row r="712" spans="1:26">
      <c r="A712" s="70" t="str">
        <f>IF('Item Setup Form'!$AF716="Yes",'Item Setup Form'!$E716,"")</f>
        <v/>
      </c>
      <c r="B712" s="70" t="str">
        <f>IF('Item Setup Form'!$AF716="Yes",'Item Setup Form'!D716,"")</f>
        <v/>
      </c>
      <c r="C712" s="81" t="str">
        <f>IF('Item Setup Form'!$AF716="Yes",'Item Setup Form'!L716,"")</f>
        <v/>
      </c>
      <c r="D712" s="81" t="str">
        <f>IF('Item Setup Form'!$AF716="Yes",'Item Setup Form'!M716,"")</f>
        <v/>
      </c>
      <c r="E712" s="70"/>
      <c r="F712" s="70" t="str">
        <f>IF('Item Setup Form'!$AF716="Yes",'Item Setup Form'!G716,"")</f>
        <v/>
      </c>
      <c r="G712" s="70" t="str">
        <f>IF('Item Setup Form'!$AF716="Yes",'Item Setup Form'!H716,"")</f>
        <v/>
      </c>
      <c r="H712" s="70" t="str">
        <f>IF('Item Setup Form'!$AF716="Yes",'Item Setup Form'!V716,"")</f>
        <v/>
      </c>
      <c r="I712" s="70"/>
      <c r="J712" s="70" t="str">
        <f>IF('Item Setup Form'!$AF716="Yes",'Item Setup Form'!U716,"")</f>
        <v/>
      </c>
      <c r="K712" s="70" t="str">
        <f>IF('Item Setup Form'!$AF716="Yes",'Item Setup Form'!V716,"")</f>
        <v/>
      </c>
      <c r="L712" s="70"/>
      <c r="M712" s="70" t="str">
        <f>IF('Item Setup Form'!$AF716="Yes",'Item Setup Form'!A716,"")</f>
        <v/>
      </c>
      <c r="N712" s="70"/>
      <c r="O712" s="70"/>
      <c r="P712" s="70"/>
      <c r="Q712" s="70"/>
      <c r="R712" s="70"/>
      <c r="S712" s="70"/>
      <c r="T712" s="70"/>
      <c r="U712" s="70"/>
      <c r="V712" s="70"/>
      <c r="W712" s="70"/>
      <c r="X712" s="70"/>
      <c r="Y712" s="70"/>
      <c r="Z712" s="70"/>
    </row>
    <row r="713" spans="1:26">
      <c r="A713" s="70" t="str">
        <f>IF('Item Setup Form'!$AF717="Yes",'Item Setup Form'!$E717,"")</f>
        <v/>
      </c>
      <c r="B713" s="70" t="str">
        <f>IF('Item Setup Form'!$AF717="Yes",'Item Setup Form'!D717,"")</f>
        <v/>
      </c>
      <c r="C713" s="81" t="str">
        <f>IF('Item Setup Form'!$AF717="Yes",'Item Setup Form'!L717,"")</f>
        <v/>
      </c>
      <c r="D713" s="81" t="str">
        <f>IF('Item Setup Form'!$AF717="Yes",'Item Setup Form'!M717,"")</f>
        <v/>
      </c>
      <c r="E713" s="70"/>
      <c r="F713" s="70" t="str">
        <f>IF('Item Setup Form'!$AF717="Yes",'Item Setup Form'!G717,"")</f>
        <v/>
      </c>
      <c r="G713" s="70" t="str">
        <f>IF('Item Setup Form'!$AF717="Yes",'Item Setup Form'!H717,"")</f>
        <v/>
      </c>
      <c r="H713" s="70" t="str">
        <f>IF('Item Setup Form'!$AF717="Yes",'Item Setup Form'!V717,"")</f>
        <v/>
      </c>
      <c r="I713" s="70"/>
      <c r="J713" s="70" t="str">
        <f>IF('Item Setup Form'!$AF717="Yes",'Item Setup Form'!U717,"")</f>
        <v/>
      </c>
      <c r="K713" s="70" t="str">
        <f>IF('Item Setup Form'!$AF717="Yes",'Item Setup Form'!V717,"")</f>
        <v/>
      </c>
      <c r="L713" s="70"/>
      <c r="M713" s="70" t="str">
        <f>IF('Item Setup Form'!$AF717="Yes",'Item Setup Form'!A717,"")</f>
        <v/>
      </c>
      <c r="N713" s="70"/>
      <c r="O713" s="70"/>
      <c r="P713" s="70"/>
      <c r="Q713" s="70"/>
      <c r="R713" s="70"/>
      <c r="S713" s="70"/>
      <c r="T713" s="70"/>
      <c r="U713" s="70"/>
      <c r="V713" s="70"/>
      <c r="W713" s="70"/>
      <c r="X713" s="70"/>
      <c r="Y713" s="70"/>
      <c r="Z713" s="70"/>
    </row>
    <row r="714" spans="1:26">
      <c r="A714" s="70" t="str">
        <f>IF('Item Setup Form'!$AF718="Yes",'Item Setup Form'!$E718,"")</f>
        <v/>
      </c>
      <c r="B714" s="70" t="str">
        <f>IF('Item Setup Form'!$AF718="Yes",'Item Setup Form'!D718,"")</f>
        <v/>
      </c>
      <c r="C714" s="81" t="str">
        <f>IF('Item Setup Form'!$AF718="Yes",'Item Setup Form'!L718,"")</f>
        <v/>
      </c>
      <c r="D714" s="81" t="str">
        <f>IF('Item Setup Form'!$AF718="Yes",'Item Setup Form'!M718,"")</f>
        <v/>
      </c>
      <c r="E714" s="70"/>
      <c r="F714" s="70" t="str">
        <f>IF('Item Setup Form'!$AF718="Yes",'Item Setup Form'!G718,"")</f>
        <v/>
      </c>
      <c r="G714" s="70" t="str">
        <f>IF('Item Setup Form'!$AF718="Yes",'Item Setup Form'!H718,"")</f>
        <v/>
      </c>
      <c r="H714" s="70" t="str">
        <f>IF('Item Setup Form'!$AF718="Yes",'Item Setup Form'!V718,"")</f>
        <v/>
      </c>
      <c r="I714" s="70"/>
      <c r="J714" s="70" t="str">
        <f>IF('Item Setup Form'!$AF718="Yes",'Item Setup Form'!U718,"")</f>
        <v/>
      </c>
      <c r="K714" s="70" t="str">
        <f>IF('Item Setup Form'!$AF718="Yes",'Item Setup Form'!V718,"")</f>
        <v/>
      </c>
      <c r="L714" s="70"/>
      <c r="M714" s="70" t="str">
        <f>IF('Item Setup Form'!$AF718="Yes",'Item Setup Form'!A718,"")</f>
        <v/>
      </c>
      <c r="N714" s="70"/>
      <c r="O714" s="70"/>
      <c r="P714" s="70"/>
      <c r="Q714" s="70"/>
      <c r="R714" s="70"/>
      <c r="S714" s="70"/>
      <c r="T714" s="70"/>
      <c r="U714" s="70"/>
      <c r="V714" s="70"/>
      <c r="W714" s="70"/>
      <c r="X714" s="70"/>
      <c r="Y714" s="70"/>
      <c r="Z714" s="70"/>
    </row>
    <row r="715" spans="1:26">
      <c r="A715" s="70" t="str">
        <f>IF('Item Setup Form'!$AF719="Yes",'Item Setup Form'!$E719,"")</f>
        <v/>
      </c>
      <c r="B715" s="70" t="str">
        <f>IF('Item Setup Form'!$AF719="Yes",'Item Setup Form'!D719,"")</f>
        <v/>
      </c>
      <c r="C715" s="81" t="str">
        <f>IF('Item Setup Form'!$AF719="Yes",'Item Setup Form'!L719,"")</f>
        <v/>
      </c>
      <c r="D715" s="81" t="str">
        <f>IF('Item Setup Form'!$AF719="Yes",'Item Setup Form'!M719,"")</f>
        <v/>
      </c>
      <c r="E715" s="70"/>
      <c r="F715" s="70" t="str">
        <f>IF('Item Setup Form'!$AF719="Yes",'Item Setup Form'!G719,"")</f>
        <v/>
      </c>
      <c r="G715" s="70" t="str">
        <f>IF('Item Setup Form'!$AF719="Yes",'Item Setup Form'!H719,"")</f>
        <v/>
      </c>
      <c r="H715" s="70" t="str">
        <f>IF('Item Setup Form'!$AF719="Yes",'Item Setup Form'!V719,"")</f>
        <v/>
      </c>
      <c r="I715" s="70"/>
      <c r="J715" s="70" t="str">
        <f>IF('Item Setup Form'!$AF719="Yes",'Item Setup Form'!U719,"")</f>
        <v/>
      </c>
      <c r="K715" s="70" t="str">
        <f>IF('Item Setup Form'!$AF719="Yes",'Item Setup Form'!V719,"")</f>
        <v/>
      </c>
      <c r="L715" s="70"/>
      <c r="M715" s="70" t="str">
        <f>IF('Item Setup Form'!$AF719="Yes",'Item Setup Form'!A719,"")</f>
        <v/>
      </c>
      <c r="N715" s="70"/>
      <c r="O715" s="70"/>
      <c r="P715" s="70"/>
      <c r="Q715" s="70"/>
      <c r="R715" s="70"/>
      <c r="S715" s="70"/>
      <c r="T715" s="70"/>
      <c r="U715" s="70"/>
      <c r="V715" s="70"/>
      <c r="W715" s="70"/>
      <c r="X715" s="70"/>
      <c r="Y715" s="70"/>
      <c r="Z715" s="70"/>
    </row>
    <row r="716" spans="1:26">
      <c r="A716" s="70" t="str">
        <f>IF('Item Setup Form'!$AF720="Yes",'Item Setup Form'!$E720,"")</f>
        <v/>
      </c>
      <c r="B716" s="70" t="str">
        <f>IF('Item Setup Form'!$AF720="Yes",'Item Setup Form'!D720,"")</f>
        <v/>
      </c>
      <c r="C716" s="81" t="str">
        <f>IF('Item Setup Form'!$AF720="Yes",'Item Setup Form'!L720,"")</f>
        <v/>
      </c>
      <c r="D716" s="81" t="str">
        <f>IF('Item Setup Form'!$AF720="Yes",'Item Setup Form'!M720,"")</f>
        <v/>
      </c>
      <c r="E716" s="70"/>
      <c r="F716" s="70" t="str">
        <f>IF('Item Setup Form'!$AF720="Yes",'Item Setup Form'!G720,"")</f>
        <v/>
      </c>
      <c r="G716" s="70" t="str">
        <f>IF('Item Setup Form'!$AF720="Yes",'Item Setup Form'!H720,"")</f>
        <v/>
      </c>
      <c r="H716" s="70" t="str">
        <f>IF('Item Setup Form'!$AF720="Yes",'Item Setup Form'!V720,"")</f>
        <v/>
      </c>
      <c r="I716" s="70"/>
      <c r="J716" s="70" t="str">
        <f>IF('Item Setup Form'!$AF720="Yes",'Item Setup Form'!U720,"")</f>
        <v/>
      </c>
      <c r="K716" s="70" t="str">
        <f>IF('Item Setup Form'!$AF720="Yes",'Item Setup Form'!V720,"")</f>
        <v/>
      </c>
      <c r="L716" s="70"/>
      <c r="M716" s="70" t="str">
        <f>IF('Item Setup Form'!$AF720="Yes",'Item Setup Form'!A720,"")</f>
        <v/>
      </c>
      <c r="N716" s="70"/>
      <c r="O716" s="70"/>
      <c r="P716" s="70"/>
      <c r="Q716" s="70"/>
      <c r="R716" s="70"/>
      <c r="S716" s="70"/>
      <c r="T716" s="70"/>
      <c r="U716" s="70"/>
      <c r="V716" s="70"/>
      <c r="W716" s="70"/>
      <c r="X716" s="70"/>
      <c r="Y716" s="70"/>
      <c r="Z716" s="70"/>
    </row>
    <row r="717" spans="1:26">
      <c r="A717" s="70" t="str">
        <f>IF('Item Setup Form'!$AF721="Yes",'Item Setup Form'!$E721,"")</f>
        <v/>
      </c>
      <c r="B717" s="70" t="str">
        <f>IF('Item Setup Form'!$AF721="Yes",'Item Setup Form'!D721,"")</f>
        <v/>
      </c>
      <c r="C717" s="81" t="str">
        <f>IF('Item Setup Form'!$AF721="Yes",'Item Setup Form'!L721,"")</f>
        <v/>
      </c>
      <c r="D717" s="81" t="str">
        <f>IF('Item Setup Form'!$AF721="Yes",'Item Setup Form'!M721,"")</f>
        <v/>
      </c>
      <c r="E717" s="70"/>
      <c r="F717" s="70" t="str">
        <f>IF('Item Setup Form'!$AF721="Yes",'Item Setup Form'!G721,"")</f>
        <v/>
      </c>
      <c r="G717" s="70" t="str">
        <f>IF('Item Setup Form'!$AF721="Yes",'Item Setup Form'!H721,"")</f>
        <v/>
      </c>
      <c r="H717" s="70" t="str">
        <f>IF('Item Setup Form'!$AF721="Yes",'Item Setup Form'!V721,"")</f>
        <v/>
      </c>
      <c r="I717" s="70"/>
      <c r="J717" s="70" t="str">
        <f>IF('Item Setup Form'!$AF721="Yes",'Item Setup Form'!U721,"")</f>
        <v/>
      </c>
      <c r="K717" s="70" t="str">
        <f>IF('Item Setup Form'!$AF721="Yes",'Item Setup Form'!V721,"")</f>
        <v/>
      </c>
      <c r="L717" s="70"/>
      <c r="M717" s="70" t="str">
        <f>IF('Item Setup Form'!$AF721="Yes",'Item Setup Form'!A721,"")</f>
        <v/>
      </c>
      <c r="N717" s="70"/>
      <c r="O717" s="70"/>
      <c r="P717" s="70"/>
      <c r="Q717" s="70"/>
      <c r="R717" s="70"/>
      <c r="S717" s="70"/>
      <c r="T717" s="70"/>
      <c r="U717" s="70"/>
      <c r="V717" s="70"/>
      <c r="W717" s="70"/>
      <c r="X717" s="70"/>
      <c r="Y717" s="70"/>
      <c r="Z717" s="70"/>
    </row>
    <row r="718" spans="1:26">
      <c r="A718" s="70" t="str">
        <f>IF('Item Setup Form'!$AF722="Yes",'Item Setup Form'!$E722,"")</f>
        <v/>
      </c>
      <c r="B718" s="70" t="str">
        <f>IF('Item Setup Form'!$AF722="Yes",'Item Setup Form'!D722,"")</f>
        <v/>
      </c>
      <c r="C718" s="81" t="str">
        <f>IF('Item Setup Form'!$AF722="Yes",'Item Setup Form'!L722,"")</f>
        <v/>
      </c>
      <c r="D718" s="81" t="str">
        <f>IF('Item Setup Form'!$AF722="Yes",'Item Setup Form'!M722,"")</f>
        <v/>
      </c>
      <c r="E718" s="70"/>
      <c r="F718" s="70" t="str">
        <f>IF('Item Setup Form'!$AF722="Yes",'Item Setup Form'!G722,"")</f>
        <v/>
      </c>
      <c r="G718" s="70" t="str">
        <f>IF('Item Setup Form'!$AF722="Yes",'Item Setup Form'!H722,"")</f>
        <v/>
      </c>
      <c r="H718" s="70" t="str">
        <f>IF('Item Setup Form'!$AF722="Yes",'Item Setup Form'!V722,"")</f>
        <v/>
      </c>
      <c r="I718" s="70"/>
      <c r="J718" s="70" t="str">
        <f>IF('Item Setup Form'!$AF722="Yes",'Item Setup Form'!U722,"")</f>
        <v/>
      </c>
      <c r="K718" s="70" t="str">
        <f>IF('Item Setup Form'!$AF722="Yes",'Item Setup Form'!V722,"")</f>
        <v/>
      </c>
      <c r="L718" s="70"/>
      <c r="M718" s="70" t="str">
        <f>IF('Item Setup Form'!$AF722="Yes",'Item Setup Form'!A722,"")</f>
        <v/>
      </c>
      <c r="N718" s="70"/>
      <c r="O718" s="70"/>
      <c r="P718" s="70"/>
      <c r="Q718" s="70"/>
      <c r="R718" s="70"/>
      <c r="S718" s="70"/>
      <c r="T718" s="70"/>
      <c r="U718" s="70"/>
      <c r="V718" s="70"/>
      <c r="W718" s="70"/>
      <c r="X718" s="70"/>
      <c r="Y718" s="70"/>
      <c r="Z718" s="70"/>
    </row>
    <row r="719" spans="1:26">
      <c r="A719" s="70" t="str">
        <f>IF('Item Setup Form'!$AF723="Yes",'Item Setup Form'!$E723,"")</f>
        <v/>
      </c>
      <c r="B719" s="70" t="str">
        <f>IF('Item Setup Form'!$AF723="Yes",'Item Setup Form'!D723,"")</f>
        <v/>
      </c>
      <c r="C719" s="81" t="str">
        <f>IF('Item Setup Form'!$AF723="Yes",'Item Setup Form'!L723,"")</f>
        <v/>
      </c>
      <c r="D719" s="81" t="str">
        <f>IF('Item Setup Form'!$AF723="Yes",'Item Setup Form'!M723,"")</f>
        <v/>
      </c>
      <c r="E719" s="70"/>
      <c r="F719" s="70" t="str">
        <f>IF('Item Setup Form'!$AF723="Yes",'Item Setup Form'!G723,"")</f>
        <v/>
      </c>
      <c r="G719" s="70" t="str">
        <f>IF('Item Setup Form'!$AF723="Yes",'Item Setup Form'!H723,"")</f>
        <v/>
      </c>
      <c r="H719" s="70" t="str">
        <f>IF('Item Setup Form'!$AF723="Yes",'Item Setup Form'!V723,"")</f>
        <v/>
      </c>
      <c r="I719" s="70"/>
      <c r="J719" s="70" t="str">
        <f>IF('Item Setup Form'!$AF723="Yes",'Item Setup Form'!U723,"")</f>
        <v/>
      </c>
      <c r="K719" s="70" t="str">
        <f>IF('Item Setup Form'!$AF723="Yes",'Item Setup Form'!V723,"")</f>
        <v/>
      </c>
      <c r="L719" s="70"/>
      <c r="M719" s="70" t="str">
        <f>IF('Item Setup Form'!$AF723="Yes",'Item Setup Form'!A723,"")</f>
        <v/>
      </c>
      <c r="N719" s="70"/>
      <c r="O719" s="70"/>
      <c r="P719" s="70"/>
      <c r="Q719" s="70"/>
      <c r="R719" s="70"/>
      <c r="S719" s="70"/>
      <c r="T719" s="70"/>
      <c r="U719" s="70"/>
      <c r="V719" s="70"/>
      <c r="W719" s="70"/>
      <c r="X719" s="70"/>
      <c r="Y719" s="70"/>
      <c r="Z719" s="70"/>
    </row>
    <row r="720" spans="1:26">
      <c r="A720" s="70" t="str">
        <f>IF('Item Setup Form'!$AF724="Yes",'Item Setup Form'!$E724,"")</f>
        <v/>
      </c>
      <c r="B720" s="70" t="str">
        <f>IF('Item Setup Form'!$AF724="Yes",'Item Setup Form'!D724,"")</f>
        <v/>
      </c>
      <c r="C720" s="81" t="str">
        <f>IF('Item Setup Form'!$AF724="Yes",'Item Setup Form'!L724,"")</f>
        <v/>
      </c>
      <c r="D720" s="81" t="str">
        <f>IF('Item Setup Form'!$AF724="Yes",'Item Setup Form'!M724,"")</f>
        <v/>
      </c>
      <c r="E720" s="70"/>
      <c r="F720" s="70" t="str">
        <f>IF('Item Setup Form'!$AF724="Yes",'Item Setup Form'!G724,"")</f>
        <v/>
      </c>
      <c r="G720" s="70" t="str">
        <f>IF('Item Setup Form'!$AF724="Yes",'Item Setup Form'!H724,"")</f>
        <v/>
      </c>
      <c r="H720" s="70" t="str">
        <f>IF('Item Setup Form'!$AF724="Yes",'Item Setup Form'!V724,"")</f>
        <v/>
      </c>
      <c r="I720" s="70"/>
      <c r="J720" s="70" t="str">
        <f>IF('Item Setup Form'!$AF724="Yes",'Item Setup Form'!U724,"")</f>
        <v/>
      </c>
      <c r="K720" s="70" t="str">
        <f>IF('Item Setup Form'!$AF724="Yes",'Item Setup Form'!V724,"")</f>
        <v/>
      </c>
      <c r="L720" s="70"/>
      <c r="M720" s="70" t="str">
        <f>IF('Item Setup Form'!$AF724="Yes",'Item Setup Form'!A724,"")</f>
        <v/>
      </c>
      <c r="N720" s="70"/>
      <c r="O720" s="70"/>
      <c r="P720" s="70"/>
      <c r="Q720" s="70"/>
      <c r="R720" s="70"/>
      <c r="S720" s="70"/>
      <c r="T720" s="70"/>
      <c r="U720" s="70"/>
      <c r="V720" s="70"/>
      <c r="W720" s="70"/>
      <c r="X720" s="70"/>
      <c r="Y720" s="70"/>
      <c r="Z720" s="70"/>
    </row>
    <row r="721" spans="1:26">
      <c r="A721" s="70" t="str">
        <f>IF('Item Setup Form'!$AF725="Yes",'Item Setup Form'!$E725,"")</f>
        <v/>
      </c>
      <c r="B721" s="70" t="str">
        <f>IF('Item Setup Form'!$AF725="Yes",'Item Setup Form'!D725,"")</f>
        <v/>
      </c>
      <c r="C721" s="81" t="str">
        <f>IF('Item Setup Form'!$AF725="Yes",'Item Setup Form'!L725,"")</f>
        <v/>
      </c>
      <c r="D721" s="81" t="str">
        <f>IF('Item Setup Form'!$AF725="Yes",'Item Setup Form'!M725,"")</f>
        <v/>
      </c>
      <c r="E721" s="70"/>
      <c r="F721" s="70" t="str">
        <f>IF('Item Setup Form'!$AF725="Yes",'Item Setup Form'!G725,"")</f>
        <v/>
      </c>
      <c r="G721" s="70" t="str">
        <f>IF('Item Setup Form'!$AF725="Yes",'Item Setup Form'!H725,"")</f>
        <v/>
      </c>
      <c r="H721" s="70" t="str">
        <f>IF('Item Setup Form'!$AF725="Yes",'Item Setup Form'!V725,"")</f>
        <v/>
      </c>
      <c r="I721" s="70"/>
      <c r="J721" s="70" t="str">
        <f>IF('Item Setup Form'!$AF725="Yes",'Item Setup Form'!U725,"")</f>
        <v/>
      </c>
      <c r="K721" s="70" t="str">
        <f>IF('Item Setup Form'!$AF725="Yes",'Item Setup Form'!V725,"")</f>
        <v/>
      </c>
      <c r="L721" s="70"/>
      <c r="M721" s="70" t="str">
        <f>IF('Item Setup Form'!$AF725="Yes",'Item Setup Form'!A725,"")</f>
        <v/>
      </c>
      <c r="N721" s="70"/>
      <c r="O721" s="70"/>
      <c r="P721" s="70"/>
      <c r="Q721" s="70"/>
      <c r="R721" s="70"/>
      <c r="S721" s="70"/>
      <c r="T721" s="70"/>
      <c r="U721" s="70"/>
      <c r="V721" s="70"/>
      <c r="W721" s="70"/>
      <c r="X721" s="70"/>
      <c r="Y721" s="70"/>
      <c r="Z721" s="70"/>
    </row>
    <row r="722" spans="1:26">
      <c r="A722" s="70" t="str">
        <f>IF('Item Setup Form'!$AF726="Yes",'Item Setup Form'!$E726,"")</f>
        <v/>
      </c>
      <c r="B722" s="70" t="str">
        <f>IF('Item Setup Form'!$AF726="Yes",'Item Setup Form'!D726,"")</f>
        <v/>
      </c>
      <c r="C722" s="81" t="str">
        <f>IF('Item Setup Form'!$AF726="Yes",'Item Setup Form'!L726,"")</f>
        <v/>
      </c>
      <c r="D722" s="81" t="str">
        <f>IF('Item Setup Form'!$AF726="Yes",'Item Setup Form'!M726,"")</f>
        <v/>
      </c>
      <c r="E722" s="70"/>
      <c r="F722" s="70" t="str">
        <f>IF('Item Setup Form'!$AF726="Yes",'Item Setup Form'!G726,"")</f>
        <v/>
      </c>
      <c r="G722" s="70" t="str">
        <f>IF('Item Setup Form'!$AF726="Yes",'Item Setup Form'!H726,"")</f>
        <v/>
      </c>
      <c r="H722" s="70" t="str">
        <f>IF('Item Setup Form'!$AF726="Yes",'Item Setup Form'!V726,"")</f>
        <v/>
      </c>
      <c r="I722" s="70"/>
      <c r="J722" s="70" t="str">
        <f>IF('Item Setup Form'!$AF726="Yes",'Item Setup Form'!U726,"")</f>
        <v/>
      </c>
      <c r="K722" s="70" t="str">
        <f>IF('Item Setup Form'!$AF726="Yes",'Item Setup Form'!V726,"")</f>
        <v/>
      </c>
      <c r="L722" s="70"/>
      <c r="M722" s="70" t="str">
        <f>IF('Item Setup Form'!$AF726="Yes",'Item Setup Form'!A726,"")</f>
        <v/>
      </c>
      <c r="N722" s="70"/>
      <c r="O722" s="70"/>
      <c r="P722" s="70"/>
      <c r="Q722" s="70"/>
      <c r="R722" s="70"/>
      <c r="S722" s="70"/>
      <c r="T722" s="70"/>
      <c r="U722" s="70"/>
      <c r="V722" s="70"/>
      <c r="W722" s="70"/>
      <c r="X722" s="70"/>
      <c r="Y722" s="70"/>
      <c r="Z722" s="70"/>
    </row>
    <row r="723" spans="1:26">
      <c r="A723" s="70" t="str">
        <f>IF('Item Setup Form'!$AF727="Yes",'Item Setup Form'!$E727,"")</f>
        <v/>
      </c>
      <c r="B723" s="70" t="str">
        <f>IF('Item Setup Form'!$AF727="Yes",'Item Setup Form'!D727,"")</f>
        <v/>
      </c>
      <c r="C723" s="81" t="str">
        <f>IF('Item Setup Form'!$AF727="Yes",'Item Setup Form'!L727,"")</f>
        <v/>
      </c>
      <c r="D723" s="81" t="str">
        <f>IF('Item Setup Form'!$AF727="Yes",'Item Setup Form'!M727,"")</f>
        <v/>
      </c>
      <c r="E723" s="70"/>
      <c r="F723" s="70" t="str">
        <f>IF('Item Setup Form'!$AF727="Yes",'Item Setup Form'!G727,"")</f>
        <v/>
      </c>
      <c r="G723" s="70" t="str">
        <f>IF('Item Setup Form'!$AF727="Yes",'Item Setup Form'!H727,"")</f>
        <v/>
      </c>
      <c r="H723" s="70" t="str">
        <f>IF('Item Setup Form'!$AF727="Yes",'Item Setup Form'!V727,"")</f>
        <v/>
      </c>
      <c r="I723" s="70"/>
      <c r="J723" s="70" t="str">
        <f>IF('Item Setup Form'!$AF727="Yes",'Item Setup Form'!U727,"")</f>
        <v/>
      </c>
      <c r="K723" s="70" t="str">
        <f>IF('Item Setup Form'!$AF727="Yes",'Item Setup Form'!V727,"")</f>
        <v/>
      </c>
      <c r="L723" s="70"/>
      <c r="M723" s="70" t="str">
        <f>IF('Item Setup Form'!$AF727="Yes",'Item Setup Form'!A727,"")</f>
        <v/>
      </c>
      <c r="N723" s="70"/>
      <c r="O723" s="70"/>
      <c r="P723" s="70"/>
      <c r="Q723" s="70"/>
      <c r="R723" s="70"/>
      <c r="S723" s="70"/>
      <c r="T723" s="70"/>
      <c r="U723" s="70"/>
      <c r="V723" s="70"/>
      <c r="W723" s="70"/>
      <c r="X723" s="70"/>
      <c r="Y723" s="70"/>
      <c r="Z723" s="70"/>
    </row>
    <row r="724" spans="1:26">
      <c r="A724" s="70" t="str">
        <f>IF('Item Setup Form'!$AF728="Yes",'Item Setup Form'!$E728,"")</f>
        <v/>
      </c>
      <c r="B724" s="70" t="str">
        <f>IF('Item Setup Form'!$AF728="Yes",'Item Setup Form'!D728,"")</f>
        <v/>
      </c>
      <c r="C724" s="81" t="str">
        <f>IF('Item Setup Form'!$AF728="Yes",'Item Setup Form'!L728,"")</f>
        <v/>
      </c>
      <c r="D724" s="81" t="str">
        <f>IF('Item Setup Form'!$AF728="Yes",'Item Setup Form'!M728,"")</f>
        <v/>
      </c>
      <c r="E724" s="70"/>
      <c r="F724" s="70" t="str">
        <f>IF('Item Setup Form'!$AF728="Yes",'Item Setup Form'!G728,"")</f>
        <v/>
      </c>
      <c r="G724" s="70" t="str">
        <f>IF('Item Setup Form'!$AF728="Yes",'Item Setup Form'!H728,"")</f>
        <v/>
      </c>
      <c r="H724" s="70" t="str">
        <f>IF('Item Setup Form'!$AF728="Yes",'Item Setup Form'!V728,"")</f>
        <v/>
      </c>
      <c r="I724" s="70"/>
      <c r="J724" s="70" t="str">
        <f>IF('Item Setup Form'!$AF728="Yes",'Item Setup Form'!U728,"")</f>
        <v/>
      </c>
      <c r="K724" s="70" t="str">
        <f>IF('Item Setup Form'!$AF728="Yes",'Item Setup Form'!V728,"")</f>
        <v/>
      </c>
      <c r="L724" s="70"/>
      <c r="M724" s="70" t="str">
        <f>IF('Item Setup Form'!$AF728="Yes",'Item Setup Form'!A728,"")</f>
        <v/>
      </c>
      <c r="N724" s="70"/>
      <c r="O724" s="70"/>
      <c r="P724" s="70"/>
      <c r="Q724" s="70"/>
      <c r="R724" s="70"/>
      <c r="S724" s="70"/>
      <c r="T724" s="70"/>
      <c r="U724" s="70"/>
      <c r="V724" s="70"/>
      <c r="W724" s="70"/>
      <c r="X724" s="70"/>
      <c r="Y724" s="70"/>
      <c r="Z724" s="70"/>
    </row>
    <row r="725" spans="1:26">
      <c r="A725" s="70" t="str">
        <f>IF('Item Setup Form'!$AF729="Yes",'Item Setup Form'!$E729,"")</f>
        <v/>
      </c>
      <c r="B725" s="70" t="str">
        <f>IF('Item Setup Form'!$AF729="Yes",'Item Setup Form'!D729,"")</f>
        <v/>
      </c>
      <c r="C725" s="81" t="str">
        <f>IF('Item Setup Form'!$AF729="Yes",'Item Setup Form'!L729,"")</f>
        <v/>
      </c>
      <c r="D725" s="81" t="str">
        <f>IF('Item Setup Form'!$AF729="Yes",'Item Setup Form'!M729,"")</f>
        <v/>
      </c>
      <c r="E725" s="70"/>
      <c r="F725" s="70" t="str">
        <f>IF('Item Setup Form'!$AF729="Yes",'Item Setup Form'!G729,"")</f>
        <v/>
      </c>
      <c r="G725" s="70" t="str">
        <f>IF('Item Setup Form'!$AF729="Yes",'Item Setup Form'!H729,"")</f>
        <v/>
      </c>
      <c r="H725" s="70" t="str">
        <f>IF('Item Setup Form'!$AF729="Yes",'Item Setup Form'!V729,"")</f>
        <v/>
      </c>
      <c r="I725" s="70"/>
      <c r="J725" s="70" t="str">
        <f>IF('Item Setup Form'!$AF729="Yes",'Item Setup Form'!U729,"")</f>
        <v/>
      </c>
      <c r="K725" s="70" t="str">
        <f>IF('Item Setup Form'!$AF729="Yes",'Item Setup Form'!V729,"")</f>
        <v/>
      </c>
      <c r="L725" s="70"/>
      <c r="M725" s="70" t="str">
        <f>IF('Item Setup Form'!$AF729="Yes",'Item Setup Form'!A729,"")</f>
        <v/>
      </c>
      <c r="N725" s="70"/>
      <c r="O725" s="70"/>
      <c r="P725" s="70"/>
      <c r="Q725" s="70"/>
      <c r="R725" s="70"/>
      <c r="S725" s="70"/>
      <c r="T725" s="70"/>
      <c r="U725" s="70"/>
      <c r="V725" s="70"/>
      <c r="W725" s="70"/>
      <c r="X725" s="70"/>
      <c r="Y725" s="70"/>
      <c r="Z725" s="70"/>
    </row>
    <row r="726" spans="1:26">
      <c r="A726" s="70" t="str">
        <f>IF('Item Setup Form'!$AF730="Yes",'Item Setup Form'!$E730,"")</f>
        <v/>
      </c>
      <c r="B726" s="70" t="str">
        <f>IF('Item Setup Form'!$AF730="Yes",'Item Setup Form'!D730,"")</f>
        <v/>
      </c>
      <c r="C726" s="81" t="str">
        <f>IF('Item Setup Form'!$AF730="Yes",'Item Setup Form'!L730,"")</f>
        <v/>
      </c>
      <c r="D726" s="81" t="str">
        <f>IF('Item Setup Form'!$AF730="Yes",'Item Setup Form'!M730,"")</f>
        <v/>
      </c>
      <c r="E726" s="70"/>
      <c r="F726" s="70" t="str">
        <f>IF('Item Setup Form'!$AF730="Yes",'Item Setup Form'!G730,"")</f>
        <v/>
      </c>
      <c r="G726" s="70" t="str">
        <f>IF('Item Setup Form'!$AF730="Yes",'Item Setup Form'!H730,"")</f>
        <v/>
      </c>
      <c r="H726" s="70" t="str">
        <f>IF('Item Setup Form'!$AF730="Yes",'Item Setup Form'!V730,"")</f>
        <v/>
      </c>
      <c r="I726" s="70"/>
      <c r="J726" s="70" t="str">
        <f>IF('Item Setup Form'!$AF730="Yes",'Item Setup Form'!U730,"")</f>
        <v/>
      </c>
      <c r="K726" s="70" t="str">
        <f>IF('Item Setup Form'!$AF730="Yes",'Item Setup Form'!V730,"")</f>
        <v/>
      </c>
      <c r="L726" s="70"/>
      <c r="M726" s="70" t="str">
        <f>IF('Item Setup Form'!$AF730="Yes",'Item Setup Form'!A730,"")</f>
        <v/>
      </c>
      <c r="N726" s="70"/>
      <c r="O726" s="70"/>
      <c r="P726" s="70"/>
      <c r="Q726" s="70"/>
      <c r="R726" s="70"/>
      <c r="S726" s="70"/>
      <c r="T726" s="70"/>
      <c r="U726" s="70"/>
      <c r="V726" s="70"/>
      <c r="W726" s="70"/>
      <c r="X726" s="70"/>
      <c r="Y726" s="70"/>
      <c r="Z726" s="70"/>
    </row>
    <row r="727" spans="1:26">
      <c r="A727" s="70" t="str">
        <f>IF('Item Setup Form'!$AF731="Yes",'Item Setup Form'!$E731,"")</f>
        <v/>
      </c>
      <c r="B727" s="70" t="str">
        <f>IF('Item Setup Form'!$AF731="Yes",'Item Setup Form'!D731,"")</f>
        <v/>
      </c>
      <c r="C727" s="81" t="str">
        <f>IF('Item Setup Form'!$AF731="Yes",'Item Setup Form'!L731,"")</f>
        <v/>
      </c>
      <c r="D727" s="81" t="str">
        <f>IF('Item Setup Form'!$AF731="Yes",'Item Setup Form'!M731,"")</f>
        <v/>
      </c>
      <c r="E727" s="70"/>
      <c r="F727" s="70" t="str">
        <f>IF('Item Setup Form'!$AF731="Yes",'Item Setup Form'!G731,"")</f>
        <v/>
      </c>
      <c r="G727" s="70" t="str">
        <f>IF('Item Setup Form'!$AF731="Yes",'Item Setup Form'!H731,"")</f>
        <v/>
      </c>
      <c r="H727" s="70" t="str">
        <f>IF('Item Setup Form'!$AF731="Yes",'Item Setup Form'!V731,"")</f>
        <v/>
      </c>
      <c r="I727" s="70"/>
      <c r="J727" s="70" t="str">
        <f>IF('Item Setup Form'!$AF731="Yes",'Item Setup Form'!U731,"")</f>
        <v/>
      </c>
      <c r="K727" s="70" t="str">
        <f>IF('Item Setup Form'!$AF731="Yes",'Item Setup Form'!V731,"")</f>
        <v/>
      </c>
      <c r="L727" s="70"/>
      <c r="M727" s="70" t="str">
        <f>IF('Item Setup Form'!$AF731="Yes",'Item Setup Form'!A731,"")</f>
        <v/>
      </c>
      <c r="N727" s="70"/>
      <c r="O727" s="70"/>
      <c r="P727" s="70"/>
      <c r="Q727" s="70"/>
      <c r="R727" s="70"/>
      <c r="S727" s="70"/>
      <c r="T727" s="70"/>
      <c r="U727" s="70"/>
      <c r="V727" s="70"/>
      <c r="W727" s="70"/>
      <c r="X727" s="70"/>
      <c r="Y727" s="70"/>
      <c r="Z727" s="70"/>
    </row>
    <row r="728" spans="1:26">
      <c r="A728" s="70" t="str">
        <f>IF('Item Setup Form'!$AF732="Yes",'Item Setup Form'!$E732,"")</f>
        <v/>
      </c>
      <c r="B728" s="70" t="str">
        <f>IF('Item Setup Form'!$AF732="Yes",'Item Setup Form'!D732,"")</f>
        <v/>
      </c>
      <c r="C728" s="81" t="str">
        <f>IF('Item Setup Form'!$AF732="Yes",'Item Setup Form'!L732,"")</f>
        <v/>
      </c>
      <c r="D728" s="81" t="str">
        <f>IF('Item Setup Form'!$AF732="Yes",'Item Setup Form'!M732,"")</f>
        <v/>
      </c>
      <c r="E728" s="70"/>
      <c r="F728" s="70" t="str">
        <f>IF('Item Setup Form'!$AF732="Yes",'Item Setup Form'!G732,"")</f>
        <v/>
      </c>
      <c r="G728" s="70" t="str">
        <f>IF('Item Setup Form'!$AF732="Yes",'Item Setup Form'!H732,"")</f>
        <v/>
      </c>
      <c r="H728" s="70" t="str">
        <f>IF('Item Setup Form'!$AF732="Yes",'Item Setup Form'!V732,"")</f>
        <v/>
      </c>
      <c r="I728" s="70"/>
      <c r="J728" s="70" t="str">
        <f>IF('Item Setup Form'!$AF732="Yes",'Item Setup Form'!U732,"")</f>
        <v/>
      </c>
      <c r="K728" s="70" t="str">
        <f>IF('Item Setup Form'!$AF732="Yes",'Item Setup Form'!V732,"")</f>
        <v/>
      </c>
      <c r="L728" s="70"/>
      <c r="M728" s="70" t="str">
        <f>IF('Item Setup Form'!$AF732="Yes",'Item Setup Form'!A732,"")</f>
        <v/>
      </c>
      <c r="N728" s="70"/>
      <c r="O728" s="70"/>
      <c r="P728" s="70"/>
      <c r="Q728" s="70"/>
      <c r="R728" s="70"/>
      <c r="S728" s="70"/>
      <c r="T728" s="70"/>
      <c r="U728" s="70"/>
      <c r="V728" s="70"/>
      <c r="W728" s="70"/>
      <c r="X728" s="70"/>
      <c r="Y728" s="70"/>
      <c r="Z728" s="70"/>
    </row>
    <row r="729" spans="1:26">
      <c r="A729" s="70" t="str">
        <f>IF('Item Setup Form'!$AF733="Yes",'Item Setup Form'!$E733,"")</f>
        <v/>
      </c>
      <c r="B729" s="70" t="str">
        <f>IF('Item Setup Form'!$AF733="Yes",'Item Setup Form'!D733,"")</f>
        <v/>
      </c>
      <c r="C729" s="81" t="str">
        <f>IF('Item Setup Form'!$AF733="Yes",'Item Setup Form'!L733,"")</f>
        <v/>
      </c>
      <c r="D729" s="81" t="str">
        <f>IF('Item Setup Form'!$AF733="Yes",'Item Setup Form'!M733,"")</f>
        <v/>
      </c>
      <c r="E729" s="70"/>
      <c r="F729" s="70" t="str">
        <f>IF('Item Setup Form'!$AF733="Yes",'Item Setup Form'!G733,"")</f>
        <v/>
      </c>
      <c r="G729" s="70" t="str">
        <f>IF('Item Setup Form'!$AF733="Yes",'Item Setup Form'!H733,"")</f>
        <v/>
      </c>
      <c r="H729" s="70" t="str">
        <f>IF('Item Setup Form'!$AF733="Yes",'Item Setup Form'!V733,"")</f>
        <v/>
      </c>
      <c r="I729" s="70"/>
      <c r="J729" s="70" t="str">
        <f>IF('Item Setup Form'!$AF733="Yes",'Item Setup Form'!U733,"")</f>
        <v/>
      </c>
      <c r="K729" s="70" t="str">
        <f>IF('Item Setup Form'!$AF733="Yes",'Item Setup Form'!V733,"")</f>
        <v/>
      </c>
      <c r="L729" s="70"/>
      <c r="M729" s="70" t="str">
        <f>IF('Item Setup Form'!$AF733="Yes",'Item Setup Form'!A733,"")</f>
        <v/>
      </c>
      <c r="N729" s="70"/>
      <c r="O729" s="70"/>
      <c r="P729" s="70"/>
      <c r="Q729" s="70"/>
      <c r="R729" s="70"/>
      <c r="S729" s="70"/>
      <c r="T729" s="70"/>
      <c r="U729" s="70"/>
      <c r="V729" s="70"/>
      <c r="W729" s="70"/>
      <c r="X729" s="70"/>
      <c r="Y729" s="70"/>
      <c r="Z729" s="70"/>
    </row>
    <row r="730" spans="1:26">
      <c r="A730" s="70" t="str">
        <f>IF('Item Setup Form'!$AF734="Yes",'Item Setup Form'!$E734,"")</f>
        <v/>
      </c>
      <c r="B730" s="70" t="str">
        <f>IF('Item Setup Form'!$AF734="Yes",'Item Setup Form'!D734,"")</f>
        <v/>
      </c>
      <c r="C730" s="81" t="str">
        <f>IF('Item Setup Form'!$AF734="Yes",'Item Setup Form'!L734,"")</f>
        <v/>
      </c>
      <c r="D730" s="81" t="str">
        <f>IF('Item Setup Form'!$AF734="Yes",'Item Setup Form'!M734,"")</f>
        <v/>
      </c>
      <c r="E730" s="70"/>
      <c r="F730" s="70" t="str">
        <f>IF('Item Setup Form'!$AF734="Yes",'Item Setup Form'!G734,"")</f>
        <v/>
      </c>
      <c r="G730" s="70" t="str">
        <f>IF('Item Setup Form'!$AF734="Yes",'Item Setup Form'!H734,"")</f>
        <v/>
      </c>
      <c r="H730" s="70" t="str">
        <f>IF('Item Setup Form'!$AF734="Yes",'Item Setup Form'!V734,"")</f>
        <v/>
      </c>
      <c r="I730" s="70"/>
      <c r="J730" s="70" t="str">
        <f>IF('Item Setup Form'!$AF734="Yes",'Item Setup Form'!U734,"")</f>
        <v/>
      </c>
      <c r="K730" s="70" t="str">
        <f>IF('Item Setup Form'!$AF734="Yes",'Item Setup Form'!V734,"")</f>
        <v/>
      </c>
      <c r="L730" s="70"/>
      <c r="M730" s="70" t="str">
        <f>IF('Item Setup Form'!$AF734="Yes",'Item Setup Form'!A734,"")</f>
        <v/>
      </c>
      <c r="N730" s="70"/>
      <c r="O730" s="70"/>
      <c r="P730" s="70"/>
      <c r="Q730" s="70"/>
      <c r="R730" s="70"/>
      <c r="S730" s="70"/>
      <c r="T730" s="70"/>
      <c r="U730" s="70"/>
      <c r="V730" s="70"/>
      <c r="W730" s="70"/>
      <c r="X730" s="70"/>
      <c r="Y730" s="70"/>
      <c r="Z730" s="70"/>
    </row>
    <row r="731" spans="1:26">
      <c r="A731" s="70" t="str">
        <f>IF('Item Setup Form'!$AF735="Yes",'Item Setup Form'!$E735,"")</f>
        <v/>
      </c>
      <c r="B731" s="70" t="str">
        <f>IF('Item Setup Form'!$AF735="Yes",'Item Setup Form'!D735,"")</f>
        <v/>
      </c>
      <c r="C731" s="81" t="str">
        <f>IF('Item Setup Form'!$AF735="Yes",'Item Setup Form'!L735,"")</f>
        <v/>
      </c>
      <c r="D731" s="81" t="str">
        <f>IF('Item Setup Form'!$AF735="Yes",'Item Setup Form'!M735,"")</f>
        <v/>
      </c>
      <c r="E731" s="70"/>
      <c r="F731" s="70" t="str">
        <f>IF('Item Setup Form'!$AF735="Yes",'Item Setup Form'!G735,"")</f>
        <v/>
      </c>
      <c r="G731" s="70" t="str">
        <f>IF('Item Setup Form'!$AF735="Yes",'Item Setup Form'!H735,"")</f>
        <v/>
      </c>
      <c r="H731" s="70" t="str">
        <f>IF('Item Setup Form'!$AF735="Yes",'Item Setup Form'!V735,"")</f>
        <v/>
      </c>
      <c r="I731" s="70"/>
      <c r="J731" s="70" t="str">
        <f>IF('Item Setup Form'!$AF735="Yes",'Item Setup Form'!U735,"")</f>
        <v/>
      </c>
      <c r="K731" s="70" t="str">
        <f>IF('Item Setup Form'!$AF735="Yes",'Item Setup Form'!V735,"")</f>
        <v/>
      </c>
      <c r="L731" s="70"/>
      <c r="M731" s="70" t="str">
        <f>IF('Item Setup Form'!$AF735="Yes",'Item Setup Form'!A735,"")</f>
        <v/>
      </c>
      <c r="N731" s="70"/>
      <c r="O731" s="70"/>
      <c r="P731" s="70"/>
      <c r="Q731" s="70"/>
      <c r="R731" s="70"/>
      <c r="S731" s="70"/>
      <c r="T731" s="70"/>
      <c r="U731" s="70"/>
      <c r="V731" s="70"/>
      <c r="W731" s="70"/>
      <c r="X731" s="70"/>
      <c r="Y731" s="70"/>
      <c r="Z731" s="70"/>
    </row>
    <row r="732" spans="1:26">
      <c r="A732" s="70" t="str">
        <f>IF('Item Setup Form'!$AF736="Yes",'Item Setup Form'!$E736,"")</f>
        <v/>
      </c>
      <c r="B732" s="70" t="str">
        <f>IF('Item Setup Form'!$AF736="Yes",'Item Setup Form'!D736,"")</f>
        <v/>
      </c>
      <c r="C732" s="81" t="str">
        <f>IF('Item Setup Form'!$AF736="Yes",'Item Setup Form'!L736,"")</f>
        <v/>
      </c>
      <c r="D732" s="81" t="str">
        <f>IF('Item Setup Form'!$AF736="Yes",'Item Setup Form'!M736,"")</f>
        <v/>
      </c>
      <c r="E732" s="70"/>
      <c r="F732" s="70" t="str">
        <f>IF('Item Setup Form'!$AF736="Yes",'Item Setup Form'!G736,"")</f>
        <v/>
      </c>
      <c r="G732" s="70" t="str">
        <f>IF('Item Setup Form'!$AF736="Yes",'Item Setup Form'!H736,"")</f>
        <v/>
      </c>
      <c r="H732" s="70" t="str">
        <f>IF('Item Setup Form'!$AF736="Yes",'Item Setup Form'!V736,"")</f>
        <v/>
      </c>
      <c r="I732" s="70"/>
      <c r="J732" s="70" t="str">
        <f>IF('Item Setup Form'!$AF736="Yes",'Item Setup Form'!U736,"")</f>
        <v/>
      </c>
      <c r="K732" s="70" t="str">
        <f>IF('Item Setup Form'!$AF736="Yes",'Item Setup Form'!V736,"")</f>
        <v/>
      </c>
      <c r="L732" s="70"/>
      <c r="M732" s="70" t="str">
        <f>IF('Item Setup Form'!$AF736="Yes",'Item Setup Form'!A736,"")</f>
        <v/>
      </c>
      <c r="N732" s="70"/>
      <c r="O732" s="70"/>
      <c r="P732" s="70"/>
      <c r="Q732" s="70"/>
      <c r="R732" s="70"/>
      <c r="S732" s="70"/>
      <c r="T732" s="70"/>
      <c r="U732" s="70"/>
      <c r="V732" s="70"/>
      <c r="W732" s="70"/>
      <c r="X732" s="70"/>
      <c r="Y732" s="70"/>
      <c r="Z732" s="70"/>
    </row>
    <row r="733" spans="1:26">
      <c r="A733" s="70" t="str">
        <f>IF('Item Setup Form'!$AF737="Yes",'Item Setup Form'!$E737,"")</f>
        <v/>
      </c>
      <c r="B733" s="70" t="str">
        <f>IF('Item Setup Form'!$AF737="Yes",'Item Setup Form'!D737,"")</f>
        <v/>
      </c>
      <c r="C733" s="81" t="str">
        <f>IF('Item Setup Form'!$AF737="Yes",'Item Setup Form'!L737,"")</f>
        <v/>
      </c>
      <c r="D733" s="81" t="str">
        <f>IF('Item Setup Form'!$AF737="Yes",'Item Setup Form'!M737,"")</f>
        <v/>
      </c>
      <c r="E733" s="70"/>
      <c r="F733" s="70" t="str">
        <f>IF('Item Setup Form'!$AF737="Yes",'Item Setup Form'!G737,"")</f>
        <v/>
      </c>
      <c r="G733" s="70" t="str">
        <f>IF('Item Setup Form'!$AF737="Yes",'Item Setup Form'!H737,"")</f>
        <v/>
      </c>
      <c r="H733" s="70" t="str">
        <f>IF('Item Setup Form'!$AF737="Yes",'Item Setup Form'!V737,"")</f>
        <v/>
      </c>
      <c r="I733" s="70"/>
      <c r="J733" s="70" t="str">
        <f>IF('Item Setup Form'!$AF737="Yes",'Item Setup Form'!U737,"")</f>
        <v/>
      </c>
      <c r="K733" s="70" t="str">
        <f>IF('Item Setup Form'!$AF737="Yes",'Item Setup Form'!V737,"")</f>
        <v/>
      </c>
      <c r="L733" s="70"/>
      <c r="M733" s="70" t="str">
        <f>IF('Item Setup Form'!$AF737="Yes",'Item Setup Form'!A737,"")</f>
        <v/>
      </c>
      <c r="N733" s="70"/>
      <c r="O733" s="70"/>
      <c r="P733" s="70"/>
      <c r="Q733" s="70"/>
      <c r="R733" s="70"/>
      <c r="S733" s="70"/>
      <c r="T733" s="70"/>
      <c r="U733" s="70"/>
      <c r="V733" s="70"/>
      <c r="W733" s="70"/>
      <c r="X733" s="70"/>
      <c r="Y733" s="70"/>
      <c r="Z733" s="70"/>
    </row>
    <row r="734" spans="1:26">
      <c r="A734" s="70" t="str">
        <f>IF('Item Setup Form'!$AF738="Yes",'Item Setup Form'!$E738,"")</f>
        <v/>
      </c>
      <c r="B734" s="70" t="str">
        <f>IF('Item Setup Form'!$AF738="Yes",'Item Setup Form'!D738,"")</f>
        <v/>
      </c>
      <c r="C734" s="81" t="str">
        <f>IF('Item Setup Form'!$AF738="Yes",'Item Setup Form'!L738,"")</f>
        <v/>
      </c>
      <c r="D734" s="81" t="str">
        <f>IF('Item Setup Form'!$AF738="Yes",'Item Setup Form'!M738,"")</f>
        <v/>
      </c>
      <c r="E734" s="70"/>
      <c r="F734" s="70" t="str">
        <f>IF('Item Setup Form'!$AF738="Yes",'Item Setup Form'!G738,"")</f>
        <v/>
      </c>
      <c r="G734" s="70" t="str">
        <f>IF('Item Setup Form'!$AF738="Yes",'Item Setup Form'!H738,"")</f>
        <v/>
      </c>
      <c r="H734" s="70" t="str">
        <f>IF('Item Setup Form'!$AF738="Yes",'Item Setup Form'!V738,"")</f>
        <v/>
      </c>
      <c r="I734" s="70"/>
      <c r="J734" s="70" t="str">
        <f>IF('Item Setup Form'!$AF738="Yes",'Item Setup Form'!U738,"")</f>
        <v/>
      </c>
      <c r="K734" s="70" t="str">
        <f>IF('Item Setup Form'!$AF738="Yes",'Item Setup Form'!V738,"")</f>
        <v/>
      </c>
      <c r="L734" s="70"/>
      <c r="M734" s="70" t="str">
        <f>IF('Item Setup Form'!$AF738="Yes",'Item Setup Form'!A738,"")</f>
        <v/>
      </c>
      <c r="N734" s="70"/>
      <c r="O734" s="70"/>
      <c r="P734" s="70"/>
      <c r="Q734" s="70"/>
      <c r="R734" s="70"/>
      <c r="S734" s="70"/>
      <c r="T734" s="70"/>
      <c r="U734" s="70"/>
      <c r="V734" s="70"/>
      <c r="W734" s="70"/>
      <c r="X734" s="70"/>
      <c r="Y734" s="70"/>
      <c r="Z734" s="70"/>
    </row>
    <row r="735" spans="1:26">
      <c r="A735" s="70" t="str">
        <f>IF('Item Setup Form'!$AF739="Yes",'Item Setup Form'!$E739,"")</f>
        <v/>
      </c>
      <c r="B735" s="70" t="str">
        <f>IF('Item Setup Form'!$AF739="Yes",'Item Setup Form'!D739,"")</f>
        <v/>
      </c>
      <c r="C735" s="81" t="str">
        <f>IF('Item Setup Form'!$AF739="Yes",'Item Setup Form'!L739,"")</f>
        <v/>
      </c>
      <c r="D735" s="81" t="str">
        <f>IF('Item Setup Form'!$AF739="Yes",'Item Setup Form'!M739,"")</f>
        <v/>
      </c>
      <c r="E735" s="70"/>
      <c r="F735" s="70" t="str">
        <f>IF('Item Setup Form'!$AF739="Yes",'Item Setup Form'!G739,"")</f>
        <v/>
      </c>
      <c r="G735" s="70" t="str">
        <f>IF('Item Setup Form'!$AF739="Yes",'Item Setup Form'!H739,"")</f>
        <v/>
      </c>
      <c r="H735" s="70" t="str">
        <f>IF('Item Setup Form'!$AF739="Yes",'Item Setup Form'!V739,"")</f>
        <v/>
      </c>
      <c r="I735" s="70"/>
      <c r="J735" s="70" t="str">
        <f>IF('Item Setup Form'!$AF739="Yes",'Item Setup Form'!U739,"")</f>
        <v/>
      </c>
      <c r="K735" s="70" t="str">
        <f>IF('Item Setup Form'!$AF739="Yes",'Item Setup Form'!V739,"")</f>
        <v/>
      </c>
      <c r="L735" s="70"/>
      <c r="M735" s="70" t="str">
        <f>IF('Item Setup Form'!$AF739="Yes",'Item Setup Form'!A739,"")</f>
        <v/>
      </c>
      <c r="N735" s="70"/>
      <c r="O735" s="70"/>
      <c r="P735" s="70"/>
      <c r="Q735" s="70"/>
      <c r="R735" s="70"/>
      <c r="S735" s="70"/>
      <c r="T735" s="70"/>
      <c r="U735" s="70"/>
      <c r="V735" s="70"/>
      <c r="W735" s="70"/>
      <c r="X735" s="70"/>
      <c r="Y735" s="70"/>
      <c r="Z735" s="70"/>
    </row>
    <row r="736" spans="1:26">
      <c r="A736" s="70" t="str">
        <f>IF('Item Setup Form'!$AF740="Yes",'Item Setup Form'!$E740,"")</f>
        <v/>
      </c>
      <c r="B736" s="70" t="str">
        <f>IF('Item Setup Form'!$AF740="Yes",'Item Setup Form'!D740,"")</f>
        <v/>
      </c>
      <c r="C736" s="81" t="str">
        <f>IF('Item Setup Form'!$AF740="Yes",'Item Setup Form'!L740,"")</f>
        <v/>
      </c>
      <c r="D736" s="81" t="str">
        <f>IF('Item Setup Form'!$AF740="Yes",'Item Setup Form'!M740,"")</f>
        <v/>
      </c>
      <c r="E736" s="70"/>
      <c r="F736" s="70" t="str">
        <f>IF('Item Setup Form'!$AF740="Yes",'Item Setup Form'!G740,"")</f>
        <v/>
      </c>
      <c r="G736" s="70" t="str">
        <f>IF('Item Setup Form'!$AF740="Yes",'Item Setup Form'!H740,"")</f>
        <v/>
      </c>
      <c r="H736" s="70" t="str">
        <f>IF('Item Setup Form'!$AF740="Yes",'Item Setup Form'!V740,"")</f>
        <v/>
      </c>
      <c r="I736" s="70"/>
      <c r="J736" s="70" t="str">
        <f>IF('Item Setup Form'!$AF740="Yes",'Item Setup Form'!U740,"")</f>
        <v/>
      </c>
      <c r="K736" s="70" t="str">
        <f>IF('Item Setup Form'!$AF740="Yes",'Item Setup Form'!V740,"")</f>
        <v/>
      </c>
      <c r="L736" s="70"/>
      <c r="M736" s="70" t="str">
        <f>IF('Item Setup Form'!$AF740="Yes",'Item Setup Form'!A740,"")</f>
        <v/>
      </c>
      <c r="N736" s="70"/>
      <c r="O736" s="70"/>
      <c r="P736" s="70"/>
      <c r="Q736" s="70"/>
      <c r="R736" s="70"/>
      <c r="S736" s="70"/>
      <c r="T736" s="70"/>
      <c r="U736" s="70"/>
      <c r="V736" s="70"/>
      <c r="W736" s="70"/>
      <c r="X736" s="70"/>
      <c r="Y736" s="70"/>
      <c r="Z736" s="70"/>
    </row>
    <row r="737" spans="1:26">
      <c r="A737" s="70" t="str">
        <f>IF('Item Setup Form'!$AF741="Yes",'Item Setup Form'!$E741,"")</f>
        <v/>
      </c>
      <c r="B737" s="70" t="str">
        <f>IF('Item Setup Form'!$AF741="Yes",'Item Setup Form'!D741,"")</f>
        <v/>
      </c>
      <c r="C737" s="81" t="str">
        <f>IF('Item Setup Form'!$AF741="Yes",'Item Setup Form'!L741,"")</f>
        <v/>
      </c>
      <c r="D737" s="81" t="str">
        <f>IF('Item Setup Form'!$AF741="Yes",'Item Setup Form'!M741,"")</f>
        <v/>
      </c>
      <c r="E737" s="70"/>
      <c r="F737" s="70" t="str">
        <f>IF('Item Setup Form'!$AF741="Yes",'Item Setup Form'!G741,"")</f>
        <v/>
      </c>
      <c r="G737" s="70" t="str">
        <f>IF('Item Setup Form'!$AF741="Yes",'Item Setup Form'!H741,"")</f>
        <v/>
      </c>
      <c r="H737" s="70" t="str">
        <f>IF('Item Setup Form'!$AF741="Yes",'Item Setup Form'!V741,"")</f>
        <v/>
      </c>
      <c r="I737" s="70"/>
      <c r="J737" s="70" t="str">
        <f>IF('Item Setup Form'!$AF741="Yes",'Item Setup Form'!U741,"")</f>
        <v/>
      </c>
      <c r="K737" s="70" t="str">
        <f>IF('Item Setup Form'!$AF741="Yes",'Item Setup Form'!V741,"")</f>
        <v/>
      </c>
      <c r="L737" s="70"/>
      <c r="M737" s="70" t="str">
        <f>IF('Item Setup Form'!$AF741="Yes",'Item Setup Form'!A741,"")</f>
        <v/>
      </c>
      <c r="N737" s="70"/>
      <c r="O737" s="70"/>
      <c r="P737" s="70"/>
      <c r="Q737" s="70"/>
      <c r="R737" s="70"/>
      <c r="S737" s="70"/>
      <c r="T737" s="70"/>
      <c r="U737" s="70"/>
      <c r="V737" s="70"/>
      <c r="W737" s="70"/>
      <c r="X737" s="70"/>
      <c r="Y737" s="70"/>
      <c r="Z737" s="70"/>
    </row>
    <row r="738" spans="1:26">
      <c r="A738" s="70" t="str">
        <f>IF('Item Setup Form'!$AF742="Yes",'Item Setup Form'!$E742,"")</f>
        <v/>
      </c>
      <c r="B738" s="70" t="str">
        <f>IF('Item Setup Form'!$AF742="Yes",'Item Setup Form'!D742,"")</f>
        <v/>
      </c>
      <c r="C738" s="81" t="str">
        <f>IF('Item Setup Form'!$AF742="Yes",'Item Setup Form'!L742,"")</f>
        <v/>
      </c>
      <c r="D738" s="81" t="str">
        <f>IF('Item Setup Form'!$AF742="Yes",'Item Setup Form'!M742,"")</f>
        <v/>
      </c>
      <c r="E738" s="70"/>
      <c r="F738" s="70" t="str">
        <f>IF('Item Setup Form'!$AF742="Yes",'Item Setup Form'!G742,"")</f>
        <v/>
      </c>
      <c r="G738" s="70" t="str">
        <f>IF('Item Setup Form'!$AF742="Yes",'Item Setup Form'!H742,"")</f>
        <v/>
      </c>
      <c r="H738" s="70" t="str">
        <f>IF('Item Setup Form'!$AF742="Yes",'Item Setup Form'!V742,"")</f>
        <v/>
      </c>
      <c r="I738" s="70"/>
      <c r="J738" s="70" t="str">
        <f>IF('Item Setup Form'!$AF742="Yes",'Item Setup Form'!U742,"")</f>
        <v/>
      </c>
      <c r="K738" s="70" t="str">
        <f>IF('Item Setup Form'!$AF742="Yes",'Item Setup Form'!V742,"")</f>
        <v/>
      </c>
      <c r="L738" s="70"/>
      <c r="M738" s="70" t="str">
        <f>IF('Item Setup Form'!$AF742="Yes",'Item Setup Form'!A742,"")</f>
        <v/>
      </c>
      <c r="N738" s="70"/>
      <c r="O738" s="70"/>
      <c r="P738" s="70"/>
      <c r="Q738" s="70"/>
      <c r="R738" s="70"/>
      <c r="S738" s="70"/>
      <c r="T738" s="70"/>
      <c r="U738" s="70"/>
      <c r="V738" s="70"/>
      <c r="W738" s="70"/>
      <c r="X738" s="70"/>
      <c r="Y738" s="70"/>
      <c r="Z738" s="70"/>
    </row>
    <row r="739" spans="1:26">
      <c r="A739" s="70" t="str">
        <f>IF('Item Setup Form'!$AF743="Yes",'Item Setup Form'!$E743,"")</f>
        <v/>
      </c>
      <c r="B739" s="70" t="str">
        <f>IF('Item Setup Form'!$AF743="Yes",'Item Setup Form'!D743,"")</f>
        <v/>
      </c>
      <c r="C739" s="81" t="str">
        <f>IF('Item Setup Form'!$AF743="Yes",'Item Setup Form'!L743,"")</f>
        <v/>
      </c>
      <c r="D739" s="81" t="str">
        <f>IF('Item Setup Form'!$AF743="Yes",'Item Setup Form'!M743,"")</f>
        <v/>
      </c>
      <c r="E739" s="70"/>
      <c r="F739" s="70" t="str">
        <f>IF('Item Setup Form'!$AF743="Yes",'Item Setup Form'!G743,"")</f>
        <v/>
      </c>
      <c r="G739" s="70" t="str">
        <f>IF('Item Setup Form'!$AF743="Yes",'Item Setup Form'!H743,"")</f>
        <v/>
      </c>
      <c r="H739" s="70" t="str">
        <f>IF('Item Setup Form'!$AF743="Yes",'Item Setup Form'!V743,"")</f>
        <v/>
      </c>
      <c r="I739" s="70"/>
      <c r="J739" s="70" t="str">
        <f>IF('Item Setup Form'!$AF743="Yes",'Item Setup Form'!U743,"")</f>
        <v/>
      </c>
      <c r="K739" s="70" t="str">
        <f>IF('Item Setup Form'!$AF743="Yes",'Item Setup Form'!V743,"")</f>
        <v/>
      </c>
      <c r="L739" s="70"/>
      <c r="M739" s="70" t="str">
        <f>IF('Item Setup Form'!$AF743="Yes",'Item Setup Form'!A743,"")</f>
        <v/>
      </c>
      <c r="N739" s="70"/>
      <c r="O739" s="70"/>
      <c r="P739" s="70"/>
      <c r="Q739" s="70"/>
      <c r="R739" s="70"/>
      <c r="S739" s="70"/>
      <c r="T739" s="70"/>
      <c r="U739" s="70"/>
      <c r="V739" s="70"/>
      <c r="W739" s="70"/>
      <c r="X739" s="70"/>
      <c r="Y739" s="70"/>
      <c r="Z739" s="70"/>
    </row>
    <row r="740" spans="1:26">
      <c r="A740" s="70" t="str">
        <f>IF('Item Setup Form'!$AF744="Yes",'Item Setup Form'!$E744,"")</f>
        <v/>
      </c>
      <c r="B740" s="70" t="str">
        <f>IF('Item Setup Form'!$AF744="Yes",'Item Setup Form'!D744,"")</f>
        <v/>
      </c>
      <c r="C740" s="81" t="str">
        <f>IF('Item Setup Form'!$AF744="Yes",'Item Setup Form'!L744,"")</f>
        <v/>
      </c>
      <c r="D740" s="81" t="str">
        <f>IF('Item Setup Form'!$AF744="Yes",'Item Setup Form'!M744,"")</f>
        <v/>
      </c>
      <c r="E740" s="70"/>
      <c r="F740" s="70" t="str">
        <f>IF('Item Setup Form'!$AF744="Yes",'Item Setup Form'!G744,"")</f>
        <v/>
      </c>
      <c r="G740" s="70" t="str">
        <f>IF('Item Setup Form'!$AF744="Yes",'Item Setup Form'!H744,"")</f>
        <v/>
      </c>
      <c r="H740" s="70" t="str">
        <f>IF('Item Setup Form'!$AF744="Yes",'Item Setup Form'!V744,"")</f>
        <v/>
      </c>
      <c r="I740" s="70"/>
      <c r="J740" s="70" t="str">
        <f>IF('Item Setup Form'!$AF744="Yes",'Item Setup Form'!U744,"")</f>
        <v/>
      </c>
      <c r="K740" s="70" t="str">
        <f>IF('Item Setup Form'!$AF744="Yes",'Item Setup Form'!V744,"")</f>
        <v/>
      </c>
      <c r="L740" s="70"/>
      <c r="M740" s="70" t="str">
        <f>IF('Item Setup Form'!$AF744="Yes",'Item Setup Form'!A744,"")</f>
        <v/>
      </c>
      <c r="N740" s="70"/>
      <c r="O740" s="70"/>
      <c r="P740" s="70"/>
      <c r="Q740" s="70"/>
      <c r="R740" s="70"/>
      <c r="S740" s="70"/>
      <c r="T740" s="70"/>
      <c r="U740" s="70"/>
      <c r="V740" s="70"/>
      <c r="W740" s="70"/>
      <c r="X740" s="70"/>
      <c r="Y740" s="70"/>
      <c r="Z740" s="70"/>
    </row>
    <row r="741" spans="1:26">
      <c r="A741" s="70" t="str">
        <f>IF('Item Setup Form'!$AF745="Yes",'Item Setup Form'!$E745,"")</f>
        <v/>
      </c>
      <c r="B741" s="70" t="str">
        <f>IF('Item Setup Form'!$AF745="Yes",'Item Setup Form'!D745,"")</f>
        <v/>
      </c>
      <c r="C741" s="81" t="str">
        <f>IF('Item Setup Form'!$AF745="Yes",'Item Setup Form'!L745,"")</f>
        <v/>
      </c>
      <c r="D741" s="81" t="str">
        <f>IF('Item Setup Form'!$AF745="Yes",'Item Setup Form'!M745,"")</f>
        <v/>
      </c>
      <c r="E741" s="70"/>
      <c r="F741" s="70" t="str">
        <f>IF('Item Setup Form'!$AF745="Yes",'Item Setup Form'!G745,"")</f>
        <v/>
      </c>
      <c r="G741" s="70" t="str">
        <f>IF('Item Setup Form'!$AF745="Yes",'Item Setup Form'!H745,"")</f>
        <v/>
      </c>
      <c r="H741" s="70" t="str">
        <f>IF('Item Setup Form'!$AF745="Yes",'Item Setup Form'!V745,"")</f>
        <v/>
      </c>
      <c r="I741" s="70"/>
      <c r="J741" s="70" t="str">
        <f>IF('Item Setup Form'!$AF745="Yes",'Item Setup Form'!U745,"")</f>
        <v/>
      </c>
      <c r="K741" s="70" t="str">
        <f>IF('Item Setup Form'!$AF745="Yes",'Item Setup Form'!V745,"")</f>
        <v/>
      </c>
      <c r="L741" s="70"/>
      <c r="M741" s="70" t="str">
        <f>IF('Item Setup Form'!$AF745="Yes",'Item Setup Form'!A745,"")</f>
        <v/>
      </c>
      <c r="N741" s="70"/>
      <c r="O741" s="70"/>
      <c r="P741" s="70"/>
      <c r="Q741" s="70"/>
      <c r="R741" s="70"/>
      <c r="S741" s="70"/>
      <c r="T741" s="70"/>
      <c r="U741" s="70"/>
      <c r="V741" s="70"/>
      <c r="W741" s="70"/>
      <c r="X741" s="70"/>
      <c r="Y741" s="70"/>
      <c r="Z741" s="70"/>
    </row>
    <row r="742" spans="1:26">
      <c r="A742" s="70" t="str">
        <f>IF('Item Setup Form'!$AF746="Yes",'Item Setup Form'!$E746,"")</f>
        <v/>
      </c>
      <c r="B742" s="70" t="str">
        <f>IF('Item Setup Form'!$AF746="Yes",'Item Setup Form'!D746,"")</f>
        <v/>
      </c>
      <c r="C742" s="81" t="str">
        <f>IF('Item Setup Form'!$AF746="Yes",'Item Setup Form'!L746,"")</f>
        <v/>
      </c>
      <c r="D742" s="81" t="str">
        <f>IF('Item Setup Form'!$AF746="Yes",'Item Setup Form'!M746,"")</f>
        <v/>
      </c>
      <c r="E742" s="70"/>
      <c r="F742" s="70" t="str">
        <f>IF('Item Setup Form'!$AF746="Yes",'Item Setup Form'!G746,"")</f>
        <v/>
      </c>
      <c r="G742" s="70" t="str">
        <f>IF('Item Setup Form'!$AF746="Yes",'Item Setup Form'!H746,"")</f>
        <v/>
      </c>
      <c r="H742" s="70" t="str">
        <f>IF('Item Setup Form'!$AF746="Yes",'Item Setup Form'!V746,"")</f>
        <v/>
      </c>
      <c r="I742" s="70"/>
      <c r="J742" s="70" t="str">
        <f>IF('Item Setup Form'!$AF746="Yes",'Item Setup Form'!U746,"")</f>
        <v/>
      </c>
      <c r="K742" s="70" t="str">
        <f>IF('Item Setup Form'!$AF746="Yes",'Item Setup Form'!V746,"")</f>
        <v/>
      </c>
      <c r="L742" s="70"/>
      <c r="M742" s="70" t="str">
        <f>IF('Item Setup Form'!$AF746="Yes",'Item Setup Form'!A746,"")</f>
        <v/>
      </c>
      <c r="N742" s="70"/>
      <c r="O742" s="70"/>
      <c r="P742" s="70"/>
      <c r="Q742" s="70"/>
      <c r="R742" s="70"/>
      <c r="S742" s="70"/>
      <c r="T742" s="70"/>
      <c r="U742" s="70"/>
      <c r="V742" s="70"/>
      <c r="W742" s="70"/>
      <c r="X742" s="70"/>
      <c r="Y742" s="70"/>
      <c r="Z742" s="70"/>
    </row>
    <row r="743" spans="1:26">
      <c r="A743" s="70" t="str">
        <f>IF('Item Setup Form'!$AF747="Yes",'Item Setup Form'!$E747,"")</f>
        <v/>
      </c>
      <c r="B743" s="70" t="str">
        <f>IF('Item Setup Form'!$AF747="Yes",'Item Setup Form'!D747,"")</f>
        <v/>
      </c>
      <c r="C743" s="81" t="str">
        <f>IF('Item Setup Form'!$AF747="Yes",'Item Setup Form'!L747,"")</f>
        <v/>
      </c>
      <c r="D743" s="81" t="str">
        <f>IF('Item Setup Form'!$AF747="Yes",'Item Setup Form'!M747,"")</f>
        <v/>
      </c>
      <c r="E743" s="70"/>
      <c r="F743" s="70" t="str">
        <f>IF('Item Setup Form'!$AF747="Yes",'Item Setup Form'!G747,"")</f>
        <v/>
      </c>
      <c r="G743" s="70" t="str">
        <f>IF('Item Setup Form'!$AF747="Yes",'Item Setup Form'!H747,"")</f>
        <v/>
      </c>
      <c r="H743" s="70" t="str">
        <f>IF('Item Setup Form'!$AF747="Yes",'Item Setup Form'!V747,"")</f>
        <v/>
      </c>
      <c r="I743" s="70"/>
      <c r="J743" s="70" t="str">
        <f>IF('Item Setup Form'!$AF747="Yes",'Item Setup Form'!U747,"")</f>
        <v/>
      </c>
      <c r="K743" s="70" t="str">
        <f>IF('Item Setup Form'!$AF747="Yes",'Item Setup Form'!V747,"")</f>
        <v/>
      </c>
      <c r="L743" s="70"/>
      <c r="M743" s="70" t="str">
        <f>IF('Item Setup Form'!$AF747="Yes",'Item Setup Form'!A747,"")</f>
        <v/>
      </c>
      <c r="N743" s="70"/>
      <c r="O743" s="70"/>
      <c r="P743" s="70"/>
      <c r="Q743" s="70"/>
      <c r="R743" s="70"/>
      <c r="S743" s="70"/>
      <c r="T743" s="70"/>
      <c r="U743" s="70"/>
      <c r="V743" s="70"/>
      <c r="W743" s="70"/>
      <c r="X743" s="70"/>
      <c r="Y743" s="70"/>
      <c r="Z743" s="70"/>
    </row>
    <row r="744" spans="1:26">
      <c r="A744" s="70" t="str">
        <f>IF('Item Setup Form'!$AF748="Yes",'Item Setup Form'!$E748,"")</f>
        <v/>
      </c>
      <c r="B744" s="70" t="str">
        <f>IF('Item Setup Form'!$AF748="Yes",'Item Setup Form'!D748,"")</f>
        <v/>
      </c>
      <c r="C744" s="81" t="str">
        <f>IF('Item Setup Form'!$AF748="Yes",'Item Setup Form'!L748,"")</f>
        <v/>
      </c>
      <c r="D744" s="81" t="str">
        <f>IF('Item Setup Form'!$AF748="Yes",'Item Setup Form'!M748,"")</f>
        <v/>
      </c>
      <c r="E744" s="70"/>
      <c r="F744" s="70" t="str">
        <f>IF('Item Setup Form'!$AF748="Yes",'Item Setup Form'!G748,"")</f>
        <v/>
      </c>
      <c r="G744" s="70" t="str">
        <f>IF('Item Setup Form'!$AF748="Yes",'Item Setup Form'!H748,"")</f>
        <v/>
      </c>
      <c r="H744" s="70" t="str">
        <f>IF('Item Setup Form'!$AF748="Yes",'Item Setup Form'!V748,"")</f>
        <v/>
      </c>
      <c r="I744" s="70"/>
      <c r="J744" s="70" t="str">
        <f>IF('Item Setup Form'!$AF748="Yes",'Item Setup Form'!U748,"")</f>
        <v/>
      </c>
      <c r="K744" s="70" t="str">
        <f>IF('Item Setup Form'!$AF748="Yes",'Item Setup Form'!V748,"")</f>
        <v/>
      </c>
      <c r="L744" s="70"/>
      <c r="M744" s="70" t="str">
        <f>IF('Item Setup Form'!$AF748="Yes",'Item Setup Form'!A748,"")</f>
        <v/>
      </c>
      <c r="N744" s="70"/>
      <c r="O744" s="70"/>
      <c r="P744" s="70"/>
      <c r="Q744" s="70"/>
      <c r="R744" s="70"/>
      <c r="S744" s="70"/>
      <c r="T744" s="70"/>
      <c r="U744" s="70"/>
      <c r="V744" s="70"/>
      <c r="W744" s="70"/>
      <c r="X744" s="70"/>
      <c r="Y744" s="70"/>
      <c r="Z744" s="70"/>
    </row>
    <row r="745" spans="1:26">
      <c r="A745" s="70" t="str">
        <f>IF('Item Setup Form'!$AF749="Yes",'Item Setup Form'!$E749,"")</f>
        <v/>
      </c>
      <c r="B745" s="70" t="str">
        <f>IF('Item Setup Form'!$AF749="Yes",'Item Setup Form'!D749,"")</f>
        <v/>
      </c>
      <c r="C745" s="81" t="str">
        <f>IF('Item Setup Form'!$AF749="Yes",'Item Setup Form'!L749,"")</f>
        <v/>
      </c>
      <c r="D745" s="81" t="str">
        <f>IF('Item Setup Form'!$AF749="Yes",'Item Setup Form'!M749,"")</f>
        <v/>
      </c>
      <c r="E745" s="70"/>
      <c r="F745" s="70" t="str">
        <f>IF('Item Setup Form'!$AF749="Yes",'Item Setup Form'!G749,"")</f>
        <v/>
      </c>
      <c r="G745" s="70" t="str">
        <f>IF('Item Setup Form'!$AF749="Yes",'Item Setup Form'!H749,"")</f>
        <v/>
      </c>
      <c r="H745" s="70" t="str">
        <f>IF('Item Setup Form'!$AF749="Yes",'Item Setup Form'!V749,"")</f>
        <v/>
      </c>
      <c r="I745" s="70"/>
      <c r="J745" s="70" t="str">
        <f>IF('Item Setup Form'!$AF749="Yes",'Item Setup Form'!U749,"")</f>
        <v/>
      </c>
      <c r="K745" s="70" t="str">
        <f>IF('Item Setup Form'!$AF749="Yes",'Item Setup Form'!V749,"")</f>
        <v/>
      </c>
      <c r="L745" s="70"/>
      <c r="M745" s="70" t="str">
        <f>IF('Item Setup Form'!$AF749="Yes",'Item Setup Form'!A749,"")</f>
        <v/>
      </c>
      <c r="N745" s="70"/>
      <c r="O745" s="70"/>
      <c r="P745" s="70"/>
      <c r="Q745" s="70"/>
      <c r="R745" s="70"/>
      <c r="S745" s="70"/>
      <c r="T745" s="70"/>
      <c r="U745" s="70"/>
      <c r="V745" s="70"/>
      <c r="W745" s="70"/>
      <c r="X745" s="70"/>
      <c r="Y745" s="70"/>
      <c r="Z745" s="70"/>
    </row>
    <row r="746" spans="1:26">
      <c r="A746" s="70" t="str">
        <f>IF('Item Setup Form'!$AF750="Yes",'Item Setup Form'!$E750,"")</f>
        <v/>
      </c>
      <c r="B746" s="70" t="str">
        <f>IF('Item Setup Form'!$AF750="Yes",'Item Setup Form'!D750,"")</f>
        <v/>
      </c>
      <c r="C746" s="81" t="str">
        <f>IF('Item Setup Form'!$AF750="Yes",'Item Setup Form'!L750,"")</f>
        <v/>
      </c>
      <c r="D746" s="81" t="str">
        <f>IF('Item Setup Form'!$AF750="Yes",'Item Setup Form'!M750,"")</f>
        <v/>
      </c>
      <c r="E746" s="70"/>
      <c r="F746" s="70" t="str">
        <f>IF('Item Setup Form'!$AF750="Yes",'Item Setup Form'!G750,"")</f>
        <v/>
      </c>
      <c r="G746" s="70" t="str">
        <f>IF('Item Setup Form'!$AF750="Yes",'Item Setup Form'!H750,"")</f>
        <v/>
      </c>
      <c r="H746" s="70" t="str">
        <f>IF('Item Setup Form'!$AF750="Yes",'Item Setup Form'!V750,"")</f>
        <v/>
      </c>
      <c r="I746" s="70"/>
      <c r="J746" s="70" t="str">
        <f>IF('Item Setup Form'!$AF750="Yes",'Item Setup Form'!U750,"")</f>
        <v/>
      </c>
      <c r="K746" s="70" t="str">
        <f>IF('Item Setup Form'!$AF750="Yes",'Item Setup Form'!V750,"")</f>
        <v/>
      </c>
      <c r="L746" s="70"/>
      <c r="M746" s="70" t="str">
        <f>IF('Item Setup Form'!$AF750="Yes",'Item Setup Form'!A750,"")</f>
        <v/>
      </c>
      <c r="N746" s="70"/>
      <c r="O746" s="70"/>
      <c r="P746" s="70"/>
      <c r="Q746" s="70"/>
      <c r="R746" s="70"/>
      <c r="S746" s="70"/>
      <c r="T746" s="70"/>
      <c r="U746" s="70"/>
      <c r="V746" s="70"/>
      <c r="W746" s="70"/>
      <c r="X746" s="70"/>
      <c r="Y746" s="70"/>
      <c r="Z746" s="70"/>
    </row>
    <row r="747" spans="1:26">
      <c r="A747" s="70" t="str">
        <f>IF('Item Setup Form'!$AF751="Yes",'Item Setup Form'!$E751,"")</f>
        <v/>
      </c>
      <c r="B747" s="70" t="str">
        <f>IF('Item Setup Form'!$AF751="Yes",'Item Setup Form'!D751,"")</f>
        <v/>
      </c>
      <c r="C747" s="81" t="str">
        <f>IF('Item Setup Form'!$AF751="Yes",'Item Setup Form'!L751,"")</f>
        <v/>
      </c>
      <c r="D747" s="81" t="str">
        <f>IF('Item Setup Form'!$AF751="Yes",'Item Setup Form'!M751,"")</f>
        <v/>
      </c>
      <c r="E747" s="70"/>
      <c r="F747" s="70" t="str">
        <f>IF('Item Setup Form'!$AF751="Yes",'Item Setup Form'!G751,"")</f>
        <v/>
      </c>
      <c r="G747" s="70" t="str">
        <f>IF('Item Setup Form'!$AF751="Yes",'Item Setup Form'!H751,"")</f>
        <v/>
      </c>
      <c r="H747" s="70" t="str">
        <f>IF('Item Setup Form'!$AF751="Yes",'Item Setup Form'!V751,"")</f>
        <v/>
      </c>
      <c r="I747" s="70"/>
      <c r="J747" s="70" t="str">
        <f>IF('Item Setup Form'!$AF751="Yes",'Item Setup Form'!U751,"")</f>
        <v/>
      </c>
      <c r="K747" s="70" t="str">
        <f>IF('Item Setup Form'!$AF751="Yes",'Item Setup Form'!V751,"")</f>
        <v/>
      </c>
      <c r="L747" s="70"/>
      <c r="M747" s="70" t="str">
        <f>IF('Item Setup Form'!$AF751="Yes",'Item Setup Form'!A751,"")</f>
        <v/>
      </c>
      <c r="N747" s="70"/>
      <c r="O747" s="70"/>
      <c r="P747" s="70"/>
      <c r="Q747" s="70"/>
      <c r="R747" s="70"/>
      <c r="S747" s="70"/>
      <c r="T747" s="70"/>
      <c r="U747" s="70"/>
      <c r="V747" s="70"/>
      <c r="W747" s="70"/>
      <c r="X747" s="70"/>
      <c r="Y747" s="70"/>
      <c r="Z747" s="70"/>
    </row>
    <row r="748" spans="1:26">
      <c r="A748" s="70" t="str">
        <f>IF('Item Setup Form'!$AF752="Yes",'Item Setup Form'!$E752,"")</f>
        <v/>
      </c>
      <c r="B748" s="70" t="str">
        <f>IF('Item Setup Form'!$AF752="Yes",'Item Setup Form'!D752,"")</f>
        <v/>
      </c>
      <c r="C748" s="81" t="str">
        <f>IF('Item Setup Form'!$AF752="Yes",'Item Setup Form'!L752,"")</f>
        <v/>
      </c>
      <c r="D748" s="81" t="str">
        <f>IF('Item Setup Form'!$AF752="Yes",'Item Setup Form'!M752,"")</f>
        <v/>
      </c>
      <c r="E748" s="70"/>
      <c r="F748" s="70" t="str">
        <f>IF('Item Setup Form'!$AF752="Yes",'Item Setup Form'!G752,"")</f>
        <v/>
      </c>
      <c r="G748" s="70" t="str">
        <f>IF('Item Setup Form'!$AF752="Yes",'Item Setup Form'!H752,"")</f>
        <v/>
      </c>
      <c r="H748" s="70" t="str">
        <f>IF('Item Setup Form'!$AF752="Yes",'Item Setup Form'!V752,"")</f>
        <v/>
      </c>
      <c r="I748" s="70"/>
      <c r="J748" s="70" t="str">
        <f>IF('Item Setup Form'!$AF752="Yes",'Item Setup Form'!U752,"")</f>
        <v/>
      </c>
      <c r="K748" s="70" t="str">
        <f>IF('Item Setup Form'!$AF752="Yes",'Item Setup Form'!V752,"")</f>
        <v/>
      </c>
      <c r="L748" s="70"/>
      <c r="M748" s="70" t="str">
        <f>IF('Item Setup Form'!$AF752="Yes",'Item Setup Form'!A752,"")</f>
        <v/>
      </c>
      <c r="N748" s="70"/>
      <c r="O748" s="70"/>
      <c r="P748" s="70"/>
      <c r="Q748" s="70"/>
      <c r="R748" s="70"/>
      <c r="S748" s="70"/>
      <c r="T748" s="70"/>
      <c r="U748" s="70"/>
      <c r="V748" s="70"/>
      <c r="W748" s="70"/>
      <c r="X748" s="70"/>
      <c r="Y748" s="70"/>
      <c r="Z748" s="70"/>
    </row>
    <row r="749" spans="1:26">
      <c r="A749" s="70" t="str">
        <f>IF('Item Setup Form'!$AF753="Yes",'Item Setup Form'!$E753,"")</f>
        <v/>
      </c>
      <c r="B749" s="70" t="str">
        <f>IF('Item Setup Form'!$AF753="Yes",'Item Setup Form'!D753,"")</f>
        <v/>
      </c>
      <c r="C749" s="81" t="str">
        <f>IF('Item Setup Form'!$AF753="Yes",'Item Setup Form'!L753,"")</f>
        <v/>
      </c>
      <c r="D749" s="81" t="str">
        <f>IF('Item Setup Form'!$AF753="Yes",'Item Setup Form'!M753,"")</f>
        <v/>
      </c>
      <c r="E749" s="70"/>
      <c r="F749" s="70" t="str">
        <f>IF('Item Setup Form'!$AF753="Yes",'Item Setup Form'!G753,"")</f>
        <v/>
      </c>
      <c r="G749" s="70" t="str">
        <f>IF('Item Setup Form'!$AF753="Yes",'Item Setup Form'!H753,"")</f>
        <v/>
      </c>
      <c r="H749" s="70" t="str">
        <f>IF('Item Setup Form'!$AF753="Yes",'Item Setup Form'!V753,"")</f>
        <v/>
      </c>
      <c r="I749" s="70"/>
      <c r="J749" s="70" t="str">
        <f>IF('Item Setup Form'!$AF753="Yes",'Item Setup Form'!U753,"")</f>
        <v/>
      </c>
      <c r="K749" s="70" t="str">
        <f>IF('Item Setup Form'!$AF753="Yes",'Item Setup Form'!V753,"")</f>
        <v/>
      </c>
      <c r="L749" s="70"/>
      <c r="M749" s="70" t="str">
        <f>IF('Item Setup Form'!$AF753="Yes",'Item Setup Form'!A753,"")</f>
        <v/>
      </c>
      <c r="N749" s="70"/>
      <c r="O749" s="70"/>
      <c r="P749" s="70"/>
      <c r="Q749" s="70"/>
      <c r="R749" s="70"/>
      <c r="S749" s="70"/>
      <c r="T749" s="70"/>
      <c r="U749" s="70"/>
      <c r="V749" s="70"/>
      <c r="W749" s="70"/>
      <c r="X749" s="70"/>
      <c r="Y749" s="70"/>
      <c r="Z749" s="70"/>
    </row>
    <row r="750" spans="1:26">
      <c r="A750" s="70" t="str">
        <f>IF('Item Setup Form'!$AF754="Yes",'Item Setup Form'!$E754,"")</f>
        <v/>
      </c>
      <c r="B750" s="70" t="str">
        <f>IF('Item Setup Form'!$AF754="Yes",'Item Setup Form'!D754,"")</f>
        <v/>
      </c>
      <c r="C750" s="81" t="str">
        <f>IF('Item Setup Form'!$AF754="Yes",'Item Setup Form'!L754,"")</f>
        <v/>
      </c>
      <c r="D750" s="81" t="str">
        <f>IF('Item Setup Form'!$AF754="Yes",'Item Setup Form'!M754,"")</f>
        <v/>
      </c>
      <c r="E750" s="70"/>
      <c r="F750" s="70" t="str">
        <f>IF('Item Setup Form'!$AF754="Yes",'Item Setup Form'!G754,"")</f>
        <v/>
      </c>
      <c r="G750" s="70" t="str">
        <f>IF('Item Setup Form'!$AF754="Yes",'Item Setup Form'!H754,"")</f>
        <v/>
      </c>
      <c r="H750" s="70" t="str">
        <f>IF('Item Setup Form'!$AF754="Yes",'Item Setup Form'!V754,"")</f>
        <v/>
      </c>
      <c r="I750" s="70"/>
      <c r="J750" s="70" t="str">
        <f>IF('Item Setup Form'!$AF754="Yes",'Item Setup Form'!U754,"")</f>
        <v/>
      </c>
      <c r="K750" s="70" t="str">
        <f>IF('Item Setup Form'!$AF754="Yes",'Item Setup Form'!V754,"")</f>
        <v/>
      </c>
      <c r="L750" s="70"/>
      <c r="M750" s="70" t="str">
        <f>IF('Item Setup Form'!$AF754="Yes",'Item Setup Form'!A754,"")</f>
        <v/>
      </c>
      <c r="N750" s="70"/>
      <c r="O750" s="70"/>
      <c r="P750" s="70"/>
      <c r="Q750" s="70"/>
      <c r="R750" s="70"/>
      <c r="S750" s="70"/>
      <c r="T750" s="70"/>
      <c r="U750" s="70"/>
      <c r="V750" s="70"/>
      <c r="W750" s="70"/>
      <c r="X750" s="70"/>
      <c r="Y750" s="70"/>
      <c r="Z750" s="70"/>
    </row>
    <row r="751" spans="1:26">
      <c r="A751" s="70" t="str">
        <f>IF('Item Setup Form'!$AF755="Yes",'Item Setup Form'!$E755,"")</f>
        <v/>
      </c>
      <c r="B751" s="70" t="str">
        <f>IF('Item Setup Form'!$AF755="Yes",'Item Setup Form'!D755,"")</f>
        <v/>
      </c>
      <c r="C751" s="81" t="str">
        <f>IF('Item Setup Form'!$AF755="Yes",'Item Setup Form'!L755,"")</f>
        <v/>
      </c>
      <c r="D751" s="81" t="str">
        <f>IF('Item Setup Form'!$AF755="Yes",'Item Setup Form'!M755,"")</f>
        <v/>
      </c>
      <c r="E751" s="70"/>
      <c r="F751" s="70" t="str">
        <f>IF('Item Setup Form'!$AF755="Yes",'Item Setup Form'!G755,"")</f>
        <v/>
      </c>
      <c r="G751" s="70" t="str">
        <f>IF('Item Setup Form'!$AF755="Yes",'Item Setup Form'!H755,"")</f>
        <v/>
      </c>
      <c r="H751" s="70" t="str">
        <f>IF('Item Setup Form'!$AF755="Yes",'Item Setup Form'!V755,"")</f>
        <v/>
      </c>
      <c r="I751" s="70"/>
      <c r="J751" s="70" t="str">
        <f>IF('Item Setup Form'!$AF755="Yes",'Item Setup Form'!U755,"")</f>
        <v/>
      </c>
      <c r="K751" s="70" t="str">
        <f>IF('Item Setup Form'!$AF755="Yes",'Item Setup Form'!V755,"")</f>
        <v/>
      </c>
      <c r="L751" s="70"/>
      <c r="M751" s="70" t="str">
        <f>IF('Item Setup Form'!$AF755="Yes",'Item Setup Form'!A755,"")</f>
        <v/>
      </c>
      <c r="N751" s="70"/>
      <c r="O751" s="70"/>
      <c r="P751" s="70"/>
      <c r="Q751" s="70"/>
      <c r="R751" s="70"/>
      <c r="S751" s="70"/>
      <c r="T751" s="70"/>
      <c r="U751" s="70"/>
      <c r="V751" s="70"/>
      <c r="W751" s="70"/>
      <c r="X751" s="70"/>
      <c r="Y751" s="70"/>
      <c r="Z751" s="70"/>
    </row>
    <row r="752" spans="1:26">
      <c r="A752" s="70" t="str">
        <f>IF('Item Setup Form'!$AF756="Yes",'Item Setup Form'!$E756,"")</f>
        <v/>
      </c>
      <c r="B752" s="70" t="str">
        <f>IF('Item Setup Form'!$AF756="Yes",'Item Setup Form'!D756,"")</f>
        <v/>
      </c>
      <c r="C752" s="81" t="str">
        <f>IF('Item Setup Form'!$AF756="Yes",'Item Setup Form'!L756,"")</f>
        <v/>
      </c>
      <c r="D752" s="81" t="str">
        <f>IF('Item Setup Form'!$AF756="Yes",'Item Setup Form'!M756,"")</f>
        <v/>
      </c>
      <c r="E752" s="70"/>
      <c r="F752" s="70" t="str">
        <f>IF('Item Setup Form'!$AF756="Yes",'Item Setup Form'!G756,"")</f>
        <v/>
      </c>
      <c r="G752" s="70" t="str">
        <f>IF('Item Setup Form'!$AF756="Yes",'Item Setup Form'!H756,"")</f>
        <v/>
      </c>
      <c r="H752" s="70" t="str">
        <f>IF('Item Setup Form'!$AF756="Yes",'Item Setup Form'!V756,"")</f>
        <v/>
      </c>
      <c r="I752" s="70"/>
      <c r="J752" s="70" t="str">
        <f>IF('Item Setup Form'!$AF756="Yes",'Item Setup Form'!U756,"")</f>
        <v/>
      </c>
      <c r="K752" s="70" t="str">
        <f>IF('Item Setup Form'!$AF756="Yes",'Item Setup Form'!V756,"")</f>
        <v/>
      </c>
      <c r="L752" s="70"/>
      <c r="M752" s="70" t="str">
        <f>IF('Item Setup Form'!$AF756="Yes",'Item Setup Form'!A756,"")</f>
        <v/>
      </c>
      <c r="N752" s="70"/>
      <c r="O752" s="70"/>
      <c r="P752" s="70"/>
      <c r="Q752" s="70"/>
      <c r="R752" s="70"/>
      <c r="S752" s="70"/>
      <c r="T752" s="70"/>
      <c r="U752" s="70"/>
      <c r="V752" s="70"/>
      <c r="W752" s="70"/>
      <c r="X752" s="70"/>
      <c r="Y752" s="70"/>
      <c r="Z752" s="70"/>
    </row>
    <row r="753" spans="1:26">
      <c r="A753" s="70" t="str">
        <f>IF('Item Setup Form'!$AF757="Yes",'Item Setup Form'!$E757,"")</f>
        <v/>
      </c>
      <c r="B753" s="70" t="str">
        <f>IF('Item Setup Form'!$AF757="Yes",'Item Setup Form'!D757,"")</f>
        <v/>
      </c>
      <c r="C753" s="81" t="str">
        <f>IF('Item Setup Form'!$AF757="Yes",'Item Setup Form'!L757,"")</f>
        <v/>
      </c>
      <c r="D753" s="81" t="str">
        <f>IF('Item Setup Form'!$AF757="Yes",'Item Setup Form'!M757,"")</f>
        <v/>
      </c>
      <c r="E753" s="70"/>
      <c r="F753" s="70" t="str">
        <f>IF('Item Setup Form'!$AF757="Yes",'Item Setup Form'!G757,"")</f>
        <v/>
      </c>
      <c r="G753" s="70" t="str">
        <f>IF('Item Setup Form'!$AF757="Yes",'Item Setup Form'!H757,"")</f>
        <v/>
      </c>
      <c r="H753" s="70" t="str">
        <f>IF('Item Setup Form'!$AF757="Yes",'Item Setup Form'!V757,"")</f>
        <v/>
      </c>
      <c r="I753" s="70"/>
      <c r="J753" s="70" t="str">
        <f>IF('Item Setup Form'!$AF757="Yes",'Item Setup Form'!U757,"")</f>
        <v/>
      </c>
      <c r="K753" s="70" t="str">
        <f>IF('Item Setup Form'!$AF757="Yes",'Item Setup Form'!V757,"")</f>
        <v/>
      </c>
      <c r="L753" s="70"/>
      <c r="M753" s="70" t="str">
        <f>IF('Item Setup Form'!$AF757="Yes",'Item Setup Form'!A757,"")</f>
        <v/>
      </c>
      <c r="N753" s="70"/>
      <c r="O753" s="70"/>
      <c r="P753" s="70"/>
      <c r="Q753" s="70"/>
      <c r="R753" s="70"/>
      <c r="S753" s="70"/>
      <c r="T753" s="70"/>
      <c r="U753" s="70"/>
      <c r="V753" s="70"/>
      <c r="W753" s="70"/>
      <c r="X753" s="70"/>
      <c r="Y753" s="70"/>
      <c r="Z753" s="70"/>
    </row>
    <row r="754" spans="1:26">
      <c r="A754" s="70" t="str">
        <f>IF('Item Setup Form'!$AF758="Yes",'Item Setup Form'!$E758,"")</f>
        <v/>
      </c>
      <c r="B754" s="70" t="str">
        <f>IF('Item Setup Form'!$AF758="Yes",'Item Setup Form'!D758,"")</f>
        <v/>
      </c>
      <c r="C754" s="81" t="str">
        <f>IF('Item Setup Form'!$AF758="Yes",'Item Setup Form'!L758,"")</f>
        <v/>
      </c>
      <c r="D754" s="81" t="str">
        <f>IF('Item Setup Form'!$AF758="Yes",'Item Setup Form'!M758,"")</f>
        <v/>
      </c>
      <c r="E754" s="70"/>
      <c r="F754" s="70" t="str">
        <f>IF('Item Setup Form'!$AF758="Yes",'Item Setup Form'!G758,"")</f>
        <v/>
      </c>
      <c r="G754" s="70" t="str">
        <f>IF('Item Setup Form'!$AF758="Yes",'Item Setup Form'!H758,"")</f>
        <v/>
      </c>
      <c r="H754" s="70" t="str">
        <f>IF('Item Setup Form'!$AF758="Yes",'Item Setup Form'!V758,"")</f>
        <v/>
      </c>
      <c r="I754" s="70"/>
      <c r="J754" s="70" t="str">
        <f>IF('Item Setup Form'!$AF758="Yes",'Item Setup Form'!U758,"")</f>
        <v/>
      </c>
      <c r="K754" s="70" t="str">
        <f>IF('Item Setup Form'!$AF758="Yes",'Item Setup Form'!V758,"")</f>
        <v/>
      </c>
      <c r="L754" s="70"/>
      <c r="M754" s="70" t="str">
        <f>IF('Item Setup Form'!$AF758="Yes",'Item Setup Form'!A758,"")</f>
        <v/>
      </c>
      <c r="N754" s="70"/>
      <c r="O754" s="70"/>
      <c r="P754" s="70"/>
      <c r="Q754" s="70"/>
      <c r="R754" s="70"/>
      <c r="S754" s="70"/>
      <c r="T754" s="70"/>
      <c r="U754" s="70"/>
      <c r="V754" s="70"/>
      <c r="W754" s="70"/>
      <c r="X754" s="70"/>
      <c r="Y754" s="70"/>
      <c r="Z754" s="70"/>
    </row>
    <row r="755" spans="1:26">
      <c r="A755" s="70" t="str">
        <f>IF('Item Setup Form'!$AF759="Yes",'Item Setup Form'!$E759,"")</f>
        <v/>
      </c>
      <c r="B755" s="70" t="str">
        <f>IF('Item Setup Form'!$AF759="Yes",'Item Setup Form'!D759,"")</f>
        <v/>
      </c>
      <c r="C755" s="81" t="str">
        <f>IF('Item Setup Form'!$AF759="Yes",'Item Setup Form'!L759,"")</f>
        <v/>
      </c>
      <c r="D755" s="81" t="str">
        <f>IF('Item Setup Form'!$AF759="Yes",'Item Setup Form'!M759,"")</f>
        <v/>
      </c>
      <c r="E755" s="70"/>
      <c r="F755" s="70" t="str">
        <f>IF('Item Setup Form'!$AF759="Yes",'Item Setup Form'!G759,"")</f>
        <v/>
      </c>
      <c r="G755" s="70" t="str">
        <f>IF('Item Setup Form'!$AF759="Yes",'Item Setup Form'!H759,"")</f>
        <v/>
      </c>
      <c r="H755" s="70" t="str">
        <f>IF('Item Setup Form'!$AF759="Yes",'Item Setup Form'!V759,"")</f>
        <v/>
      </c>
      <c r="I755" s="70"/>
      <c r="J755" s="70" t="str">
        <f>IF('Item Setup Form'!$AF759="Yes",'Item Setup Form'!U759,"")</f>
        <v/>
      </c>
      <c r="K755" s="70" t="str">
        <f>IF('Item Setup Form'!$AF759="Yes",'Item Setup Form'!V759,"")</f>
        <v/>
      </c>
      <c r="L755" s="70"/>
      <c r="M755" s="70" t="str">
        <f>IF('Item Setup Form'!$AF759="Yes",'Item Setup Form'!A759,"")</f>
        <v/>
      </c>
      <c r="N755" s="70"/>
      <c r="O755" s="70"/>
      <c r="P755" s="70"/>
      <c r="Q755" s="70"/>
      <c r="R755" s="70"/>
      <c r="S755" s="70"/>
      <c r="T755" s="70"/>
      <c r="U755" s="70"/>
      <c r="V755" s="70"/>
      <c r="W755" s="70"/>
      <c r="X755" s="70"/>
      <c r="Y755" s="70"/>
      <c r="Z755" s="70"/>
    </row>
    <row r="756" spans="1:26">
      <c r="A756" s="70" t="str">
        <f>IF('Item Setup Form'!$AF760="Yes",'Item Setup Form'!$E760,"")</f>
        <v/>
      </c>
      <c r="B756" s="70" t="str">
        <f>IF('Item Setup Form'!$AF760="Yes",'Item Setup Form'!D760,"")</f>
        <v/>
      </c>
      <c r="C756" s="81" t="str">
        <f>IF('Item Setup Form'!$AF760="Yes",'Item Setup Form'!L760,"")</f>
        <v/>
      </c>
      <c r="D756" s="81" t="str">
        <f>IF('Item Setup Form'!$AF760="Yes",'Item Setup Form'!M760,"")</f>
        <v/>
      </c>
      <c r="E756" s="70"/>
      <c r="F756" s="70" t="str">
        <f>IF('Item Setup Form'!$AF760="Yes",'Item Setup Form'!G760,"")</f>
        <v/>
      </c>
      <c r="G756" s="70" t="str">
        <f>IF('Item Setup Form'!$AF760="Yes",'Item Setup Form'!H760,"")</f>
        <v/>
      </c>
      <c r="H756" s="70" t="str">
        <f>IF('Item Setup Form'!$AF760="Yes",'Item Setup Form'!V760,"")</f>
        <v/>
      </c>
      <c r="I756" s="70"/>
      <c r="J756" s="70" t="str">
        <f>IF('Item Setup Form'!$AF760="Yes",'Item Setup Form'!U760,"")</f>
        <v/>
      </c>
      <c r="K756" s="70" t="str">
        <f>IF('Item Setup Form'!$AF760="Yes",'Item Setup Form'!V760,"")</f>
        <v/>
      </c>
      <c r="L756" s="70"/>
      <c r="M756" s="70" t="str">
        <f>IF('Item Setup Form'!$AF760="Yes",'Item Setup Form'!A760,"")</f>
        <v/>
      </c>
      <c r="N756" s="70"/>
      <c r="O756" s="70"/>
      <c r="P756" s="70"/>
      <c r="Q756" s="70"/>
      <c r="R756" s="70"/>
      <c r="S756" s="70"/>
      <c r="T756" s="70"/>
      <c r="U756" s="70"/>
      <c r="V756" s="70"/>
      <c r="W756" s="70"/>
      <c r="X756" s="70"/>
      <c r="Y756" s="70"/>
      <c r="Z756" s="70"/>
    </row>
    <row r="757" spans="1:26">
      <c r="A757" s="70" t="str">
        <f>IF('Item Setup Form'!$AF761="Yes",'Item Setup Form'!$E761,"")</f>
        <v/>
      </c>
      <c r="B757" s="70" t="str">
        <f>IF('Item Setup Form'!$AF761="Yes",'Item Setup Form'!D761,"")</f>
        <v/>
      </c>
      <c r="C757" s="81" t="str">
        <f>IF('Item Setup Form'!$AF761="Yes",'Item Setup Form'!L761,"")</f>
        <v/>
      </c>
      <c r="D757" s="81" t="str">
        <f>IF('Item Setup Form'!$AF761="Yes",'Item Setup Form'!M761,"")</f>
        <v/>
      </c>
      <c r="E757" s="70"/>
      <c r="F757" s="70" t="str">
        <f>IF('Item Setup Form'!$AF761="Yes",'Item Setup Form'!G761,"")</f>
        <v/>
      </c>
      <c r="G757" s="70" t="str">
        <f>IF('Item Setup Form'!$AF761="Yes",'Item Setup Form'!H761,"")</f>
        <v/>
      </c>
      <c r="H757" s="70" t="str">
        <f>IF('Item Setup Form'!$AF761="Yes",'Item Setup Form'!V761,"")</f>
        <v/>
      </c>
      <c r="I757" s="70"/>
      <c r="J757" s="70" t="str">
        <f>IF('Item Setup Form'!$AF761="Yes",'Item Setup Form'!U761,"")</f>
        <v/>
      </c>
      <c r="K757" s="70" t="str">
        <f>IF('Item Setup Form'!$AF761="Yes",'Item Setup Form'!V761,"")</f>
        <v/>
      </c>
      <c r="L757" s="70"/>
      <c r="M757" s="70" t="str">
        <f>IF('Item Setup Form'!$AF761="Yes",'Item Setup Form'!A761,"")</f>
        <v/>
      </c>
      <c r="N757" s="70"/>
      <c r="O757" s="70"/>
      <c r="P757" s="70"/>
      <c r="Q757" s="70"/>
      <c r="R757" s="70"/>
      <c r="S757" s="70"/>
      <c r="T757" s="70"/>
      <c r="U757" s="70"/>
      <c r="V757" s="70"/>
      <c r="W757" s="70"/>
      <c r="X757" s="70"/>
      <c r="Y757" s="70"/>
      <c r="Z757" s="70"/>
    </row>
    <row r="758" spans="1:26">
      <c r="A758" s="70" t="str">
        <f>IF('Item Setup Form'!$AF762="Yes",'Item Setup Form'!$E762,"")</f>
        <v/>
      </c>
      <c r="B758" s="70" t="str">
        <f>IF('Item Setup Form'!$AF762="Yes",'Item Setup Form'!D762,"")</f>
        <v/>
      </c>
      <c r="C758" s="81" t="str">
        <f>IF('Item Setup Form'!$AF762="Yes",'Item Setup Form'!L762,"")</f>
        <v/>
      </c>
      <c r="D758" s="81" t="str">
        <f>IF('Item Setup Form'!$AF762="Yes",'Item Setup Form'!M762,"")</f>
        <v/>
      </c>
      <c r="E758" s="70"/>
      <c r="F758" s="70" t="str">
        <f>IF('Item Setup Form'!$AF762="Yes",'Item Setup Form'!G762,"")</f>
        <v/>
      </c>
      <c r="G758" s="70" t="str">
        <f>IF('Item Setup Form'!$AF762="Yes",'Item Setup Form'!H762,"")</f>
        <v/>
      </c>
      <c r="H758" s="70" t="str">
        <f>IF('Item Setup Form'!$AF762="Yes",'Item Setup Form'!V762,"")</f>
        <v/>
      </c>
      <c r="I758" s="70"/>
      <c r="J758" s="70" t="str">
        <f>IF('Item Setup Form'!$AF762="Yes",'Item Setup Form'!U762,"")</f>
        <v/>
      </c>
      <c r="K758" s="70" t="str">
        <f>IF('Item Setup Form'!$AF762="Yes",'Item Setup Form'!V762,"")</f>
        <v/>
      </c>
      <c r="L758" s="70"/>
      <c r="M758" s="70" t="str">
        <f>IF('Item Setup Form'!$AF762="Yes",'Item Setup Form'!A762,"")</f>
        <v/>
      </c>
      <c r="N758" s="70"/>
      <c r="O758" s="70"/>
      <c r="P758" s="70"/>
      <c r="Q758" s="70"/>
      <c r="R758" s="70"/>
      <c r="S758" s="70"/>
      <c r="T758" s="70"/>
      <c r="U758" s="70"/>
      <c r="V758" s="70"/>
      <c r="W758" s="70"/>
      <c r="X758" s="70"/>
      <c r="Y758" s="70"/>
      <c r="Z758" s="70"/>
    </row>
    <row r="759" spans="1:26">
      <c r="A759" s="70" t="str">
        <f>IF('Item Setup Form'!$AF763="Yes",'Item Setup Form'!$E763,"")</f>
        <v/>
      </c>
      <c r="B759" s="70" t="str">
        <f>IF('Item Setup Form'!$AF763="Yes",'Item Setup Form'!D763,"")</f>
        <v/>
      </c>
      <c r="C759" s="81" t="str">
        <f>IF('Item Setup Form'!$AF763="Yes",'Item Setup Form'!L763,"")</f>
        <v/>
      </c>
      <c r="D759" s="81" t="str">
        <f>IF('Item Setup Form'!$AF763="Yes",'Item Setup Form'!M763,"")</f>
        <v/>
      </c>
      <c r="E759" s="70"/>
      <c r="F759" s="70" t="str">
        <f>IF('Item Setup Form'!$AF763="Yes",'Item Setup Form'!G763,"")</f>
        <v/>
      </c>
      <c r="G759" s="70" t="str">
        <f>IF('Item Setup Form'!$AF763="Yes",'Item Setup Form'!H763,"")</f>
        <v/>
      </c>
      <c r="H759" s="70" t="str">
        <f>IF('Item Setup Form'!$AF763="Yes",'Item Setup Form'!V763,"")</f>
        <v/>
      </c>
      <c r="I759" s="70"/>
      <c r="J759" s="70" t="str">
        <f>IF('Item Setup Form'!$AF763="Yes",'Item Setup Form'!U763,"")</f>
        <v/>
      </c>
      <c r="K759" s="70" t="str">
        <f>IF('Item Setup Form'!$AF763="Yes",'Item Setup Form'!V763,"")</f>
        <v/>
      </c>
      <c r="L759" s="70"/>
      <c r="M759" s="70" t="str">
        <f>IF('Item Setup Form'!$AF763="Yes",'Item Setup Form'!A763,"")</f>
        <v/>
      </c>
      <c r="N759" s="70"/>
      <c r="O759" s="70"/>
      <c r="P759" s="70"/>
      <c r="Q759" s="70"/>
      <c r="R759" s="70"/>
      <c r="S759" s="70"/>
      <c r="T759" s="70"/>
      <c r="U759" s="70"/>
      <c r="V759" s="70"/>
      <c r="W759" s="70"/>
      <c r="X759" s="70"/>
      <c r="Y759" s="70"/>
      <c r="Z759" s="70"/>
    </row>
    <row r="760" spans="1:26">
      <c r="A760" s="70" t="str">
        <f>IF('Item Setup Form'!$AF764="Yes",'Item Setup Form'!$E764,"")</f>
        <v/>
      </c>
      <c r="B760" s="70" t="str">
        <f>IF('Item Setup Form'!$AF764="Yes",'Item Setup Form'!D764,"")</f>
        <v/>
      </c>
      <c r="C760" s="81" t="str">
        <f>IF('Item Setup Form'!$AF764="Yes",'Item Setup Form'!L764,"")</f>
        <v/>
      </c>
      <c r="D760" s="81" t="str">
        <f>IF('Item Setup Form'!$AF764="Yes",'Item Setup Form'!M764,"")</f>
        <v/>
      </c>
      <c r="E760" s="70"/>
      <c r="F760" s="70" t="str">
        <f>IF('Item Setup Form'!$AF764="Yes",'Item Setup Form'!G764,"")</f>
        <v/>
      </c>
      <c r="G760" s="70" t="str">
        <f>IF('Item Setup Form'!$AF764="Yes",'Item Setup Form'!H764,"")</f>
        <v/>
      </c>
      <c r="H760" s="70" t="str">
        <f>IF('Item Setup Form'!$AF764="Yes",'Item Setup Form'!V764,"")</f>
        <v/>
      </c>
      <c r="I760" s="70"/>
      <c r="J760" s="70" t="str">
        <f>IF('Item Setup Form'!$AF764="Yes",'Item Setup Form'!U764,"")</f>
        <v/>
      </c>
      <c r="K760" s="70" t="str">
        <f>IF('Item Setup Form'!$AF764="Yes",'Item Setup Form'!V764,"")</f>
        <v/>
      </c>
      <c r="L760" s="70"/>
      <c r="M760" s="70" t="str">
        <f>IF('Item Setup Form'!$AF764="Yes",'Item Setup Form'!A764,"")</f>
        <v/>
      </c>
      <c r="N760" s="70"/>
      <c r="O760" s="70"/>
      <c r="P760" s="70"/>
      <c r="Q760" s="70"/>
      <c r="R760" s="70"/>
      <c r="S760" s="70"/>
      <c r="T760" s="70"/>
      <c r="U760" s="70"/>
      <c r="V760" s="70"/>
      <c r="W760" s="70"/>
      <c r="X760" s="70"/>
      <c r="Y760" s="70"/>
      <c r="Z760" s="70"/>
    </row>
    <row r="761" spans="1:26">
      <c r="A761" s="70" t="str">
        <f>IF('Item Setup Form'!$AF765="Yes",'Item Setup Form'!$E765,"")</f>
        <v/>
      </c>
      <c r="B761" s="70" t="str">
        <f>IF('Item Setup Form'!$AF765="Yes",'Item Setup Form'!D765,"")</f>
        <v/>
      </c>
      <c r="C761" s="81" t="str">
        <f>IF('Item Setup Form'!$AF765="Yes",'Item Setup Form'!L765,"")</f>
        <v/>
      </c>
      <c r="D761" s="81" t="str">
        <f>IF('Item Setup Form'!$AF765="Yes",'Item Setup Form'!M765,"")</f>
        <v/>
      </c>
      <c r="E761" s="70"/>
      <c r="F761" s="70" t="str">
        <f>IF('Item Setup Form'!$AF765="Yes",'Item Setup Form'!G765,"")</f>
        <v/>
      </c>
      <c r="G761" s="70" t="str">
        <f>IF('Item Setup Form'!$AF765="Yes",'Item Setup Form'!H765,"")</f>
        <v/>
      </c>
      <c r="H761" s="70" t="str">
        <f>IF('Item Setup Form'!$AF765="Yes",'Item Setup Form'!V765,"")</f>
        <v/>
      </c>
      <c r="I761" s="70"/>
      <c r="J761" s="70" t="str">
        <f>IF('Item Setup Form'!$AF765="Yes",'Item Setup Form'!U765,"")</f>
        <v/>
      </c>
      <c r="K761" s="70" t="str">
        <f>IF('Item Setup Form'!$AF765="Yes",'Item Setup Form'!V765,"")</f>
        <v/>
      </c>
      <c r="L761" s="70"/>
      <c r="M761" s="70" t="str">
        <f>IF('Item Setup Form'!$AF765="Yes",'Item Setup Form'!A765,"")</f>
        <v/>
      </c>
      <c r="N761" s="70"/>
      <c r="O761" s="70"/>
      <c r="P761" s="70"/>
      <c r="Q761" s="70"/>
      <c r="R761" s="70"/>
      <c r="S761" s="70"/>
      <c r="T761" s="70"/>
      <c r="U761" s="70"/>
      <c r="V761" s="70"/>
      <c r="W761" s="70"/>
      <c r="X761" s="70"/>
      <c r="Y761" s="70"/>
      <c r="Z761" s="70"/>
    </row>
    <row r="762" spans="1:26">
      <c r="A762" s="70" t="str">
        <f>IF('Item Setup Form'!$AF766="Yes",'Item Setup Form'!$E766,"")</f>
        <v/>
      </c>
      <c r="B762" s="70" t="str">
        <f>IF('Item Setup Form'!$AF766="Yes",'Item Setup Form'!D766,"")</f>
        <v/>
      </c>
      <c r="C762" s="81" t="str">
        <f>IF('Item Setup Form'!$AF766="Yes",'Item Setup Form'!L766,"")</f>
        <v/>
      </c>
      <c r="D762" s="81" t="str">
        <f>IF('Item Setup Form'!$AF766="Yes",'Item Setup Form'!M766,"")</f>
        <v/>
      </c>
      <c r="E762" s="70"/>
      <c r="F762" s="70" t="str">
        <f>IF('Item Setup Form'!$AF766="Yes",'Item Setup Form'!G766,"")</f>
        <v/>
      </c>
      <c r="G762" s="70" t="str">
        <f>IF('Item Setup Form'!$AF766="Yes",'Item Setup Form'!H766,"")</f>
        <v/>
      </c>
      <c r="H762" s="70" t="str">
        <f>IF('Item Setup Form'!$AF766="Yes",'Item Setup Form'!V766,"")</f>
        <v/>
      </c>
      <c r="I762" s="70"/>
      <c r="J762" s="70" t="str">
        <f>IF('Item Setup Form'!$AF766="Yes",'Item Setup Form'!U766,"")</f>
        <v/>
      </c>
      <c r="K762" s="70" t="str">
        <f>IF('Item Setup Form'!$AF766="Yes",'Item Setup Form'!V766,"")</f>
        <v/>
      </c>
      <c r="L762" s="70"/>
      <c r="M762" s="70" t="str">
        <f>IF('Item Setup Form'!$AF766="Yes",'Item Setup Form'!A766,"")</f>
        <v/>
      </c>
      <c r="N762" s="70"/>
      <c r="O762" s="70"/>
      <c r="P762" s="70"/>
      <c r="Q762" s="70"/>
      <c r="R762" s="70"/>
      <c r="S762" s="70"/>
      <c r="T762" s="70"/>
      <c r="U762" s="70"/>
      <c r="V762" s="70"/>
      <c r="W762" s="70"/>
      <c r="X762" s="70"/>
      <c r="Y762" s="70"/>
      <c r="Z762" s="70"/>
    </row>
    <row r="763" spans="1:26">
      <c r="A763" s="70" t="str">
        <f>IF('Item Setup Form'!$AF767="Yes",'Item Setup Form'!$E767,"")</f>
        <v/>
      </c>
      <c r="B763" s="70" t="str">
        <f>IF('Item Setup Form'!$AF767="Yes",'Item Setup Form'!D767,"")</f>
        <v/>
      </c>
      <c r="C763" s="81" t="str">
        <f>IF('Item Setup Form'!$AF767="Yes",'Item Setup Form'!L767,"")</f>
        <v/>
      </c>
      <c r="D763" s="81" t="str">
        <f>IF('Item Setup Form'!$AF767="Yes",'Item Setup Form'!M767,"")</f>
        <v/>
      </c>
      <c r="E763" s="70"/>
      <c r="F763" s="70" t="str">
        <f>IF('Item Setup Form'!$AF767="Yes",'Item Setup Form'!G767,"")</f>
        <v/>
      </c>
      <c r="G763" s="70" t="str">
        <f>IF('Item Setup Form'!$AF767="Yes",'Item Setup Form'!H767,"")</f>
        <v/>
      </c>
      <c r="H763" s="70" t="str">
        <f>IF('Item Setup Form'!$AF767="Yes",'Item Setup Form'!V767,"")</f>
        <v/>
      </c>
      <c r="I763" s="70"/>
      <c r="J763" s="70" t="str">
        <f>IF('Item Setup Form'!$AF767="Yes",'Item Setup Form'!U767,"")</f>
        <v/>
      </c>
      <c r="K763" s="70" t="str">
        <f>IF('Item Setup Form'!$AF767="Yes",'Item Setup Form'!V767,"")</f>
        <v/>
      </c>
      <c r="L763" s="70"/>
      <c r="M763" s="70" t="str">
        <f>IF('Item Setup Form'!$AF767="Yes",'Item Setup Form'!A767,"")</f>
        <v/>
      </c>
      <c r="N763" s="70"/>
      <c r="O763" s="70"/>
      <c r="P763" s="70"/>
      <c r="Q763" s="70"/>
      <c r="R763" s="70"/>
      <c r="S763" s="70"/>
      <c r="T763" s="70"/>
      <c r="U763" s="70"/>
      <c r="V763" s="70"/>
      <c r="W763" s="70"/>
      <c r="X763" s="70"/>
      <c r="Y763" s="70"/>
      <c r="Z763" s="70"/>
    </row>
    <row r="764" spans="1:26">
      <c r="A764" s="70" t="str">
        <f>IF('Item Setup Form'!$AF768="Yes",'Item Setup Form'!$E768,"")</f>
        <v/>
      </c>
      <c r="B764" s="70" t="str">
        <f>IF('Item Setup Form'!$AF768="Yes",'Item Setup Form'!D768,"")</f>
        <v/>
      </c>
      <c r="C764" s="81" t="str">
        <f>IF('Item Setup Form'!$AF768="Yes",'Item Setup Form'!L768,"")</f>
        <v/>
      </c>
      <c r="D764" s="81" t="str">
        <f>IF('Item Setup Form'!$AF768="Yes",'Item Setup Form'!M768,"")</f>
        <v/>
      </c>
      <c r="E764" s="70"/>
      <c r="F764" s="70" t="str">
        <f>IF('Item Setup Form'!$AF768="Yes",'Item Setup Form'!G768,"")</f>
        <v/>
      </c>
      <c r="G764" s="70" t="str">
        <f>IF('Item Setup Form'!$AF768="Yes",'Item Setup Form'!H768,"")</f>
        <v/>
      </c>
      <c r="H764" s="70" t="str">
        <f>IF('Item Setup Form'!$AF768="Yes",'Item Setup Form'!V768,"")</f>
        <v/>
      </c>
      <c r="I764" s="70"/>
      <c r="J764" s="70" t="str">
        <f>IF('Item Setup Form'!$AF768="Yes",'Item Setup Form'!U768,"")</f>
        <v/>
      </c>
      <c r="K764" s="70" t="str">
        <f>IF('Item Setup Form'!$AF768="Yes",'Item Setup Form'!V768,"")</f>
        <v/>
      </c>
      <c r="L764" s="70"/>
      <c r="M764" s="70" t="str">
        <f>IF('Item Setup Form'!$AF768="Yes",'Item Setup Form'!A768,"")</f>
        <v/>
      </c>
      <c r="N764" s="70"/>
      <c r="O764" s="70"/>
      <c r="P764" s="70"/>
      <c r="Q764" s="70"/>
      <c r="R764" s="70"/>
      <c r="S764" s="70"/>
      <c r="T764" s="70"/>
      <c r="U764" s="70"/>
      <c r="V764" s="70"/>
      <c r="W764" s="70"/>
      <c r="X764" s="70"/>
      <c r="Y764" s="70"/>
      <c r="Z764" s="70"/>
    </row>
    <row r="765" spans="1:26">
      <c r="A765" s="70" t="str">
        <f>IF('Item Setup Form'!$AF769="Yes",'Item Setup Form'!$E769,"")</f>
        <v/>
      </c>
      <c r="B765" s="70" t="str">
        <f>IF('Item Setup Form'!$AF769="Yes",'Item Setup Form'!D769,"")</f>
        <v/>
      </c>
      <c r="C765" s="81" t="str">
        <f>IF('Item Setup Form'!$AF769="Yes",'Item Setup Form'!L769,"")</f>
        <v/>
      </c>
      <c r="D765" s="81" t="str">
        <f>IF('Item Setup Form'!$AF769="Yes",'Item Setup Form'!M769,"")</f>
        <v/>
      </c>
      <c r="E765" s="70"/>
      <c r="F765" s="70" t="str">
        <f>IF('Item Setup Form'!$AF769="Yes",'Item Setup Form'!G769,"")</f>
        <v/>
      </c>
      <c r="G765" s="70" t="str">
        <f>IF('Item Setup Form'!$AF769="Yes",'Item Setup Form'!H769,"")</f>
        <v/>
      </c>
      <c r="H765" s="70" t="str">
        <f>IF('Item Setup Form'!$AF769="Yes",'Item Setup Form'!V769,"")</f>
        <v/>
      </c>
      <c r="I765" s="70"/>
      <c r="J765" s="70" t="str">
        <f>IF('Item Setup Form'!$AF769="Yes",'Item Setup Form'!U769,"")</f>
        <v/>
      </c>
      <c r="K765" s="70" t="str">
        <f>IF('Item Setup Form'!$AF769="Yes",'Item Setup Form'!V769,"")</f>
        <v/>
      </c>
      <c r="L765" s="70"/>
      <c r="M765" s="70" t="str">
        <f>IF('Item Setup Form'!$AF769="Yes",'Item Setup Form'!A769,"")</f>
        <v/>
      </c>
      <c r="N765" s="70"/>
      <c r="O765" s="70"/>
      <c r="P765" s="70"/>
      <c r="Q765" s="70"/>
      <c r="R765" s="70"/>
      <c r="S765" s="70"/>
      <c r="T765" s="70"/>
      <c r="U765" s="70"/>
      <c r="V765" s="70"/>
      <c r="W765" s="70"/>
      <c r="X765" s="70"/>
      <c r="Y765" s="70"/>
      <c r="Z765" s="70"/>
    </row>
    <row r="766" spans="1:26">
      <c r="A766" s="70" t="str">
        <f>IF('Item Setup Form'!$AF770="Yes",'Item Setup Form'!$E770,"")</f>
        <v/>
      </c>
      <c r="B766" s="70" t="str">
        <f>IF('Item Setup Form'!$AF770="Yes",'Item Setup Form'!D770,"")</f>
        <v/>
      </c>
      <c r="C766" s="81" t="str">
        <f>IF('Item Setup Form'!$AF770="Yes",'Item Setup Form'!L770,"")</f>
        <v/>
      </c>
      <c r="D766" s="81" t="str">
        <f>IF('Item Setup Form'!$AF770="Yes",'Item Setup Form'!M770,"")</f>
        <v/>
      </c>
      <c r="E766" s="70"/>
      <c r="F766" s="70" t="str">
        <f>IF('Item Setup Form'!$AF770="Yes",'Item Setup Form'!G770,"")</f>
        <v/>
      </c>
      <c r="G766" s="70" t="str">
        <f>IF('Item Setup Form'!$AF770="Yes",'Item Setup Form'!H770,"")</f>
        <v/>
      </c>
      <c r="H766" s="70" t="str">
        <f>IF('Item Setup Form'!$AF770="Yes",'Item Setup Form'!V770,"")</f>
        <v/>
      </c>
      <c r="I766" s="70"/>
      <c r="J766" s="70" t="str">
        <f>IF('Item Setup Form'!$AF770="Yes",'Item Setup Form'!U770,"")</f>
        <v/>
      </c>
      <c r="K766" s="70" t="str">
        <f>IF('Item Setup Form'!$AF770="Yes",'Item Setup Form'!V770,"")</f>
        <v/>
      </c>
      <c r="L766" s="70"/>
      <c r="M766" s="70" t="str">
        <f>IF('Item Setup Form'!$AF770="Yes",'Item Setup Form'!A770,"")</f>
        <v/>
      </c>
      <c r="N766" s="70"/>
      <c r="O766" s="70"/>
      <c r="P766" s="70"/>
      <c r="Q766" s="70"/>
      <c r="R766" s="70"/>
      <c r="S766" s="70"/>
      <c r="T766" s="70"/>
      <c r="U766" s="70"/>
      <c r="V766" s="70"/>
      <c r="W766" s="70"/>
      <c r="X766" s="70"/>
      <c r="Y766" s="70"/>
      <c r="Z766" s="70"/>
    </row>
    <row r="767" spans="1:26">
      <c r="A767" s="70" t="str">
        <f>IF('Item Setup Form'!$AF771="Yes",'Item Setup Form'!$E771,"")</f>
        <v/>
      </c>
      <c r="B767" s="70" t="str">
        <f>IF('Item Setup Form'!$AF771="Yes",'Item Setup Form'!D771,"")</f>
        <v/>
      </c>
      <c r="C767" s="81" t="str">
        <f>IF('Item Setup Form'!$AF771="Yes",'Item Setup Form'!L771,"")</f>
        <v/>
      </c>
      <c r="D767" s="81" t="str">
        <f>IF('Item Setup Form'!$AF771="Yes",'Item Setup Form'!M771,"")</f>
        <v/>
      </c>
      <c r="E767" s="70"/>
      <c r="F767" s="70" t="str">
        <f>IF('Item Setup Form'!$AF771="Yes",'Item Setup Form'!G771,"")</f>
        <v/>
      </c>
      <c r="G767" s="70" t="str">
        <f>IF('Item Setup Form'!$AF771="Yes",'Item Setup Form'!H771,"")</f>
        <v/>
      </c>
      <c r="H767" s="70" t="str">
        <f>IF('Item Setup Form'!$AF771="Yes",'Item Setup Form'!V771,"")</f>
        <v/>
      </c>
      <c r="I767" s="70"/>
      <c r="J767" s="70" t="str">
        <f>IF('Item Setup Form'!$AF771="Yes",'Item Setup Form'!U771,"")</f>
        <v/>
      </c>
      <c r="K767" s="70" t="str">
        <f>IF('Item Setup Form'!$AF771="Yes",'Item Setup Form'!V771,"")</f>
        <v/>
      </c>
      <c r="L767" s="70"/>
      <c r="M767" s="70" t="str">
        <f>IF('Item Setup Form'!$AF771="Yes",'Item Setup Form'!A771,"")</f>
        <v/>
      </c>
      <c r="N767" s="70"/>
      <c r="O767" s="70"/>
      <c r="P767" s="70"/>
      <c r="Q767" s="70"/>
      <c r="R767" s="70"/>
      <c r="S767" s="70"/>
      <c r="T767" s="70"/>
      <c r="U767" s="70"/>
      <c r="V767" s="70"/>
      <c r="W767" s="70"/>
      <c r="X767" s="70"/>
      <c r="Y767" s="70"/>
      <c r="Z767" s="70"/>
    </row>
    <row r="768" spans="1:26">
      <c r="A768" s="70" t="str">
        <f>IF('Item Setup Form'!$AF772="Yes",'Item Setup Form'!$E772,"")</f>
        <v/>
      </c>
      <c r="B768" s="70" t="str">
        <f>IF('Item Setup Form'!$AF772="Yes",'Item Setup Form'!D772,"")</f>
        <v/>
      </c>
      <c r="C768" s="81" t="str">
        <f>IF('Item Setup Form'!$AF772="Yes",'Item Setup Form'!L772,"")</f>
        <v/>
      </c>
      <c r="D768" s="81" t="str">
        <f>IF('Item Setup Form'!$AF772="Yes",'Item Setup Form'!M772,"")</f>
        <v/>
      </c>
      <c r="E768" s="70"/>
      <c r="F768" s="70" t="str">
        <f>IF('Item Setup Form'!$AF772="Yes",'Item Setup Form'!G772,"")</f>
        <v/>
      </c>
      <c r="G768" s="70" t="str">
        <f>IF('Item Setup Form'!$AF772="Yes",'Item Setup Form'!H772,"")</f>
        <v/>
      </c>
      <c r="H768" s="70" t="str">
        <f>IF('Item Setup Form'!$AF772="Yes",'Item Setup Form'!V772,"")</f>
        <v/>
      </c>
      <c r="I768" s="70"/>
      <c r="J768" s="70" t="str">
        <f>IF('Item Setup Form'!$AF772="Yes",'Item Setup Form'!U772,"")</f>
        <v/>
      </c>
      <c r="K768" s="70" t="str">
        <f>IF('Item Setup Form'!$AF772="Yes",'Item Setup Form'!V772,"")</f>
        <v/>
      </c>
      <c r="L768" s="70"/>
      <c r="M768" s="70" t="str">
        <f>IF('Item Setup Form'!$AF772="Yes",'Item Setup Form'!A772,"")</f>
        <v/>
      </c>
      <c r="N768" s="70"/>
      <c r="O768" s="70"/>
      <c r="P768" s="70"/>
      <c r="Q768" s="70"/>
      <c r="R768" s="70"/>
      <c r="S768" s="70"/>
      <c r="T768" s="70"/>
      <c r="U768" s="70"/>
      <c r="V768" s="70"/>
      <c r="W768" s="70"/>
      <c r="X768" s="70"/>
      <c r="Y768" s="70"/>
      <c r="Z768" s="70"/>
    </row>
    <row r="769" spans="1:26">
      <c r="A769" s="70" t="str">
        <f>IF('Item Setup Form'!$AF773="Yes",'Item Setup Form'!$E773,"")</f>
        <v/>
      </c>
      <c r="B769" s="70" t="str">
        <f>IF('Item Setup Form'!$AF773="Yes",'Item Setup Form'!D773,"")</f>
        <v/>
      </c>
      <c r="C769" s="81" t="str">
        <f>IF('Item Setup Form'!$AF773="Yes",'Item Setup Form'!L773,"")</f>
        <v/>
      </c>
      <c r="D769" s="81" t="str">
        <f>IF('Item Setup Form'!$AF773="Yes",'Item Setup Form'!M773,"")</f>
        <v/>
      </c>
      <c r="E769" s="70"/>
      <c r="F769" s="70" t="str">
        <f>IF('Item Setup Form'!$AF773="Yes",'Item Setup Form'!G773,"")</f>
        <v/>
      </c>
      <c r="G769" s="70" t="str">
        <f>IF('Item Setup Form'!$AF773="Yes",'Item Setup Form'!H773,"")</f>
        <v/>
      </c>
      <c r="H769" s="70" t="str">
        <f>IF('Item Setup Form'!$AF773="Yes",'Item Setup Form'!V773,"")</f>
        <v/>
      </c>
      <c r="I769" s="70"/>
      <c r="J769" s="70" t="str">
        <f>IF('Item Setup Form'!$AF773="Yes",'Item Setup Form'!U773,"")</f>
        <v/>
      </c>
      <c r="K769" s="70" t="str">
        <f>IF('Item Setup Form'!$AF773="Yes",'Item Setup Form'!V773,"")</f>
        <v/>
      </c>
      <c r="L769" s="70"/>
      <c r="M769" s="70" t="str">
        <f>IF('Item Setup Form'!$AF773="Yes",'Item Setup Form'!A773,"")</f>
        <v/>
      </c>
      <c r="N769" s="70"/>
      <c r="O769" s="70"/>
      <c r="P769" s="70"/>
      <c r="Q769" s="70"/>
      <c r="R769" s="70"/>
      <c r="S769" s="70"/>
      <c r="T769" s="70"/>
      <c r="U769" s="70"/>
      <c r="V769" s="70"/>
      <c r="W769" s="70"/>
      <c r="X769" s="70"/>
      <c r="Y769" s="70"/>
      <c r="Z769" s="70"/>
    </row>
    <row r="770" spans="1:26">
      <c r="A770" s="70" t="str">
        <f>IF('Item Setup Form'!$AF774="Yes",'Item Setup Form'!$E774,"")</f>
        <v/>
      </c>
      <c r="B770" s="70" t="str">
        <f>IF('Item Setup Form'!$AF774="Yes",'Item Setup Form'!D774,"")</f>
        <v/>
      </c>
      <c r="C770" s="81" t="str">
        <f>IF('Item Setup Form'!$AF774="Yes",'Item Setup Form'!L774,"")</f>
        <v/>
      </c>
      <c r="D770" s="81" t="str">
        <f>IF('Item Setup Form'!$AF774="Yes",'Item Setup Form'!M774,"")</f>
        <v/>
      </c>
      <c r="E770" s="70"/>
      <c r="F770" s="70" t="str">
        <f>IF('Item Setup Form'!$AF774="Yes",'Item Setup Form'!G774,"")</f>
        <v/>
      </c>
      <c r="G770" s="70" t="str">
        <f>IF('Item Setup Form'!$AF774="Yes",'Item Setup Form'!H774,"")</f>
        <v/>
      </c>
      <c r="H770" s="70" t="str">
        <f>IF('Item Setup Form'!$AF774="Yes",'Item Setup Form'!V774,"")</f>
        <v/>
      </c>
      <c r="I770" s="70"/>
      <c r="J770" s="70" t="str">
        <f>IF('Item Setup Form'!$AF774="Yes",'Item Setup Form'!U774,"")</f>
        <v/>
      </c>
      <c r="K770" s="70" t="str">
        <f>IF('Item Setup Form'!$AF774="Yes",'Item Setup Form'!V774,"")</f>
        <v/>
      </c>
      <c r="L770" s="70"/>
      <c r="M770" s="70" t="str">
        <f>IF('Item Setup Form'!$AF774="Yes",'Item Setup Form'!A774,"")</f>
        <v/>
      </c>
      <c r="N770" s="70"/>
      <c r="O770" s="70"/>
      <c r="P770" s="70"/>
      <c r="Q770" s="70"/>
      <c r="R770" s="70"/>
      <c r="S770" s="70"/>
      <c r="T770" s="70"/>
      <c r="U770" s="70"/>
      <c r="V770" s="70"/>
      <c r="W770" s="70"/>
      <c r="X770" s="70"/>
      <c r="Y770" s="70"/>
      <c r="Z770" s="70"/>
    </row>
    <row r="771" spans="1:26">
      <c r="A771" s="70" t="str">
        <f>IF('Item Setup Form'!$AF775="Yes",'Item Setup Form'!$E775,"")</f>
        <v/>
      </c>
      <c r="B771" s="70" t="str">
        <f>IF('Item Setup Form'!$AF775="Yes",'Item Setup Form'!D775,"")</f>
        <v/>
      </c>
      <c r="C771" s="81" t="str">
        <f>IF('Item Setup Form'!$AF775="Yes",'Item Setup Form'!L775,"")</f>
        <v/>
      </c>
      <c r="D771" s="81" t="str">
        <f>IF('Item Setup Form'!$AF775="Yes",'Item Setup Form'!M775,"")</f>
        <v/>
      </c>
      <c r="E771" s="70"/>
      <c r="F771" s="70" t="str">
        <f>IF('Item Setup Form'!$AF775="Yes",'Item Setup Form'!G775,"")</f>
        <v/>
      </c>
      <c r="G771" s="70" t="str">
        <f>IF('Item Setup Form'!$AF775="Yes",'Item Setup Form'!H775,"")</f>
        <v/>
      </c>
      <c r="H771" s="70" t="str">
        <f>IF('Item Setup Form'!$AF775="Yes",'Item Setup Form'!V775,"")</f>
        <v/>
      </c>
      <c r="I771" s="70"/>
      <c r="J771" s="70" t="str">
        <f>IF('Item Setup Form'!$AF775="Yes",'Item Setup Form'!U775,"")</f>
        <v/>
      </c>
      <c r="K771" s="70" t="str">
        <f>IF('Item Setup Form'!$AF775="Yes",'Item Setup Form'!V775,"")</f>
        <v/>
      </c>
      <c r="L771" s="70"/>
      <c r="M771" s="70" t="str">
        <f>IF('Item Setup Form'!$AF775="Yes",'Item Setup Form'!A775,"")</f>
        <v/>
      </c>
      <c r="N771" s="70"/>
      <c r="O771" s="70"/>
      <c r="P771" s="70"/>
      <c r="Q771" s="70"/>
      <c r="R771" s="70"/>
      <c r="S771" s="70"/>
      <c r="T771" s="70"/>
      <c r="U771" s="70"/>
      <c r="V771" s="70"/>
      <c r="W771" s="70"/>
      <c r="X771" s="70"/>
      <c r="Y771" s="70"/>
      <c r="Z771" s="70"/>
    </row>
    <row r="772" spans="1:26">
      <c r="A772" s="70" t="str">
        <f>IF('Item Setup Form'!$AF776="Yes",'Item Setup Form'!$E776,"")</f>
        <v/>
      </c>
      <c r="B772" s="70" t="str">
        <f>IF('Item Setup Form'!$AF776="Yes",'Item Setup Form'!D776,"")</f>
        <v/>
      </c>
      <c r="C772" s="81" t="str">
        <f>IF('Item Setup Form'!$AF776="Yes",'Item Setup Form'!L776,"")</f>
        <v/>
      </c>
      <c r="D772" s="81" t="str">
        <f>IF('Item Setup Form'!$AF776="Yes",'Item Setup Form'!M776,"")</f>
        <v/>
      </c>
      <c r="E772" s="70"/>
      <c r="F772" s="70" t="str">
        <f>IF('Item Setup Form'!$AF776="Yes",'Item Setup Form'!G776,"")</f>
        <v/>
      </c>
      <c r="G772" s="70" t="str">
        <f>IF('Item Setup Form'!$AF776="Yes",'Item Setup Form'!H776,"")</f>
        <v/>
      </c>
      <c r="H772" s="70" t="str">
        <f>IF('Item Setup Form'!$AF776="Yes",'Item Setup Form'!V776,"")</f>
        <v/>
      </c>
      <c r="I772" s="70"/>
      <c r="J772" s="70" t="str">
        <f>IF('Item Setup Form'!$AF776="Yes",'Item Setup Form'!U776,"")</f>
        <v/>
      </c>
      <c r="K772" s="70" t="str">
        <f>IF('Item Setup Form'!$AF776="Yes",'Item Setup Form'!V776,"")</f>
        <v/>
      </c>
      <c r="L772" s="70"/>
      <c r="M772" s="70" t="str">
        <f>IF('Item Setup Form'!$AF776="Yes",'Item Setup Form'!A776,"")</f>
        <v/>
      </c>
      <c r="N772" s="70"/>
      <c r="O772" s="70"/>
      <c r="P772" s="70"/>
      <c r="Q772" s="70"/>
      <c r="R772" s="70"/>
      <c r="S772" s="70"/>
      <c r="T772" s="70"/>
      <c r="U772" s="70"/>
      <c r="V772" s="70"/>
      <c r="W772" s="70"/>
      <c r="X772" s="70"/>
      <c r="Y772" s="70"/>
      <c r="Z772" s="70"/>
    </row>
    <row r="773" spans="1:26">
      <c r="A773" s="70" t="str">
        <f>IF('Item Setup Form'!$AF777="Yes",'Item Setup Form'!$E777,"")</f>
        <v/>
      </c>
      <c r="B773" s="70" t="str">
        <f>IF('Item Setup Form'!$AF777="Yes",'Item Setup Form'!D777,"")</f>
        <v/>
      </c>
      <c r="C773" s="81" t="str">
        <f>IF('Item Setup Form'!$AF777="Yes",'Item Setup Form'!L777,"")</f>
        <v/>
      </c>
      <c r="D773" s="81" t="str">
        <f>IF('Item Setup Form'!$AF777="Yes",'Item Setup Form'!M777,"")</f>
        <v/>
      </c>
      <c r="E773" s="70"/>
      <c r="F773" s="70" t="str">
        <f>IF('Item Setup Form'!$AF777="Yes",'Item Setup Form'!G777,"")</f>
        <v/>
      </c>
      <c r="G773" s="70" t="str">
        <f>IF('Item Setup Form'!$AF777="Yes",'Item Setup Form'!H777,"")</f>
        <v/>
      </c>
      <c r="H773" s="70" t="str">
        <f>IF('Item Setup Form'!$AF777="Yes",'Item Setup Form'!V777,"")</f>
        <v/>
      </c>
      <c r="I773" s="70"/>
      <c r="J773" s="70" t="str">
        <f>IF('Item Setup Form'!$AF777="Yes",'Item Setup Form'!U777,"")</f>
        <v/>
      </c>
      <c r="K773" s="70" t="str">
        <f>IF('Item Setup Form'!$AF777="Yes",'Item Setup Form'!V777,"")</f>
        <v/>
      </c>
      <c r="L773" s="70"/>
      <c r="M773" s="70" t="str">
        <f>IF('Item Setup Form'!$AF777="Yes",'Item Setup Form'!A777,"")</f>
        <v/>
      </c>
      <c r="N773" s="70"/>
      <c r="O773" s="70"/>
      <c r="P773" s="70"/>
      <c r="Q773" s="70"/>
      <c r="R773" s="70"/>
      <c r="S773" s="70"/>
      <c r="T773" s="70"/>
      <c r="U773" s="70"/>
      <c r="V773" s="70"/>
      <c r="W773" s="70"/>
      <c r="X773" s="70"/>
      <c r="Y773" s="70"/>
      <c r="Z773" s="70"/>
    </row>
    <row r="774" spans="1:26">
      <c r="A774" s="70" t="str">
        <f>IF('Item Setup Form'!$AF778="Yes",'Item Setup Form'!$E778,"")</f>
        <v/>
      </c>
      <c r="B774" s="70" t="str">
        <f>IF('Item Setup Form'!$AF778="Yes",'Item Setup Form'!D778,"")</f>
        <v/>
      </c>
      <c r="C774" s="81" t="str">
        <f>IF('Item Setup Form'!$AF778="Yes",'Item Setup Form'!L778,"")</f>
        <v/>
      </c>
      <c r="D774" s="81" t="str">
        <f>IF('Item Setup Form'!$AF778="Yes",'Item Setup Form'!M778,"")</f>
        <v/>
      </c>
      <c r="E774" s="70"/>
      <c r="F774" s="70" t="str">
        <f>IF('Item Setup Form'!$AF778="Yes",'Item Setup Form'!G778,"")</f>
        <v/>
      </c>
      <c r="G774" s="70" t="str">
        <f>IF('Item Setup Form'!$AF778="Yes",'Item Setup Form'!H778,"")</f>
        <v/>
      </c>
      <c r="H774" s="70" t="str">
        <f>IF('Item Setup Form'!$AF778="Yes",'Item Setup Form'!V778,"")</f>
        <v/>
      </c>
      <c r="I774" s="70"/>
      <c r="J774" s="70" t="str">
        <f>IF('Item Setup Form'!$AF778="Yes",'Item Setup Form'!U778,"")</f>
        <v/>
      </c>
      <c r="K774" s="70" t="str">
        <f>IF('Item Setup Form'!$AF778="Yes",'Item Setup Form'!V778,"")</f>
        <v/>
      </c>
      <c r="L774" s="70"/>
      <c r="M774" s="70" t="str">
        <f>IF('Item Setup Form'!$AF778="Yes",'Item Setup Form'!A778,"")</f>
        <v/>
      </c>
      <c r="N774" s="70"/>
      <c r="O774" s="70"/>
      <c r="P774" s="70"/>
      <c r="Q774" s="70"/>
      <c r="R774" s="70"/>
      <c r="S774" s="70"/>
      <c r="T774" s="70"/>
      <c r="U774" s="70"/>
      <c r="V774" s="70"/>
      <c r="W774" s="70"/>
      <c r="X774" s="70"/>
      <c r="Y774" s="70"/>
      <c r="Z774" s="70"/>
    </row>
    <row r="775" spans="1:26">
      <c r="A775" s="70" t="str">
        <f>IF('Item Setup Form'!$AF779="Yes",'Item Setup Form'!$E779,"")</f>
        <v/>
      </c>
      <c r="B775" s="70" t="str">
        <f>IF('Item Setup Form'!$AF779="Yes",'Item Setup Form'!D779,"")</f>
        <v/>
      </c>
      <c r="C775" s="81" t="str">
        <f>IF('Item Setup Form'!$AF779="Yes",'Item Setup Form'!L779,"")</f>
        <v/>
      </c>
      <c r="D775" s="81" t="str">
        <f>IF('Item Setup Form'!$AF779="Yes",'Item Setup Form'!M779,"")</f>
        <v/>
      </c>
      <c r="E775" s="70"/>
      <c r="F775" s="70" t="str">
        <f>IF('Item Setup Form'!$AF779="Yes",'Item Setup Form'!G779,"")</f>
        <v/>
      </c>
      <c r="G775" s="70" t="str">
        <f>IF('Item Setup Form'!$AF779="Yes",'Item Setup Form'!H779,"")</f>
        <v/>
      </c>
      <c r="H775" s="70" t="str">
        <f>IF('Item Setup Form'!$AF779="Yes",'Item Setup Form'!V779,"")</f>
        <v/>
      </c>
      <c r="I775" s="70"/>
      <c r="J775" s="70" t="str">
        <f>IF('Item Setup Form'!$AF779="Yes",'Item Setup Form'!U779,"")</f>
        <v/>
      </c>
      <c r="K775" s="70" t="str">
        <f>IF('Item Setup Form'!$AF779="Yes",'Item Setup Form'!V779,"")</f>
        <v/>
      </c>
      <c r="L775" s="70"/>
      <c r="M775" s="70" t="str">
        <f>IF('Item Setup Form'!$AF779="Yes",'Item Setup Form'!A779,"")</f>
        <v/>
      </c>
      <c r="N775" s="70"/>
      <c r="O775" s="70"/>
      <c r="P775" s="70"/>
      <c r="Q775" s="70"/>
      <c r="R775" s="70"/>
      <c r="S775" s="70"/>
      <c r="T775" s="70"/>
      <c r="U775" s="70"/>
      <c r="V775" s="70"/>
      <c r="W775" s="70"/>
      <c r="X775" s="70"/>
      <c r="Y775" s="70"/>
      <c r="Z775" s="70"/>
    </row>
    <row r="776" spans="1:26">
      <c r="A776" s="70" t="str">
        <f>IF('Item Setup Form'!$AF780="Yes",'Item Setup Form'!$E780,"")</f>
        <v/>
      </c>
      <c r="B776" s="70" t="str">
        <f>IF('Item Setup Form'!$AF780="Yes",'Item Setup Form'!D780,"")</f>
        <v/>
      </c>
      <c r="C776" s="81" t="str">
        <f>IF('Item Setup Form'!$AF780="Yes",'Item Setup Form'!L780,"")</f>
        <v/>
      </c>
      <c r="D776" s="81" t="str">
        <f>IF('Item Setup Form'!$AF780="Yes",'Item Setup Form'!M780,"")</f>
        <v/>
      </c>
      <c r="E776" s="70"/>
      <c r="F776" s="70" t="str">
        <f>IF('Item Setup Form'!$AF780="Yes",'Item Setup Form'!G780,"")</f>
        <v/>
      </c>
      <c r="G776" s="70" t="str">
        <f>IF('Item Setup Form'!$AF780="Yes",'Item Setup Form'!H780,"")</f>
        <v/>
      </c>
      <c r="H776" s="70" t="str">
        <f>IF('Item Setup Form'!$AF780="Yes",'Item Setup Form'!V780,"")</f>
        <v/>
      </c>
      <c r="I776" s="70"/>
      <c r="J776" s="70" t="str">
        <f>IF('Item Setup Form'!$AF780="Yes",'Item Setup Form'!U780,"")</f>
        <v/>
      </c>
      <c r="K776" s="70" t="str">
        <f>IF('Item Setup Form'!$AF780="Yes",'Item Setup Form'!V780,"")</f>
        <v/>
      </c>
      <c r="L776" s="70"/>
      <c r="M776" s="70" t="str">
        <f>IF('Item Setup Form'!$AF780="Yes",'Item Setup Form'!A780,"")</f>
        <v/>
      </c>
      <c r="N776" s="70"/>
      <c r="O776" s="70"/>
      <c r="P776" s="70"/>
      <c r="Q776" s="70"/>
      <c r="R776" s="70"/>
      <c r="S776" s="70"/>
      <c r="T776" s="70"/>
      <c r="U776" s="70"/>
      <c r="V776" s="70"/>
      <c r="W776" s="70"/>
      <c r="X776" s="70"/>
      <c r="Y776" s="70"/>
      <c r="Z776" s="70"/>
    </row>
    <row r="777" spans="1:26">
      <c r="A777" s="70" t="str">
        <f>IF('Item Setup Form'!$AF781="Yes",'Item Setup Form'!$E781,"")</f>
        <v/>
      </c>
      <c r="B777" s="70" t="str">
        <f>IF('Item Setup Form'!$AF781="Yes",'Item Setup Form'!D781,"")</f>
        <v/>
      </c>
      <c r="C777" s="81" t="str">
        <f>IF('Item Setup Form'!$AF781="Yes",'Item Setup Form'!L781,"")</f>
        <v/>
      </c>
      <c r="D777" s="81" t="str">
        <f>IF('Item Setup Form'!$AF781="Yes",'Item Setup Form'!M781,"")</f>
        <v/>
      </c>
      <c r="E777" s="70"/>
      <c r="F777" s="70" t="str">
        <f>IF('Item Setup Form'!$AF781="Yes",'Item Setup Form'!G781,"")</f>
        <v/>
      </c>
      <c r="G777" s="70" t="str">
        <f>IF('Item Setup Form'!$AF781="Yes",'Item Setup Form'!H781,"")</f>
        <v/>
      </c>
      <c r="H777" s="70" t="str">
        <f>IF('Item Setup Form'!$AF781="Yes",'Item Setup Form'!V781,"")</f>
        <v/>
      </c>
      <c r="I777" s="70"/>
      <c r="J777" s="70" t="str">
        <f>IF('Item Setup Form'!$AF781="Yes",'Item Setup Form'!U781,"")</f>
        <v/>
      </c>
      <c r="K777" s="70" t="str">
        <f>IF('Item Setup Form'!$AF781="Yes",'Item Setup Form'!V781,"")</f>
        <v/>
      </c>
      <c r="L777" s="70"/>
      <c r="M777" s="70" t="str">
        <f>IF('Item Setup Form'!$AF781="Yes",'Item Setup Form'!A781,"")</f>
        <v/>
      </c>
      <c r="N777" s="70"/>
      <c r="O777" s="70"/>
      <c r="P777" s="70"/>
      <c r="Q777" s="70"/>
      <c r="R777" s="70"/>
      <c r="S777" s="70"/>
      <c r="T777" s="70"/>
      <c r="U777" s="70"/>
      <c r="V777" s="70"/>
      <c r="W777" s="70"/>
      <c r="X777" s="70"/>
      <c r="Y777" s="70"/>
      <c r="Z777" s="70"/>
    </row>
    <row r="778" spans="1:26">
      <c r="A778" s="70" t="str">
        <f>IF('Item Setup Form'!$AF782="Yes",'Item Setup Form'!$E782,"")</f>
        <v/>
      </c>
      <c r="B778" s="70" t="str">
        <f>IF('Item Setup Form'!$AF782="Yes",'Item Setup Form'!D782,"")</f>
        <v/>
      </c>
      <c r="C778" s="81" t="str">
        <f>IF('Item Setup Form'!$AF782="Yes",'Item Setup Form'!L782,"")</f>
        <v/>
      </c>
      <c r="D778" s="81" t="str">
        <f>IF('Item Setup Form'!$AF782="Yes",'Item Setup Form'!M782,"")</f>
        <v/>
      </c>
      <c r="E778" s="70"/>
      <c r="F778" s="70" t="str">
        <f>IF('Item Setup Form'!$AF782="Yes",'Item Setup Form'!G782,"")</f>
        <v/>
      </c>
      <c r="G778" s="70" t="str">
        <f>IF('Item Setup Form'!$AF782="Yes",'Item Setup Form'!H782,"")</f>
        <v/>
      </c>
      <c r="H778" s="70" t="str">
        <f>IF('Item Setup Form'!$AF782="Yes",'Item Setup Form'!V782,"")</f>
        <v/>
      </c>
      <c r="I778" s="70"/>
      <c r="J778" s="70" t="str">
        <f>IF('Item Setup Form'!$AF782="Yes",'Item Setup Form'!U782,"")</f>
        <v/>
      </c>
      <c r="K778" s="70" t="str">
        <f>IF('Item Setup Form'!$AF782="Yes",'Item Setup Form'!V782,"")</f>
        <v/>
      </c>
      <c r="L778" s="70"/>
      <c r="M778" s="70" t="str">
        <f>IF('Item Setup Form'!$AF782="Yes",'Item Setup Form'!A782,"")</f>
        <v/>
      </c>
      <c r="N778" s="70"/>
      <c r="O778" s="70"/>
      <c r="P778" s="70"/>
      <c r="Q778" s="70"/>
      <c r="R778" s="70"/>
      <c r="S778" s="70"/>
      <c r="T778" s="70"/>
      <c r="U778" s="70"/>
      <c r="V778" s="70"/>
      <c r="W778" s="70"/>
      <c r="X778" s="70"/>
      <c r="Y778" s="70"/>
      <c r="Z778" s="70"/>
    </row>
    <row r="779" spans="1:26">
      <c r="A779" s="70" t="str">
        <f>IF('Item Setup Form'!$AF783="Yes",'Item Setup Form'!$E783,"")</f>
        <v/>
      </c>
      <c r="B779" s="70" t="str">
        <f>IF('Item Setup Form'!$AF783="Yes",'Item Setup Form'!D783,"")</f>
        <v/>
      </c>
      <c r="C779" s="81" t="str">
        <f>IF('Item Setup Form'!$AF783="Yes",'Item Setup Form'!L783,"")</f>
        <v/>
      </c>
      <c r="D779" s="81" t="str">
        <f>IF('Item Setup Form'!$AF783="Yes",'Item Setup Form'!M783,"")</f>
        <v/>
      </c>
      <c r="E779" s="70"/>
      <c r="F779" s="70" t="str">
        <f>IF('Item Setup Form'!$AF783="Yes",'Item Setup Form'!G783,"")</f>
        <v/>
      </c>
      <c r="G779" s="70" t="str">
        <f>IF('Item Setup Form'!$AF783="Yes",'Item Setup Form'!H783,"")</f>
        <v/>
      </c>
      <c r="H779" s="70" t="str">
        <f>IF('Item Setup Form'!$AF783="Yes",'Item Setup Form'!V783,"")</f>
        <v/>
      </c>
      <c r="I779" s="70"/>
      <c r="J779" s="70" t="str">
        <f>IF('Item Setup Form'!$AF783="Yes",'Item Setup Form'!U783,"")</f>
        <v/>
      </c>
      <c r="K779" s="70" t="str">
        <f>IF('Item Setup Form'!$AF783="Yes",'Item Setup Form'!V783,"")</f>
        <v/>
      </c>
      <c r="L779" s="70"/>
      <c r="M779" s="70" t="str">
        <f>IF('Item Setup Form'!$AF783="Yes",'Item Setup Form'!A783,"")</f>
        <v/>
      </c>
      <c r="N779" s="70"/>
      <c r="O779" s="70"/>
      <c r="P779" s="70"/>
      <c r="Q779" s="70"/>
      <c r="R779" s="70"/>
      <c r="S779" s="70"/>
      <c r="T779" s="70"/>
      <c r="U779" s="70"/>
      <c r="V779" s="70"/>
      <c r="W779" s="70"/>
      <c r="X779" s="70"/>
      <c r="Y779" s="70"/>
      <c r="Z779" s="70"/>
    </row>
    <row r="780" spans="1:26">
      <c r="A780" s="70" t="str">
        <f>IF('Item Setup Form'!$AF784="Yes",'Item Setup Form'!$E784,"")</f>
        <v/>
      </c>
      <c r="B780" s="70" t="str">
        <f>IF('Item Setup Form'!$AF784="Yes",'Item Setup Form'!D784,"")</f>
        <v/>
      </c>
      <c r="C780" s="81" t="str">
        <f>IF('Item Setup Form'!$AF784="Yes",'Item Setup Form'!L784,"")</f>
        <v/>
      </c>
      <c r="D780" s="81" t="str">
        <f>IF('Item Setup Form'!$AF784="Yes",'Item Setup Form'!M784,"")</f>
        <v/>
      </c>
      <c r="E780" s="70"/>
      <c r="F780" s="70" t="str">
        <f>IF('Item Setup Form'!$AF784="Yes",'Item Setup Form'!G784,"")</f>
        <v/>
      </c>
      <c r="G780" s="70" t="str">
        <f>IF('Item Setup Form'!$AF784="Yes",'Item Setup Form'!H784,"")</f>
        <v/>
      </c>
      <c r="H780" s="70" t="str">
        <f>IF('Item Setup Form'!$AF784="Yes",'Item Setup Form'!V784,"")</f>
        <v/>
      </c>
      <c r="I780" s="70"/>
      <c r="J780" s="70" t="str">
        <f>IF('Item Setup Form'!$AF784="Yes",'Item Setup Form'!U784,"")</f>
        <v/>
      </c>
      <c r="K780" s="70" t="str">
        <f>IF('Item Setup Form'!$AF784="Yes",'Item Setup Form'!V784,"")</f>
        <v/>
      </c>
      <c r="L780" s="70"/>
      <c r="M780" s="70" t="str">
        <f>IF('Item Setup Form'!$AF784="Yes",'Item Setup Form'!A784,"")</f>
        <v/>
      </c>
      <c r="N780" s="70"/>
      <c r="O780" s="70"/>
      <c r="P780" s="70"/>
      <c r="Q780" s="70"/>
      <c r="R780" s="70"/>
      <c r="S780" s="70"/>
      <c r="T780" s="70"/>
      <c r="U780" s="70"/>
      <c r="V780" s="70"/>
      <c r="W780" s="70"/>
      <c r="X780" s="70"/>
      <c r="Y780" s="70"/>
      <c r="Z780" s="70"/>
    </row>
    <row r="781" spans="1:26">
      <c r="A781" s="70" t="str">
        <f>IF('Item Setup Form'!$AF785="Yes",'Item Setup Form'!$E785,"")</f>
        <v/>
      </c>
      <c r="B781" s="70" t="str">
        <f>IF('Item Setup Form'!$AF785="Yes",'Item Setup Form'!D785,"")</f>
        <v/>
      </c>
      <c r="C781" s="81" t="str">
        <f>IF('Item Setup Form'!$AF785="Yes",'Item Setup Form'!L785,"")</f>
        <v/>
      </c>
      <c r="D781" s="81" t="str">
        <f>IF('Item Setup Form'!$AF785="Yes",'Item Setup Form'!M785,"")</f>
        <v/>
      </c>
      <c r="E781" s="70"/>
      <c r="F781" s="70" t="str">
        <f>IF('Item Setup Form'!$AF785="Yes",'Item Setup Form'!G785,"")</f>
        <v/>
      </c>
      <c r="G781" s="70" t="str">
        <f>IF('Item Setup Form'!$AF785="Yes",'Item Setup Form'!H785,"")</f>
        <v/>
      </c>
      <c r="H781" s="70" t="str">
        <f>IF('Item Setup Form'!$AF785="Yes",'Item Setup Form'!V785,"")</f>
        <v/>
      </c>
      <c r="I781" s="70"/>
      <c r="J781" s="70" t="str">
        <f>IF('Item Setup Form'!$AF785="Yes",'Item Setup Form'!U785,"")</f>
        <v/>
      </c>
      <c r="K781" s="70" t="str">
        <f>IF('Item Setup Form'!$AF785="Yes",'Item Setup Form'!V785,"")</f>
        <v/>
      </c>
      <c r="L781" s="70"/>
      <c r="M781" s="70" t="str">
        <f>IF('Item Setup Form'!$AF785="Yes",'Item Setup Form'!A785,"")</f>
        <v/>
      </c>
      <c r="N781" s="70"/>
      <c r="O781" s="70"/>
      <c r="P781" s="70"/>
      <c r="Q781" s="70"/>
      <c r="R781" s="70"/>
      <c r="S781" s="70"/>
      <c r="T781" s="70"/>
      <c r="U781" s="70"/>
      <c r="V781" s="70"/>
      <c r="W781" s="70"/>
      <c r="X781" s="70"/>
      <c r="Y781" s="70"/>
      <c r="Z781" s="70"/>
    </row>
    <row r="782" spans="1:26">
      <c r="A782" s="70" t="str">
        <f>IF('Item Setup Form'!$AF786="Yes",'Item Setup Form'!$E786,"")</f>
        <v/>
      </c>
      <c r="B782" s="70" t="str">
        <f>IF('Item Setup Form'!$AF786="Yes",'Item Setup Form'!D786,"")</f>
        <v/>
      </c>
      <c r="C782" s="81" t="str">
        <f>IF('Item Setup Form'!$AF786="Yes",'Item Setup Form'!L786,"")</f>
        <v/>
      </c>
      <c r="D782" s="81" t="str">
        <f>IF('Item Setup Form'!$AF786="Yes",'Item Setup Form'!M786,"")</f>
        <v/>
      </c>
      <c r="E782" s="70"/>
      <c r="F782" s="70" t="str">
        <f>IF('Item Setup Form'!$AF786="Yes",'Item Setup Form'!G786,"")</f>
        <v/>
      </c>
      <c r="G782" s="70" t="str">
        <f>IF('Item Setup Form'!$AF786="Yes",'Item Setup Form'!H786,"")</f>
        <v/>
      </c>
      <c r="H782" s="70" t="str">
        <f>IF('Item Setup Form'!$AF786="Yes",'Item Setup Form'!V786,"")</f>
        <v/>
      </c>
      <c r="I782" s="70"/>
      <c r="J782" s="70" t="str">
        <f>IF('Item Setup Form'!$AF786="Yes",'Item Setup Form'!U786,"")</f>
        <v/>
      </c>
      <c r="K782" s="70" t="str">
        <f>IF('Item Setup Form'!$AF786="Yes",'Item Setup Form'!V786,"")</f>
        <v/>
      </c>
      <c r="L782" s="70"/>
      <c r="M782" s="70" t="str">
        <f>IF('Item Setup Form'!$AF786="Yes",'Item Setup Form'!A786,"")</f>
        <v/>
      </c>
      <c r="N782" s="70"/>
      <c r="O782" s="70"/>
      <c r="P782" s="70"/>
      <c r="Q782" s="70"/>
      <c r="R782" s="70"/>
      <c r="S782" s="70"/>
      <c r="T782" s="70"/>
      <c r="U782" s="70"/>
      <c r="V782" s="70"/>
      <c r="W782" s="70"/>
      <c r="X782" s="70"/>
      <c r="Y782" s="70"/>
      <c r="Z782" s="70"/>
    </row>
    <row r="783" spans="1:26">
      <c r="A783" s="70" t="str">
        <f>IF('Item Setup Form'!$AF787="Yes",'Item Setup Form'!$E787,"")</f>
        <v/>
      </c>
      <c r="B783" s="70" t="str">
        <f>IF('Item Setup Form'!$AF787="Yes",'Item Setup Form'!D787,"")</f>
        <v/>
      </c>
      <c r="C783" s="81" t="str">
        <f>IF('Item Setup Form'!$AF787="Yes",'Item Setup Form'!L787,"")</f>
        <v/>
      </c>
      <c r="D783" s="81" t="str">
        <f>IF('Item Setup Form'!$AF787="Yes",'Item Setup Form'!M787,"")</f>
        <v/>
      </c>
      <c r="E783" s="70"/>
      <c r="F783" s="70" t="str">
        <f>IF('Item Setup Form'!$AF787="Yes",'Item Setup Form'!G787,"")</f>
        <v/>
      </c>
      <c r="G783" s="70" t="str">
        <f>IF('Item Setup Form'!$AF787="Yes",'Item Setup Form'!H787,"")</f>
        <v/>
      </c>
      <c r="H783" s="70" t="str">
        <f>IF('Item Setup Form'!$AF787="Yes",'Item Setup Form'!V787,"")</f>
        <v/>
      </c>
      <c r="I783" s="70"/>
      <c r="J783" s="70" t="str">
        <f>IF('Item Setup Form'!$AF787="Yes",'Item Setup Form'!U787,"")</f>
        <v/>
      </c>
      <c r="K783" s="70" t="str">
        <f>IF('Item Setup Form'!$AF787="Yes",'Item Setup Form'!V787,"")</f>
        <v/>
      </c>
      <c r="L783" s="70"/>
      <c r="M783" s="70" t="str">
        <f>IF('Item Setup Form'!$AF787="Yes",'Item Setup Form'!A787,"")</f>
        <v/>
      </c>
      <c r="N783" s="70"/>
      <c r="O783" s="70"/>
      <c r="P783" s="70"/>
      <c r="Q783" s="70"/>
      <c r="R783" s="70"/>
      <c r="S783" s="70"/>
      <c r="T783" s="70"/>
      <c r="U783" s="70"/>
      <c r="V783" s="70"/>
      <c r="W783" s="70"/>
      <c r="X783" s="70"/>
      <c r="Y783" s="70"/>
      <c r="Z783" s="70"/>
    </row>
    <row r="784" spans="1:26">
      <c r="A784" s="70" t="str">
        <f>IF('Item Setup Form'!$AF788="Yes",'Item Setup Form'!$E788,"")</f>
        <v/>
      </c>
      <c r="B784" s="70" t="str">
        <f>IF('Item Setup Form'!$AF788="Yes",'Item Setup Form'!D788,"")</f>
        <v/>
      </c>
      <c r="C784" s="81" t="str">
        <f>IF('Item Setup Form'!$AF788="Yes",'Item Setup Form'!L788,"")</f>
        <v/>
      </c>
      <c r="D784" s="81" t="str">
        <f>IF('Item Setup Form'!$AF788="Yes",'Item Setup Form'!M788,"")</f>
        <v/>
      </c>
      <c r="E784" s="70"/>
      <c r="F784" s="70" t="str">
        <f>IF('Item Setup Form'!$AF788="Yes",'Item Setup Form'!G788,"")</f>
        <v/>
      </c>
      <c r="G784" s="70" t="str">
        <f>IF('Item Setup Form'!$AF788="Yes",'Item Setup Form'!H788,"")</f>
        <v/>
      </c>
      <c r="H784" s="70" t="str">
        <f>IF('Item Setup Form'!$AF788="Yes",'Item Setup Form'!V788,"")</f>
        <v/>
      </c>
      <c r="I784" s="70"/>
      <c r="J784" s="70" t="str">
        <f>IF('Item Setup Form'!$AF788="Yes",'Item Setup Form'!U788,"")</f>
        <v/>
      </c>
      <c r="K784" s="70" t="str">
        <f>IF('Item Setup Form'!$AF788="Yes",'Item Setup Form'!V788,"")</f>
        <v/>
      </c>
      <c r="L784" s="70"/>
      <c r="M784" s="70" t="str">
        <f>IF('Item Setup Form'!$AF788="Yes",'Item Setup Form'!A788,"")</f>
        <v/>
      </c>
      <c r="N784" s="70"/>
      <c r="O784" s="70"/>
      <c r="P784" s="70"/>
      <c r="Q784" s="70"/>
      <c r="R784" s="70"/>
      <c r="S784" s="70"/>
      <c r="T784" s="70"/>
      <c r="U784" s="70"/>
      <c r="V784" s="70"/>
      <c r="W784" s="70"/>
      <c r="X784" s="70"/>
      <c r="Y784" s="70"/>
      <c r="Z784" s="70"/>
    </row>
    <row r="785" spans="1:26">
      <c r="A785" s="70" t="str">
        <f>IF('Item Setup Form'!$AF789="Yes",'Item Setup Form'!$E789,"")</f>
        <v/>
      </c>
      <c r="B785" s="70" t="str">
        <f>IF('Item Setup Form'!$AF789="Yes",'Item Setup Form'!D789,"")</f>
        <v/>
      </c>
      <c r="C785" s="81" t="str">
        <f>IF('Item Setup Form'!$AF789="Yes",'Item Setup Form'!L789,"")</f>
        <v/>
      </c>
      <c r="D785" s="81" t="str">
        <f>IF('Item Setup Form'!$AF789="Yes",'Item Setup Form'!M789,"")</f>
        <v/>
      </c>
      <c r="E785" s="70"/>
      <c r="F785" s="70" t="str">
        <f>IF('Item Setup Form'!$AF789="Yes",'Item Setup Form'!G789,"")</f>
        <v/>
      </c>
      <c r="G785" s="70" t="str">
        <f>IF('Item Setup Form'!$AF789="Yes",'Item Setup Form'!H789,"")</f>
        <v/>
      </c>
      <c r="H785" s="70" t="str">
        <f>IF('Item Setup Form'!$AF789="Yes",'Item Setup Form'!V789,"")</f>
        <v/>
      </c>
      <c r="I785" s="70"/>
      <c r="J785" s="70" t="str">
        <f>IF('Item Setup Form'!$AF789="Yes",'Item Setup Form'!U789,"")</f>
        <v/>
      </c>
      <c r="K785" s="70" t="str">
        <f>IF('Item Setup Form'!$AF789="Yes",'Item Setup Form'!V789,"")</f>
        <v/>
      </c>
      <c r="L785" s="70"/>
      <c r="M785" s="70" t="str">
        <f>IF('Item Setup Form'!$AF789="Yes",'Item Setup Form'!A789,"")</f>
        <v/>
      </c>
      <c r="N785" s="70"/>
      <c r="O785" s="70"/>
      <c r="P785" s="70"/>
      <c r="Q785" s="70"/>
      <c r="R785" s="70"/>
      <c r="S785" s="70"/>
      <c r="T785" s="70"/>
      <c r="U785" s="70"/>
      <c r="V785" s="70"/>
      <c r="W785" s="70"/>
      <c r="X785" s="70"/>
      <c r="Y785" s="70"/>
      <c r="Z785" s="70"/>
    </row>
    <row r="786" spans="1:26">
      <c r="A786" s="70" t="str">
        <f>IF('Item Setup Form'!$AF790="Yes",'Item Setup Form'!$E790,"")</f>
        <v/>
      </c>
      <c r="B786" s="70" t="str">
        <f>IF('Item Setup Form'!$AF790="Yes",'Item Setup Form'!D790,"")</f>
        <v/>
      </c>
      <c r="C786" s="81" t="str">
        <f>IF('Item Setup Form'!$AF790="Yes",'Item Setup Form'!L790,"")</f>
        <v/>
      </c>
      <c r="D786" s="81" t="str">
        <f>IF('Item Setup Form'!$AF790="Yes",'Item Setup Form'!M790,"")</f>
        <v/>
      </c>
      <c r="E786" s="70"/>
      <c r="F786" s="70" t="str">
        <f>IF('Item Setup Form'!$AF790="Yes",'Item Setup Form'!G790,"")</f>
        <v/>
      </c>
      <c r="G786" s="70" t="str">
        <f>IF('Item Setup Form'!$AF790="Yes",'Item Setup Form'!H790,"")</f>
        <v/>
      </c>
      <c r="H786" s="70" t="str">
        <f>IF('Item Setup Form'!$AF790="Yes",'Item Setup Form'!V790,"")</f>
        <v/>
      </c>
      <c r="I786" s="70"/>
      <c r="J786" s="70" t="str">
        <f>IF('Item Setup Form'!$AF790="Yes",'Item Setup Form'!U790,"")</f>
        <v/>
      </c>
      <c r="K786" s="70" t="str">
        <f>IF('Item Setup Form'!$AF790="Yes",'Item Setup Form'!V790,"")</f>
        <v/>
      </c>
      <c r="L786" s="70"/>
      <c r="M786" s="70" t="str">
        <f>IF('Item Setup Form'!$AF790="Yes",'Item Setup Form'!A790,"")</f>
        <v/>
      </c>
      <c r="N786" s="70"/>
      <c r="O786" s="70"/>
      <c r="P786" s="70"/>
      <c r="Q786" s="70"/>
      <c r="R786" s="70"/>
      <c r="S786" s="70"/>
      <c r="T786" s="70"/>
      <c r="U786" s="70"/>
      <c r="V786" s="70"/>
      <c r="W786" s="70"/>
      <c r="X786" s="70"/>
      <c r="Y786" s="70"/>
      <c r="Z786" s="70"/>
    </row>
    <row r="787" spans="1:26">
      <c r="A787" s="70" t="str">
        <f>IF('Item Setup Form'!$AF791="Yes",'Item Setup Form'!$E791,"")</f>
        <v/>
      </c>
      <c r="B787" s="70" t="str">
        <f>IF('Item Setup Form'!$AF791="Yes",'Item Setup Form'!D791,"")</f>
        <v/>
      </c>
      <c r="C787" s="81" t="str">
        <f>IF('Item Setup Form'!$AF791="Yes",'Item Setup Form'!L791,"")</f>
        <v/>
      </c>
      <c r="D787" s="81" t="str">
        <f>IF('Item Setup Form'!$AF791="Yes",'Item Setup Form'!M791,"")</f>
        <v/>
      </c>
      <c r="E787" s="70"/>
      <c r="F787" s="70" t="str">
        <f>IF('Item Setup Form'!$AF791="Yes",'Item Setup Form'!G791,"")</f>
        <v/>
      </c>
      <c r="G787" s="70" t="str">
        <f>IF('Item Setup Form'!$AF791="Yes",'Item Setup Form'!H791,"")</f>
        <v/>
      </c>
      <c r="H787" s="70" t="str">
        <f>IF('Item Setup Form'!$AF791="Yes",'Item Setup Form'!V791,"")</f>
        <v/>
      </c>
      <c r="I787" s="70"/>
      <c r="J787" s="70" t="str">
        <f>IF('Item Setup Form'!$AF791="Yes",'Item Setup Form'!U791,"")</f>
        <v/>
      </c>
      <c r="K787" s="70" t="str">
        <f>IF('Item Setup Form'!$AF791="Yes",'Item Setup Form'!V791,"")</f>
        <v/>
      </c>
      <c r="L787" s="70"/>
      <c r="M787" s="70" t="str">
        <f>IF('Item Setup Form'!$AF791="Yes",'Item Setup Form'!A791,"")</f>
        <v/>
      </c>
      <c r="N787" s="70"/>
      <c r="O787" s="70"/>
      <c r="P787" s="70"/>
      <c r="Q787" s="70"/>
      <c r="R787" s="70"/>
      <c r="S787" s="70"/>
      <c r="T787" s="70"/>
      <c r="U787" s="70"/>
      <c r="V787" s="70"/>
      <c r="W787" s="70"/>
      <c r="X787" s="70"/>
      <c r="Y787" s="70"/>
      <c r="Z787" s="70"/>
    </row>
    <row r="788" spans="1:26">
      <c r="A788" s="70" t="str">
        <f>IF('Item Setup Form'!$AF792="Yes",'Item Setup Form'!$E792,"")</f>
        <v/>
      </c>
      <c r="B788" s="70" t="str">
        <f>IF('Item Setup Form'!$AF792="Yes",'Item Setup Form'!D792,"")</f>
        <v/>
      </c>
      <c r="C788" s="81" t="str">
        <f>IF('Item Setup Form'!$AF792="Yes",'Item Setup Form'!L792,"")</f>
        <v/>
      </c>
      <c r="D788" s="81" t="str">
        <f>IF('Item Setup Form'!$AF792="Yes",'Item Setup Form'!M792,"")</f>
        <v/>
      </c>
      <c r="E788" s="70"/>
      <c r="F788" s="70" t="str">
        <f>IF('Item Setup Form'!$AF792="Yes",'Item Setup Form'!G792,"")</f>
        <v/>
      </c>
      <c r="G788" s="70" t="str">
        <f>IF('Item Setup Form'!$AF792="Yes",'Item Setup Form'!H792,"")</f>
        <v/>
      </c>
      <c r="H788" s="70" t="str">
        <f>IF('Item Setup Form'!$AF792="Yes",'Item Setup Form'!V792,"")</f>
        <v/>
      </c>
      <c r="I788" s="70"/>
      <c r="J788" s="70" t="str">
        <f>IF('Item Setup Form'!$AF792="Yes",'Item Setup Form'!U792,"")</f>
        <v/>
      </c>
      <c r="K788" s="70" t="str">
        <f>IF('Item Setup Form'!$AF792="Yes",'Item Setup Form'!V792,"")</f>
        <v/>
      </c>
      <c r="L788" s="70"/>
      <c r="M788" s="70" t="str">
        <f>IF('Item Setup Form'!$AF792="Yes",'Item Setup Form'!A792,"")</f>
        <v/>
      </c>
      <c r="N788" s="70"/>
      <c r="O788" s="70"/>
      <c r="P788" s="70"/>
      <c r="Q788" s="70"/>
      <c r="R788" s="70"/>
      <c r="S788" s="70"/>
      <c r="T788" s="70"/>
      <c r="U788" s="70"/>
      <c r="V788" s="70"/>
      <c r="W788" s="70"/>
      <c r="X788" s="70"/>
      <c r="Y788" s="70"/>
      <c r="Z788" s="70"/>
    </row>
    <row r="789" spans="1:26">
      <c r="A789" s="70" t="str">
        <f>IF('Item Setup Form'!$AF793="Yes",'Item Setup Form'!$E793,"")</f>
        <v/>
      </c>
      <c r="B789" s="70" t="str">
        <f>IF('Item Setup Form'!$AF793="Yes",'Item Setup Form'!D793,"")</f>
        <v/>
      </c>
      <c r="C789" s="81" t="str">
        <f>IF('Item Setup Form'!$AF793="Yes",'Item Setup Form'!L793,"")</f>
        <v/>
      </c>
      <c r="D789" s="81" t="str">
        <f>IF('Item Setup Form'!$AF793="Yes",'Item Setup Form'!M793,"")</f>
        <v/>
      </c>
      <c r="E789" s="70"/>
      <c r="F789" s="70" t="str">
        <f>IF('Item Setup Form'!$AF793="Yes",'Item Setup Form'!G793,"")</f>
        <v/>
      </c>
      <c r="G789" s="70" t="str">
        <f>IF('Item Setup Form'!$AF793="Yes",'Item Setup Form'!H793,"")</f>
        <v/>
      </c>
      <c r="H789" s="70" t="str">
        <f>IF('Item Setup Form'!$AF793="Yes",'Item Setup Form'!V793,"")</f>
        <v/>
      </c>
      <c r="I789" s="70"/>
      <c r="J789" s="70" t="str">
        <f>IF('Item Setup Form'!$AF793="Yes",'Item Setup Form'!U793,"")</f>
        <v/>
      </c>
      <c r="K789" s="70" t="str">
        <f>IF('Item Setup Form'!$AF793="Yes",'Item Setup Form'!V793,"")</f>
        <v/>
      </c>
      <c r="L789" s="70"/>
      <c r="M789" s="70" t="str">
        <f>IF('Item Setup Form'!$AF793="Yes",'Item Setup Form'!A793,"")</f>
        <v/>
      </c>
      <c r="N789" s="70"/>
      <c r="O789" s="70"/>
      <c r="P789" s="70"/>
      <c r="Q789" s="70"/>
      <c r="R789" s="70"/>
      <c r="S789" s="70"/>
      <c r="T789" s="70"/>
      <c r="U789" s="70"/>
      <c r="V789" s="70"/>
      <c r="W789" s="70"/>
      <c r="X789" s="70"/>
      <c r="Y789" s="70"/>
      <c r="Z789" s="70"/>
    </row>
    <row r="790" spans="1:26">
      <c r="A790" s="70" t="str">
        <f>IF('Item Setup Form'!$AF794="Yes",'Item Setup Form'!$E794,"")</f>
        <v/>
      </c>
      <c r="B790" s="70" t="str">
        <f>IF('Item Setup Form'!$AF794="Yes",'Item Setup Form'!D794,"")</f>
        <v/>
      </c>
      <c r="C790" s="81" t="str">
        <f>IF('Item Setup Form'!$AF794="Yes",'Item Setup Form'!L794,"")</f>
        <v/>
      </c>
      <c r="D790" s="81" t="str">
        <f>IF('Item Setup Form'!$AF794="Yes",'Item Setup Form'!M794,"")</f>
        <v/>
      </c>
      <c r="E790" s="70"/>
      <c r="F790" s="70" t="str">
        <f>IF('Item Setup Form'!$AF794="Yes",'Item Setup Form'!G794,"")</f>
        <v/>
      </c>
      <c r="G790" s="70" t="str">
        <f>IF('Item Setup Form'!$AF794="Yes",'Item Setup Form'!H794,"")</f>
        <v/>
      </c>
      <c r="H790" s="70" t="str">
        <f>IF('Item Setup Form'!$AF794="Yes",'Item Setup Form'!V794,"")</f>
        <v/>
      </c>
      <c r="I790" s="70"/>
      <c r="J790" s="70" t="str">
        <f>IF('Item Setup Form'!$AF794="Yes",'Item Setup Form'!U794,"")</f>
        <v/>
      </c>
      <c r="K790" s="70" t="str">
        <f>IF('Item Setup Form'!$AF794="Yes",'Item Setup Form'!V794,"")</f>
        <v/>
      </c>
      <c r="L790" s="70"/>
      <c r="M790" s="70" t="str">
        <f>IF('Item Setup Form'!$AF794="Yes",'Item Setup Form'!A794,"")</f>
        <v/>
      </c>
      <c r="N790" s="70"/>
      <c r="O790" s="70"/>
      <c r="P790" s="70"/>
      <c r="Q790" s="70"/>
      <c r="R790" s="70"/>
      <c r="S790" s="70"/>
      <c r="T790" s="70"/>
      <c r="U790" s="70"/>
      <c r="V790" s="70"/>
      <c r="W790" s="70"/>
      <c r="X790" s="70"/>
      <c r="Y790" s="70"/>
      <c r="Z790" s="70"/>
    </row>
    <row r="791" spans="1:26">
      <c r="A791" s="70" t="str">
        <f>IF('Item Setup Form'!$AF795="Yes",'Item Setup Form'!$E795,"")</f>
        <v/>
      </c>
      <c r="B791" s="70" t="str">
        <f>IF('Item Setup Form'!$AF795="Yes",'Item Setup Form'!D795,"")</f>
        <v/>
      </c>
      <c r="C791" s="81" t="str">
        <f>IF('Item Setup Form'!$AF795="Yes",'Item Setup Form'!L795,"")</f>
        <v/>
      </c>
      <c r="D791" s="81" t="str">
        <f>IF('Item Setup Form'!$AF795="Yes",'Item Setup Form'!M795,"")</f>
        <v/>
      </c>
      <c r="E791" s="70"/>
      <c r="F791" s="70" t="str">
        <f>IF('Item Setup Form'!$AF795="Yes",'Item Setup Form'!G795,"")</f>
        <v/>
      </c>
      <c r="G791" s="70" t="str">
        <f>IF('Item Setup Form'!$AF795="Yes",'Item Setup Form'!H795,"")</f>
        <v/>
      </c>
      <c r="H791" s="70" t="str">
        <f>IF('Item Setup Form'!$AF795="Yes",'Item Setup Form'!V795,"")</f>
        <v/>
      </c>
      <c r="I791" s="70"/>
      <c r="J791" s="70" t="str">
        <f>IF('Item Setup Form'!$AF795="Yes",'Item Setup Form'!U795,"")</f>
        <v/>
      </c>
      <c r="K791" s="70" t="str">
        <f>IF('Item Setup Form'!$AF795="Yes",'Item Setup Form'!V795,"")</f>
        <v/>
      </c>
      <c r="L791" s="70"/>
      <c r="M791" s="70" t="str">
        <f>IF('Item Setup Form'!$AF795="Yes",'Item Setup Form'!A795,"")</f>
        <v/>
      </c>
      <c r="N791" s="70"/>
      <c r="O791" s="70"/>
      <c r="P791" s="70"/>
      <c r="Q791" s="70"/>
      <c r="R791" s="70"/>
      <c r="S791" s="70"/>
      <c r="T791" s="70"/>
      <c r="U791" s="70"/>
      <c r="V791" s="70"/>
      <c r="W791" s="70"/>
      <c r="X791" s="70"/>
      <c r="Y791" s="70"/>
      <c r="Z791" s="70"/>
    </row>
    <row r="792" spans="1:26">
      <c r="A792" s="70" t="str">
        <f>IF('Item Setup Form'!$AF796="Yes",'Item Setup Form'!$E796,"")</f>
        <v/>
      </c>
      <c r="B792" s="70" t="str">
        <f>IF('Item Setup Form'!$AF796="Yes",'Item Setup Form'!D796,"")</f>
        <v/>
      </c>
      <c r="C792" s="81" t="str">
        <f>IF('Item Setup Form'!$AF796="Yes",'Item Setup Form'!L796,"")</f>
        <v/>
      </c>
      <c r="D792" s="81" t="str">
        <f>IF('Item Setup Form'!$AF796="Yes",'Item Setup Form'!M796,"")</f>
        <v/>
      </c>
      <c r="E792" s="70"/>
      <c r="F792" s="70" t="str">
        <f>IF('Item Setup Form'!$AF796="Yes",'Item Setup Form'!G796,"")</f>
        <v/>
      </c>
      <c r="G792" s="70" t="str">
        <f>IF('Item Setup Form'!$AF796="Yes",'Item Setup Form'!H796,"")</f>
        <v/>
      </c>
      <c r="H792" s="70" t="str">
        <f>IF('Item Setup Form'!$AF796="Yes",'Item Setup Form'!V796,"")</f>
        <v/>
      </c>
      <c r="I792" s="70"/>
      <c r="J792" s="70" t="str">
        <f>IF('Item Setup Form'!$AF796="Yes",'Item Setup Form'!U796,"")</f>
        <v/>
      </c>
      <c r="K792" s="70" t="str">
        <f>IF('Item Setup Form'!$AF796="Yes",'Item Setup Form'!V796,"")</f>
        <v/>
      </c>
      <c r="L792" s="70"/>
      <c r="M792" s="70" t="str">
        <f>IF('Item Setup Form'!$AF796="Yes",'Item Setup Form'!A796,"")</f>
        <v/>
      </c>
      <c r="N792" s="70"/>
      <c r="O792" s="70"/>
      <c r="P792" s="70"/>
      <c r="Q792" s="70"/>
      <c r="R792" s="70"/>
      <c r="S792" s="70"/>
      <c r="T792" s="70"/>
      <c r="U792" s="70"/>
      <c r="V792" s="70"/>
      <c r="W792" s="70"/>
      <c r="X792" s="70"/>
      <c r="Y792" s="70"/>
      <c r="Z792" s="70"/>
    </row>
    <row r="793" spans="1:26">
      <c r="A793" s="70" t="str">
        <f>IF('Item Setup Form'!$AF797="Yes",'Item Setup Form'!$E797,"")</f>
        <v/>
      </c>
      <c r="B793" s="70" t="str">
        <f>IF('Item Setup Form'!$AF797="Yes",'Item Setup Form'!D797,"")</f>
        <v/>
      </c>
      <c r="C793" s="81" t="str">
        <f>IF('Item Setup Form'!$AF797="Yes",'Item Setup Form'!L797,"")</f>
        <v/>
      </c>
      <c r="D793" s="81" t="str">
        <f>IF('Item Setup Form'!$AF797="Yes",'Item Setup Form'!M797,"")</f>
        <v/>
      </c>
      <c r="E793" s="70"/>
      <c r="F793" s="70" t="str">
        <f>IF('Item Setup Form'!$AF797="Yes",'Item Setup Form'!G797,"")</f>
        <v/>
      </c>
      <c r="G793" s="70" t="str">
        <f>IF('Item Setup Form'!$AF797="Yes",'Item Setup Form'!H797,"")</f>
        <v/>
      </c>
      <c r="H793" s="70" t="str">
        <f>IF('Item Setup Form'!$AF797="Yes",'Item Setup Form'!V797,"")</f>
        <v/>
      </c>
      <c r="I793" s="70"/>
      <c r="J793" s="70" t="str">
        <f>IF('Item Setup Form'!$AF797="Yes",'Item Setup Form'!U797,"")</f>
        <v/>
      </c>
      <c r="K793" s="70" t="str">
        <f>IF('Item Setup Form'!$AF797="Yes",'Item Setup Form'!V797,"")</f>
        <v/>
      </c>
      <c r="L793" s="70"/>
      <c r="M793" s="70" t="str">
        <f>IF('Item Setup Form'!$AF797="Yes",'Item Setup Form'!A797,"")</f>
        <v/>
      </c>
      <c r="N793" s="70"/>
      <c r="O793" s="70"/>
      <c r="P793" s="70"/>
      <c r="Q793" s="70"/>
      <c r="R793" s="70"/>
      <c r="S793" s="70"/>
      <c r="T793" s="70"/>
      <c r="U793" s="70"/>
      <c r="V793" s="70"/>
      <c r="W793" s="70"/>
      <c r="X793" s="70"/>
      <c r="Y793" s="70"/>
      <c r="Z793" s="70"/>
    </row>
    <row r="794" spans="1:26">
      <c r="A794" s="70" t="str">
        <f>IF('Item Setup Form'!$AF798="Yes",'Item Setup Form'!$E798,"")</f>
        <v/>
      </c>
      <c r="B794" s="70" t="str">
        <f>IF('Item Setup Form'!$AF798="Yes",'Item Setup Form'!D798,"")</f>
        <v/>
      </c>
      <c r="C794" s="81" t="str">
        <f>IF('Item Setup Form'!$AF798="Yes",'Item Setup Form'!L798,"")</f>
        <v/>
      </c>
      <c r="D794" s="81" t="str">
        <f>IF('Item Setup Form'!$AF798="Yes",'Item Setup Form'!M798,"")</f>
        <v/>
      </c>
      <c r="E794" s="70"/>
      <c r="F794" s="70" t="str">
        <f>IF('Item Setup Form'!$AF798="Yes",'Item Setup Form'!G798,"")</f>
        <v/>
      </c>
      <c r="G794" s="70" t="str">
        <f>IF('Item Setup Form'!$AF798="Yes",'Item Setup Form'!H798,"")</f>
        <v/>
      </c>
      <c r="H794" s="70" t="str">
        <f>IF('Item Setup Form'!$AF798="Yes",'Item Setup Form'!V798,"")</f>
        <v/>
      </c>
      <c r="I794" s="70"/>
      <c r="J794" s="70" t="str">
        <f>IF('Item Setup Form'!$AF798="Yes",'Item Setup Form'!U798,"")</f>
        <v/>
      </c>
      <c r="K794" s="70" t="str">
        <f>IF('Item Setup Form'!$AF798="Yes",'Item Setup Form'!V798,"")</f>
        <v/>
      </c>
      <c r="L794" s="70"/>
      <c r="M794" s="70" t="str">
        <f>IF('Item Setup Form'!$AF798="Yes",'Item Setup Form'!A798,"")</f>
        <v/>
      </c>
      <c r="N794" s="70"/>
      <c r="O794" s="70"/>
      <c r="P794" s="70"/>
      <c r="Q794" s="70"/>
      <c r="R794" s="70"/>
      <c r="S794" s="70"/>
      <c r="T794" s="70"/>
      <c r="U794" s="70"/>
      <c r="V794" s="70"/>
      <c r="W794" s="70"/>
      <c r="X794" s="70"/>
      <c r="Y794" s="70"/>
      <c r="Z794" s="70"/>
    </row>
    <row r="795" spans="1:26">
      <c r="A795" s="70" t="str">
        <f>IF('Item Setup Form'!$AF799="Yes",'Item Setup Form'!$E799,"")</f>
        <v/>
      </c>
      <c r="B795" s="70" t="str">
        <f>IF('Item Setup Form'!$AF799="Yes",'Item Setup Form'!D799,"")</f>
        <v/>
      </c>
      <c r="C795" s="81" t="str">
        <f>IF('Item Setup Form'!$AF799="Yes",'Item Setup Form'!L799,"")</f>
        <v/>
      </c>
      <c r="D795" s="81" t="str">
        <f>IF('Item Setup Form'!$AF799="Yes",'Item Setup Form'!M799,"")</f>
        <v/>
      </c>
      <c r="E795" s="70"/>
      <c r="F795" s="70" t="str">
        <f>IF('Item Setup Form'!$AF799="Yes",'Item Setup Form'!G799,"")</f>
        <v/>
      </c>
      <c r="G795" s="70" t="str">
        <f>IF('Item Setup Form'!$AF799="Yes",'Item Setup Form'!H799,"")</f>
        <v/>
      </c>
      <c r="H795" s="70" t="str">
        <f>IF('Item Setup Form'!$AF799="Yes",'Item Setup Form'!V799,"")</f>
        <v/>
      </c>
      <c r="I795" s="70"/>
      <c r="J795" s="70" t="str">
        <f>IF('Item Setup Form'!$AF799="Yes",'Item Setup Form'!U799,"")</f>
        <v/>
      </c>
      <c r="K795" s="70" t="str">
        <f>IF('Item Setup Form'!$AF799="Yes",'Item Setup Form'!V799,"")</f>
        <v/>
      </c>
      <c r="L795" s="70"/>
      <c r="M795" s="70" t="str">
        <f>IF('Item Setup Form'!$AF799="Yes",'Item Setup Form'!A799,"")</f>
        <v/>
      </c>
      <c r="N795" s="70"/>
      <c r="O795" s="70"/>
      <c r="P795" s="70"/>
      <c r="Q795" s="70"/>
      <c r="R795" s="70"/>
      <c r="S795" s="70"/>
      <c r="T795" s="70"/>
      <c r="U795" s="70"/>
      <c r="V795" s="70"/>
      <c r="W795" s="70"/>
      <c r="X795" s="70"/>
      <c r="Y795" s="70"/>
      <c r="Z795" s="70"/>
    </row>
    <row r="796" spans="1:26">
      <c r="A796" s="70" t="str">
        <f>IF('Item Setup Form'!$AF800="Yes",'Item Setup Form'!$E800,"")</f>
        <v/>
      </c>
      <c r="B796" s="70" t="str">
        <f>IF('Item Setup Form'!$AF800="Yes",'Item Setup Form'!D800,"")</f>
        <v/>
      </c>
      <c r="C796" s="81" t="str">
        <f>IF('Item Setup Form'!$AF800="Yes",'Item Setup Form'!L800,"")</f>
        <v/>
      </c>
      <c r="D796" s="81" t="str">
        <f>IF('Item Setup Form'!$AF800="Yes",'Item Setup Form'!M800,"")</f>
        <v/>
      </c>
      <c r="E796" s="70"/>
      <c r="F796" s="70" t="str">
        <f>IF('Item Setup Form'!$AF800="Yes",'Item Setup Form'!G800,"")</f>
        <v/>
      </c>
      <c r="G796" s="70" t="str">
        <f>IF('Item Setup Form'!$AF800="Yes",'Item Setup Form'!H800,"")</f>
        <v/>
      </c>
      <c r="H796" s="70" t="str">
        <f>IF('Item Setup Form'!$AF800="Yes",'Item Setup Form'!V800,"")</f>
        <v/>
      </c>
      <c r="I796" s="70"/>
      <c r="J796" s="70" t="str">
        <f>IF('Item Setup Form'!$AF800="Yes",'Item Setup Form'!U800,"")</f>
        <v/>
      </c>
      <c r="K796" s="70" t="str">
        <f>IF('Item Setup Form'!$AF800="Yes",'Item Setup Form'!V800,"")</f>
        <v/>
      </c>
      <c r="L796" s="70"/>
      <c r="M796" s="70" t="str">
        <f>IF('Item Setup Form'!$AF800="Yes",'Item Setup Form'!A800,"")</f>
        <v/>
      </c>
      <c r="N796" s="70"/>
      <c r="O796" s="70"/>
      <c r="P796" s="70"/>
      <c r="Q796" s="70"/>
      <c r="R796" s="70"/>
      <c r="S796" s="70"/>
      <c r="T796" s="70"/>
      <c r="U796" s="70"/>
      <c r="V796" s="70"/>
      <c r="W796" s="70"/>
      <c r="X796" s="70"/>
      <c r="Y796" s="70"/>
      <c r="Z796" s="70"/>
    </row>
    <row r="797" spans="1:26">
      <c r="A797" s="70" t="str">
        <f>IF('Item Setup Form'!$AF801="Yes",'Item Setup Form'!$E801,"")</f>
        <v/>
      </c>
      <c r="B797" s="70" t="str">
        <f>IF('Item Setup Form'!$AF801="Yes",'Item Setup Form'!D801,"")</f>
        <v/>
      </c>
      <c r="C797" s="81" t="str">
        <f>IF('Item Setup Form'!$AF801="Yes",'Item Setup Form'!L801,"")</f>
        <v/>
      </c>
      <c r="D797" s="81" t="str">
        <f>IF('Item Setup Form'!$AF801="Yes",'Item Setup Form'!M801,"")</f>
        <v/>
      </c>
      <c r="E797" s="70"/>
      <c r="F797" s="70" t="str">
        <f>IF('Item Setup Form'!$AF801="Yes",'Item Setup Form'!G801,"")</f>
        <v/>
      </c>
      <c r="G797" s="70" t="str">
        <f>IF('Item Setup Form'!$AF801="Yes",'Item Setup Form'!H801,"")</f>
        <v/>
      </c>
      <c r="H797" s="70" t="str">
        <f>IF('Item Setup Form'!$AF801="Yes",'Item Setup Form'!V801,"")</f>
        <v/>
      </c>
      <c r="I797" s="70"/>
      <c r="J797" s="70" t="str">
        <f>IF('Item Setup Form'!$AF801="Yes",'Item Setup Form'!U801,"")</f>
        <v/>
      </c>
      <c r="K797" s="70" t="str">
        <f>IF('Item Setup Form'!$AF801="Yes",'Item Setup Form'!V801,"")</f>
        <v/>
      </c>
      <c r="L797" s="70"/>
      <c r="M797" s="70" t="str">
        <f>IF('Item Setup Form'!$AF801="Yes",'Item Setup Form'!A801,"")</f>
        <v/>
      </c>
      <c r="N797" s="70"/>
      <c r="O797" s="70"/>
      <c r="P797" s="70"/>
      <c r="Q797" s="70"/>
      <c r="R797" s="70"/>
      <c r="S797" s="70"/>
      <c r="T797" s="70"/>
      <c r="U797" s="70"/>
      <c r="V797" s="70"/>
      <c r="W797" s="70"/>
      <c r="X797" s="70"/>
      <c r="Y797" s="70"/>
      <c r="Z797" s="70"/>
    </row>
    <row r="798" spans="1:26">
      <c r="A798" s="70" t="str">
        <f>IF('Item Setup Form'!$AF802="Yes",'Item Setup Form'!$E802,"")</f>
        <v/>
      </c>
      <c r="B798" s="70" t="str">
        <f>IF('Item Setup Form'!$AF802="Yes",'Item Setup Form'!D802,"")</f>
        <v/>
      </c>
      <c r="C798" s="81" t="str">
        <f>IF('Item Setup Form'!$AF802="Yes",'Item Setup Form'!L802,"")</f>
        <v/>
      </c>
      <c r="D798" s="81" t="str">
        <f>IF('Item Setup Form'!$AF802="Yes",'Item Setup Form'!M802,"")</f>
        <v/>
      </c>
      <c r="E798" s="70"/>
      <c r="F798" s="70" t="str">
        <f>IF('Item Setup Form'!$AF802="Yes",'Item Setup Form'!G802,"")</f>
        <v/>
      </c>
      <c r="G798" s="70" t="str">
        <f>IF('Item Setup Form'!$AF802="Yes",'Item Setup Form'!H802,"")</f>
        <v/>
      </c>
      <c r="H798" s="70" t="str">
        <f>IF('Item Setup Form'!$AF802="Yes",'Item Setup Form'!V802,"")</f>
        <v/>
      </c>
      <c r="I798" s="70"/>
      <c r="J798" s="70" t="str">
        <f>IF('Item Setup Form'!$AF802="Yes",'Item Setup Form'!U802,"")</f>
        <v/>
      </c>
      <c r="K798" s="70" t="str">
        <f>IF('Item Setup Form'!$AF802="Yes",'Item Setup Form'!V802,"")</f>
        <v/>
      </c>
      <c r="L798" s="70"/>
      <c r="M798" s="70" t="str">
        <f>IF('Item Setup Form'!$AF802="Yes",'Item Setup Form'!A802,"")</f>
        <v/>
      </c>
      <c r="N798" s="70"/>
      <c r="O798" s="70"/>
      <c r="P798" s="70"/>
      <c r="Q798" s="70"/>
      <c r="R798" s="70"/>
      <c r="S798" s="70"/>
      <c r="T798" s="70"/>
      <c r="U798" s="70"/>
      <c r="V798" s="70"/>
      <c r="W798" s="70"/>
      <c r="X798" s="70"/>
      <c r="Y798" s="70"/>
      <c r="Z798" s="70"/>
    </row>
    <row r="799" spans="1:26">
      <c r="A799" s="70" t="str">
        <f>IF('Item Setup Form'!$AF803="Yes",'Item Setup Form'!$E803,"")</f>
        <v/>
      </c>
      <c r="B799" s="70" t="str">
        <f>IF('Item Setup Form'!$AF803="Yes",'Item Setup Form'!D803,"")</f>
        <v/>
      </c>
      <c r="C799" s="81" t="str">
        <f>IF('Item Setup Form'!$AF803="Yes",'Item Setup Form'!L803,"")</f>
        <v/>
      </c>
      <c r="D799" s="81" t="str">
        <f>IF('Item Setup Form'!$AF803="Yes",'Item Setup Form'!M803,"")</f>
        <v/>
      </c>
      <c r="E799" s="70"/>
      <c r="F799" s="70" t="str">
        <f>IF('Item Setup Form'!$AF803="Yes",'Item Setup Form'!G803,"")</f>
        <v/>
      </c>
      <c r="G799" s="70" t="str">
        <f>IF('Item Setup Form'!$AF803="Yes",'Item Setup Form'!H803,"")</f>
        <v/>
      </c>
      <c r="H799" s="70" t="str">
        <f>IF('Item Setup Form'!$AF803="Yes",'Item Setup Form'!V803,"")</f>
        <v/>
      </c>
      <c r="I799" s="70"/>
      <c r="J799" s="70" t="str">
        <f>IF('Item Setup Form'!$AF803="Yes",'Item Setup Form'!U803,"")</f>
        <v/>
      </c>
      <c r="K799" s="70" t="str">
        <f>IF('Item Setup Form'!$AF803="Yes",'Item Setup Form'!V803,"")</f>
        <v/>
      </c>
      <c r="L799" s="70"/>
      <c r="M799" s="70" t="str">
        <f>IF('Item Setup Form'!$AF803="Yes",'Item Setup Form'!A803,"")</f>
        <v/>
      </c>
      <c r="N799" s="70"/>
      <c r="O799" s="70"/>
      <c r="P799" s="70"/>
      <c r="Q799" s="70"/>
      <c r="R799" s="70"/>
      <c r="S799" s="70"/>
      <c r="T799" s="70"/>
      <c r="U799" s="70"/>
      <c r="V799" s="70"/>
      <c r="W799" s="70"/>
      <c r="X799" s="70"/>
      <c r="Y799" s="70"/>
      <c r="Z799" s="70"/>
    </row>
    <row r="800" spans="1:26">
      <c r="A800" s="70" t="str">
        <f>IF('Item Setup Form'!$AF804="Yes",'Item Setup Form'!$E804,"")</f>
        <v/>
      </c>
      <c r="B800" s="70" t="str">
        <f>IF('Item Setup Form'!$AF804="Yes",'Item Setup Form'!D804,"")</f>
        <v/>
      </c>
      <c r="C800" s="81" t="str">
        <f>IF('Item Setup Form'!$AF804="Yes",'Item Setup Form'!L804,"")</f>
        <v/>
      </c>
      <c r="D800" s="81" t="str">
        <f>IF('Item Setup Form'!$AF804="Yes",'Item Setup Form'!M804,"")</f>
        <v/>
      </c>
      <c r="E800" s="70"/>
      <c r="F800" s="70" t="str">
        <f>IF('Item Setup Form'!$AF804="Yes",'Item Setup Form'!G804,"")</f>
        <v/>
      </c>
      <c r="G800" s="70" t="str">
        <f>IF('Item Setup Form'!$AF804="Yes",'Item Setup Form'!H804,"")</f>
        <v/>
      </c>
      <c r="H800" s="70" t="str">
        <f>IF('Item Setup Form'!$AF804="Yes",'Item Setup Form'!V804,"")</f>
        <v/>
      </c>
      <c r="I800" s="70"/>
      <c r="J800" s="70" t="str">
        <f>IF('Item Setup Form'!$AF804="Yes",'Item Setup Form'!U804,"")</f>
        <v/>
      </c>
      <c r="K800" s="70" t="str">
        <f>IF('Item Setup Form'!$AF804="Yes",'Item Setup Form'!V804,"")</f>
        <v/>
      </c>
      <c r="L800" s="70"/>
      <c r="M800" s="70" t="str">
        <f>IF('Item Setup Form'!$AF804="Yes",'Item Setup Form'!A804,"")</f>
        <v/>
      </c>
      <c r="N800" s="70"/>
      <c r="O800" s="70"/>
      <c r="P800" s="70"/>
      <c r="Q800" s="70"/>
      <c r="R800" s="70"/>
      <c r="S800" s="70"/>
      <c r="T800" s="70"/>
      <c r="U800" s="70"/>
      <c r="V800" s="70"/>
      <c r="W800" s="70"/>
      <c r="X800" s="70"/>
      <c r="Y800" s="70"/>
      <c r="Z800" s="70"/>
    </row>
    <row r="801" spans="1:26">
      <c r="A801" s="70" t="str">
        <f>IF('Item Setup Form'!$AF805="Yes",'Item Setup Form'!$E805,"")</f>
        <v/>
      </c>
      <c r="B801" s="70" t="str">
        <f>IF('Item Setup Form'!$AF805="Yes",'Item Setup Form'!D805,"")</f>
        <v/>
      </c>
      <c r="C801" s="81" t="str">
        <f>IF('Item Setup Form'!$AF805="Yes",'Item Setup Form'!L805,"")</f>
        <v/>
      </c>
      <c r="D801" s="81" t="str">
        <f>IF('Item Setup Form'!$AF805="Yes",'Item Setup Form'!M805,"")</f>
        <v/>
      </c>
      <c r="E801" s="70"/>
      <c r="F801" s="70" t="str">
        <f>IF('Item Setup Form'!$AF805="Yes",'Item Setup Form'!G805,"")</f>
        <v/>
      </c>
      <c r="G801" s="70" t="str">
        <f>IF('Item Setup Form'!$AF805="Yes",'Item Setup Form'!H805,"")</f>
        <v/>
      </c>
      <c r="H801" s="70" t="str">
        <f>IF('Item Setup Form'!$AF805="Yes",'Item Setup Form'!V805,"")</f>
        <v/>
      </c>
      <c r="I801" s="70"/>
      <c r="J801" s="70" t="str">
        <f>IF('Item Setup Form'!$AF805="Yes",'Item Setup Form'!U805,"")</f>
        <v/>
      </c>
      <c r="K801" s="70" t="str">
        <f>IF('Item Setup Form'!$AF805="Yes",'Item Setup Form'!V805,"")</f>
        <v/>
      </c>
      <c r="L801" s="70"/>
      <c r="M801" s="70" t="str">
        <f>IF('Item Setup Form'!$AF805="Yes",'Item Setup Form'!A805,"")</f>
        <v/>
      </c>
      <c r="N801" s="70"/>
      <c r="O801" s="70"/>
      <c r="P801" s="70"/>
      <c r="Q801" s="70"/>
      <c r="R801" s="70"/>
      <c r="S801" s="70"/>
      <c r="T801" s="70"/>
      <c r="U801" s="70"/>
      <c r="V801" s="70"/>
      <c r="W801" s="70"/>
      <c r="X801" s="70"/>
      <c r="Y801" s="70"/>
      <c r="Z801" s="70"/>
    </row>
    <row r="802" spans="1:26">
      <c r="A802" s="70" t="str">
        <f>IF('Item Setup Form'!$AF806="Yes",'Item Setup Form'!$E806,"")</f>
        <v/>
      </c>
      <c r="B802" s="70" t="str">
        <f>IF('Item Setup Form'!$AF806="Yes",'Item Setup Form'!D806,"")</f>
        <v/>
      </c>
      <c r="C802" s="81" t="str">
        <f>IF('Item Setup Form'!$AF806="Yes",'Item Setup Form'!L806,"")</f>
        <v/>
      </c>
      <c r="D802" s="81" t="str">
        <f>IF('Item Setup Form'!$AF806="Yes",'Item Setup Form'!M806,"")</f>
        <v/>
      </c>
      <c r="E802" s="70"/>
      <c r="F802" s="70" t="str">
        <f>IF('Item Setup Form'!$AF806="Yes",'Item Setup Form'!G806,"")</f>
        <v/>
      </c>
      <c r="G802" s="70" t="str">
        <f>IF('Item Setup Form'!$AF806="Yes",'Item Setup Form'!H806,"")</f>
        <v/>
      </c>
      <c r="H802" s="70" t="str">
        <f>IF('Item Setup Form'!$AF806="Yes",'Item Setup Form'!V806,"")</f>
        <v/>
      </c>
      <c r="I802" s="70"/>
      <c r="J802" s="70" t="str">
        <f>IF('Item Setup Form'!$AF806="Yes",'Item Setup Form'!U806,"")</f>
        <v/>
      </c>
      <c r="K802" s="70" t="str">
        <f>IF('Item Setup Form'!$AF806="Yes",'Item Setup Form'!V806,"")</f>
        <v/>
      </c>
      <c r="L802" s="70"/>
      <c r="M802" s="70" t="str">
        <f>IF('Item Setup Form'!$AF806="Yes",'Item Setup Form'!A806,"")</f>
        <v/>
      </c>
      <c r="N802" s="70"/>
      <c r="O802" s="70"/>
      <c r="P802" s="70"/>
      <c r="Q802" s="70"/>
      <c r="R802" s="70"/>
      <c r="S802" s="70"/>
      <c r="T802" s="70"/>
      <c r="U802" s="70"/>
      <c r="V802" s="70"/>
      <c r="W802" s="70"/>
      <c r="X802" s="70"/>
      <c r="Y802" s="70"/>
      <c r="Z802" s="70"/>
    </row>
    <row r="803" spans="1:26">
      <c r="A803" s="70" t="str">
        <f>IF('Item Setup Form'!$AF807="Yes",'Item Setup Form'!$E807,"")</f>
        <v/>
      </c>
      <c r="B803" s="70" t="str">
        <f>IF('Item Setup Form'!$AF807="Yes",'Item Setup Form'!D807,"")</f>
        <v/>
      </c>
      <c r="C803" s="81" t="str">
        <f>IF('Item Setup Form'!$AF807="Yes",'Item Setup Form'!L807,"")</f>
        <v/>
      </c>
      <c r="D803" s="81" t="str">
        <f>IF('Item Setup Form'!$AF807="Yes",'Item Setup Form'!M807,"")</f>
        <v/>
      </c>
      <c r="E803" s="70"/>
      <c r="F803" s="70" t="str">
        <f>IF('Item Setup Form'!$AF807="Yes",'Item Setup Form'!G807,"")</f>
        <v/>
      </c>
      <c r="G803" s="70" t="str">
        <f>IF('Item Setup Form'!$AF807="Yes",'Item Setup Form'!H807,"")</f>
        <v/>
      </c>
      <c r="H803" s="70" t="str">
        <f>IF('Item Setup Form'!$AF807="Yes",'Item Setup Form'!V807,"")</f>
        <v/>
      </c>
      <c r="I803" s="70"/>
      <c r="J803" s="70" t="str">
        <f>IF('Item Setup Form'!$AF807="Yes",'Item Setup Form'!U807,"")</f>
        <v/>
      </c>
      <c r="K803" s="70" t="str">
        <f>IF('Item Setup Form'!$AF807="Yes",'Item Setup Form'!V807,"")</f>
        <v/>
      </c>
      <c r="L803" s="70"/>
      <c r="M803" s="70" t="str">
        <f>IF('Item Setup Form'!$AF807="Yes",'Item Setup Form'!A807,"")</f>
        <v/>
      </c>
      <c r="N803" s="70"/>
      <c r="O803" s="70"/>
      <c r="P803" s="70"/>
      <c r="Q803" s="70"/>
      <c r="R803" s="70"/>
      <c r="S803" s="70"/>
      <c r="T803" s="70"/>
      <c r="U803" s="70"/>
      <c r="V803" s="70"/>
      <c r="W803" s="70"/>
      <c r="X803" s="70"/>
      <c r="Y803" s="70"/>
      <c r="Z803" s="70"/>
    </row>
    <row r="804" spans="1:26">
      <c r="A804" s="70" t="str">
        <f>IF('Item Setup Form'!$AF808="Yes",'Item Setup Form'!$E808,"")</f>
        <v/>
      </c>
      <c r="B804" s="70" t="str">
        <f>IF('Item Setup Form'!$AF808="Yes",'Item Setup Form'!D808,"")</f>
        <v/>
      </c>
      <c r="C804" s="81" t="str">
        <f>IF('Item Setup Form'!$AF808="Yes",'Item Setup Form'!L808,"")</f>
        <v/>
      </c>
      <c r="D804" s="81" t="str">
        <f>IF('Item Setup Form'!$AF808="Yes",'Item Setup Form'!M808,"")</f>
        <v/>
      </c>
      <c r="E804" s="70"/>
      <c r="F804" s="70" t="str">
        <f>IF('Item Setup Form'!$AF808="Yes",'Item Setup Form'!G808,"")</f>
        <v/>
      </c>
      <c r="G804" s="70" t="str">
        <f>IF('Item Setup Form'!$AF808="Yes",'Item Setup Form'!H808,"")</f>
        <v/>
      </c>
      <c r="H804" s="70" t="str">
        <f>IF('Item Setup Form'!$AF808="Yes",'Item Setup Form'!V808,"")</f>
        <v/>
      </c>
      <c r="I804" s="70"/>
      <c r="J804" s="70" t="str">
        <f>IF('Item Setup Form'!$AF808="Yes",'Item Setup Form'!U808,"")</f>
        <v/>
      </c>
      <c r="K804" s="70" t="str">
        <f>IF('Item Setup Form'!$AF808="Yes",'Item Setup Form'!V808,"")</f>
        <v/>
      </c>
      <c r="L804" s="70"/>
      <c r="M804" s="70" t="str">
        <f>IF('Item Setup Form'!$AF808="Yes",'Item Setup Form'!A808,"")</f>
        <v/>
      </c>
      <c r="N804" s="70"/>
      <c r="O804" s="70"/>
      <c r="P804" s="70"/>
      <c r="Q804" s="70"/>
      <c r="R804" s="70"/>
      <c r="S804" s="70"/>
      <c r="T804" s="70"/>
      <c r="U804" s="70"/>
      <c r="V804" s="70"/>
      <c r="W804" s="70"/>
      <c r="X804" s="70"/>
      <c r="Y804" s="70"/>
      <c r="Z804" s="70"/>
    </row>
    <row r="805" spans="1:26">
      <c r="A805" s="70" t="str">
        <f>IF('Item Setup Form'!$AF809="Yes",'Item Setup Form'!$E809,"")</f>
        <v/>
      </c>
      <c r="B805" s="70" t="str">
        <f>IF('Item Setup Form'!$AF809="Yes",'Item Setup Form'!D809,"")</f>
        <v/>
      </c>
      <c r="C805" s="81" t="str">
        <f>IF('Item Setup Form'!$AF809="Yes",'Item Setup Form'!L809,"")</f>
        <v/>
      </c>
      <c r="D805" s="81" t="str">
        <f>IF('Item Setup Form'!$AF809="Yes",'Item Setup Form'!M809,"")</f>
        <v/>
      </c>
      <c r="E805" s="70"/>
      <c r="F805" s="70" t="str">
        <f>IF('Item Setup Form'!$AF809="Yes",'Item Setup Form'!G809,"")</f>
        <v/>
      </c>
      <c r="G805" s="70" t="str">
        <f>IF('Item Setup Form'!$AF809="Yes",'Item Setup Form'!H809,"")</f>
        <v/>
      </c>
      <c r="H805" s="70" t="str">
        <f>IF('Item Setup Form'!$AF809="Yes",'Item Setup Form'!V809,"")</f>
        <v/>
      </c>
      <c r="I805" s="70"/>
      <c r="J805" s="70" t="str">
        <f>IF('Item Setup Form'!$AF809="Yes",'Item Setup Form'!U809,"")</f>
        <v/>
      </c>
      <c r="K805" s="70" t="str">
        <f>IF('Item Setup Form'!$AF809="Yes",'Item Setup Form'!V809,"")</f>
        <v/>
      </c>
      <c r="L805" s="70"/>
      <c r="M805" s="70" t="str">
        <f>IF('Item Setup Form'!$AF809="Yes",'Item Setup Form'!A809,"")</f>
        <v/>
      </c>
      <c r="N805" s="70"/>
      <c r="O805" s="70"/>
      <c r="P805" s="70"/>
      <c r="Q805" s="70"/>
      <c r="R805" s="70"/>
      <c r="S805" s="70"/>
      <c r="T805" s="70"/>
      <c r="U805" s="70"/>
      <c r="V805" s="70"/>
      <c r="W805" s="70"/>
      <c r="X805" s="70"/>
      <c r="Y805" s="70"/>
      <c r="Z805" s="70"/>
    </row>
    <row r="806" spans="1:26">
      <c r="A806" s="70" t="str">
        <f>IF('Item Setup Form'!$AF810="Yes",'Item Setup Form'!$E810,"")</f>
        <v/>
      </c>
      <c r="B806" s="70" t="str">
        <f>IF('Item Setup Form'!$AF810="Yes",'Item Setup Form'!D810,"")</f>
        <v/>
      </c>
      <c r="C806" s="81" t="str">
        <f>IF('Item Setup Form'!$AF810="Yes",'Item Setup Form'!L810,"")</f>
        <v/>
      </c>
      <c r="D806" s="81" t="str">
        <f>IF('Item Setup Form'!$AF810="Yes",'Item Setup Form'!M810,"")</f>
        <v/>
      </c>
      <c r="E806" s="70"/>
      <c r="F806" s="70" t="str">
        <f>IF('Item Setup Form'!$AF810="Yes",'Item Setup Form'!G810,"")</f>
        <v/>
      </c>
      <c r="G806" s="70" t="str">
        <f>IF('Item Setup Form'!$AF810="Yes",'Item Setup Form'!H810,"")</f>
        <v/>
      </c>
      <c r="H806" s="70" t="str">
        <f>IF('Item Setup Form'!$AF810="Yes",'Item Setup Form'!V810,"")</f>
        <v/>
      </c>
      <c r="I806" s="70"/>
      <c r="J806" s="70" t="str">
        <f>IF('Item Setup Form'!$AF810="Yes",'Item Setup Form'!U810,"")</f>
        <v/>
      </c>
      <c r="K806" s="70" t="str">
        <f>IF('Item Setup Form'!$AF810="Yes",'Item Setup Form'!V810,"")</f>
        <v/>
      </c>
      <c r="L806" s="70"/>
      <c r="M806" s="70" t="str">
        <f>IF('Item Setup Form'!$AF810="Yes",'Item Setup Form'!A810,"")</f>
        <v/>
      </c>
      <c r="N806" s="70"/>
      <c r="O806" s="70"/>
      <c r="P806" s="70"/>
      <c r="Q806" s="70"/>
      <c r="R806" s="70"/>
      <c r="S806" s="70"/>
      <c r="T806" s="70"/>
      <c r="U806" s="70"/>
      <c r="V806" s="70"/>
      <c r="W806" s="70"/>
      <c r="X806" s="70"/>
      <c r="Y806" s="70"/>
      <c r="Z806" s="70"/>
    </row>
    <row r="807" spans="1:26">
      <c r="A807" s="70" t="str">
        <f>IF('Item Setup Form'!$AF811="Yes",'Item Setup Form'!$E811,"")</f>
        <v/>
      </c>
      <c r="B807" s="70" t="str">
        <f>IF('Item Setup Form'!$AF811="Yes",'Item Setup Form'!D811,"")</f>
        <v/>
      </c>
      <c r="C807" s="81" t="str">
        <f>IF('Item Setup Form'!$AF811="Yes",'Item Setup Form'!L811,"")</f>
        <v/>
      </c>
      <c r="D807" s="81" t="str">
        <f>IF('Item Setup Form'!$AF811="Yes",'Item Setup Form'!M811,"")</f>
        <v/>
      </c>
      <c r="E807" s="70"/>
      <c r="F807" s="70" t="str">
        <f>IF('Item Setup Form'!$AF811="Yes",'Item Setup Form'!G811,"")</f>
        <v/>
      </c>
      <c r="G807" s="70" t="str">
        <f>IF('Item Setup Form'!$AF811="Yes",'Item Setup Form'!H811,"")</f>
        <v/>
      </c>
      <c r="H807" s="70" t="str">
        <f>IF('Item Setup Form'!$AF811="Yes",'Item Setup Form'!V811,"")</f>
        <v/>
      </c>
      <c r="I807" s="70"/>
      <c r="J807" s="70" t="str">
        <f>IF('Item Setup Form'!$AF811="Yes",'Item Setup Form'!U811,"")</f>
        <v/>
      </c>
      <c r="K807" s="70" t="str">
        <f>IF('Item Setup Form'!$AF811="Yes",'Item Setup Form'!V811,"")</f>
        <v/>
      </c>
      <c r="L807" s="70"/>
      <c r="M807" s="70" t="str">
        <f>IF('Item Setup Form'!$AF811="Yes",'Item Setup Form'!A811,"")</f>
        <v/>
      </c>
      <c r="N807" s="70"/>
      <c r="O807" s="70"/>
      <c r="P807" s="70"/>
      <c r="Q807" s="70"/>
      <c r="R807" s="70"/>
      <c r="S807" s="70"/>
      <c r="T807" s="70"/>
      <c r="U807" s="70"/>
      <c r="V807" s="70"/>
      <c r="W807" s="70"/>
      <c r="X807" s="70"/>
      <c r="Y807" s="70"/>
      <c r="Z807" s="70"/>
    </row>
    <row r="808" spans="1:26">
      <c r="A808" s="70" t="str">
        <f>IF('Item Setup Form'!$AF812="Yes",'Item Setup Form'!$E812,"")</f>
        <v/>
      </c>
      <c r="B808" s="70" t="str">
        <f>IF('Item Setup Form'!$AF812="Yes",'Item Setup Form'!D812,"")</f>
        <v/>
      </c>
      <c r="C808" s="81" t="str">
        <f>IF('Item Setup Form'!$AF812="Yes",'Item Setup Form'!L812,"")</f>
        <v/>
      </c>
      <c r="D808" s="81" t="str">
        <f>IF('Item Setup Form'!$AF812="Yes",'Item Setup Form'!M812,"")</f>
        <v/>
      </c>
      <c r="E808" s="70"/>
      <c r="F808" s="70" t="str">
        <f>IF('Item Setup Form'!$AF812="Yes",'Item Setup Form'!G812,"")</f>
        <v/>
      </c>
      <c r="G808" s="70" t="str">
        <f>IF('Item Setup Form'!$AF812="Yes",'Item Setup Form'!H812,"")</f>
        <v/>
      </c>
      <c r="H808" s="70" t="str">
        <f>IF('Item Setup Form'!$AF812="Yes",'Item Setup Form'!V812,"")</f>
        <v/>
      </c>
      <c r="I808" s="70"/>
      <c r="J808" s="70" t="str">
        <f>IF('Item Setup Form'!$AF812="Yes",'Item Setup Form'!U812,"")</f>
        <v/>
      </c>
      <c r="K808" s="70" t="str">
        <f>IF('Item Setup Form'!$AF812="Yes",'Item Setup Form'!V812,"")</f>
        <v/>
      </c>
      <c r="L808" s="70"/>
      <c r="M808" s="70" t="str">
        <f>IF('Item Setup Form'!$AF812="Yes",'Item Setup Form'!A812,"")</f>
        <v/>
      </c>
      <c r="N808" s="70"/>
      <c r="O808" s="70"/>
      <c r="P808" s="70"/>
      <c r="Q808" s="70"/>
      <c r="R808" s="70"/>
      <c r="S808" s="70"/>
      <c r="T808" s="70"/>
      <c r="U808" s="70"/>
      <c r="V808" s="70"/>
      <c r="W808" s="70"/>
      <c r="X808" s="70"/>
      <c r="Y808" s="70"/>
      <c r="Z808" s="70"/>
    </row>
    <row r="809" spans="1:26">
      <c r="A809" s="70" t="str">
        <f>IF('Item Setup Form'!$AF813="Yes",'Item Setup Form'!$E813,"")</f>
        <v/>
      </c>
      <c r="B809" s="70" t="str">
        <f>IF('Item Setup Form'!$AF813="Yes",'Item Setup Form'!D813,"")</f>
        <v/>
      </c>
      <c r="C809" s="81" t="str">
        <f>IF('Item Setup Form'!$AF813="Yes",'Item Setup Form'!L813,"")</f>
        <v/>
      </c>
      <c r="D809" s="81" t="str">
        <f>IF('Item Setup Form'!$AF813="Yes",'Item Setup Form'!M813,"")</f>
        <v/>
      </c>
      <c r="E809" s="70"/>
      <c r="F809" s="70" t="str">
        <f>IF('Item Setup Form'!$AF813="Yes",'Item Setup Form'!G813,"")</f>
        <v/>
      </c>
      <c r="G809" s="70" t="str">
        <f>IF('Item Setup Form'!$AF813="Yes",'Item Setup Form'!H813,"")</f>
        <v/>
      </c>
      <c r="H809" s="70" t="str">
        <f>IF('Item Setup Form'!$AF813="Yes",'Item Setup Form'!V813,"")</f>
        <v/>
      </c>
      <c r="I809" s="70"/>
      <c r="J809" s="70" t="str">
        <f>IF('Item Setup Form'!$AF813="Yes",'Item Setup Form'!U813,"")</f>
        <v/>
      </c>
      <c r="K809" s="70" t="str">
        <f>IF('Item Setup Form'!$AF813="Yes",'Item Setup Form'!V813,"")</f>
        <v/>
      </c>
      <c r="L809" s="70"/>
      <c r="M809" s="70" t="str">
        <f>IF('Item Setup Form'!$AF813="Yes",'Item Setup Form'!A813,"")</f>
        <v/>
      </c>
      <c r="N809" s="70"/>
      <c r="O809" s="70"/>
      <c r="P809" s="70"/>
      <c r="Q809" s="70"/>
      <c r="R809" s="70"/>
      <c r="S809" s="70"/>
      <c r="T809" s="70"/>
      <c r="U809" s="70"/>
      <c r="V809" s="70"/>
      <c r="W809" s="70"/>
      <c r="X809" s="70"/>
      <c r="Y809" s="70"/>
      <c r="Z809" s="70"/>
    </row>
    <row r="810" spans="1:26">
      <c r="A810" s="70" t="str">
        <f>IF('Item Setup Form'!$AF814="Yes",'Item Setup Form'!$E814,"")</f>
        <v/>
      </c>
      <c r="B810" s="70" t="str">
        <f>IF('Item Setup Form'!$AF814="Yes",'Item Setup Form'!D814,"")</f>
        <v/>
      </c>
      <c r="C810" s="81" t="str">
        <f>IF('Item Setup Form'!$AF814="Yes",'Item Setup Form'!L814,"")</f>
        <v/>
      </c>
      <c r="D810" s="81" t="str">
        <f>IF('Item Setup Form'!$AF814="Yes",'Item Setup Form'!M814,"")</f>
        <v/>
      </c>
      <c r="E810" s="70"/>
      <c r="F810" s="70" t="str">
        <f>IF('Item Setup Form'!$AF814="Yes",'Item Setup Form'!G814,"")</f>
        <v/>
      </c>
      <c r="G810" s="70" t="str">
        <f>IF('Item Setup Form'!$AF814="Yes",'Item Setup Form'!H814,"")</f>
        <v/>
      </c>
      <c r="H810" s="70" t="str">
        <f>IF('Item Setup Form'!$AF814="Yes",'Item Setup Form'!V814,"")</f>
        <v/>
      </c>
      <c r="I810" s="70"/>
      <c r="J810" s="70" t="str">
        <f>IF('Item Setup Form'!$AF814="Yes",'Item Setup Form'!U814,"")</f>
        <v/>
      </c>
      <c r="K810" s="70" t="str">
        <f>IF('Item Setup Form'!$AF814="Yes",'Item Setup Form'!V814,"")</f>
        <v/>
      </c>
      <c r="L810" s="70"/>
      <c r="M810" s="70" t="str">
        <f>IF('Item Setup Form'!$AF814="Yes",'Item Setup Form'!A814,"")</f>
        <v/>
      </c>
      <c r="N810" s="70"/>
      <c r="O810" s="70"/>
      <c r="P810" s="70"/>
      <c r="Q810" s="70"/>
      <c r="R810" s="70"/>
      <c r="S810" s="70"/>
      <c r="T810" s="70"/>
      <c r="U810" s="70"/>
      <c r="V810" s="70"/>
      <c r="W810" s="70"/>
      <c r="X810" s="70"/>
      <c r="Y810" s="70"/>
      <c r="Z810" s="70"/>
    </row>
    <row r="811" spans="1:26">
      <c r="A811" s="70" t="str">
        <f>IF('Item Setup Form'!$AF815="Yes",'Item Setup Form'!$E815,"")</f>
        <v/>
      </c>
      <c r="B811" s="70" t="str">
        <f>IF('Item Setup Form'!$AF815="Yes",'Item Setup Form'!D815,"")</f>
        <v/>
      </c>
      <c r="C811" s="81" t="str">
        <f>IF('Item Setup Form'!$AF815="Yes",'Item Setup Form'!L815,"")</f>
        <v/>
      </c>
      <c r="D811" s="81" t="str">
        <f>IF('Item Setup Form'!$AF815="Yes",'Item Setup Form'!M815,"")</f>
        <v/>
      </c>
      <c r="E811" s="70"/>
      <c r="F811" s="70" t="str">
        <f>IF('Item Setup Form'!$AF815="Yes",'Item Setup Form'!G815,"")</f>
        <v/>
      </c>
      <c r="G811" s="70" t="str">
        <f>IF('Item Setup Form'!$AF815="Yes",'Item Setup Form'!H815,"")</f>
        <v/>
      </c>
      <c r="H811" s="70" t="str">
        <f>IF('Item Setup Form'!$AF815="Yes",'Item Setup Form'!V815,"")</f>
        <v/>
      </c>
      <c r="I811" s="70"/>
      <c r="J811" s="70" t="str">
        <f>IF('Item Setup Form'!$AF815="Yes",'Item Setup Form'!U815,"")</f>
        <v/>
      </c>
      <c r="K811" s="70" t="str">
        <f>IF('Item Setup Form'!$AF815="Yes",'Item Setup Form'!V815,"")</f>
        <v/>
      </c>
      <c r="L811" s="70"/>
      <c r="M811" s="70" t="str">
        <f>IF('Item Setup Form'!$AF815="Yes",'Item Setup Form'!A815,"")</f>
        <v/>
      </c>
      <c r="N811" s="70"/>
      <c r="O811" s="70"/>
      <c r="P811" s="70"/>
      <c r="Q811" s="70"/>
      <c r="R811" s="70"/>
      <c r="S811" s="70"/>
      <c r="T811" s="70"/>
      <c r="U811" s="70"/>
      <c r="V811" s="70"/>
      <c r="W811" s="70"/>
      <c r="X811" s="70"/>
      <c r="Y811" s="70"/>
      <c r="Z811" s="70"/>
    </row>
    <row r="812" spans="1:26">
      <c r="A812" s="70" t="str">
        <f>IF('Item Setup Form'!$AF816="Yes",'Item Setup Form'!$E816,"")</f>
        <v/>
      </c>
      <c r="B812" s="70" t="str">
        <f>IF('Item Setup Form'!$AF816="Yes",'Item Setup Form'!D816,"")</f>
        <v/>
      </c>
      <c r="C812" s="81" t="str">
        <f>IF('Item Setup Form'!$AF816="Yes",'Item Setup Form'!L816,"")</f>
        <v/>
      </c>
      <c r="D812" s="81" t="str">
        <f>IF('Item Setup Form'!$AF816="Yes",'Item Setup Form'!M816,"")</f>
        <v/>
      </c>
      <c r="E812" s="70"/>
      <c r="F812" s="70" t="str">
        <f>IF('Item Setup Form'!$AF816="Yes",'Item Setup Form'!G816,"")</f>
        <v/>
      </c>
      <c r="G812" s="70" t="str">
        <f>IF('Item Setup Form'!$AF816="Yes",'Item Setup Form'!H816,"")</f>
        <v/>
      </c>
      <c r="H812" s="70" t="str">
        <f>IF('Item Setup Form'!$AF816="Yes",'Item Setup Form'!V816,"")</f>
        <v/>
      </c>
      <c r="I812" s="70"/>
      <c r="J812" s="70" t="str">
        <f>IF('Item Setup Form'!$AF816="Yes",'Item Setup Form'!U816,"")</f>
        <v/>
      </c>
      <c r="K812" s="70" t="str">
        <f>IF('Item Setup Form'!$AF816="Yes",'Item Setup Form'!V816,"")</f>
        <v/>
      </c>
      <c r="L812" s="70"/>
      <c r="M812" s="70" t="str">
        <f>IF('Item Setup Form'!$AF816="Yes",'Item Setup Form'!A816,"")</f>
        <v/>
      </c>
      <c r="N812" s="70"/>
      <c r="O812" s="70"/>
      <c r="P812" s="70"/>
      <c r="Q812" s="70"/>
      <c r="R812" s="70"/>
      <c r="S812" s="70"/>
      <c r="T812" s="70"/>
      <c r="U812" s="70"/>
      <c r="V812" s="70"/>
      <c r="W812" s="70"/>
      <c r="X812" s="70"/>
      <c r="Y812" s="70"/>
      <c r="Z812" s="70"/>
    </row>
    <row r="813" spans="1:26">
      <c r="A813" s="70" t="str">
        <f>IF('Item Setup Form'!$AF817="Yes",'Item Setup Form'!$E817,"")</f>
        <v/>
      </c>
      <c r="B813" s="70" t="str">
        <f>IF('Item Setup Form'!$AF817="Yes",'Item Setup Form'!D817,"")</f>
        <v/>
      </c>
      <c r="C813" s="81" t="str">
        <f>IF('Item Setup Form'!$AF817="Yes",'Item Setup Form'!L817,"")</f>
        <v/>
      </c>
      <c r="D813" s="81" t="str">
        <f>IF('Item Setup Form'!$AF817="Yes",'Item Setup Form'!M817,"")</f>
        <v/>
      </c>
      <c r="E813" s="70"/>
      <c r="F813" s="70" t="str">
        <f>IF('Item Setup Form'!$AF817="Yes",'Item Setup Form'!G817,"")</f>
        <v/>
      </c>
      <c r="G813" s="70" t="str">
        <f>IF('Item Setup Form'!$AF817="Yes",'Item Setup Form'!H817,"")</f>
        <v/>
      </c>
      <c r="H813" s="70" t="str">
        <f>IF('Item Setup Form'!$AF817="Yes",'Item Setup Form'!V817,"")</f>
        <v/>
      </c>
      <c r="I813" s="70"/>
      <c r="J813" s="70" t="str">
        <f>IF('Item Setup Form'!$AF817="Yes",'Item Setup Form'!U817,"")</f>
        <v/>
      </c>
      <c r="K813" s="70" t="str">
        <f>IF('Item Setup Form'!$AF817="Yes",'Item Setup Form'!V817,"")</f>
        <v/>
      </c>
      <c r="L813" s="70"/>
      <c r="M813" s="70" t="str">
        <f>IF('Item Setup Form'!$AF817="Yes",'Item Setup Form'!A817,"")</f>
        <v/>
      </c>
      <c r="N813" s="70"/>
      <c r="O813" s="70"/>
      <c r="P813" s="70"/>
      <c r="Q813" s="70"/>
      <c r="R813" s="70"/>
      <c r="S813" s="70"/>
      <c r="T813" s="70"/>
      <c r="U813" s="70"/>
      <c r="V813" s="70"/>
      <c r="W813" s="70"/>
      <c r="X813" s="70"/>
      <c r="Y813" s="70"/>
      <c r="Z813" s="70"/>
    </row>
    <row r="814" spans="1:26">
      <c r="A814" s="70" t="str">
        <f>IF('Item Setup Form'!$AF818="Yes",'Item Setup Form'!$E818,"")</f>
        <v/>
      </c>
      <c r="B814" s="70" t="str">
        <f>IF('Item Setup Form'!$AF818="Yes",'Item Setup Form'!D818,"")</f>
        <v/>
      </c>
      <c r="C814" s="81" t="str">
        <f>IF('Item Setup Form'!$AF818="Yes",'Item Setup Form'!L818,"")</f>
        <v/>
      </c>
      <c r="D814" s="81" t="str">
        <f>IF('Item Setup Form'!$AF818="Yes",'Item Setup Form'!M818,"")</f>
        <v/>
      </c>
      <c r="E814" s="70"/>
      <c r="F814" s="70" t="str">
        <f>IF('Item Setup Form'!$AF818="Yes",'Item Setup Form'!G818,"")</f>
        <v/>
      </c>
      <c r="G814" s="70" t="str">
        <f>IF('Item Setup Form'!$AF818="Yes",'Item Setup Form'!H818,"")</f>
        <v/>
      </c>
      <c r="H814" s="70" t="str">
        <f>IF('Item Setup Form'!$AF818="Yes",'Item Setup Form'!V818,"")</f>
        <v/>
      </c>
      <c r="I814" s="70"/>
      <c r="J814" s="70" t="str">
        <f>IF('Item Setup Form'!$AF818="Yes",'Item Setup Form'!U818,"")</f>
        <v/>
      </c>
      <c r="K814" s="70" t="str">
        <f>IF('Item Setup Form'!$AF818="Yes",'Item Setup Form'!V818,"")</f>
        <v/>
      </c>
      <c r="L814" s="70"/>
      <c r="M814" s="70" t="str">
        <f>IF('Item Setup Form'!$AF818="Yes",'Item Setup Form'!A818,"")</f>
        <v/>
      </c>
      <c r="N814" s="70"/>
      <c r="O814" s="70"/>
      <c r="P814" s="70"/>
      <c r="Q814" s="70"/>
      <c r="R814" s="70"/>
      <c r="S814" s="70"/>
      <c r="T814" s="70"/>
      <c r="U814" s="70"/>
      <c r="V814" s="70"/>
      <c r="W814" s="70"/>
      <c r="X814" s="70"/>
      <c r="Y814" s="70"/>
      <c r="Z814" s="70"/>
    </row>
    <row r="815" spans="1:26">
      <c r="A815" s="70" t="str">
        <f>IF('Item Setup Form'!$AF819="Yes",'Item Setup Form'!$E819,"")</f>
        <v/>
      </c>
      <c r="B815" s="70" t="str">
        <f>IF('Item Setup Form'!$AF819="Yes",'Item Setup Form'!D819,"")</f>
        <v/>
      </c>
      <c r="C815" s="81" t="str">
        <f>IF('Item Setup Form'!$AF819="Yes",'Item Setup Form'!L819,"")</f>
        <v/>
      </c>
      <c r="D815" s="81" t="str">
        <f>IF('Item Setup Form'!$AF819="Yes",'Item Setup Form'!M819,"")</f>
        <v/>
      </c>
      <c r="E815" s="70"/>
      <c r="F815" s="70" t="str">
        <f>IF('Item Setup Form'!$AF819="Yes",'Item Setup Form'!G819,"")</f>
        <v/>
      </c>
      <c r="G815" s="70" t="str">
        <f>IF('Item Setup Form'!$AF819="Yes",'Item Setup Form'!H819,"")</f>
        <v/>
      </c>
      <c r="H815" s="70" t="str">
        <f>IF('Item Setup Form'!$AF819="Yes",'Item Setup Form'!V819,"")</f>
        <v/>
      </c>
      <c r="I815" s="70"/>
      <c r="J815" s="70" t="str">
        <f>IF('Item Setup Form'!$AF819="Yes",'Item Setup Form'!U819,"")</f>
        <v/>
      </c>
      <c r="K815" s="70" t="str">
        <f>IF('Item Setup Form'!$AF819="Yes",'Item Setup Form'!V819,"")</f>
        <v/>
      </c>
      <c r="L815" s="70"/>
      <c r="M815" s="70" t="str">
        <f>IF('Item Setup Form'!$AF819="Yes",'Item Setup Form'!A819,"")</f>
        <v/>
      </c>
      <c r="N815" s="70"/>
      <c r="O815" s="70"/>
      <c r="P815" s="70"/>
      <c r="Q815" s="70"/>
      <c r="R815" s="70"/>
      <c r="S815" s="70"/>
      <c r="T815" s="70"/>
      <c r="U815" s="70"/>
      <c r="V815" s="70"/>
      <c r="W815" s="70"/>
      <c r="X815" s="70"/>
      <c r="Y815" s="70"/>
      <c r="Z815" s="70"/>
    </row>
    <row r="816" spans="1:26">
      <c r="A816" s="70" t="str">
        <f>IF('Item Setup Form'!$AF820="Yes",'Item Setup Form'!$E820,"")</f>
        <v/>
      </c>
      <c r="B816" s="70" t="str">
        <f>IF('Item Setup Form'!$AF820="Yes",'Item Setup Form'!D820,"")</f>
        <v/>
      </c>
      <c r="C816" s="81" t="str">
        <f>IF('Item Setup Form'!$AF820="Yes",'Item Setup Form'!L820,"")</f>
        <v/>
      </c>
      <c r="D816" s="81" t="str">
        <f>IF('Item Setup Form'!$AF820="Yes",'Item Setup Form'!M820,"")</f>
        <v/>
      </c>
      <c r="E816" s="70"/>
      <c r="F816" s="70" t="str">
        <f>IF('Item Setup Form'!$AF820="Yes",'Item Setup Form'!G820,"")</f>
        <v/>
      </c>
      <c r="G816" s="70" t="str">
        <f>IF('Item Setup Form'!$AF820="Yes",'Item Setup Form'!H820,"")</f>
        <v/>
      </c>
      <c r="H816" s="70" t="str">
        <f>IF('Item Setup Form'!$AF820="Yes",'Item Setup Form'!V820,"")</f>
        <v/>
      </c>
      <c r="I816" s="70"/>
      <c r="J816" s="70" t="str">
        <f>IF('Item Setup Form'!$AF820="Yes",'Item Setup Form'!U820,"")</f>
        <v/>
      </c>
      <c r="K816" s="70" t="str">
        <f>IF('Item Setup Form'!$AF820="Yes",'Item Setup Form'!V820,"")</f>
        <v/>
      </c>
      <c r="L816" s="70"/>
      <c r="M816" s="70" t="str">
        <f>IF('Item Setup Form'!$AF820="Yes",'Item Setup Form'!A820,"")</f>
        <v/>
      </c>
      <c r="N816" s="70"/>
      <c r="O816" s="70"/>
      <c r="P816" s="70"/>
      <c r="Q816" s="70"/>
      <c r="R816" s="70"/>
      <c r="S816" s="70"/>
      <c r="T816" s="70"/>
      <c r="U816" s="70"/>
      <c r="V816" s="70"/>
      <c r="W816" s="70"/>
      <c r="X816" s="70"/>
      <c r="Y816" s="70"/>
      <c r="Z816" s="70"/>
    </row>
    <row r="817" spans="1:26">
      <c r="A817" s="70" t="str">
        <f>IF('Item Setup Form'!$AF821="Yes",'Item Setup Form'!$E821,"")</f>
        <v/>
      </c>
      <c r="B817" s="70" t="str">
        <f>IF('Item Setup Form'!$AF821="Yes",'Item Setup Form'!D821,"")</f>
        <v/>
      </c>
      <c r="C817" s="81" t="str">
        <f>IF('Item Setup Form'!$AF821="Yes",'Item Setup Form'!L821,"")</f>
        <v/>
      </c>
      <c r="D817" s="81" t="str">
        <f>IF('Item Setup Form'!$AF821="Yes",'Item Setup Form'!M821,"")</f>
        <v/>
      </c>
      <c r="E817" s="70"/>
      <c r="F817" s="70" t="str">
        <f>IF('Item Setup Form'!$AF821="Yes",'Item Setup Form'!G821,"")</f>
        <v/>
      </c>
      <c r="G817" s="70" t="str">
        <f>IF('Item Setup Form'!$AF821="Yes",'Item Setup Form'!H821,"")</f>
        <v/>
      </c>
      <c r="H817" s="70" t="str">
        <f>IF('Item Setup Form'!$AF821="Yes",'Item Setup Form'!V821,"")</f>
        <v/>
      </c>
      <c r="I817" s="70"/>
      <c r="J817" s="70" t="str">
        <f>IF('Item Setup Form'!$AF821="Yes",'Item Setup Form'!U821,"")</f>
        <v/>
      </c>
      <c r="K817" s="70" t="str">
        <f>IF('Item Setup Form'!$AF821="Yes",'Item Setup Form'!V821,"")</f>
        <v/>
      </c>
      <c r="L817" s="70"/>
      <c r="M817" s="70" t="str">
        <f>IF('Item Setup Form'!$AF821="Yes",'Item Setup Form'!A821,"")</f>
        <v/>
      </c>
      <c r="N817" s="70"/>
      <c r="O817" s="70"/>
      <c r="P817" s="70"/>
      <c r="Q817" s="70"/>
      <c r="R817" s="70"/>
      <c r="S817" s="70"/>
      <c r="T817" s="70"/>
      <c r="U817" s="70"/>
      <c r="V817" s="70"/>
      <c r="W817" s="70"/>
      <c r="X817" s="70"/>
      <c r="Y817" s="70"/>
      <c r="Z817" s="70"/>
    </row>
    <row r="818" spans="1:26">
      <c r="A818" s="70" t="str">
        <f>IF('Item Setup Form'!$AF822="Yes",'Item Setup Form'!$E822,"")</f>
        <v/>
      </c>
      <c r="B818" s="70" t="str">
        <f>IF('Item Setup Form'!$AF822="Yes",'Item Setup Form'!D822,"")</f>
        <v/>
      </c>
      <c r="C818" s="81" t="str">
        <f>IF('Item Setup Form'!$AF822="Yes",'Item Setup Form'!L822,"")</f>
        <v/>
      </c>
      <c r="D818" s="81" t="str">
        <f>IF('Item Setup Form'!$AF822="Yes",'Item Setup Form'!M822,"")</f>
        <v/>
      </c>
      <c r="E818" s="70"/>
      <c r="F818" s="70" t="str">
        <f>IF('Item Setup Form'!$AF822="Yes",'Item Setup Form'!G822,"")</f>
        <v/>
      </c>
      <c r="G818" s="70" t="str">
        <f>IF('Item Setup Form'!$AF822="Yes",'Item Setup Form'!H822,"")</f>
        <v/>
      </c>
      <c r="H818" s="70" t="str">
        <f>IF('Item Setup Form'!$AF822="Yes",'Item Setup Form'!V822,"")</f>
        <v/>
      </c>
      <c r="I818" s="70"/>
      <c r="J818" s="70" t="str">
        <f>IF('Item Setup Form'!$AF822="Yes",'Item Setup Form'!U822,"")</f>
        <v/>
      </c>
      <c r="K818" s="70" t="str">
        <f>IF('Item Setup Form'!$AF822="Yes",'Item Setup Form'!V822,"")</f>
        <v/>
      </c>
      <c r="L818" s="70"/>
      <c r="M818" s="70" t="str">
        <f>IF('Item Setup Form'!$AF822="Yes",'Item Setup Form'!A822,"")</f>
        <v/>
      </c>
      <c r="N818" s="70"/>
      <c r="O818" s="70"/>
      <c r="P818" s="70"/>
      <c r="Q818" s="70"/>
      <c r="R818" s="70"/>
      <c r="S818" s="70"/>
      <c r="T818" s="70"/>
      <c r="U818" s="70"/>
      <c r="V818" s="70"/>
      <c r="W818" s="70"/>
      <c r="X818" s="70"/>
      <c r="Y818" s="70"/>
      <c r="Z818" s="70"/>
    </row>
    <row r="819" spans="1:26">
      <c r="A819" s="70" t="str">
        <f>IF('Item Setup Form'!$AF823="Yes",'Item Setup Form'!$E823,"")</f>
        <v/>
      </c>
      <c r="B819" s="70" t="str">
        <f>IF('Item Setup Form'!$AF823="Yes",'Item Setup Form'!D823,"")</f>
        <v/>
      </c>
      <c r="C819" s="81" t="str">
        <f>IF('Item Setup Form'!$AF823="Yes",'Item Setup Form'!L823,"")</f>
        <v/>
      </c>
      <c r="D819" s="81" t="str">
        <f>IF('Item Setup Form'!$AF823="Yes",'Item Setup Form'!M823,"")</f>
        <v/>
      </c>
      <c r="E819" s="70"/>
      <c r="F819" s="70" t="str">
        <f>IF('Item Setup Form'!$AF823="Yes",'Item Setup Form'!G823,"")</f>
        <v/>
      </c>
      <c r="G819" s="70" t="str">
        <f>IF('Item Setup Form'!$AF823="Yes",'Item Setup Form'!H823,"")</f>
        <v/>
      </c>
      <c r="H819" s="70" t="str">
        <f>IF('Item Setup Form'!$AF823="Yes",'Item Setup Form'!V823,"")</f>
        <v/>
      </c>
      <c r="I819" s="70"/>
      <c r="J819" s="70" t="str">
        <f>IF('Item Setup Form'!$AF823="Yes",'Item Setup Form'!U823,"")</f>
        <v/>
      </c>
      <c r="K819" s="70" t="str">
        <f>IF('Item Setup Form'!$AF823="Yes",'Item Setup Form'!V823,"")</f>
        <v/>
      </c>
      <c r="L819" s="70"/>
      <c r="M819" s="70" t="str">
        <f>IF('Item Setup Form'!$AF823="Yes",'Item Setup Form'!A823,"")</f>
        <v/>
      </c>
      <c r="N819" s="70"/>
      <c r="O819" s="70"/>
      <c r="P819" s="70"/>
      <c r="Q819" s="70"/>
      <c r="R819" s="70"/>
      <c r="S819" s="70"/>
      <c r="T819" s="70"/>
      <c r="U819" s="70"/>
      <c r="V819" s="70"/>
      <c r="W819" s="70"/>
      <c r="X819" s="70"/>
      <c r="Y819" s="70"/>
      <c r="Z819" s="70"/>
    </row>
    <row r="820" spans="1:26">
      <c r="A820" s="70" t="str">
        <f>IF('Item Setup Form'!$AF824="Yes",'Item Setup Form'!$E824,"")</f>
        <v/>
      </c>
      <c r="B820" s="70" t="str">
        <f>IF('Item Setup Form'!$AF824="Yes",'Item Setup Form'!D824,"")</f>
        <v/>
      </c>
      <c r="C820" s="81" t="str">
        <f>IF('Item Setup Form'!$AF824="Yes",'Item Setup Form'!L824,"")</f>
        <v/>
      </c>
      <c r="D820" s="81" t="str">
        <f>IF('Item Setup Form'!$AF824="Yes",'Item Setup Form'!M824,"")</f>
        <v/>
      </c>
      <c r="E820" s="70"/>
      <c r="F820" s="70" t="str">
        <f>IF('Item Setup Form'!$AF824="Yes",'Item Setup Form'!G824,"")</f>
        <v/>
      </c>
      <c r="G820" s="70" t="str">
        <f>IF('Item Setup Form'!$AF824="Yes",'Item Setup Form'!H824,"")</f>
        <v/>
      </c>
      <c r="H820" s="70" t="str">
        <f>IF('Item Setup Form'!$AF824="Yes",'Item Setup Form'!V824,"")</f>
        <v/>
      </c>
      <c r="I820" s="70"/>
      <c r="J820" s="70" t="str">
        <f>IF('Item Setup Form'!$AF824="Yes",'Item Setup Form'!U824,"")</f>
        <v/>
      </c>
      <c r="K820" s="70" t="str">
        <f>IF('Item Setup Form'!$AF824="Yes",'Item Setup Form'!V824,"")</f>
        <v/>
      </c>
      <c r="L820" s="70"/>
      <c r="M820" s="70" t="str">
        <f>IF('Item Setup Form'!$AF824="Yes",'Item Setup Form'!A824,"")</f>
        <v/>
      </c>
      <c r="N820" s="70"/>
      <c r="O820" s="70"/>
      <c r="P820" s="70"/>
      <c r="Q820" s="70"/>
      <c r="R820" s="70"/>
      <c r="S820" s="70"/>
      <c r="T820" s="70"/>
      <c r="U820" s="70"/>
      <c r="V820" s="70"/>
      <c r="W820" s="70"/>
      <c r="X820" s="70"/>
      <c r="Y820" s="70"/>
      <c r="Z820" s="70"/>
    </row>
    <row r="821" spans="1:26">
      <c r="A821" s="70" t="str">
        <f>IF('Item Setup Form'!$AF825="Yes",'Item Setup Form'!$E825,"")</f>
        <v/>
      </c>
      <c r="B821" s="70" t="str">
        <f>IF('Item Setup Form'!$AF825="Yes",'Item Setup Form'!D825,"")</f>
        <v/>
      </c>
      <c r="C821" s="81" t="str">
        <f>IF('Item Setup Form'!$AF825="Yes",'Item Setup Form'!L825,"")</f>
        <v/>
      </c>
      <c r="D821" s="81" t="str">
        <f>IF('Item Setup Form'!$AF825="Yes",'Item Setup Form'!M825,"")</f>
        <v/>
      </c>
      <c r="E821" s="70"/>
      <c r="F821" s="70" t="str">
        <f>IF('Item Setup Form'!$AF825="Yes",'Item Setup Form'!G825,"")</f>
        <v/>
      </c>
      <c r="G821" s="70" t="str">
        <f>IF('Item Setup Form'!$AF825="Yes",'Item Setup Form'!H825,"")</f>
        <v/>
      </c>
      <c r="H821" s="70" t="str">
        <f>IF('Item Setup Form'!$AF825="Yes",'Item Setup Form'!V825,"")</f>
        <v/>
      </c>
      <c r="I821" s="70"/>
      <c r="J821" s="70" t="str">
        <f>IF('Item Setup Form'!$AF825="Yes",'Item Setup Form'!U825,"")</f>
        <v/>
      </c>
      <c r="K821" s="70" t="str">
        <f>IF('Item Setup Form'!$AF825="Yes",'Item Setup Form'!V825,"")</f>
        <v/>
      </c>
      <c r="L821" s="70"/>
      <c r="M821" s="70" t="str">
        <f>IF('Item Setup Form'!$AF825="Yes",'Item Setup Form'!A825,"")</f>
        <v/>
      </c>
      <c r="N821" s="70"/>
      <c r="O821" s="70"/>
      <c r="P821" s="70"/>
      <c r="Q821" s="70"/>
      <c r="R821" s="70"/>
      <c r="S821" s="70"/>
      <c r="T821" s="70"/>
      <c r="U821" s="70"/>
      <c r="V821" s="70"/>
      <c r="W821" s="70"/>
      <c r="X821" s="70"/>
      <c r="Y821" s="70"/>
      <c r="Z821" s="70"/>
    </row>
    <row r="822" spans="1:26">
      <c r="A822" s="70" t="str">
        <f>IF('Item Setup Form'!$AF826="Yes",'Item Setup Form'!$E826,"")</f>
        <v/>
      </c>
      <c r="B822" s="70" t="str">
        <f>IF('Item Setup Form'!$AF826="Yes",'Item Setup Form'!D826,"")</f>
        <v/>
      </c>
      <c r="C822" s="81" t="str">
        <f>IF('Item Setup Form'!$AF826="Yes",'Item Setup Form'!L826,"")</f>
        <v/>
      </c>
      <c r="D822" s="81" t="str">
        <f>IF('Item Setup Form'!$AF826="Yes",'Item Setup Form'!M826,"")</f>
        <v/>
      </c>
      <c r="E822" s="70"/>
      <c r="F822" s="70" t="str">
        <f>IF('Item Setup Form'!$AF826="Yes",'Item Setup Form'!G826,"")</f>
        <v/>
      </c>
      <c r="G822" s="70" t="str">
        <f>IF('Item Setup Form'!$AF826="Yes",'Item Setup Form'!H826,"")</f>
        <v/>
      </c>
      <c r="H822" s="70" t="str">
        <f>IF('Item Setup Form'!$AF826="Yes",'Item Setup Form'!V826,"")</f>
        <v/>
      </c>
      <c r="I822" s="70"/>
      <c r="J822" s="70" t="str">
        <f>IF('Item Setup Form'!$AF826="Yes",'Item Setup Form'!U826,"")</f>
        <v/>
      </c>
      <c r="K822" s="70" t="str">
        <f>IF('Item Setup Form'!$AF826="Yes",'Item Setup Form'!V826,"")</f>
        <v/>
      </c>
      <c r="L822" s="70"/>
      <c r="M822" s="70" t="str">
        <f>IF('Item Setup Form'!$AF826="Yes",'Item Setup Form'!A826,"")</f>
        <v/>
      </c>
      <c r="N822" s="70"/>
      <c r="O822" s="70"/>
      <c r="P822" s="70"/>
      <c r="Q822" s="70"/>
      <c r="R822" s="70"/>
      <c r="S822" s="70"/>
      <c r="T822" s="70"/>
      <c r="U822" s="70"/>
      <c r="V822" s="70"/>
      <c r="W822" s="70"/>
      <c r="X822" s="70"/>
      <c r="Y822" s="70"/>
      <c r="Z822" s="70"/>
    </row>
    <row r="823" spans="1:26">
      <c r="A823" s="70" t="str">
        <f>IF('Item Setup Form'!$AF827="Yes",'Item Setup Form'!$E827,"")</f>
        <v/>
      </c>
      <c r="B823" s="70" t="str">
        <f>IF('Item Setup Form'!$AF827="Yes",'Item Setup Form'!D827,"")</f>
        <v/>
      </c>
      <c r="C823" s="81" t="str">
        <f>IF('Item Setup Form'!$AF827="Yes",'Item Setup Form'!L827,"")</f>
        <v/>
      </c>
      <c r="D823" s="81" t="str">
        <f>IF('Item Setup Form'!$AF827="Yes",'Item Setup Form'!M827,"")</f>
        <v/>
      </c>
      <c r="E823" s="70"/>
      <c r="F823" s="70" t="str">
        <f>IF('Item Setup Form'!$AF827="Yes",'Item Setup Form'!G827,"")</f>
        <v/>
      </c>
      <c r="G823" s="70" t="str">
        <f>IF('Item Setup Form'!$AF827="Yes",'Item Setup Form'!H827,"")</f>
        <v/>
      </c>
      <c r="H823" s="70" t="str">
        <f>IF('Item Setup Form'!$AF827="Yes",'Item Setup Form'!V827,"")</f>
        <v/>
      </c>
      <c r="I823" s="70"/>
      <c r="J823" s="70" t="str">
        <f>IF('Item Setup Form'!$AF827="Yes",'Item Setup Form'!U827,"")</f>
        <v/>
      </c>
      <c r="K823" s="70" t="str">
        <f>IF('Item Setup Form'!$AF827="Yes",'Item Setup Form'!V827,"")</f>
        <v/>
      </c>
      <c r="L823" s="70"/>
      <c r="M823" s="70" t="str">
        <f>IF('Item Setup Form'!$AF827="Yes",'Item Setup Form'!A827,"")</f>
        <v/>
      </c>
      <c r="N823" s="70"/>
      <c r="O823" s="70"/>
      <c r="P823" s="70"/>
      <c r="Q823" s="70"/>
      <c r="R823" s="70"/>
      <c r="S823" s="70"/>
      <c r="T823" s="70"/>
      <c r="U823" s="70"/>
      <c r="V823" s="70"/>
      <c r="W823" s="70"/>
      <c r="X823" s="70"/>
      <c r="Y823" s="70"/>
      <c r="Z823" s="70"/>
    </row>
    <row r="824" spans="1:26">
      <c r="A824" s="70" t="str">
        <f>IF('Item Setup Form'!$AF828="Yes",'Item Setup Form'!$E828,"")</f>
        <v/>
      </c>
      <c r="B824" s="70" t="str">
        <f>IF('Item Setup Form'!$AF828="Yes",'Item Setup Form'!D828,"")</f>
        <v/>
      </c>
      <c r="C824" s="81" t="str">
        <f>IF('Item Setup Form'!$AF828="Yes",'Item Setup Form'!L828,"")</f>
        <v/>
      </c>
      <c r="D824" s="81" t="str">
        <f>IF('Item Setup Form'!$AF828="Yes",'Item Setup Form'!M828,"")</f>
        <v/>
      </c>
      <c r="E824" s="70"/>
      <c r="F824" s="70" t="str">
        <f>IF('Item Setup Form'!$AF828="Yes",'Item Setup Form'!G828,"")</f>
        <v/>
      </c>
      <c r="G824" s="70" t="str">
        <f>IF('Item Setup Form'!$AF828="Yes",'Item Setup Form'!H828,"")</f>
        <v/>
      </c>
      <c r="H824" s="70" t="str">
        <f>IF('Item Setup Form'!$AF828="Yes",'Item Setup Form'!V828,"")</f>
        <v/>
      </c>
      <c r="I824" s="70"/>
      <c r="J824" s="70" t="str">
        <f>IF('Item Setup Form'!$AF828="Yes",'Item Setup Form'!U828,"")</f>
        <v/>
      </c>
      <c r="K824" s="70" t="str">
        <f>IF('Item Setup Form'!$AF828="Yes",'Item Setup Form'!V828,"")</f>
        <v/>
      </c>
      <c r="L824" s="70"/>
      <c r="M824" s="70" t="str">
        <f>IF('Item Setup Form'!$AF828="Yes",'Item Setup Form'!A828,"")</f>
        <v/>
      </c>
      <c r="N824" s="70"/>
      <c r="O824" s="70"/>
      <c r="P824" s="70"/>
      <c r="Q824" s="70"/>
      <c r="R824" s="70"/>
      <c r="S824" s="70"/>
      <c r="T824" s="70"/>
      <c r="U824" s="70"/>
      <c r="V824" s="70"/>
      <c r="W824" s="70"/>
      <c r="X824" s="70"/>
      <c r="Y824" s="70"/>
      <c r="Z824" s="70"/>
    </row>
    <row r="825" spans="1:26">
      <c r="A825" s="70" t="str">
        <f>IF('Item Setup Form'!$AF829="Yes",'Item Setup Form'!$E829,"")</f>
        <v/>
      </c>
      <c r="B825" s="70" t="str">
        <f>IF('Item Setup Form'!$AF829="Yes",'Item Setup Form'!D829,"")</f>
        <v/>
      </c>
      <c r="C825" s="81" t="str">
        <f>IF('Item Setup Form'!$AF829="Yes",'Item Setup Form'!L829,"")</f>
        <v/>
      </c>
      <c r="D825" s="81" t="str">
        <f>IF('Item Setup Form'!$AF829="Yes",'Item Setup Form'!M829,"")</f>
        <v/>
      </c>
      <c r="E825" s="70"/>
      <c r="F825" s="70" t="str">
        <f>IF('Item Setup Form'!$AF829="Yes",'Item Setup Form'!G829,"")</f>
        <v/>
      </c>
      <c r="G825" s="70" t="str">
        <f>IF('Item Setup Form'!$AF829="Yes",'Item Setup Form'!H829,"")</f>
        <v/>
      </c>
      <c r="H825" s="70" t="str">
        <f>IF('Item Setup Form'!$AF829="Yes",'Item Setup Form'!V829,"")</f>
        <v/>
      </c>
      <c r="I825" s="70"/>
      <c r="J825" s="70" t="str">
        <f>IF('Item Setup Form'!$AF829="Yes",'Item Setup Form'!U829,"")</f>
        <v/>
      </c>
      <c r="K825" s="70" t="str">
        <f>IF('Item Setup Form'!$AF829="Yes",'Item Setup Form'!V829,"")</f>
        <v/>
      </c>
      <c r="L825" s="70"/>
      <c r="M825" s="70" t="str">
        <f>IF('Item Setup Form'!$AF829="Yes",'Item Setup Form'!A829,"")</f>
        <v/>
      </c>
      <c r="N825" s="70"/>
      <c r="O825" s="70"/>
      <c r="P825" s="70"/>
      <c r="Q825" s="70"/>
      <c r="R825" s="70"/>
      <c r="S825" s="70"/>
      <c r="T825" s="70"/>
      <c r="U825" s="70"/>
      <c r="V825" s="70"/>
      <c r="W825" s="70"/>
      <c r="X825" s="70"/>
      <c r="Y825" s="70"/>
      <c r="Z825" s="70"/>
    </row>
    <row r="826" spans="1:26">
      <c r="A826" s="70" t="str">
        <f>IF('Item Setup Form'!$AF830="Yes",'Item Setup Form'!$E830,"")</f>
        <v/>
      </c>
      <c r="B826" s="70" t="str">
        <f>IF('Item Setup Form'!$AF830="Yes",'Item Setup Form'!D830,"")</f>
        <v/>
      </c>
      <c r="C826" s="81" t="str">
        <f>IF('Item Setup Form'!$AF830="Yes",'Item Setup Form'!L830,"")</f>
        <v/>
      </c>
      <c r="D826" s="81" t="str">
        <f>IF('Item Setup Form'!$AF830="Yes",'Item Setup Form'!M830,"")</f>
        <v/>
      </c>
      <c r="E826" s="70"/>
      <c r="F826" s="70" t="str">
        <f>IF('Item Setup Form'!$AF830="Yes",'Item Setup Form'!G830,"")</f>
        <v/>
      </c>
      <c r="G826" s="70" t="str">
        <f>IF('Item Setup Form'!$AF830="Yes",'Item Setup Form'!H830,"")</f>
        <v/>
      </c>
      <c r="H826" s="70" t="str">
        <f>IF('Item Setup Form'!$AF830="Yes",'Item Setup Form'!V830,"")</f>
        <v/>
      </c>
      <c r="I826" s="70"/>
      <c r="J826" s="70" t="str">
        <f>IF('Item Setup Form'!$AF830="Yes",'Item Setup Form'!U830,"")</f>
        <v/>
      </c>
      <c r="K826" s="70" t="str">
        <f>IF('Item Setup Form'!$AF830="Yes",'Item Setup Form'!V830,"")</f>
        <v/>
      </c>
      <c r="L826" s="70"/>
      <c r="M826" s="70" t="str">
        <f>IF('Item Setup Form'!$AF830="Yes",'Item Setup Form'!A830,"")</f>
        <v/>
      </c>
      <c r="N826" s="70"/>
      <c r="O826" s="70"/>
      <c r="P826" s="70"/>
      <c r="Q826" s="70"/>
      <c r="R826" s="70"/>
      <c r="S826" s="70"/>
      <c r="T826" s="70"/>
      <c r="U826" s="70"/>
      <c r="V826" s="70"/>
      <c r="W826" s="70"/>
      <c r="X826" s="70"/>
      <c r="Y826" s="70"/>
      <c r="Z826" s="70"/>
    </row>
    <row r="827" spans="1:26">
      <c r="A827" s="70" t="str">
        <f>IF('Item Setup Form'!$AF831="Yes",'Item Setup Form'!$E831,"")</f>
        <v/>
      </c>
      <c r="B827" s="70" t="str">
        <f>IF('Item Setup Form'!$AF831="Yes",'Item Setup Form'!D831,"")</f>
        <v/>
      </c>
      <c r="C827" s="81" t="str">
        <f>IF('Item Setup Form'!$AF831="Yes",'Item Setup Form'!L831,"")</f>
        <v/>
      </c>
      <c r="D827" s="81" t="str">
        <f>IF('Item Setup Form'!$AF831="Yes",'Item Setup Form'!M831,"")</f>
        <v/>
      </c>
      <c r="E827" s="70"/>
      <c r="F827" s="70" t="str">
        <f>IF('Item Setup Form'!$AF831="Yes",'Item Setup Form'!G831,"")</f>
        <v/>
      </c>
      <c r="G827" s="70" t="str">
        <f>IF('Item Setup Form'!$AF831="Yes",'Item Setup Form'!H831,"")</f>
        <v/>
      </c>
      <c r="H827" s="70" t="str">
        <f>IF('Item Setup Form'!$AF831="Yes",'Item Setup Form'!V831,"")</f>
        <v/>
      </c>
      <c r="I827" s="70"/>
      <c r="J827" s="70" t="str">
        <f>IF('Item Setup Form'!$AF831="Yes",'Item Setup Form'!U831,"")</f>
        <v/>
      </c>
      <c r="K827" s="70" t="str">
        <f>IF('Item Setup Form'!$AF831="Yes",'Item Setup Form'!V831,"")</f>
        <v/>
      </c>
      <c r="L827" s="70"/>
      <c r="M827" s="70" t="str">
        <f>IF('Item Setup Form'!$AF831="Yes",'Item Setup Form'!A831,"")</f>
        <v/>
      </c>
      <c r="N827" s="70"/>
      <c r="O827" s="70"/>
      <c r="P827" s="70"/>
      <c r="Q827" s="70"/>
      <c r="R827" s="70"/>
      <c r="S827" s="70"/>
      <c r="T827" s="70"/>
      <c r="U827" s="70"/>
      <c r="V827" s="70"/>
      <c r="W827" s="70"/>
      <c r="X827" s="70"/>
      <c r="Y827" s="70"/>
      <c r="Z827" s="70"/>
    </row>
    <row r="828" spans="1:26">
      <c r="A828" s="70" t="str">
        <f>IF('Item Setup Form'!$AF832="Yes",'Item Setup Form'!$E832,"")</f>
        <v/>
      </c>
      <c r="B828" s="70" t="str">
        <f>IF('Item Setup Form'!$AF832="Yes",'Item Setup Form'!D832,"")</f>
        <v/>
      </c>
      <c r="C828" s="81" t="str">
        <f>IF('Item Setup Form'!$AF832="Yes",'Item Setup Form'!L832,"")</f>
        <v/>
      </c>
      <c r="D828" s="81" t="str">
        <f>IF('Item Setup Form'!$AF832="Yes",'Item Setup Form'!M832,"")</f>
        <v/>
      </c>
      <c r="E828" s="70"/>
      <c r="F828" s="70" t="str">
        <f>IF('Item Setup Form'!$AF832="Yes",'Item Setup Form'!G832,"")</f>
        <v/>
      </c>
      <c r="G828" s="70" t="str">
        <f>IF('Item Setup Form'!$AF832="Yes",'Item Setup Form'!H832,"")</f>
        <v/>
      </c>
      <c r="H828" s="70" t="str">
        <f>IF('Item Setup Form'!$AF832="Yes",'Item Setup Form'!V832,"")</f>
        <v/>
      </c>
      <c r="I828" s="70"/>
      <c r="J828" s="70" t="str">
        <f>IF('Item Setup Form'!$AF832="Yes",'Item Setup Form'!U832,"")</f>
        <v/>
      </c>
      <c r="K828" s="70" t="str">
        <f>IF('Item Setup Form'!$AF832="Yes",'Item Setup Form'!V832,"")</f>
        <v/>
      </c>
      <c r="L828" s="70"/>
      <c r="M828" s="70" t="str">
        <f>IF('Item Setup Form'!$AF832="Yes",'Item Setup Form'!A832,"")</f>
        <v/>
      </c>
      <c r="N828" s="70"/>
      <c r="O828" s="70"/>
      <c r="P828" s="70"/>
      <c r="Q828" s="70"/>
      <c r="R828" s="70"/>
      <c r="S828" s="70"/>
      <c r="T828" s="70"/>
      <c r="U828" s="70"/>
      <c r="V828" s="70"/>
      <c r="W828" s="70"/>
      <c r="X828" s="70"/>
      <c r="Y828" s="70"/>
      <c r="Z828" s="70"/>
    </row>
    <row r="829" spans="1:26">
      <c r="A829" s="70" t="str">
        <f>IF('Item Setup Form'!$AF833="Yes",'Item Setup Form'!$E833,"")</f>
        <v/>
      </c>
      <c r="B829" s="70" t="str">
        <f>IF('Item Setup Form'!$AF833="Yes",'Item Setup Form'!D833,"")</f>
        <v/>
      </c>
      <c r="C829" s="81" t="str">
        <f>IF('Item Setup Form'!$AF833="Yes",'Item Setup Form'!L833,"")</f>
        <v/>
      </c>
      <c r="D829" s="81" t="str">
        <f>IF('Item Setup Form'!$AF833="Yes",'Item Setup Form'!M833,"")</f>
        <v/>
      </c>
      <c r="E829" s="70"/>
      <c r="F829" s="70" t="str">
        <f>IF('Item Setup Form'!$AF833="Yes",'Item Setup Form'!G833,"")</f>
        <v/>
      </c>
      <c r="G829" s="70" t="str">
        <f>IF('Item Setup Form'!$AF833="Yes",'Item Setup Form'!H833,"")</f>
        <v/>
      </c>
      <c r="H829" s="70" t="str">
        <f>IF('Item Setup Form'!$AF833="Yes",'Item Setup Form'!V833,"")</f>
        <v/>
      </c>
      <c r="I829" s="70"/>
      <c r="J829" s="70" t="str">
        <f>IF('Item Setup Form'!$AF833="Yes",'Item Setup Form'!U833,"")</f>
        <v/>
      </c>
      <c r="K829" s="70" t="str">
        <f>IF('Item Setup Form'!$AF833="Yes",'Item Setup Form'!V833,"")</f>
        <v/>
      </c>
      <c r="L829" s="70"/>
      <c r="M829" s="70" t="str">
        <f>IF('Item Setup Form'!$AF833="Yes",'Item Setup Form'!A833,"")</f>
        <v/>
      </c>
      <c r="N829" s="70"/>
      <c r="O829" s="70"/>
      <c r="P829" s="70"/>
      <c r="Q829" s="70"/>
      <c r="R829" s="70"/>
      <c r="S829" s="70"/>
      <c r="T829" s="70"/>
      <c r="U829" s="70"/>
      <c r="V829" s="70"/>
      <c r="W829" s="70"/>
      <c r="X829" s="70"/>
      <c r="Y829" s="70"/>
      <c r="Z829" s="70"/>
    </row>
    <row r="830" spans="1:26">
      <c r="A830" s="70" t="str">
        <f>IF('Item Setup Form'!$AF834="Yes",'Item Setup Form'!$E834,"")</f>
        <v/>
      </c>
      <c r="B830" s="70" t="str">
        <f>IF('Item Setup Form'!$AF834="Yes",'Item Setup Form'!D834,"")</f>
        <v/>
      </c>
      <c r="C830" s="81" t="str">
        <f>IF('Item Setup Form'!$AF834="Yes",'Item Setup Form'!L834,"")</f>
        <v/>
      </c>
      <c r="D830" s="81" t="str">
        <f>IF('Item Setup Form'!$AF834="Yes",'Item Setup Form'!M834,"")</f>
        <v/>
      </c>
      <c r="E830" s="70"/>
      <c r="F830" s="70" t="str">
        <f>IF('Item Setup Form'!$AF834="Yes",'Item Setup Form'!G834,"")</f>
        <v/>
      </c>
      <c r="G830" s="70" t="str">
        <f>IF('Item Setup Form'!$AF834="Yes",'Item Setup Form'!H834,"")</f>
        <v/>
      </c>
      <c r="H830" s="70" t="str">
        <f>IF('Item Setup Form'!$AF834="Yes",'Item Setup Form'!V834,"")</f>
        <v/>
      </c>
      <c r="I830" s="70"/>
      <c r="J830" s="70" t="str">
        <f>IF('Item Setup Form'!$AF834="Yes",'Item Setup Form'!U834,"")</f>
        <v/>
      </c>
      <c r="K830" s="70" t="str">
        <f>IF('Item Setup Form'!$AF834="Yes",'Item Setup Form'!V834,"")</f>
        <v/>
      </c>
      <c r="L830" s="70"/>
      <c r="M830" s="70" t="str">
        <f>IF('Item Setup Form'!$AF834="Yes",'Item Setup Form'!A834,"")</f>
        <v/>
      </c>
      <c r="N830" s="70"/>
      <c r="O830" s="70"/>
      <c r="P830" s="70"/>
      <c r="Q830" s="70"/>
      <c r="R830" s="70"/>
      <c r="S830" s="70"/>
      <c r="T830" s="70"/>
      <c r="U830" s="70"/>
      <c r="V830" s="70"/>
      <c r="W830" s="70"/>
      <c r="X830" s="70"/>
      <c r="Y830" s="70"/>
      <c r="Z830" s="70"/>
    </row>
    <row r="831" spans="1:26">
      <c r="A831" s="70" t="str">
        <f>IF('Item Setup Form'!$AF835="Yes",'Item Setup Form'!$E835,"")</f>
        <v/>
      </c>
      <c r="B831" s="70" t="str">
        <f>IF('Item Setup Form'!$AF835="Yes",'Item Setup Form'!D835,"")</f>
        <v/>
      </c>
      <c r="C831" s="81" t="str">
        <f>IF('Item Setup Form'!$AF835="Yes",'Item Setup Form'!L835,"")</f>
        <v/>
      </c>
      <c r="D831" s="81" t="str">
        <f>IF('Item Setup Form'!$AF835="Yes",'Item Setup Form'!M835,"")</f>
        <v/>
      </c>
      <c r="E831" s="70"/>
      <c r="F831" s="70" t="str">
        <f>IF('Item Setup Form'!$AF835="Yes",'Item Setup Form'!G835,"")</f>
        <v/>
      </c>
      <c r="G831" s="70" t="str">
        <f>IF('Item Setup Form'!$AF835="Yes",'Item Setup Form'!H835,"")</f>
        <v/>
      </c>
      <c r="H831" s="70" t="str">
        <f>IF('Item Setup Form'!$AF835="Yes",'Item Setup Form'!V835,"")</f>
        <v/>
      </c>
      <c r="I831" s="70"/>
      <c r="J831" s="70" t="str">
        <f>IF('Item Setup Form'!$AF835="Yes",'Item Setup Form'!U835,"")</f>
        <v/>
      </c>
      <c r="K831" s="70" t="str">
        <f>IF('Item Setup Form'!$AF835="Yes",'Item Setup Form'!V835,"")</f>
        <v/>
      </c>
      <c r="L831" s="70"/>
      <c r="M831" s="70" t="str">
        <f>IF('Item Setup Form'!$AF835="Yes",'Item Setup Form'!A835,"")</f>
        <v/>
      </c>
      <c r="N831" s="70"/>
      <c r="O831" s="70"/>
      <c r="P831" s="70"/>
      <c r="Q831" s="70"/>
      <c r="R831" s="70"/>
      <c r="S831" s="70"/>
      <c r="T831" s="70"/>
      <c r="U831" s="70"/>
      <c r="V831" s="70"/>
      <c r="W831" s="70"/>
      <c r="X831" s="70"/>
      <c r="Y831" s="70"/>
      <c r="Z831" s="70"/>
    </row>
    <row r="832" spans="1:26">
      <c r="A832" s="70" t="str">
        <f>IF('Item Setup Form'!$AF836="Yes",'Item Setup Form'!$E836,"")</f>
        <v/>
      </c>
      <c r="B832" s="70" t="str">
        <f>IF('Item Setup Form'!$AF836="Yes",'Item Setup Form'!D836,"")</f>
        <v/>
      </c>
      <c r="C832" s="81" t="str">
        <f>IF('Item Setup Form'!$AF836="Yes",'Item Setup Form'!L836,"")</f>
        <v/>
      </c>
      <c r="D832" s="81" t="str">
        <f>IF('Item Setup Form'!$AF836="Yes",'Item Setup Form'!M836,"")</f>
        <v/>
      </c>
      <c r="E832" s="70"/>
      <c r="F832" s="70" t="str">
        <f>IF('Item Setup Form'!$AF836="Yes",'Item Setup Form'!G836,"")</f>
        <v/>
      </c>
      <c r="G832" s="70" t="str">
        <f>IF('Item Setup Form'!$AF836="Yes",'Item Setup Form'!H836,"")</f>
        <v/>
      </c>
      <c r="H832" s="70" t="str">
        <f>IF('Item Setup Form'!$AF836="Yes",'Item Setup Form'!V836,"")</f>
        <v/>
      </c>
      <c r="I832" s="70"/>
      <c r="J832" s="70" t="str">
        <f>IF('Item Setup Form'!$AF836="Yes",'Item Setup Form'!U836,"")</f>
        <v/>
      </c>
      <c r="K832" s="70" t="str">
        <f>IF('Item Setup Form'!$AF836="Yes",'Item Setup Form'!V836,"")</f>
        <v/>
      </c>
      <c r="L832" s="70"/>
      <c r="M832" s="70" t="str">
        <f>IF('Item Setup Form'!$AF836="Yes",'Item Setup Form'!A836,"")</f>
        <v/>
      </c>
      <c r="N832" s="70"/>
      <c r="O832" s="70"/>
      <c r="P832" s="70"/>
      <c r="Q832" s="70"/>
      <c r="R832" s="70"/>
      <c r="S832" s="70"/>
      <c r="T832" s="70"/>
      <c r="U832" s="70"/>
      <c r="V832" s="70"/>
      <c r="W832" s="70"/>
      <c r="X832" s="70"/>
      <c r="Y832" s="70"/>
      <c r="Z832" s="70"/>
    </row>
    <row r="833" spans="1:26">
      <c r="A833" s="70" t="str">
        <f>IF('Item Setup Form'!$AF837="Yes",'Item Setup Form'!$E837,"")</f>
        <v/>
      </c>
      <c r="B833" s="70" t="str">
        <f>IF('Item Setup Form'!$AF837="Yes",'Item Setup Form'!D837,"")</f>
        <v/>
      </c>
      <c r="C833" s="81" t="str">
        <f>IF('Item Setup Form'!$AF837="Yes",'Item Setup Form'!L837,"")</f>
        <v/>
      </c>
      <c r="D833" s="81" t="str">
        <f>IF('Item Setup Form'!$AF837="Yes",'Item Setup Form'!M837,"")</f>
        <v/>
      </c>
      <c r="E833" s="70"/>
      <c r="F833" s="70" t="str">
        <f>IF('Item Setup Form'!$AF837="Yes",'Item Setup Form'!G837,"")</f>
        <v/>
      </c>
      <c r="G833" s="70" t="str">
        <f>IF('Item Setup Form'!$AF837="Yes",'Item Setup Form'!H837,"")</f>
        <v/>
      </c>
      <c r="H833" s="70" t="str">
        <f>IF('Item Setup Form'!$AF837="Yes",'Item Setup Form'!V837,"")</f>
        <v/>
      </c>
      <c r="I833" s="70"/>
      <c r="J833" s="70" t="str">
        <f>IF('Item Setup Form'!$AF837="Yes",'Item Setup Form'!U837,"")</f>
        <v/>
      </c>
      <c r="K833" s="70" t="str">
        <f>IF('Item Setup Form'!$AF837="Yes",'Item Setup Form'!V837,"")</f>
        <v/>
      </c>
      <c r="L833" s="70"/>
      <c r="M833" s="70" t="str">
        <f>IF('Item Setup Form'!$AF837="Yes",'Item Setup Form'!A837,"")</f>
        <v/>
      </c>
      <c r="N833" s="70"/>
      <c r="O833" s="70"/>
      <c r="P833" s="70"/>
      <c r="Q833" s="70"/>
      <c r="R833" s="70"/>
      <c r="S833" s="70"/>
      <c r="T833" s="70"/>
      <c r="U833" s="70"/>
      <c r="V833" s="70"/>
      <c r="W833" s="70"/>
      <c r="X833" s="70"/>
      <c r="Y833" s="70"/>
      <c r="Z833" s="70"/>
    </row>
    <row r="834" spans="1:26">
      <c r="A834" s="70" t="str">
        <f>IF('Item Setup Form'!$AF838="Yes",'Item Setup Form'!$E838,"")</f>
        <v/>
      </c>
      <c r="B834" s="70" t="str">
        <f>IF('Item Setup Form'!$AF838="Yes",'Item Setup Form'!D838,"")</f>
        <v/>
      </c>
      <c r="C834" s="81" t="str">
        <f>IF('Item Setup Form'!$AF838="Yes",'Item Setup Form'!L838,"")</f>
        <v/>
      </c>
      <c r="D834" s="81" t="str">
        <f>IF('Item Setup Form'!$AF838="Yes",'Item Setup Form'!M838,"")</f>
        <v/>
      </c>
      <c r="E834" s="70"/>
      <c r="F834" s="70" t="str">
        <f>IF('Item Setup Form'!$AF838="Yes",'Item Setup Form'!G838,"")</f>
        <v/>
      </c>
      <c r="G834" s="70" t="str">
        <f>IF('Item Setup Form'!$AF838="Yes",'Item Setup Form'!H838,"")</f>
        <v/>
      </c>
      <c r="H834" s="70" t="str">
        <f>IF('Item Setup Form'!$AF838="Yes",'Item Setup Form'!V838,"")</f>
        <v/>
      </c>
      <c r="I834" s="70"/>
      <c r="J834" s="70" t="str">
        <f>IF('Item Setup Form'!$AF838="Yes",'Item Setup Form'!U838,"")</f>
        <v/>
      </c>
      <c r="K834" s="70" t="str">
        <f>IF('Item Setup Form'!$AF838="Yes",'Item Setup Form'!V838,"")</f>
        <v/>
      </c>
      <c r="L834" s="70"/>
      <c r="M834" s="70" t="str">
        <f>IF('Item Setup Form'!$AF838="Yes",'Item Setup Form'!A838,"")</f>
        <v/>
      </c>
      <c r="N834" s="70"/>
      <c r="O834" s="70"/>
      <c r="P834" s="70"/>
      <c r="Q834" s="70"/>
      <c r="R834" s="70"/>
      <c r="S834" s="70"/>
      <c r="T834" s="70"/>
      <c r="U834" s="70"/>
      <c r="V834" s="70"/>
      <c r="W834" s="70"/>
      <c r="X834" s="70"/>
      <c r="Y834" s="70"/>
      <c r="Z834" s="70"/>
    </row>
    <row r="835" spans="1:26">
      <c r="A835" s="70" t="str">
        <f>IF('Item Setup Form'!$AF839="Yes",'Item Setup Form'!$E839,"")</f>
        <v/>
      </c>
      <c r="B835" s="70" t="str">
        <f>IF('Item Setup Form'!$AF839="Yes",'Item Setup Form'!D839,"")</f>
        <v/>
      </c>
      <c r="C835" s="81" t="str">
        <f>IF('Item Setup Form'!$AF839="Yes",'Item Setup Form'!L839,"")</f>
        <v/>
      </c>
      <c r="D835" s="81" t="str">
        <f>IF('Item Setup Form'!$AF839="Yes",'Item Setup Form'!M839,"")</f>
        <v/>
      </c>
      <c r="E835" s="70"/>
      <c r="F835" s="70" t="str">
        <f>IF('Item Setup Form'!$AF839="Yes",'Item Setup Form'!G839,"")</f>
        <v/>
      </c>
      <c r="G835" s="70" t="str">
        <f>IF('Item Setup Form'!$AF839="Yes",'Item Setup Form'!H839,"")</f>
        <v/>
      </c>
      <c r="H835" s="70" t="str">
        <f>IF('Item Setup Form'!$AF839="Yes",'Item Setup Form'!V839,"")</f>
        <v/>
      </c>
      <c r="I835" s="70"/>
      <c r="J835" s="70" t="str">
        <f>IF('Item Setup Form'!$AF839="Yes",'Item Setup Form'!U839,"")</f>
        <v/>
      </c>
      <c r="K835" s="70" t="str">
        <f>IF('Item Setup Form'!$AF839="Yes",'Item Setup Form'!V839,"")</f>
        <v/>
      </c>
      <c r="L835" s="70"/>
      <c r="M835" s="70" t="str">
        <f>IF('Item Setup Form'!$AF839="Yes",'Item Setup Form'!A839,"")</f>
        <v/>
      </c>
      <c r="N835" s="70"/>
      <c r="O835" s="70"/>
      <c r="P835" s="70"/>
      <c r="Q835" s="70"/>
      <c r="R835" s="70"/>
      <c r="S835" s="70"/>
      <c r="T835" s="70"/>
      <c r="U835" s="70"/>
      <c r="V835" s="70"/>
      <c r="W835" s="70"/>
      <c r="X835" s="70"/>
      <c r="Y835" s="70"/>
      <c r="Z835" s="70"/>
    </row>
    <row r="836" spans="1:26">
      <c r="A836" s="70" t="str">
        <f>IF('Item Setup Form'!$AF840="Yes",'Item Setup Form'!$E840,"")</f>
        <v/>
      </c>
      <c r="B836" s="70" t="str">
        <f>IF('Item Setup Form'!$AF840="Yes",'Item Setup Form'!D840,"")</f>
        <v/>
      </c>
      <c r="C836" s="81" t="str">
        <f>IF('Item Setup Form'!$AF840="Yes",'Item Setup Form'!L840,"")</f>
        <v/>
      </c>
      <c r="D836" s="81" t="str">
        <f>IF('Item Setup Form'!$AF840="Yes",'Item Setup Form'!M840,"")</f>
        <v/>
      </c>
      <c r="E836" s="70"/>
      <c r="F836" s="70" t="str">
        <f>IF('Item Setup Form'!$AF840="Yes",'Item Setup Form'!G840,"")</f>
        <v/>
      </c>
      <c r="G836" s="70" t="str">
        <f>IF('Item Setup Form'!$AF840="Yes",'Item Setup Form'!H840,"")</f>
        <v/>
      </c>
      <c r="H836" s="70" t="str">
        <f>IF('Item Setup Form'!$AF840="Yes",'Item Setup Form'!V840,"")</f>
        <v/>
      </c>
      <c r="I836" s="70"/>
      <c r="J836" s="70" t="str">
        <f>IF('Item Setup Form'!$AF840="Yes",'Item Setup Form'!U840,"")</f>
        <v/>
      </c>
      <c r="K836" s="70" t="str">
        <f>IF('Item Setup Form'!$AF840="Yes",'Item Setup Form'!V840,"")</f>
        <v/>
      </c>
      <c r="L836" s="70"/>
      <c r="M836" s="70" t="str">
        <f>IF('Item Setup Form'!$AF840="Yes",'Item Setup Form'!A840,"")</f>
        <v/>
      </c>
      <c r="N836" s="70"/>
      <c r="O836" s="70"/>
      <c r="P836" s="70"/>
      <c r="Q836" s="70"/>
      <c r="R836" s="70"/>
      <c r="S836" s="70"/>
      <c r="T836" s="70"/>
      <c r="U836" s="70"/>
      <c r="V836" s="70"/>
      <c r="W836" s="70"/>
      <c r="X836" s="70"/>
      <c r="Y836" s="70"/>
      <c r="Z836" s="70"/>
    </row>
    <row r="837" spans="1:26">
      <c r="A837" s="70" t="str">
        <f>IF('Item Setup Form'!$AF841="Yes",'Item Setup Form'!$E841,"")</f>
        <v/>
      </c>
      <c r="B837" s="70" t="str">
        <f>IF('Item Setup Form'!$AF841="Yes",'Item Setup Form'!D841,"")</f>
        <v/>
      </c>
      <c r="C837" s="81" t="str">
        <f>IF('Item Setup Form'!$AF841="Yes",'Item Setup Form'!L841,"")</f>
        <v/>
      </c>
      <c r="D837" s="81" t="str">
        <f>IF('Item Setup Form'!$AF841="Yes",'Item Setup Form'!M841,"")</f>
        <v/>
      </c>
      <c r="E837" s="70"/>
      <c r="F837" s="70" t="str">
        <f>IF('Item Setup Form'!$AF841="Yes",'Item Setup Form'!G841,"")</f>
        <v/>
      </c>
      <c r="G837" s="70" t="str">
        <f>IF('Item Setup Form'!$AF841="Yes",'Item Setup Form'!H841,"")</f>
        <v/>
      </c>
      <c r="H837" s="70" t="str">
        <f>IF('Item Setup Form'!$AF841="Yes",'Item Setup Form'!V841,"")</f>
        <v/>
      </c>
      <c r="I837" s="70"/>
      <c r="J837" s="70" t="str">
        <f>IF('Item Setup Form'!$AF841="Yes",'Item Setup Form'!U841,"")</f>
        <v/>
      </c>
      <c r="K837" s="70" t="str">
        <f>IF('Item Setup Form'!$AF841="Yes",'Item Setup Form'!V841,"")</f>
        <v/>
      </c>
      <c r="L837" s="70"/>
      <c r="M837" s="70" t="str">
        <f>IF('Item Setup Form'!$AF841="Yes",'Item Setup Form'!A841,"")</f>
        <v/>
      </c>
      <c r="N837" s="70"/>
      <c r="O837" s="70"/>
      <c r="P837" s="70"/>
      <c r="Q837" s="70"/>
      <c r="R837" s="70"/>
      <c r="S837" s="70"/>
      <c r="T837" s="70"/>
      <c r="U837" s="70"/>
      <c r="V837" s="70"/>
      <c r="W837" s="70"/>
      <c r="X837" s="70"/>
      <c r="Y837" s="70"/>
      <c r="Z837" s="70"/>
    </row>
    <row r="838" spans="1:26">
      <c r="A838" s="70" t="str">
        <f>IF('Item Setup Form'!$AF842="Yes",'Item Setup Form'!$E842,"")</f>
        <v/>
      </c>
      <c r="B838" s="70" t="str">
        <f>IF('Item Setup Form'!$AF842="Yes",'Item Setup Form'!D842,"")</f>
        <v/>
      </c>
      <c r="C838" s="81" t="str">
        <f>IF('Item Setup Form'!$AF842="Yes",'Item Setup Form'!L842,"")</f>
        <v/>
      </c>
      <c r="D838" s="81" t="str">
        <f>IF('Item Setup Form'!$AF842="Yes",'Item Setup Form'!M842,"")</f>
        <v/>
      </c>
      <c r="E838" s="70"/>
      <c r="F838" s="70" t="str">
        <f>IF('Item Setup Form'!$AF842="Yes",'Item Setup Form'!G842,"")</f>
        <v/>
      </c>
      <c r="G838" s="70" t="str">
        <f>IF('Item Setup Form'!$AF842="Yes",'Item Setup Form'!H842,"")</f>
        <v/>
      </c>
      <c r="H838" s="70" t="str">
        <f>IF('Item Setup Form'!$AF842="Yes",'Item Setup Form'!V842,"")</f>
        <v/>
      </c>
      <c r="I838" s="70"/>
      <c r="J838" s="70" t="str">
        <f>IF('Item Setup Form'!$AF842="Yes",'Item Setup Form'!U842,"")</f>
        <v/>
      </c>
      <c r="K838" s="70" t="str">
        <f>IF('Item Setup Form'!$AF842="Yes",'Item Setup Form'!V842,"")</f>
        <v/>
      </c>
      <c r="L838" s="70"/>
      <c r="M838" s="70" t="str">
        <f>IF('Item Setup Form'!$AF842="Yes",'Item Setup Form'!A842,"")</f>
        <v/>
      </c>
      <c r="N838" s="70"/>
      <c r="O838" s="70"/>
      <c r="P838" s="70"/>
      <c r="Q838" s="70"/>
      <c r="R838" s="70"/>
      <c r="S838" s="70"/>
      <c r="T838" s="70"/>
      <c r="U838" s="70"/>
      <c r="V838" s="70"/>
      <c r="W838" s="70"/>
      <c r="X838" s="70"/>
      <c r="Y838" s="70"/>
      <c r="Z838" s="70"/>
    </row>
    <row r="839" spans="1:26">
      <c r="A839" s="70" t="str">
        <f>IF('Item Setup Form'!$AF843="Yes",'Item Setup Form'!$E843,"")</f>
        <v/>
      </c>
      <c r="B839" s="70" t="str">
        <f>IF('Item Setup Form'!$AF843="Yes",'Item Setup Form'!D843,"")</f>
        <v/>
      </c>
      <c r="C839" s="81" t="str">
        <f>IF('Item Setup Form'!$AF843="Yes",'Item Setup Form'!L843,"")</f>
        <v/>
      </c>
      <c r="D839" s="81" t="str">
        <f>IF('Item Setup Form'!$AF843="Yes",'Item Setup Form'!M843,"")</f>
        <v/>
      </c>
      <c r="E839" s="70"/>
      <c r="F839" s="70" t="str">
        <f>IF('Item Setup Form'!$AF843="Yes",'Item Setup Form'!G843,"")</f>
        <v/>
      </c>
      <c r="G839" s="70" t="str">
        <f>IF('Item Setup Form'!$AF843="Yes",'Item Setup Form'!H843,"")</f>
        <v/>
      </c>
      <c r="H839" s="70" t="str">
        <f>IF('Item Setup Form'!$AF843="Yes",'Item Setup Form'!V843,"")</f>
        <v/>
      </c>
      <c r="I839" s="70"/>
      <c r="J839" s="70" t="str">
        <f>IF('Item Setup Form'!$AF843="Yes",'Item Setup Form'!U843,"")</f>
        <v/>
      </c>
      <c r="K839" s="70" t="str">
        <f>IF('Item Setup Form'!$AF843="Yes",'Item Setup Form'!V843,"")</f>
        <v/>
      </c>
      <c r="L839" s="70"/>
      <c r="M839" s="70" t="str">
        <f>IF('Item Setup Form'!$AF843="Yes",'Item Setup Form'!A843,"")</f>
        <v/>
      </c>
      <c r="N839" s="70"/>
      <c r="O839" s="70"/>
      <c r="P839" s="70"/>
      <c r="Q839" s="70"/>
      <c r="R839" s="70"/>
      <c r="S839" s="70"/>
      <c r="T839" s="70"/>
      <c r="U839" s="70"/>
      <c r="V839" s="70"/>
      <c r="W839" s="70"/>
      <c r="X839" s="70"/>
      <c r="Y839" s="70"/>
      <c r="Z839" s="70"/>
    </row>
    <row r="840" spans="1:26">
      <c r="A840" s="70" t="str">
        <f>IF('Item Setup Form'!$AF844="Yes",'Item Setup Form'!$E844,"")</f>
        <v/>
      </c>
      <c r="B840" s="70" t="str">
        <f>IF('Item Setup Form'!$AF844="Yes",'Item Setup Form'!D844,"")</f>
        <v/>
      </c>
      <c r="C840" s="81" t="str">
        <f>IF('Item Setup Form'!$AF844="Yes",'Item Setup Form'!L844,"")</f>
        <v/>
      </c>
      <c r="D840" s="81" t="str">
        <f>IF('Item Setup Form'!$AF844="Yes",'Item Setup Form'!M844,"")</f>
        <v/>
      </c>
      <c r="E840" s="70"/>
      <c r="F840" s="70" t="str">
        <f>IF('Item Setup Form'!$AF844="Yes",'Item Setup Form'!G844,"")</f>
        <v/>
      </c>
      <c r="G840" s="70" t="str">
        <f>IF('Item Setup Form'!$AF844="Yes",'Item Setup Form'!H844,"")</f>
        <v/>
      </c>
      <c r="H840" s="70" t="str">
        <f>IF('Item Setup Form'!$AF844="Yes",'Item Setup Form'!V844,"")</f>
        <v/>
      </c>
      <c r="I840" s="70"/>
      <c r="J840" s="70" t="str">
        <f>IF('Item Setup Form'!$AF844="Yes",'Item Setup Form'!U844,"")</f>
        <v/>
      </c>
      <c r="K840" s="70" t="str">
        <f>IF('Item Setup Form'!$AF844="Yes",'Item Setup Form'!V844,"")</f>
        <v/>
      </c>
      <c r="L840" s="70"/>
      <c r="M840" s="70" t="str">
        <f>IF('Item Setup Form'!$AF844="Yes",'Item Setup Form'!A844,"")</f>
        <v/>
      </c>
      <c r="N840" s="70"/>
      <c r="O840" s="70"/>
      <c r="P840" s="70"/>
      <c r="Q840" s="70"/>
      <c r="R840" s="70"/>
      <c r="S840" s="70"/>
      <c r="T840" s="70"/>
      <c r="U840" s="70"/>
      <c r="V840" s="70"/>
      <c r="W840" s="70"/>
      <c r="X840" s="70"/>
      <c r="Y840" s="70"/>
      <c r="Z840" s="70"/>
    </row>
    <row r="841" spans="1:26">
      <c r="A841" s="70" t="str">
        <f>IF('Item Setup Form'!$AF845="Yes",'Item Setup Form'!$E845,"")</f>
        <v/>
      </c>
      <c r="B841" s="70" t="str">
        <f>IF('Item Setup Form'!$AF845="Yes",'Item Setup Form'!D845,"")</f>
        <v/>
      </c>
      <c r="C841" s="81" t="str">
        <f>IF('Item Setup Form'!$AF845="Yes",'Item Setup Form'!L845,"")</f>
        <v/>
      </c>
      <c r="D841" s="81" t="str">
        <f>IF('Item Setup Form'!$AF845="Yes",'Item Setup Form'!M845,"")</f>
        <v/>
      </c>
      <c r="E841" s="70"/>
      <c r="F841" s="70" t="str">
        <f>IF('Item Setup Form'!$AF845="Yes",'Item Setup Form'!G845,"")</f>
        <v/>
      </c>
      <c r="G841" s="70" t="str">
        <f>IF('Item Setup Form'!$AF845="Yes",'Item Setup Form'!H845,"")</f>
        <v/>
      </c>
      <c r="H841" s="70" t="str">
        <f>IF('Item Setup Form'!$AF845="Yes",'Item Setup Form'!V845,"")</f>
        <v/>
      </c>
      <c r="I841" s="70"/>
      <c r="J841" s="70" t="str">
        <f>IF('Item Setup Form'!$AF845="Yes",'Item Setup Form'!U845,"")</f>
        <v/>
      </c>
      <c r="K841" s="70" t="str">
        <f>IF('Item Setup Form'!$AF845="Yes",'Item Setup Form'!V845,"")</f>
        <v/>
      </c>
      <c r="L841" s="70"/>
      <c r="M841" s="70" t="str">
        <f>IF('Item Setup Form'!$AF845="Yes",'Item Setup Form'!A845,"")</f>
        <v/>
      </c>
      <c r="N841" s="70"/>
      <c r="O841" s="70"/>
      <c r="P841" s="70"/>
      <c r="Q841" s="70"/>
      <c r="R841" s="70"/>
      <c r="S841" s="70"/>
      <c r="T841" s="70"/>
      <c r="U841" s="70"/>
      <c r="V841" s="70"/>
      <c r="W841" s="70"/>
      <c r="X841" s="70"/>
      <c r="Y841" s="70"/>
      <c r="Z841" s="70"/>
    </row>
    <row r="842" spans="1:26">
      <c r="A842" s="70" t="str">
        <f>IF('Item Setup Form'!$AF846="Yes",'Item Setup Form'!$E846,"")</f>
        <v/>
      </c>
      <c r="B842" s="70" t="str">
        <f>IF('Item Setup Form'!$AF846="Yes",'Item Setup Form'!D846,"")</f>
        <v/>
      </c>
      <c r="C842" s="81" t="str">
        <f>IF('Item Setup Form'!$AF846="Yes",'Item Setup Form'!L846,"")</f>
        <v/>
      </c>
      <c r="D842" s="81" t="str">
        <f>IF('Item Setup Form'!$AF846="Yes",'Item Setup Form'!M846,"")</f>
        <v/>
      </c>
      <c r="E842" s="70"/>
      <c r="F842" s="70" t="str">
        <f>IF('Item Setup Form'!$AF846="Yes",'Item Setup Form'!G846,"")</f>
        <v/>
      </c>
      <c r="G842" s="70" t="str">
        <f>IF('Item Setup Form'!$AF846="Yes",'Item Setup Form'!H846,"")</f>
        <v/>
      </c>
      <c r="H842" s="70" t="str">
        <f>IF('Item Setup Form'!$AF846="Yes",'Item Setup Form'!V846,"")</f>
        <v/>
      </c>
      <c r="I842" s="70"/>
      <c r="J842" s="70" t="str">
        <f>IF('Item Setup Form'!$AF846="Yes",'Item Setup Form'!U846,"")</f>
        <v/>
      </c>
      <c r="K842" s="70" t="str">
        <f>IF('Item Setup Form'!$AF846="Yes",'Item Setup Form'!V846,"")</f>
        <v/>
      </c>
      <c r="L842" s="70"/>
      <c r="M842" s="70" t="str">
        <f>IF('Item Setup Form'!$AF846="Yes",'Item Setup Form'!A846,"")</f>
        <v/>
      </c>
      <c r="N842" s="70"/>
      <c r="O842" s="70"/>
      <c r="P842" s="70"/>
      <c r="Q842" s="70"/>
      <c r="R842" s="70"/>
      <c r="S842" s="70"/>
      <c r="T842" s="70"/>
      <c r="U842" s="70"/>
      <c r="V842" s="70"/>
      <c r="W842" s="70"/>
      <c r="X842" s="70"/>
      <c r="Y842" s="70"/>
      <c r="Z842" s="70"/>
    </row>
    <row r="843" spans="1:26">
      <c r="A843" s="70" t="str">
        <f>IF('Item Setup Form'!$AF847="Yes",'Item Setup Form'!$E847,"")</f>
        <v/>
      </c>
      <c r="B843" s="70" t="str">
        <f>IF('Item Setup Form'!$AF847="Yes",'Item Setup Form'!D847,"")</f>
        <v/>
      </c>
      <c r="C843" s="81" t="str">
        <f>IF('Item Setup Form'!$AF847="Yes",'Item Setup Form'!L847,"")</f>
        <v/>
      </c>
      <c r="D843" s="81" t="str">
        <f>IF('Item Setup Form'!$AF847="Yes",'Item Setup Form'!M847,"")</f>
        <v/>
      </c>
      <c r="E843" s="70"/>
      <c r="F843" s="70" t="str">
        <f>IF('Item Setup Form'!$AF847="Yes",'Item Setup Form'!G847,"")</f>
        <v/>
      </c>
      <c r="G843" s="70" t="str">
        <f>IF('Item Setup Form'!$AF847="Yes",'Item Setup Form'!H847,"")</f>
        <v/>
      </c>
      <c r="H843" s="70" t="str">
        <f>IF('Item Setup Form'!$AF847="Yes",'Item Setup Form'!V847,"")</f>
        <v/>
      </c>
      <c r="I843" s="70"/>
      <c r="J843" s="70" t="str">
        <f>IF('Item Setup Form'!$AF847="Yes",'Item Setup Form'!U847,"")</f>
        <v/>
      </c>
      <c r="K843" s="70" t="str">
        <f>IF('Item Setup Form'!$AF847="Yes",'Item Setup Form'!V847,"")</f>
        <v/>
      </c>
      <c r="L843" s="70"/>
      <c r="M843" s="70" t="str">
        <f>IF('Item Setup Form'!$AF847="Yes",'Item Setup Form'!A847,"")</f>
        <v/>
      </c>
      <c r="N843" s="70"/>
      <c r="O843" s="70"/>
      <c r="P843" s="70"/>
      <c r="Q843" s="70"/>
      <c r="R843" s="70"/>
      <c r="S843" s="70"/>
      <c r="T843" s="70"/>
      <c r="U843" s="70"/>
      <c r="V843" s="70"/>
      <c r="W843" s="70"/>
      <c r="X843" s="70"/>
      <c r="Y843" s="70"/>
      <c r="Z843" s="70"/>
    </row>
    <row r="844" spans="1:26">
      <c r="A844" s="70" t="str">
        <f>IF('Item Setup Form'!$AF848="Yes",'Item Setup Form'!$E848,"")</f>
        <v/>
      </c>
      <c r="B844" s="70" t="str">
        <f>IF('Item Setup Form'!$AF848="Yes",'Item Setup Form'!D848,"")</f>
        <v/>
      </c>
      <c r="C844" s="81" t="str">
        <f>IF('Item Setup Form'!$AF848="Yes",'Item Setup Form'!L848,"")</f>
        <v/>
      </c>
      <c r="D844" s="81" t="str">
        <f>IF('Item Setup Form'!$AF848="Yes",'Item Setup Form'!M848,"")</f>
        <v/>
      </c>
      <c r="E844" s="70"/>
      <c r="F844" s="70" t="str">
        <f>IF('Item Setup Form'!$AF848="Yes",'Item Setup Form'!G848,"")</f>
        <v/>
      </c>
      <c r="G844" s="70" t="str">
        <f>IF('Item Setup Form'!$AF848="Yes",'Item Setup Form'!H848,"")</f>
        <v/>
      </c>
      <c r="H844" s="70" t="str">
        <f>IF('Item Setup Form'!$AF848="Yes",'Item Setup Form'!V848,"")</f>
        <v/>
      </c>
      <c r="I844" s="70"/>
      <c r="J844" s="70" t="str">
        <f>IF('Item Setup Form'!$AF848="Yes",'Item Setup Form'!U848,"")</f>
        <v/>
      </c>
      <c r="K844" s="70" t="str">
        <f>IF('Item Setup Form'!$AF848="Yes",'Item Setup Form'!V848,"")</f>
        <v/>
      </c>
      <c r="L844" s="70"/>
      <c r="M844" s="70" t="str">
        <f>IF('Item Setup Form'!$AF848="Yes",'Item Setup Form'!A848,"")</f>
        <v/>
      </c>
      <c r="N844" s="70"/>
      <c r="O844" s="70"/>
      <c r="P844" s="70"/>
      <c r="Q844" s="70"/>
      <c r="R844" s="70"/>
      <c r="S844" s="70"/>
      <c r="T844" s="70"/>
      <c r="U844" s="70"/>
      <c r="V844" s="70"/>
      <c r="W844" s="70"/>
      <c r="X844" s="70"/>
      <c r="Y844" s="70"/>
      <c r="Z844" s="70"/>
    </row>
    <row r="845" spans="1:26">
      <c r="A845" s="70" t="str">
        <f>IF('Item Setup Form'!$AF849="Yes",'Item Setup Form'!$E849,"")</f>
        <v/>
      </c>
      <c r="B845" s="70" t="str">
        <f>IF('Item Setup Form'!$AF849="Yes",'Item Setup Form'!D849,"")</f>
        <v/>
      </c>
      <c r="C845" s="81" t="str">
        <f>IF('Item Setup Form'!$AF849="Yes",'Item Setup Form'!L849,"")</f>
        <v/>
      </c>
      <c r="D845" s="81" t="str">
        <f>IF('Item Setup Form'!$AF849="Yes",'Item Setup Form'!M849,"")</f>
        <v/>
      </c>
      <c r="E845" s="70"/>
      <c r="F845" s="70" t="str">
        <f>IF('Item Setup Form'!$AF849="Yes",'Item Setup Form'!G849,"")</f>
        <v/>
      </c>
      <c r="G845" s="70" t="str">
        <f>IF('Item Setup Form'!$AF849="Yes",'Item Setup Form'!H849,"")</f>
        <v/>
      </c>
      <c r="H845" s="70" t="str">
        <f>IF('Item Setup Form'!$AF849="Yes",'Item Setup Form'!V849,"")</f>
        <v/>
      </c>
      <c r="I845" s="70"/>
      <c r="J845" s="70" t="str">
        <f>IF('Item Setup Form'!$AF849="Yes",'Item Setup Form'!U849,"")</f>
        <v/>
      </c>
      <c r="K845" s="70" t="str">
        <f>IF('Item Setup Form'!$AF849="Yes",'Item Setup Form'!V849,"")</f>
        <v/>
      </c>
      <c r="L845" s="70"/>
      <c r="M845" s="70" t="str">
        <f>IF('Item Setup Form'!$AF849="Yes",'Item Setup Form'!A849,"")</f>
        <v/>
      </c>
      <c r="N845" s="70"/>
      <c r="O845" s="70"/>
      <c r="P845" s="70"/>
      <c r="Q845" s="70"/>
      <c r="R845" s="70"/>
      <c r="S845" s="70"/>
      <c r="T845" s="70"/>
      <c r="U845" s="70"/>
      <c r="V845" s="70"/>
      <c r="W845" s="70"/>
      <c r="X845" s="70"/>
      <c r="Y845" s="70"/>
      <c r="Z845" s="70"/>
    </row>
    <row r="846" spans="1:26">
      <c r="A846" s="70" t="str">
        <f>IF('Item Setup Form'!$AF850="Yes",'Item Setup Form'!$E850,"")</f>
        <v/>
      </c>
      <c r="B846" s="70" t="str">
        <f>IF('Item Setup Form'!$AF850="Yes",'Item Setup Form'!D850,"")</f>
        <v/>
      </c>
      <c r="C846" s="81" t="str">
        <f>IF('Item Setup Form'!$AF850="Yes",'Item Setup Form'!L850,"")</f>
        <v/>
      </c>
      <c r="D846" s="81" t="str">
        <f>IF('Item Setup Form'!$AF850="Yes",'Item Setup Form'!M850,"")</f>
        <v/>
      </c>
      <c r="E846" s="70"/>
      <c r="F846" s="70" t="str">
        <f>IF('Item Setup Form'!$AF850="Yes",'Item Setup Form'!G850,"")</f>
        <v/>
      </c>
      <c r="G846" s="70" t="str">
        <f>IF('Item Setup Form'!$AF850="Yes",'Item Setup Form'!H850,"")</f>
        <v/>
      </c>
      <c r="H846" s="70" t="str">
        <f>IF('Item Setup Form'!$AF850="Yes",'Item Setup Form'!V850,"")</f>
        <v/>
      </c>
      <c r="I846" s="70"/>
      <c r="J846" s="70" t="str">
        <f>IF('Item Setup Form'!$AF850="Yes",'Item Setup Form'!U850,"")</f>
        <v/>
      </c>
      <c r="K846" s="70" t="str">
        <f>IF('Item Setup Form'!$AF850="Yes",'Item Setup Form'!V850,"")</f>
        <v/>
      </c>
      <c r="L846" s="70"/>
      <c r="M846" s="70" t="str">
        <f>IF('Item Setup Form'!$AF850="Yes",'Item Setup Form'!A850,"")</f>
        <v/>
      </c>
      <c r="N846" s="70"/>
      <c r="O846" s="70"/>
      <c r="P846" s="70"/>
      <c r="Q846" s="70"/>
      <c r="R846" s="70"/>
      <c r="S846" s="70"/>
      <c r="T846" s="70"/>
      <c r="U846" s="70"/>
      <c r="V846" s="70"/>
      <c r="W846" s="70"/>
      <c r="X846" s="70"/>
      <c r="Y846" s="70"/>
      <c r="Z846" s="70"/>
    </row>
    <row r="847" spans="1:26">
      <c r="A847" s="70" t="str">
        <f>IF('Item Setup Form'!$AF851="Yes",'Item Setup Form'!$E851,"")</f>
        <v/>
      </c>
      <c r="B847" s="70" t="str">
        <f>IF('Item Setup Form'!$AF851="Yes",'Item Setup Form'!D851,"")</f>
        <v/>
      </c>
      <c r="C847" s="81" t="str">
        <f>IF('Item Setup Form'!$AF851="Yes",'Item Setup Form'!L851,"")</f>
        <v/>
      </c>
      <c r="D847" s="81" t="str">
        <f>IF('Item Setup Form'!$AF851="Yes",'Item Setup Form'!M851,"")</f>
        <v/>
      </c>
      <c r="E847" s="70"/>
      <c r="F847" s="70" t="str">
        <f>IF('Item Setup Form'!$AF851="Yes",'Item Setup Form'!G851,"")</f>
        <v/>
      </c>
      <c r="G847" s="70" t="str">
        <f>IF('Item Setup Form'!$AF851="Yes",'Item Setup Form'!H851,"")</f>
        <v/>
      </c>
      <c r="H847" s="70" t="str">
        <f>IF('Item Setup Form'!$AF851="Yes",'Item Setup Form'!V851,"")</f>
        <v/>
      </c>
      <c r="I847" s="70"/>
      <c r="J847" s="70" t="str">
        <f>IF('Item Setup Form'!$AF851="Yes",'Item Setup Form'!U851,"")</f>
        <v/>
      </c>
      <c r="K847" s="70" t="str">
        <f>IF('Item Setup Form'!$AF851="Yes",'Item Setup Form'!V851,"")</f>
        <v/>
      </c>
      <c r="L847" s="70"/>
      <c r="M847" s="70" t="str">
        <f>IF('Item Setup Form'!$AF851="Yes",'Item Setup Form'!A851,"")</f>
        <v/>
      </c>
      <c r="N847" s="70"/>
      <c r="O847" s="70"/>
      <c r="P847" s="70"/>
      <c r="Q847" s="70"/>
      <c r="R847" s="70"/>
      <c r="S847" s="70"/>
      <c r="T847" s="70"/>
      <c r="U847" s="70"/>
      <c r="V847" s="70"/>
      <c r="W847" s="70"/>
      <c r="X847" s="70"/>
      <c r="Y847" s="70"/>
      <c r="Z847" s="70"/>
    </row>
    <row r="848" spans="1:26">
      <c r="A848" s="70" t="str">
        <f>IF('Item Setup Form'!$AF852="Yes",'Item Setup Form'!$E852,"")</f>
        <v/>
      </c>
      <c r="B848" s="70" t="str">
        <f>IF('Item Setup Form'!$AF852="Yes",'Item Setup Form'!D852,"")</f>
        <v/>
      </c>
      <c r="C848" s="81" t="str">
        <f>IF('Item Setup Form'!$AF852="Yes",'Item Setup Form'!L852,"")</f>
        <v/>
      </c>
      <c r="D848" s="81" t="str">
        <f>IF('Item Setup Form'!$AF852="Yes",'Item Setup Form'!M852,"")</f>
        <v/>
      </c>
      <c r="E848" s="70"/>
      <c r="F848" s="70" t="str">
        <f>IF('Item Setup Form'!$AF852="Yes",'Item Setup Form'!G852,"")</f>
        <v/>
      </c>
      <c r="G848" s="70" t="str">
        <f>IF('Item Setup Form'!$AF852="Yes",'Item Setup Form'!H852,"")</f>
        <v/>
      </c>
      <c r="H848" s="70" t="str">
        <f>IF('Item Setup Form'!$AF852="Yes",'Item Setup Form'!V852,"")</f>
        <v/>
      </c>
      <c r="I848" s="70"/>
      <c r="J848" s="70" t="str">
        <f>IF('Item Setup Form'!$AF852="Yes",'Item Setup Form'!U852,"")</f>
        <v/>
      </c>
      <c r="K848" s="70" t="str">
        <f>IF('Item Setup Form'!$AF852="Yes",'Item Setup Form'!V852,"")</f>
        <v/>
      </c>
      <c r="L848" s="70"/>
      <c r="M848" s="70" t="str">
        <f>IF('Item Setup Form'!$AF852="Yes",'Item Setup Form'!A852,"")</f>
        <v/>
      </c>
      <c r="N848" s="70"/>
      <c r="O848" s="70"/>
      <c r="P848" s="70"/>
      <c r="Q848" s="70"/>
      <c r="R848" s="70"/>
      <c r="S848" s="70"/>
      <c r="T848" s="70"/>
      <c r="U848" s="70"/>
      <c r="V848" s="70"/>
      <c r="W848" s="70"/>
      <c r="X848" s="70"/>
      <c r="Y848" s="70"/>
      <c r="Z848" s="70"/>
    </row>
    <row r="849" spans="1:26">
      <c r="A849" s="70" t="str">
        <f>IF('Item Setup Form'!$AF853="Yes",'Item Setup Form'!$E853,"")</f>
        <v/>
      </c>
      <c r="B849" s="70" t="str">
        <f>IF('Item Setup Form'!$AF853="Yes",'Item Setup Form'!D853,"")</f>
        <v/>
      </c>
      <c r="C849" s="81" t="str">
        <f>IF('Item Setup Form'!$AF853="Yes",'Item Setup Form'!L853,"")</f>
        <v/>
      </c>
      <c r="D849" s="81" t="str">
        <f>IF('Item Setup Form'!$AF853="Yes",'Item Setup Form'!M853,"")</f>
        <v/>
      </c>
      <c r="E849" s="70"/>
      <c r="F849" s="70" t="str">
        <f>IF('Item Setup Form'!$AF853="Yes",'Item Setup Form'!G853,"")</f>
        <v/>
      </c>
      <c r="G849" s="70" t="str">
        <f>IF('Item Setup Form'!$AF853="Yes",'Item Setup Form'!H853,"")</f>
        <v/>
      </c>
      <c r="H849" s="70" t="str">
        <f>IF('Item Setup Form'!$AF853="Yes",'Item Setup Form'!V853,"")</f>
        <v/>
      </c>
      <c r="I849" s="70"/>
      <c r="J849" s="70" t="str">
        <f>IF('Item Setup Form'!$AF853="Yes",'Item Setup Form'!U853,"")</f>
        <v/>
      </c>
      <c r="K849" s="70" t="str">
        <f>IF('Item Setup Form'!$AF853="Yes",'Item Setup Form'!V853,"")</f>
        <v/>
      </c>
      <c r="L849" s="70"/>
      <c r="M849" s="70" t="str">
        <f>IF('Item Setup Form'!$AF853="Yes",'Item Setup Form'!A853,"")</f>
        <v/>
      </c>
      <c r="N849" s="70"/>
      <c r="O849" s="70"/>
      <c r="P849" s="70"/>
      <c r="Q849" s="70"/>
      <c r="R849" s="70"/>
      <c r="S849" s="70"/>
      <c r="T849" s="70"/>
      <c r="U849" s="70"/>
      <c r="V849" s="70"/>
      <c r="W849" s="70"/>
      <c r="X849" s="70"/>
      <c r="Y849" s="70"/>
      <c r="Z849" s="70"/>
    </row>
    <row r="850" spans="1:26">
      <c r="A850" s="70" t="str">
        <f>IF('Item Setup Form'!$AF854="Yes",'Item Setup Form'!$E854,"")</f>
        <v/>
      </c>
      <c r="B850" s="70" t="str">
        <f>IF('Item Setup Form'!$AF854="Yes",'Item Setup Form'!D854,"")</f>
        <v/>
      </c>
      <c r="C850" s="81" t="str">
        <f>IF('Item Setup Form'!$AF854="Yes",'Item Setup Form'!L854,"")</f>
        <v/>
      </c>
      <c r="D850" s="81" t="str">
        <f>IF('Item Setup Form'!$AF854="Yes",'Item Setup Form'!M854,"")</f>
        <v/>
      </c>
      <c r="E850" s="70"/>
      <c r="F850" s="70" t="str">
        <f>IF('Item Setup Form'!$AF854="Yes",'Item Setup Form'!G854,"")</f>
        <v/>
      </c>
      <c r="G850" s="70" t="str">
        <f>IF('Item Setup Form'!$AF854="Yes",'Item Setup Form'!H854,"")</f>
        <v/>
      </c>
      <c r="H850" s="70" t="str">
        <f>IF('Item Setup Form'!$AF854="Yes",'Item Setup Form'!V854,"")</f>
        <v/>
      </c>
      <c r="I850" s="70"/>
      <c r="J850" s="70" t="str">
        <f>IF('Item Setup Form'!$AF854="Yes",'Item Setup Form'!U854,"")</f>
        <v/>
      </c>
      <c r="K850" s="70" t="str">
        <f>IF('Item Setup Form'!$AF854="Yes",'Item Setup Form'!V854,"")</f>
        <v/>
      </c>
      <c r="L850" s="70"/>
      <c r="M850" s="70" t="str">
        <f>IF('Item Setup Form'!$AF854="Yes",'Item Setup Form'!A854,"")</f>
        <v/>
      </c>
      <c r="N850" s="70"/>
      <c r="O850" s="70"/>
      <c r="P850" s="70"/>
      <c r="Q850" s="70"/>
      <c r="R850" s="70"/>
      <c r="S850" s="70"/>
      <c r="T850" s="70"/>
      <c r="U850" s="70"/>
      <c r="V850" s="70"/>
      <c r="W850" s="70"/>
      <c r="X850" s="70"/>
      <c r="Y850" s="70"/>
      <c r="Z850" s="70"/>
    </row>
    <row r="851" spans="1:26">
      <c r="A851" s="70" t="str">
        <f>IF('Item Setup Form'!$AF855="Yes",'Item Setup Form'!$E855,"")</f>
        <v/>
      </c>
      <c r="B851" s="70" t="str">
        <f>IF('Item Setup Form'!$AF855="Yes",'Item Setup Form'!D855,"")</f>
        <v/>
      </c>
      <c r="C851" s="81" t="str">
        <f>IF('Item Setup Form'!$AF855="Yes",'Item Setup Form'!L855,"")</f>
        <v/>
      </c>
      <c r="D851" s="81" t="str">
        <f>IF('Item Setup Form'!$AF855="Yes",'Item Setup Form'!M855,"")</f>
        <v/>
      </c>
      <c r="E851" s="70"/>
      <c r="F851" s="70" t="str">
        <f>IF('Item Setup Form'!$AF855="Yes",'Item Setup Form'!G855,"")</f>
        <v/>
      </c>
      <c r="G851" s="70" t="str">
        <f>IF('Item Setup Form'!$AF855="Yes",'Item Setup Form'!H855,"")</f>
        <v/>
      </c>
      <c r="H851" s="70" t="str">
        <f>IF('Item Setup Form'!$AF855="Yes",'Item Setup Form'!V855,"")</f>
        <v/>
      </c>
      <c r="I851" s="70"/>
      <c r="J851" s="70" t="str">
        <f>IF('Item Setup Form'!$AF855="Yes",'Item Setup Form'!U855,"")</f>
        <v/>
      </c>
      <c r="K851" s="70" t="str">
        <f>IF('Item Setup Form'!$AF855="Yes",'Item Setup Form'!V855,"")</f>
        <v/>
      </c>
      <c r="L851" s="70"/>
      <c r="M851" s="70" t="str">
        <f>IF('Item Setup Form'!$AF855="Yes",'Item Setup Form'!A855,"")</f>
        <v/>
      </c>
      <c r="N851" s="70"/>
      <c r="O851" s="70"/>
      <c r="P851" s="70"/>
      <c r="Q851" s="70"/>
      <c r="R851" s="70"/>
      <c r="S851" s="70"/>
      <c r="T851" s="70"/>
      <c r="U851" s="70"/>
      <c r="V851" s="70"/>
      <c r="W851" s="70"/>
      <c r="X851" s="70"/>
      <c r="Y851" s="70"/>
      <c r="Z851" s="70"/>
    </row>
    <row r="852" spans="1:26">
      <c r="A852" s="70" t="str">
        <f>IF('Item Setup Form'!$AF856="Yes",'Item Setup Form'!$E856,"")</f>
        <v/>
      </c>
      <c r="B852" s="70" t="str">
        <f>IF('Item Setup Form'!$AF856="Yes",'Item Setup Form'!D856,"")</f>
        <v/>
      </c>
      <c r="C852" s="81" t="str">
        <f>IF('Item Setup Form'!$AF856="Yes",'Item Setup Form'!L856,"")</f>
        <v/>
      </c>
      <c r="D852" s="81" t="str">
        <f>IF('Item Setup Form'!$AF856="Yes",'Item Setup Form'!M856,"")</f>
        <v/>
      </c>
      <c r="E852" s="70"/>
      <c r="F852" s="70" t="str">
        <f>IF('Item Setup Form'!$AF856="Yes",'Item Setup Form'!G856,"")</f>
        <v/>
      </c>
      <c r="G852" s="70" t="str">
        <f>IF('Item Setup Form'!$AF856="Yes",'Item Setup Form'!H856,"")</f>
        <v/>
      </c>
      <c r="H852" s="70" t="str">
        <f>IF('Item Setup Form'!$AF856="Yes",'Item Setup Form'!V856,"")</f>
        <v/>
      </c>
      <c r="I852" s="70"/>
      <c r="J852" s="70" t="str">
        <f>IF('Item Setup Form'!$AF856="Yes",'Item Setup Form'!U856,"")</f>
        <v/>
      </c>
      <c r="K852" s="70" t="str">
        <f>IF('Item Setup Form'!$AF856="Yes",'Item Setup Form'!V856,"")</f>
        <v/>
      </c>
      <c r="L852" s="70"/>
      <c r="M852" s="70" t="str">
        <f>IF('Item Setup Form'!$AF856="Yes",'Item Setup Form'!A856,"")</f>
        <v/>
      </c>
      <c r="N852" s="70"/>
      <c r="O852" s="70"/>
      <c r="P852" s="70"/>
      <c r="Q852" s="70"/>
      <c r="R852" s="70"/>
      <c r="S852" s="70"/>
      <c r="T852" s="70"/>
      <c r="U852" s="70"/>
      <c r="V852" s="70"/>
      <c r="W852" s="70"/>
      <c r="X852" s="70"/>
      <c r="Y852" s="70"/>
      <c r="Z852" s="70"/>
    </row>
    <row r="853" spans="1:26">
      <c r="A853" s="70" t="str">
        <f>IF('Item Setup Form'!$AF857="Yes",'Item Setup Form'!$E857,"")</f>
        <v/>
      </c>
      <c r="B853" s="70" t="str">
        <f>IF('Item Setup Form'!$AF857="Yes",'Item Setup Form'!D857,"")</f>
        <v/>
      </c>
      <c r="C853" s="81" t="str">
        <f>IF('Item Setup Form'!$AF857="Yes",'Item Setup Form'!L857,"")</f>
        <v/>
      </c>
      <c r="D853" s="81" t="str">
        <f>IF('Item Setup Form'!$AF857="Yes",'Item Setup Form'!M857,"")</f>
        <v/>
      </c>
      <c r="E853" s="70"/>
      <c r="F853" s="70" t="str">
        <f>IF('Item Setup Form'!$AF857="Yes",'Item Setup Form'!G857,"")</f>
        <v/>
      </c>
      <c r="G853" s="70" t="str">
        <f>IF('Item Setup Form'!$AF857="Yes",'Item Setup Form'!H857,"")</f>
        <v/>
      </c>
      <c r="H853" s="70" t="str">
        <f>IF('Item Setup Form'!$AF857="Yes",'Item Setup Form'!V857,"")</f>
        <v/>
      </c>
      <c r="I853" s="70"/>
      <c r="J853" s="70" t="str">
        <f>IF('Item Setup Form'!$AF857="Yes",'Item Setup Form'!U857,"")</f>
        <v/>
      </c>
      <c r="K853" s="70" t="str">
        <f>IF('Item Setup Form'!$AF857="Yes",'Item Setup Form'!V857,"")</f>
        <v/>
      </c>
      <c r="L853" s="70"/>
      <c r="M853" s="70" t="str">
        <f>IF('Item Setup Form'!$AF857="Yes",'Item Setup Form'!A857,"")</f>
        <v/>
      </c>
      <c r="N853" s="70"/>
      <c r="O853" s="70"/>
      <c r="P853" s="70"/>
      <c r="Q853" s="70"/>
      <c r="R853" s="70"/>
      <c r="S853" s="70"/>
      <c r="T853" s="70"/>
      <c r="U853" s="70"/>
      <c r="V853" s="70"/>
      <c r="W853" s="70"/>
      <c r="X853" s="70"/>
      <c r="Y853" s="70"/>
      <c r="Z853" s="70"/>
    </row>
    <row r="854" spans="1:26">
      <c r="A854" s="70" t="str">
        <f>IF('Item Setup Form'!$AF858="Yes",'Item Setup Form'!$E858,"")</f>
        <v/>
      </c>
      <c r="B854" s="70" t="str">
        <f>IF('Item Setup Form'!$AF858="Yes",'Item Setup Form'!D858,"")</f>
        <v/>
      </c>
      <c r="C854" s="81" t="str">
        <f>IF('Item Setup Form'!$AF858="Yes",'Item Setup Form'!L858,"")</f>
        <v/>
      </c>
      <c r="D854" s="81" t="str">
        <f>IF('Item Setup Form'!$AF858="Yes",'Item Setup Form'!M858,"")</f>
        <v/>
      </c>
      <c r="E854" s="70"/>
      <c r="F854" s="70" t="str">
        <f>IF('Item Setup Form'!$AF858="Yes",'Item Setup Form'!G858,"")</f>
        <v/>
      </c>
      <c r="G854" s="70" t="str">
        <f>IF('Item Setup Form'!$AF858="Yes",'Item Setup Form'!H858,"")</f>
        <v/>
      </c>
      <c r="H854" s="70" t="str">
        <f>IF('Item Setup Form'!$AF858="Yes",'Item Setup Form'!V858,"")</f>
        <v/>
      </c>
      <c r="I854" s="70"/>
      <c r="J854" s="70" t="str">
        <f>IF('Item Setup Form'!$AF858="Yes",'Item Setup Form'!U858,"")</f>
        <v/>
      </c>
      <c r="K854" s="70" t="str">
        <f>IF('Item Setup Form'!$AF858="Yes",'Item Setup Form'!V858,"")</f>
        <v/>
      </c>
      <c r="L854" s="70"/>
      <c r="M854" s="70" t="str">
        <f>IF('Item Setup Form'!$AF858="Yes",'Item Setup Form'!A858,"")</f>
        <v/>
      </c>
      <c r="N854" s="70"/>
      <c r="O854" s="70"/>
      <c r="P854" s="70"/>
      <c r="Q854" s="70"/>
      <c r="R854" s="70"/>
      <c r="S854" s="70"/>
      <c r="T854" s="70"/>
      <c r="U854" s="70"/>
      <c r="V854" s="70"/>
      <c r="W854" s="70"/>
      <c r="X854" s="70"/>
      <c r="Y854" s="70"/>
      <c r="Z854" s="70"/>
    </row>
    <row r="855" spans="1:26">
      <c r="A855" s="70" t="str">
        <f>IF('Item Setup Form'!$AF859="Yes",'Item Setup Form'!$E859,"")</f>
        <v/>
      </c>
      <c r="B855" s="70" t="str">
        <f>IF('Item Setup Form'!$AF859="Yes",'Item Setup Form'!D859,"")</f>
        <v/>
      </c>
      <c r="C855" s="81" t="str">
        <f>IF('Item Setup Form'!$AF859="Yes",'Item Setup Form'!L859,"")</f>
        <v/>
      </c>
      <c r="D855" s="81" t="str">
        <f>IF('Item Setup Form'!$AF859="Yes",'Item Setup Form'!M859,"")</f>
        <v/>
      </c>
      <c r="E855" s="70"/>
      <c r="F855" s="70" t="str">
        <f>IF('Item Setup Form'!$AF859="Yes",'Item Setup Form'!G859,"")</f>
        <v/>
      </c>
      <c r="G855" s="70" t="str">
        <f>IF('Item Setup Form'!$AF859="Yes",'Item Setup Form'!H859,"")</f>
        <v/>
      </c>
      <c r="H855" s="70" t="str">
        <f>IF('Item Setup Form'!$AF859="Yes",'Item Setup Form'!V859,"")</f>
        <v/>
      </c>
      <c r="I855" s="70"/>
      <c r="J855" s="70" t="str">
        <f>IF('Item Setup Form'!$AF859="Yes",'Item Setup Form'!U859,"")</f>
        <v/>
      </c>
      <c r="K855" s="70" t="str">
        <f>IF('Item Setup Form'!$AF859="Yes",'Item Setup Form'!V859,"")</f>
        <v/>
      </c>
      <c r="L855" s="70"/>
      <c r="M855" s="70" t="str">
        <f>IF('Item Setup Form'!$AF859="Yes",'Item Setup Form'!A859,"")</f>
        <v/>
      </c>
      <c r="N855" s="70"/>
      <c r="O855" s="70"/>
      <c r="P855" s="70"/>
      <c r="Q855" s="70"/>
      <c r="R855" s="70"/>
      <c r="S855" s="70"/>
      <c r="T855" s="70"/>
      <c r="U855" s="70"/>
      <c r="V855" s="70"/>
      <c r="W855" s="70"/>
      <c r="X855" s="70"/>
      <c r="Y855" s="70"/>
      <c r="Z855" s="70"/>
    </row>
    <row r="856" spans="1:26">
      <c r="A856" s="70" t="str">
        <f>IF('Item Setup Form'!$AF860="Yes",'Item Setup Form'!$E860,"")</f>
        <v/>
      </c>
      <c r="B856" s="70" t="str">
        <f>IF('Item Setup Form'!$AF860="Yes",'Item Setup Form'!D860,"")</f>
        <v/>
      </c>
      <c r="C856" s="81" t="str">
        <f>IF('Item Setup Form'!$AF860="Yes",'Item Setup Form'!L860,"")</f>
        <v/>
      </c>
      <c r="D856" s="81" t="str">
        <f>IF('Item Setup Form'!$AF860="Yes",'Item Setup Form'!M860,"")</f>
        <v/>
      </c>
      <c r="E856" s="70"/>
      <c r="F856" s="70" t="str">
        <f>IF('Item Setup Form'!$AF860="Yes",'Item Setup Form'!G860,"")</f>
        <v/>
      </c>
      <c r="G856" s="70" t="str">
        <f>IF('Item Setup Form'!$AF860="Yes",'Item Setup Form'!H860,"")</f>
        <v/>
      </c>
      <c r="H856" s="70" t="str">
        <f>IF('Item Setup Form'!$AF860="Yes",'Item Setup Form'!V860,"")</f>
        <v/>
      </c>
      <c r="I856" s="70"/>
      <c r="J856" s="70" t="str">
        <f>IF('Item Setup Form'!$AF860="Yes",'Item Setup Form'!U860,"")</f>
        <v/>
      </c>
      <c r="K856" s="70" t="str">
        <f>IF('Item Setup Form'!$AF860="Yes",'Item Setup Form'!V860,"")</f>
        <v/>
      </c>
      <c r="L856" s="70"/>
      <c r="M856" s="70" t="str">
        <f>IF('Item Setup Form'!$AF860="Yes",'Item Setup Form'!A860,"")</f>
        <v/>
      </c>
      <c r="N856" s="70"/>
      <c r="O856" s="70"/>
      <c r="P856" s="70"/>
      <c r="Q856" s="70"/>
      <c r="R856" s="70"/>
      <c r="S856" s="70"/>
      <c r="T856" s="70"/>
      <c r="U856" s="70"/>
      <c r="V856" s="70"/>
      <c r="W856" s="70"/>
      <c r="X856" s="70"/>
      <c r="Y856" s="70"/>
      <c r="Z856" s="70"/>
    </row>
    <row r="857" spans="1:26">
      <c r="A857" s="70" t="str">
        <f>IF('Item Setup Form'!$AF861="Yes",'Item Setup Form'!$E861,"")</f>
        <v/>
      </c>
      <c r="B857" s="70" t="str">
        <f>IF('Item Setup Form'!$AF861="Yes",'Item Setup Form'!D861,"")</f>
        <v/>
      </c>
      <c r="C857" s="81" t="str">
        <f>IF('Item Setup Form'!$AF861="Yes",'Item Setup Form'!L861,"")</f>
        <v/>
      </c>
      <c r="D857" s="81" t="str">
        <f>IF('Item Setup Form'!$AF861="Yes",'Item Setup Form'!M861,"")</f>
        <v/>
      </c>
      <c r="E857" s="70"/>
      <c r="F857" s="70" t="str">
        <f>IF('Item Setup Form'!$AF861="Yes",'Item Setup Form'!G861,"")</f>
        <v/>
      </c>
      <c r="G857" s="70" t="str">
        <f>IF('Item Setup Form'!$AF861="Yes",'Item Setup Form'!H861,"")</f>
        <v/>
      </c>
      <c r="H857" s="70" t="str">
        <f>IF('Item Setup Form'!$AF861="Yes",'Item Setup Form'!V861,"")</f>
        <v/>
      </c>
      <c r="I857" s="70"/>
      <c r="J857" s="70" t="str">
        <f>IF('Item Setup Form'!$AF861="Yes",'Item Setup Form'!U861,"")</f>
        <v/>
      </c>
      <c r="K857" s="70" t="str">
        <f>IF('Item Setup Form'!$AF861="Yes",'Item Setup Form'!V861,"")</f>
        <v/>
      </c>
      <c r="L857" s="70"/>
      <c r="M857" s="70" t="str">
        <f>IF('Item Setup Form'!$AF861="Yes",'Item Setup Form'!A861,"")</f>
        <v/>
      </c>
      <c r="N857" s="70"/>
      <c r="O857" s="70"/>
      <c r="P857" s="70"/>
      <c r="Q857" s="70"/>
      <c r="R857" s="70"/>
      <c r="S857" s="70"/>
      <c r="T857" s="70"/>
      <c r="U857" s="70"/>
      <c r="V857" s="70"/>
      <c r="W857" s="70"/>
      <c r="X857" s="70"/>
      <c r="Y857" s="70"/>
      <c r="Z857" s="70"/>
    </row>
    <row r="858" spans="1:26">
      <c r="A858" s="70" t="str">
        <f>IF('Item Setup Form'!$AF862="Yes",'Item Setup Form'!$E862,"")</f>
        <v/>
      </c>
      <c r="B858" s="70" t="str">
        <f>IF('Item Setup Form'!$AF862="Yes",'Item Setup Form'!D862,"")</f>
        <v/>
      </c>
      <c r="C858" s="81" t="str">
        <f>IF('Item Setup Form'!$AF862="Yes",'Item Setup Form'!L862,"")</f>
        <v/>
      </c>
      <c r="D858" s="81" t="str">
        <f>IF('Item Setup Form'!$AF862="Yes",'Item Setup Form'!M862,"")</f>
        <v/>
      </c>
      <c r="E858" s="70"/>
      <c r="F858" s="70" t="str">
        <f>IF('Item Setup Form'!$AF862="Yes",'Item Setup Form'!G862,"")</f>
        <v/>
      </c>
      <c r="G858" s="70" t="str">
        <f>IF('Item Setup Form'!$AF862="Yes",'Item Setup Form'!H862,"")</f>
        <v/>
      </c>
      <c r="H858" s="70" t="str">
        <f>IF('Item Setup Form'!$AF862="Yes",'Item Setup Form'!V862,"")</f>
        <v/>
      </c>
      <c r="I858" s="70"/>
      <c r="J858" s="70" t="str">
        <f>IF('Item Setup Form'!$AF862="Yes",'Item Setup Form'!U862,"")</f>
        <v/>
      </c>
      <c r="K858" s="70" t="str">
        <f>IF('Item Setup Form'!$AF862="Yes",'Item Setup Form'!V862,"")</f>
        <v/>
      </c>
      <c r="L858" s="70"/>
      <c r="M858" s="70" t="str">
        <f>IF('Item Setup Form'!$AF862="Yes",'Item Setup Form'!A862,"")</f>
        <v/>
      </c>
      <c r="N858" s="70"/>
      <c r="O858" s="70"/>
      <c r="P858" s="70"/>
      <c r="Q858" s="70"/>
      <c r="R858" s="70"/>
      <c r="S858" s="70"/>
      <c r="T858" s="70"/>
      <c r="U858" s="70"/>
      <c r="V858" s="70"/>
      <c r="W858" s="70"/>
      <c r="X858" s="70"/>
      <c r="Y858" s="70"/>
      <c r="Z858" s="70"/>
    </row>
    <row r="859" spans="1:26">
      <c r="A859" s="70" t="str">
        <f>IF('Item Setup Form'!$AF863="Yes",'Item Setup Form'!$E863,"")</f>
        <v/>
      </c>
      <c r="B859" s="70" t="str">
        <f>IF('Item Setup Form'!$AF863="Yes",'Item Setup Form'!D863,"")</f>
        <v/>
      </c>
      <c r="C859" s="81" t="str">
        <f>IF('Item Setup Form'!$AF863="Yes",'Item Setup Form'!L863,"")</f>
        <v/>
      </c>
      <c r="D859" s="81" t="str">
        <f>IF('Item Setup Form'!$AF863="Yes",'Item Setup Form'!M863,"")</f>
        <v/>
      </c>
      <c r="E859" s="70"/>
      <c r="F859" s="70" t="str">
        <f>IF('Item Setup Form'!$AF863="Yes",'Item Setup Form'!G863,"")</f>
        <v/>
      </c>
      <c r="G859" s="70" t="str">
        <f>IF('Item Setup Form'!$AF863="Yes",'Item Setup Form'!H863,"")</f>
        <v/>
      </c>
      <c r="H859" s="70" t="str">
        <f>IF('Item Setup Form'!$AF863="Yes",'Item Setup Form'!V863,"")</f>
        <v/>
      </c>
      <c r="I859" s="70"/>
      <c r="J859" s="70" t="str">
        <f>IF('Item Setup Form'!$AF863="Yes",'Item Setup Form'!U863,"")</f>
        <v/>
      </c>
      <c r="K859" s="70" t="str">
        <f>IF('Item Setup Form'!$AF863="Yes",'Item Setup Form'!V863,"")</f>
        <v/>
      </c>
      <c r="L859" s="70"/>
      <c r="M859" s="70" t="str">
        <f>IF('Item Setup Form'!$AF863="Yes",'Item Setup Form'!A863,"")</f>
        <v/>
      </c>
      <c r="N859" s="70"/>
      <c r="O859" s="70"/>
      <c r="P859" s="70"/>
      <c r="Q859" s="70"/>
      <c r="R859" s="70"/>
      <c r="S859" s="70"/>
      <c r="T859" s="70"/>
      <c r="U859" s="70"/>
      <c r="V859" s="70"/>
      <c r="W859" s="70"/>
      <c r="X859" s="70"/>
      <c r="Y859" s="70"/>
      <c r="Z859" s="70"/>
    </row>
    <row r="860" spans="1:26">
      <c r="A860" s="70" t="str">
        <f>IF('Item Setup Form'!$AF864="Yes",'Item Setup Form'!$E864,"")</f>
        <v/>
      </c>
      <c r="B860" s="70" t="str">
        <f>IF('Item Setup Form'!$AF864="Yes",'Item Setup Form'!D864,"")</f>
        <v/>
      </c>
      <c r="C860" s="81" t="str">
        <f>IF('Item Setup Form'!$AF864="Yes",'Item Setup Form'!L864,"")</f>
        <v/>
      </c>
      <c r="D860" s="81" t="str">
        <f>IF('Item Setup Form'!$AF864="Yes",'Item Setup Form'!M864,"")</f>
        <v/>
      </c>
      <c r="E860" s="70"/>
      <c r="F860" s="70" t="str">
        <f>IF('Item Setup Form'!$AF864="Yes",'Item Setup Form'!G864,"")</f>
        <v/>
      </c>
      <c r="G860" s="70" t="str">
        <f>IF('Item Setup Form'!$AF864="Yes",'Item Setup Form'!H864,"")</f>
        <v/>
      </c>
      <c r="H860" s="70" t="str">
        <f>IF('Item Setup Form'!$AF864="Yes",'Item Setup Form'!V864,"")</f>
        <v/>
      </c>
      <c r="I860" s="70"/>
      <c r="J860" s="70" t="str">
        <f>IF('Item Setup Form'!$AF864="Yes",'Item Setup Form'!U864,"")</f>
        <v/>
      </c>
      <c r="K860" s="70" t="str">
        <f>IF('Item Setup Form'!$AF864="Yes",'Item Setup Form'!V864,"")</f>
        <v/>
      </c>
      <c r="L860" s="70"/>
      <c r="M860" s="70" t="str">
        <f>IF('Item Setup Form'!$AF864="Yes",'Item Setup Form'!A864,"")</f>
        <v/>
      </c>
      <c r="N860" s="70"/>
      <c r="O860" s="70"/>
      <c r="P860" s="70"/>
      <c r="Q860" s="70"/>
      <c r="R860" s="70"/>
      <c r="S860" s="70"/>
      <c r="T860" s="70"/>
      <c r="U860" s="70"/>
      <c r="V860" s="70"/>
      <c r="W860" s="70"/>
      <c r="X860" s="70"/>
      <c r="Y860" s="70"/>
      <c r="Z860" s="70"/>
    </row>
    <row r="861" spans="1:26">
      <c r="A861" s="70" t="str">
        <f>IF('Item Setup Form'!$AF865="Yes",'Item Setup Form'!$E865,"")</f>
        <v/>
      </c>
      <c r="B861" s="70" t="str">
        <f>IF('Item Setup Form'!$AF865="Yes",'Item Setup Form'!D865,"")</f>
        <v/>
      </c>
      <c r="C861" s="81" t="str">
        <f>IF('Item Setup Form'!$AF865="Yes",'Item Setup Form'!L865,"")</f>
        <v/>
      </c>
      <c r="D861" s="81" t="str">
        <f>IF('Item Setup Form'!$AF865="Yes",'Item Setup Form'!M865,"")</f>
        <v/>
      </c>
      <c r="E861" s="70"/>
      <c r="F861" s="70" t="str">
        <f>IF('Item Setup Form'!$AF865="Yes",'Item Setup Form'!G865,"")</f>
        <v/>
      </c>
      <c r="G861" s="70" t="str">
        <f>IF('Item Setup Form'!$AF865="Yes",'Item Setup Form'!H865,"")</f>
        <v/>
      </c>
      <c r="H861" s="70" t="str">
        <f>IF('Item Setup Form'!$AF865="Yes",'Item Setup Form'!V865,"")</f>
        <v/>
      </c>
      <c r="I861" s="70"/>
      <c r="J861" s="70" t="str">
        <f>IF('Item Setup Form'!$AF865="Yes",'Item Setup Form'!U865,"")</f>
        <v/>
      </c>
      <c r="K861" s="70" t="str">
        <f>IF('Item Setup Form'!$AF865="Yes",'Item Setup Form'!V865,"")</f>
        <v/>
      </c>
      <c r="L861" s="70"/>
      <c r="M861" s="70" t="str">
        <f>IF('Item Setup Form'!$AF865="Yes",'Item Setup Form'!A865,"")</f>
        <v/>
      </c>
      <c r="N861" s="70"/>
      <c r="O861" s="70"/>
      <c r="P861" s="70"/>
      <c r="Q861" s="70"/>
      <c r="R861" s="70"/>
      <c r="S861" s="70"/>
      <c r="T861" s="70"/>
      <c r="U861" s="70"/>
      <c r="V861" s="70"/>
      <c r="W861" s="70"/>
      <c r="X861" s="70"/>
      <c r="Y861" s="70"/>
      <c r="Z861" s="70"/>
    </row>
    <row r="862" spans="1:26">
      <c r="A862" s="70" t="str">
        <f>IF('Item Setup Form'!$AF866="Yes",'Item Setup Form'!$E866,"")</f>
        <v/>
      </c>
      <c r="B862" s="70" t="str">
        <f>IF('Item Setup Form'!$AF866="Yes",'Item Setup Form'!D866,"")</f>
        <v/>
      </c>
      <c r="C862" s="81" t="str">
        <f>IF('Item Setup Form'!$AF866="Yes",'Item Setup Form'!L866,"")</f>
        <v/>
      </c>
      <c r="D862" s="81" t="str">
        <f>IF('Item Setup Form'!$AF866="Yes",'Item Setup Form'!M866,"")</f>
        <v/>
      </c>
      <c r="E862" s="70"/>
      <c r="F862" s="70" t="str">
        <f>IF('Item Setup Form'!$AF866="Yes",'Item Setup Form'!G866,"")</f>
        <v/>
      </c>
      <c r="G862" s="70" t="str">
        <f>IF('Item Setup Form'!$AF866="Yes",'Item Setup Form'!H866,"")</f>
        <v/>
      </c>
      <c r="H862" s="70" t="str">
        <f>IF('Item Setup Form'!$AF866="Yes",'Item Setup Form'!V866,"")</f>
        <v/>
      </c>
      <c r="I862" s="70"/>
      <c r="J862" s="70" t="str">
        <f>IF('Item Setup Form'!$AF866="Yes",'Item Setup Form'!U866,"")</f>
        <v/>
      </c>
      <c r="K862" s="70" t="str">
        <f>IF('Item Setup Form'!$AF866="Yes",'Item Setup Form'!V866,"")</f>
        <v/>
      </c>
      <c r="L862" s="70"/>
      <c r="M862" s="70" t="str">
        <f>IF('Item Setup Form'!$AF866="Yes",'Item Setup Form'!A866,"")</f>
        <v/>
      </c>
      <c r="N862" s="70"/>
      <c r="O862" s="70"/>
      <c r="P862" s="70"/>
      <c r="Q862" s="70"/>
      <c r="R862" s="70"/>
      <c r="S862" s="70"/>
      <c r="T862" s="70"/>
      <c r="U862" s="70"/>
      <c r="V862" s="70"/>
      <c r="W862" s="70"/>
      <c r="X862" s="70"/>
      <c r="Y862" s="70"/>
      <c r="Z862" s="70"/>
    </row>
    <row r="863" spans="1:26">
      <c r="A863" s="70" t="str">
        <f>IF('Item Setup Form'!$AF867="Yes",'Item Setup Form'!$E867,"")</f>
        <v/>
      </c>
      <c r="B863" s="70" t="str">
        <f>IF('Item Setup Form'!$AF867="Yes",'Item Setup Form'!D867,"")</f>
        <v/>
      </c>
      <c r="C863" s="81" t="str">
        <f>IF('Item Setup Form'!$AF867="Yes",'Item Setup Form'!L867,"")</f>
        <v/>
      </c>
      <c r="D863" s="81" t="str">
        <f>IF('Item Setup Form'!$AF867="Yes",'Item Setup Form'!M867,"")</f>
        <v/>
      </c>
      <c r="E863" s="70"/>
      <c r="F863" s="70" t="str">
        <f>IF('Item Setup Form'!$AF867="Yes",'Item Setup Form'!G867,"")</f>
        <v/>
      </c>
      <c r="G863" s="70" t="str">
        <f>IF('Item Setup Form'!$AF867="Yes",'Item Setup Form'!H867,"")</f>
        <v/>
      </c>
      <c r="H863" s="70" t="str">
        <f>IF('Item Setup Form'!$AF867="Yes",'Item Setup Form'!V867,"")</f>
        <v/>
      </c>
      <c r="I863" s="70"/>
      <c r="J863" s="70" t="str">
        <f>IF('Item Setup Form'!$AF867="Yes",'Item Setup Form'!U867,"")</f>
        <v/>
      </c>
      <c r="K863" s="70" t="str">
        <f>IF('Item Setup Form'!$AF867="Yes",'Item Setup Form'!V867,"")</f>
        <v/>
      </c>
      <c r="L863" s="70"/>
      <c r="M863" s="70" t="str">
        <f>IF('Item Setup Form'!$AF867="Yes",'Item Setup Form'!A867,"")</f>
        <v/>
      </c>
      <c r="N863" s="70"/>
      <c r="O863" s="70"/>
      <c r="P863" s="70"/>
      <c r="Q863" s="70"/>
      <c r="R863" s="70"/>
      <c r="S863" s="70"/>
      <c r="T863" s="70"/>
      <c r="U863" s="70"/>
      <c r="V863" s="70"/>
      <c r="W863" s="70"/>
      <c r="X863" s="70"/>
      <c r="Y863" s="70"/>
      <c r="Z863" s="70"/>
    </row>
    <row r="864" spans="1:26">
      <c r="A864" s="70" t="str">
        <f>IF('Item Setup Form'!$AF868="Yes",'Item Setup Form'!$E868,"")</f>
        <v/>
      </c>
      <c r="B864" s="70" t="str">
        <f>IF('Item Setup Form'!$AF868="Yes",'Item Setup Form'!D868,"")</f>
        <v/>
      </c>
      <c r="C864" s="81" t="str">
        <f>IF('Item Setup Form'!$AF868="Yes",'Item Setup Form'!L868,"")</f>
        <v/>
      </c>
      <c r="D864" s="81" t="str">
        <f>IF('Item Setup Form'!$AF868="Yes",'Item Setup Form'!M868,"")</f>
        <v/>
      </c>
      <c r="E864" s="70"/>
      <c r="F864" s="70" t="str">
        <f>IF('Item Setup Form'!$AF868="Yes",'Item Setup Form'!G868,"")</f>
        <v/>
      </c>
      <c r="G864" s="70" t="str">
        <f>IF('Item Setup Form'!$AF868="Yes",'Item Setup Form'!H868,"")</f>
        <v/>
      </c>
      <c r="H864" s="70" t="str">
        <f>IF('Item Setup Form'!$AF868="Yes",'Item Setup Form'!V868,"")</f>
        <v/>
      </c>
      <c r="I864" s="70"/>
      <c r="J864" s="70" t="str">
        <f>IF('Item Setup Form'!$AF868="Yes",'Item Setup Form'!U868,"")</f>
        <v/>
      </c>
      <c r="K864" s="70" t="str">
        <f>IF('Item Setup Form'!$AF868="Yes",'Item Setup Form'!V868,"")</f>
        <v/>
      </c>
      <c r="L864" s="70"/>
      <c r="M864" s="70" t="str">
        <f>IF('Item Setup Form'!$AF868="Yes",'Item Setup Form'!A868,"")</f>
        <v/>
      </c>
      <c r="N864" s="70"/>
      <c r="O864" s="70"/>
      <c r="P864" s="70"/>
      <c r="Q864" s="70"/>
      <c r="R864" s="70"/>
      <c r="S864" s="70"/>
      <c r="T864" s="70"/>
      <c r="U864" s="70"/>
      <c r="V864" s="70"/>
      <c r="W864" s="70"/>
      <c r="X864" s="70"/>
      <c r="Y864" s="70"/>
      <c r="Z864" s="70"/>
    </row>
    <row r="865" spans="1:26">
      <c r="A865" s="70" t="str">
        <f>IF('Item Setup Form'!$AF869="Yes",'Item Setup Form'!$E869,"")</f>
        <v/>
      </c>
      <c r="B865" s="70" t="str">
        <f>IF('Item Setup Form'!$AF869="Yes",'Item Setup Form'!D869,"")</f>
        <v/>
      </c>
      <c r="C865" s="81" t="str">
        <f>IF('Item Setup Form'!$AF869="Yes",'Item Setup Form'!L869,"")</f>
        <v/>
      </c>
      <c r="D865" s="81" t="str">
        <f>IF('Item Setup Form'!$AF869="Yes",'Item Setup Form'!M869,"")</f>
        <v/>
      </c>
      <c r="E865" s="70"/>
      <c r="F865" s="70" t="str">
        <f>IF('Item Setup Form'!$AF869="Yes",'Item Setup Form'!G869,"")</f>
        <v/>
      </c>
      <c r="G865" s="70" t="str">
        <f>IF('Item Setup Form'!$AF869="Yes",'Item Setup Form'!H869,"")</f>
        <v/>
      </c>
      <c r="H865" s="70" t="str">
        <f>IF('Item Setup Form'!$AF869="Yes",'Item Setup Form'!V869,"")</f>
        <v/>
      </c>
      <c r="I865" s="70"/>
      <c r="J865" s="70" t="str">
        <f>IF('Item Setup Form'!$AF869="Yes",'Item Setup Form'!U869,"")</f>
        <v/>
      </c>
      <c r="K865" s="70" t="str">
        <f>IF('Item Setup Form'!$AF869="Yes",'Item Setup Form'!V869,"")</f>
        <v/>
      </c>
      <c r="L865" s="70"/>
      <c r="M865" s="70" t="str">
        <f>IF('Item Setup Form'!$AF869="Yes",'Item Setup Form'!A869,"")</f>
        <v/>
      </c>
      <c r="N865" s="70"/>
      <c r="O865" s="70"/>
      <c r="P865" s="70"/>
      <c r="Q865" s="70"/>
      <c r="R865" s="70"/>
      <c r="S865" s="70"/>
      <c r="T865" s="70"/>
      <c r="U865" s="70"/>
      <c r="V865" s="70"/>
      <c r="W865" s="70"/>
      <c r="X865" s="70"/>
      <c r="Y865" s="70"/>
      <c r="Z865" s="70"/>
    </row>
    <row r="866" spans="1:26">
      <c r="A866" s="70" t="str">
        <f>IF('Item Setup Form'!$AF870="Yes",'Item Setup Form'!$E870,"")</f>
        <v/>
      </c>
      <c r="B866" s="70" t="str">
        <f>IF('Item Setup Form'!$AF870="Yes",'Item Setup Form'!D870,"")</f>
        <v/>
      </c>
      <c r="C866" s="81" t="str">
        <f>IF('Item Setup Form'!$AF870="Yes",'Item Setup Form'!L870,"")</f>
        <v/>
      </c>
      <c r="D866" s="81" t="str">
        <f>IF('Item Setup Form'!$AF870="Yes",'Item Setup Form'!M870,"")</f>
        <v/>
      </c>
      <c r="E866" s="70"/>
      <c r="F866" s="70" t="str">
        <f>IF('Item Setup Form'!$AF870="Yes",'Item Setup Form'!G870,"")</f>
        <v/>
      </c>
      <c r="G866" s="70" t="str">
        <f>IF('Item Setup Form'!$AF870="Yes",'Item Setup Form'!H870,"")</f>
        <v/>
      </c>
      <c r="H866" s="70" t="str">
        <f>IF('Item Setup Form'!$AF870="Yes",'Item Setup Form'!V870,"")</f>
        <v/>
      </c>
      <c r="I866" s="70"/>
      <c r="J866" s="70" t="str">
        <f>IF('Item Setup Form'!$AF870="Yes",'Item Setup Form'!U870,"")</f>
        <v/>
      </c>
      <c r="K866" s="70" t="str">
        <f>IF('Item Setup Form'!$AF870="Yes",'Item Setup Form'!V870,"")</f>
        <v/>
      </c>
      <c r="L866" s="70"/>
      <c r="M866" s="70" t="str">
        <f>IF('Item Setup Form'!$AF870="Yes",'Item Setup Form'!A870,"")</f>
        <v/>
      </c>
      <c r="N866" s="70"/>
      <c r="O866" s="70"/>
      <c r="P866" s="70"/>
      <c r="Q866" s="70"/>
      <c r="R866" s="70"/>
      <c r="S866" s="70"/>
      <c r="T866" s="70"/>
      <c r="U866" s="70"/>
      <c r="V866" s="70"/>
      <c r="W866" s="70"/>
      <c r="X866" s="70"/>
      <c r="Y866" s="70"/>
      <c r="Z866" s="70"/>
    </row>
    <row r="867" spans="1:26">
      <c r="A867" s="70" t="str">
        <f>IF('Item Setup Form'!$AF871="Yes",'Item Setup Form'!$E871,"")</f>
        <v/>
      </c>
      <c r="B867" s="70" t="str">
        <f>IF('Item Setup Form'!$AF871="Yes",'Item Setup Form'!D871,"")</f>
        <v/>
      </c>
      <c r="C867" s="81" t="str">
        <f>IF('Item Setup Form'!$AF871="Yes",'Item Setup Form'!L871,"")</f>
        <v/>
      </c>
      <c r="D867" s="81" t="str">
        <f>IF('Item Setup Form'!$AF871="Yes",'Item Setup Form'!M871,"")</f>
        <v/>
      </c>
      <c r="E867" s="70"/>
      <c r="F867" s="70" t="str">
        <f>IF('Item Setup Form'!$AF871="Yes",'Item Setup Form'!G871,"")</f>
        <v/>
      </c>
      <c r="G867" s="70" t="str">
        <f>IF('Item Setup Form'!$AF871="Yes",'Item Setup Form'!H871,"")</f>
        <v/>
      </c>
      <c r="H867" s="70" t="str">
        <f>IF('Item Setup Form'!$AF871="Yes",'Item Setup Form'!V871,"")</f>
        <v/>
      </c>
      <c r="I867" s="70"/>
      <c r="J867" s="70" t="str">
        <f>IF('Item Setup Form'!$AF871="Yes",'Item Setup Form'!U871,"")</f>
        <v/>
      </c>
      <c r="K867" s="70" t="str">
        <f>IF('Item Setup Form'!$AF871="Yes",'Item Setup Form'!V871,"")</f>
        <v/>
      </c>
      <c r="L867" s="70"/>
      <c r="M867" s="70" t="str">
        <f>IF('Item Setup Form'!$AF871="Yes",'Item Setup Form'!A871,"")</f>
        <v/>
      </c>
      <c r="N867" s="70"/>
      <c r="O867" s="70"/>
      <c r="P867" s="70"/>
      <c r="Q867" s="70"/>
      <c r="R867" s="70"/>
      <c r="S867" s="70"/>
      <c r="T867" s="70"/>
      <c r="U867" s="70"/>
      <c r="V867" s="70"/>
      <c r="W867" s="70"/>
      <c r="X867" s="70"/>
      <c r="Y867" s="70"/>
      <c r="Z867" s="70"/>
    </row>
    <row r="868" spans="1:26">
      <c r="A868" s="70" t="str">
        <f>IF('Item Setup Form'!$AF872="Yes",'Item Setup Form'!$E872,"")</f>
        <v/>
      </c>
      <c r="B868" s="70" t="str">
        <f>IF('Item Setup Form'!$AF872="Yes",'Item Setup Form'!D872,"")</f>
        <v/>
      </c>
      <c r="C868" s="81" t="str">
        <f>IF('Item Setup Form'!$AF872="Yes",'Item Setup Form'!L872,"")</f>
        <v/>
      </c>
      <c r="D868" s="81" t="str">
        <f>IF('Item Setup Form'!$AF872="Yes",'Item Setup Form'!M872,"")</f>
        <v/>
      </c>
      <c r="E868" s="70"/>
      <c r="F868" s="70" t="str">
        <f>IF('Item Setup Form'!$AF872="Yes",'Item Setup Form'!G872,"")</f>
        <v/>
      </c>
      <c r="G868" s="70" t="str">
        <f>IF('Item Setup Form'!$AF872="Yes",'Item Setup Form'!H872,"")</f>
        <v/>
      </c>
      <c r="H868" s="70" t="str">
        <f>IF('Item Setup Form'!$AF872="Yes",'Item Setup Form'!V872,"")</f>
        <v/>
      </c>
      <c r="I868" s="70"/>
      <c r="J868" s="70" t="str">
        <f>IF('Item Setup Form'!$AF872="Yes",'Item Setup Form'!U872,"")</f>
        <v/>
      </c>
      <c r="K868" s="70" t="str">
        <f>IF('Item Setup Form'!$AF872="Yes",'Item Setup Form'!V872,"")</f>
        <v/>
      </c>
      <c r="L868" s="70"/>
      <c r="M868" s="70" t="str">
        <f>IF('Item Setup Form'!$AF872="Yes",'Item Setup Form'!A872,"")</f>
        <v/>
      </c>
      <c r="N868" s="70"/>
      <c r="O868" s="70"/>
      <c r="P868" s="70"/>
      <c r="Q868" s="70"/>
      <c r="R868" s="70"/>
      <c r="S868" s="70"/>
      <c r="T868" s="70"/>
      <c r="U868" s="70"/>
      <c r="V868" s="70"/>
      <c r="W868" s="70"/>
      <c r="X868" s="70"/>
      <c r="Y868" s="70"/>
      <c r="Z868" s="70"/>
    </row>
    <row r="869" spans="1:26">
      <c r="A869" s="70" t="str">
        <f>IF('Item Setup Form'!$AF873="Yes",'Item Setup Form'!$E873,"")</f>
        <v/>
      </c>
      <c r="B869" s="70" t="str">
        <f>IF('Item Setup Form'!$AF873="Yes",'Item Setup Form'!D873,"")</f>
        <v/>
      </c>
      <c r="C869" s="81" t="str">
        <f>IF('Item Setup Form'!$AF873="Yes",'Item Setup Form'!L873,"")</f>
        <v/>
      </c>
      <c r="D869" s="81" t="str">
        <f>IF('Item Setup Form'!$AF873="Yes",'Item Setup Form'!M873,"")</f>
        <v/>
      </c>
      <c r="E869" s="70"/>
      <c r="F869" s="70" t="str">
        <f>IF('Item Setup Form'!$AF873="Yes",'Item Setup Form'!G873,"")</f>
        <v/>
      </c>
      <c r="G869" s="70" t="str">
        <f>IF('Item Setup Form'!$AF873="Yes",'Item Setup Form'!H873,"")</f>
        <v/>
      </c>
      <c r="H869" s="70" t="str">
        <f>IF('Item Setup Form'!$AF873="Yes",'Item Setup Form'!V873,"")</f>
        <v/>
      </c>
      <c r="I869" s="70"/>
      <c r="J869" s="70" t="str">
        <f>IF('Item Setup Form'!$AF873="Yes",'Item Setup Form'!U873,"")</f>
        <v/>
      </c>
      <c r="K869" s="70" t="str">
        <f>IF('Item Setup Form'!$AF873="Yes",'Item Setup Form'!V873,"")</f>
        <v/>
      </c>
      <c r="L869" s="70"/>
      <c r="M869" s="70" t="str">
        <f>IF('Item Setup Form'!$AF873="Yes",'Item Setup Form'!A873,"")</f>
        <v/>
      </c>
      <c r="N869" s="70"/>
      <c r="O869" s="70"/>
      <c r="P869" s="70"/>
      <c r="Q869" s="70"/>
      <c r="R869" s="70"/>
      <c r="S869" s="70"/>
      <c r="T869" s="70"/>
      <c r="U869" s="70"/>
      <c r="V869" s="70"/>
      <c r="W869" s="70"/>
      <c r="X869" s="70"/>
      <c r="Y869" s="70"/>
      <c r="Z869" s="70"/>
    </row>
    <row r="870" spans="1:26">
      <c r="A870" s="70" t="str">
        <f>IF('Item Setup Form'!$AF874="Yes",'Item Setup Form'!$E874,"")</f>
        <v/>
      </c>
      <c r="B870" s="70" t="str">
        <f>IF('Item Setup Form'!$AF874="Yes",'Item Setup Form'!D874,"")</f>
        <v/>
      </c>
      <c r="C870" s="81" t="str">
        <f>IF('Item Setup Form'!$AF874="Yes",'Item Setup Form'!L874,"")</f>
        <v/>
      </c>
      <c r="D870" s="81" t="str">
        <f>IF('Item Setup Form'!$AF874="Yes",'Item Setup Form'!M874,"")</f>
        <v/>
      </c>
      <c r="E870" s="70"/>
      <c r="F870" s="70" t="str">
        <f>IF('Item Setup Form'!$AF874="Yes",'Item Setup Form'!G874,"")</f>
        <v/>
      </c>
      <c r="G870" s="70" t="str">
        <f>IF('Item Setup Form'!$AF874="Yes",'Item Setup Form'!H874,"")</f>
        <v/>
      </c>
      <c r="H870" s="70" t="str">
        <f>IF('Item Setup Form'!$AF874="Yes",'Item Setup Form'!V874,"")</f>
        <v/>
      </c>
      <c r="I870" s="70"/>
      <c r="J870" s="70" t="str">
        <f>IF('Item Setup Form'!$AF874="Yes",'Item Setup Form'!U874,"")</f>
        <v/>
      </c>
      <c r="K870" s="70" t="str">
        <f>IF('Item Setup Form'!$AF874="Yes",'Item Setup Form'!V874,"")</f>
        <v/>
      </c>
      <c r="L870" s="70"/>
      <c r="M870" s="70" t="str">
        <f>IF('Item Setup Form'!$AF874="Yes",'Item Setup Form'!A874,"")</f>
        <v/>
      </c>
      <c r="N870" s="70"/>
      <c r="O870" s="70"/>
      <c r="P870" s="70"/>
      <c r="Q870" s="70"/>
      <c r="R870" s="70"/>
      <c r="S870" s="70"/>
      <c r="T870" s="70"/>
      <c r="U870" s="70"/>
      <c r="V870" s="70"/>
      <c r="W870" s="70"/>
      <c r="X870" s="70"/>
      <c r="Y870" s="70"/>
      <c r="Z870" s="70"/>
    </row>
    <row r="871" spans="1:26">
      <c r="A871" s="70" t="str">
        <f>IF('Item Setup Form'!$AF875="Yes",'Item Setup Form'!$E875,"")</f>
        <v/>
      </c>
      <c r="B871" s="70" t="str">
        <f>IF('Item Setup Form'!$AF875="Yes",'Item Setup Form'!D875,"")</f>
        <v/>
      </c>
      <c r="C871" s="81" t="str">
        <f>IF('Item Setup Form'!$AF875="Yes",'Item Setup Form'!L875,"")</f>
        <v/>
      </c>
      <c r="D871" s="81" t="str">
        <f>IF('Item Setup Form'!$AF875="Yes",'Item Setup Form'!M875,"")</f>
        <v/>
      </c>
      <c r="E871" s="70"/>
      <c r="F871" s="70" t="str">
        <f>IF('Item Setup Form'!$AF875="Yes",'Item Setup Form'!G875,"")</f>
        <v/>
      </c>
      <c r="G871" s="70" t="str">
        <f>IF('Item Setup Form'!$AF875="Yes",'Item Setup Form'!H875,"")</f>
        <v/>
      </c>
      <c r="H871" s="70" t="str">
        <f>IF('Item Setup Form'!$AF875="Yes",'Item Setup Form'!V875,"")</f>
        <v/>
      </c>
      <c r="I871" s="70"/>
      <c r="J871" s="70" t="str">
        <f>IF('Item Setup Form'!$AF875="Yes",'Item Setup Form'!U875,"")</f>
        <v/>
      </c>
      <c r="K871" s="70" t="str">
        <f>IF('Item Setup Form'!$AF875="Yes",'Item Setup Form'!V875,"")</f>
        <v/>
      </c>
      <c r="L871" s="70"/>
      <c r="M871" s="70" t="str">
        <f>IF('Item Setup Form'!$AF875="Yes",'Item Setup Form'!A875,"")</f>
        <v/>
      </c>
      <c r="N871" s="70"/>
      <c r="O871" s="70"/>
      <c r="P871" s="70"/>
      <c r="Q871" s="70"/>
      <c r="R871" s="70"/>
      <c r="S871" s="70"/>
      <c r="T871" s="70"/>
      <c r="U871" s="70"/>
      <c r="V871" s="70"/>
      <c r="W871" s="70"/>
      <c r="X871" s="70"/>
      <c r="Y871" s="70"/>
      <c r="Z871" s="70"/>
    </row>
    <row r="872" spans="1:26">
      <c r="A872" s="70" t="str">
        <f>IF('Item Setup Form'!$AF876="Yes",'Item Setup Form'!$E876,"")</f>
        <v/>
      </c>
      <c r="B872" s="70" t="str">
        <f>IF('Item Setup Form'!$AF876="Yes",'Item Setup Form'!D876,"")</f>
        <v/>
      </c>
      <c r="C872" s="81" t="str">
        <f>IF('Item Setup Form'!$AF876="Yes",'Item Setup Form'!L876,"")</f>
        <v/>
      </c>
      <c r="D872" s="81" t="str">
        <f>IF('Item Setup Form'!$AF876="Yes",'Item Setup Form'!M876,"")</f>
        <v/>
      </c>
      <c r="E872" s="70"/>
      <c r="F872" s="70" t="str">
        <f>IF('Item Setup Form'!$AF876="Yes",'Item Setup Form'!G876,"")</f>
        <v/>
      </c>
      <c r="G872" s="70" t="str">
        <f>IF('Item Setup Form'!$AF876="Yes",'Item Setup Form'!H876,"")</f>
        <v/>
      </c>
      <c r="H872" s="70" t="str">
        <f>IF('Item Setup Form'!$AF876="Yes",'Item Setup Form'!V876,"")</f>
        <v/>
      </c>
      <c r="I872" s="70"/>
      <c r="J872" s="70" t="str">
        <f>IF('Item Setup Form'!$AF876="Yes",'Item Setup Form'!U876,"")</f>
        <v/>
      </c>
      <c r="K872" s="70" t="str">
        <f>IF('Item Setup Form'!$AF876="Yes",'Item Setup Form'!V876,"")</f>
        <v/>
      </c>
      <c r="L872" s="70"/>
      <c r="M872" s="70" t="str">
        <f>IF('Item Setup Form'!$AF876="Yes",'Item Setup Form'!A876,"")</f>
        <v/>
      </c>
      <c r="N872" s="70"/>
      <c r="O872" s="70"/>
      <c r="P872" s="70"/>
      <c r="Q872" s="70"/>
      <c r="R872" s="70"/>
      <c r="S872" s="70"/>
      <c r="T872" s="70"/>
      <c r="U872" s="70"/>
      <c r="V872" s="70"/>
      <c r="W872" s="70"/>
      <c r="X872" s="70"/>
      <c r="Y872" s="70"/>
      <c r="Z872" s="70"/>
    </row>
    <row r="873" spans="1:26">
      <c r="A873" s="70" t="str">
        <f>IF('Item Setup Form'!$AF877="Yes",'Item Setup Form'!$E877,"")</f>
        <v/>
      </c>
      <c r="B873" s="70" t="str">
        <f>IF('Item Setup Form'!$AF877="Yes",'Item Setup Form'!D877,"")</f>
        <v/>
      </c>
      <c r="C873" s="81" t="str">
        <f>IF('Item Setup Form'!$AF877="Yes",'Item Setup Form'!L877,"")</f>
        <v/>
      </c>
      <c r="D873" s="81" t="str">
        <f>IF('Item Setup Form'!$AF877="Yes",'Item Setup Form'!M877,"")</f>
        <v/>
      </c>
      <c r="E873" s="70"/>
      <c r="F873" s="70" t="str">
        <f>IF('Item Setup Form'!$AF877="Yes",'Item Setup Form'!G877,"")</f>
        <v/>
      </c>
      <c r="G873" s="70" t="str">
        <f>IF('Item Setup Form'!$AF877="Yes",'Item Setup Form'!H877,"")</f>
        <v/>
      </c>
      <c r="H873" s="70" t="str">
        <f>IF('Item Setup Form'!$AF877="Yes",'Item Setup Form'!V877,"")</f>
        <v/>
      </c>
      <c r="I873" s="70"/>
      <c r="J873" s="70" t="str">
        <f>IF('Item Setup Form'!$AF877="Yes",'Item Setup Form'!U877,"")</f>
        <v/>
      </c>
      <c r="K873" s="70" t="str">
        <f>IF('Item Setup Form'!$AF877="Yes",'Item Setup Form'!V877,"")</f>
        <v/>
      </c>
      <c r="L873" s="70"/>
      <c r="M873" s="70" t="str">
        <f>IF('Item Setup Form'!$AF877="Yes",'Item Setup Form'!A877,"")</f>
        <v/>
      </c>
      <c r="N873" s="70"/>
      <c r="O873" s="70"/>
      <c r="P873" s="70"/>
      <c r="Q873" s="70"/>
      <c r="R873" s="70"/>
      <c r="S873" s="70"/>
      <c r="T873" s="70"/>
      <c r="U873" s="70"/>
      <c r="V873" s="70"/>
      <c r="W873" s="70"/>
      <c r="X873" s="70"/>
      <c r="Y873" s="70"/>
      <c r="Z873" s="70"/>
    </row>
    <row r="874" spans="1:26">
      <c r="A874" s="70" t="str">
        <f>IF('Item Setup Form'!$AF878="Yes",'Item Setup Form'!$E878,"")</f>
        <v/>
      </c>
      <c r="B874" s="70" t="str">
        <f>IF('Item Setup Form'!$AF878="Yes",'Item Setup Form'!D878,"")</f>
        <v/>
      </c>
      <c r="C874" s="81" t="str">
        <f>IF('Item Setup Form'!$AF878="Yes",'Item Setup Form'!L878,"")</f>
        <v/>
      </c>
      <c r="D874" s="81" t="str">
        <f>IF('Item Setup Form'!$AF878="Yes",'Item Setup Form'!M878,"")</f>
        <v/>
      </c>
      <c r="E874" s="70"/>
      <c r="F874" s="70" t="str">
        <f>IF('Item Setup Form'!$AF878="Yes",'Item Setup Form'!G878,"")</f>
        <v/>
      </c>
      <c r="G874" s="70" t="str">
        <f>IF('Item Setup Form'!$AF878="Yes",'Item Setup Form'!H878,"")</f>
        <v/>
      </c>
      <c r="H874" s="70" t="str">
        <f>IF('Item Setup Form'!$AF878="Yes",'Item Setup Form'!V878,"")</f>
        <v/>
      </c>
      <c r="I874" s="70"/>
      <c r="J874" s="70" t="str">
        <f>IF('Item Setup Form'!$AF878="Yes",'Item Setup Form'!U878,"")</f>
        <v/>
      </c>
      <c r="K874" s="70" t="str">
        <f>IF('Item Setup Form'!$AF878="Yes",'Item Setup Form'!V878,"")</f>
        <v/>
      </c>
      <c r="L874" s="70"/>
      <c r="M874" s="70" t="str">
        <f>IF('Item Setup Form'!$AF878="Yes",'Item Setup Form'!A878,"")</f>
        <v/>
      </c>
      <c r="N874" s="70"/>
      <c r="O874" s="70"/>
      <c r="P874" s="70"/>
      <c r="Q874" s="70"/>
      <c r="R874" s="70"/>
      <c r="S874" s="70"/>
      <c r="T874" s="70"/>
      <c r="U874" s="70"/>
      <c r="V874" s="70"/>
      <c r="W874" s="70"/>
      <c r="X874" s="70"/>
      <c r="Y874" s="70"/>
      <c r="Z874" s="70"/>
    </row>
    <row r="875" spans="1:26">
      <c r="A875" s="70" t="str">
        <f>IF('Item Setup Form'!$AF879="Yes",'Item Setup Form'!$E879,"")</f>
        <v/>
      </c>
      <c r="B875" s="70" t="str">
        <f>IF('Item Setup Form'!$AF879="Yes",'Item Setup Form'!D879,"")</f>
        <v/>
      </c>
      <c r="C875" s="81" t="str">
        <f>IF('Item Setup Form'!$AF879="Yes",'Item Setup Form'!L879,"")</f>
        <v/>
      </c>
      <c r="D875" s="81" t="str">
        <f>IF('Item Setup Form'!$AF879="Yes",'Item Setup Form'!M879,"")</f>
        <v/>
      </c>
      <c r="E875" s="70"/>
      <c r="F875" s="70" t="str">
        <f>IF('Item Setup Form'!$AF879="Yes",'Item Setup Form'!G879,"")</f>
        <v/>
      </c>
      <c r="G875" s="70" t="str">
        <f>IF('Item Setup Form'!$AF879="Yes",'Item Setup Form'!H879,"")</f>
        <v/>
      </c>
      <c r="H875" s="70" t="str">
        <f>IF('Item Setup Form'!$AF879="Yes",'Item Setup Form'!V879,"")</f>
        <v/>
      </c>
      <c r="I875" s="70"/>
      <c r="J875" s="70" t="str">
        <f>IF('Item Setup Form'!$AF879="Yes",'Item Setup Form'!U879,"")</f>
        <v/>
      </c>
      <c r="K875" s="70" t="str">
        <f>IF('Item Setup Form'!$AF879="Yes",'Item Setup Form'!V879,"")</f>
        <v/>
      </c>
      <c r="L875" s="70"/>
      <c r="M875" s="70" t="str">
        <f>IF('Item Setup Form'!$AF879="Yes",'Item Setup Form'!A879,"")</f>
        <v/>
      </c>
      <c r="N875" s="70"/>
      <c r="O875" s="70"/>
      <c r="P875" s="70"/>
      <c r="Q875" s="70"/>
      <c r="R875" s="70"/>
      <c r="S875" s="70"/>
      <c r="T875" s="70"/>
      <c r="U875" s="70"/>
      <c r="V875" s="70"/>
      <c r="W875" s="70"/>
      <c r="X875" s="70"/>
      <c r="Y875" s="70"/>
      <c r="Z875" s="70"/>
    </row>
    <row r="876" spans="1:26">
      <c r="A876" s="70" t="str">
        <f>IF('Item Setup Form'!$AF880="Yes",'Item Setup Form'!$E880,"")</f>
        <v/>
      </c>
      <c r="B876" s="70" t="str">
        <f>IF('Item Setup Form'!$AF880="Yes",'Item Setup Form'!D880,"")</f>
        <v/>
      </c>
      <c r="C876" s="81" t="str">
        <f>IF('Item Setup Form'!$AF880="Yes",'Item Setup Form'!L880,"")</f>
        <v/>
      </c>
      <c r="D876" s="81" t="str">
        <f>IF('Item Setup Form'!$AF880="Yes",'Item Setup Form'!M880,"")</f>
        <v/>
      </c>
      <c r="E876" s="70"/>
      <c r="F876" s="70" t="str">
        <f>IF('Item Setup Form'!$AF880="Yes",'Item Setup Form'!G880,"")</f>
        <v/>
      </c>
      <c r="G876" s="70" t="str">
        <f>IF('Item Setup Form'!$AF880="Yes",'Item Setup Form'!H880,"")</f>
        <v/>
      </c>
      <c r="H876" s="70" t="str">
        <f>IF('Item Setup Form'!$AF880="Yes",'Item Setup Form'!V880,"")</f>
        <v/>
      </c>
      <c r="I876" s="70"/>
      <c r="J876" s="70" t="str">
        <f>IF('Item Setup Form'!$AF880="Yes",'Item Setup Form'!U880,"")</f>
        <v/>
      </c>
      <c r="K876" s="70" t="str">
        <f>IF('Item Setup Form'!$AF880="Yes",'Item Setup Form'!V880,"")</f>
        <v/>
      </c>
      <c r="L876" s="70"/>
      <c r="M876" s="70" t="str">
        <f>IF('Item Setup Form'!$AF880="Yes",'Item Setup Form'!A880,"")</f>
        <v/>
      </c>
      <c r="N876" s="70"/>
      <c r="O876" s="70"/>
      <c r="P876" s="70"/>
      <c r="Q876" s="70"/>
      <c r="R876" s="70"/>
      <c r="S876" s="70"/>
      <c r="T876" s="70"/>
      <c r="U876" s="70"/>
      <c r="V876" s="70"/>
      <c r="W876" s="70"/>
      <c r="X876" s="70"/>
      <c r="Y876" s="70"/>
      <c r="Z876" s="70"/>
    </row>
    <row r="877" spans="1:26">
      <c r="A877" s="70" t="str">
        <f>IF('Item Setup Form'!$AF881="Yes",'Item Setup Form'!$E881,"")</f>
        <v/>
      </c>
      <c r="B877" s="70" t="str">
        <f>IF('Item Setup Form'!$AF881="Yes",'Item Setup Form'!D881,"")</f>
        <v/>
      </c>
      <c r="C877" s="81" t="str">
        <f>IF('Item Setup Form'!$AF881="Yes",'Item Setup Form'!L881,"")</f>
        <v/>
      </c>
      <c r="D877" s="81" t="str">
        <f>IF('Item Setup Form'!$AF881="Yes",'Item Setup Form'!M881,"")</f>
        <v/>
      </c>
      <c r="E877" s="70"/>
      <c r="F877" s="70" t="str">
        <f>IF('Item Setup Form'!$AF881="Yes",'Item Setup Form'!G881,"")</f>
        <v/>
      </c>
      <c r="G877" s="70" t="str">
        <f>IF('Item Setup Form'!$AF881="Yes",'Item Setup Form'!H881,"")</f>
        <v/>
      </c>
      <c r="H877" s="70" t="str">
        <f>IF('Item Setup Form'!$AF881="Yes",'Item Setup Form'!V881,"")</f>
        <v/>
      </c>
      <c r="I877" s="70"/>
      <c r="J877" s="70" t="str">
        <f>IF('Item Setup Form'!$AF881="Yes",'Item Setup Form'!U881,"")</f>
        <v/>
      </c>
      <c r="K877" s="70" t="str">
        <f>IF('Item Setup Form'!$AF881="Yes",'Item Setup Form'!V881,"")</f>
        <v/>
      </c>
      <c r="L877" s="70"/>
      <c r="M877" s="70" t="str">
        <f>IF('Item Setup Form'!$AF881="Yes",'Item Setup Form'!A881,"")</f>
        <v/>
      </c>
      <c r="N877" s="70"/>
      <c r="O877" s="70"/>
      <c r="P877" s="70"/>
      <c r="Q877" s="70"/>
      <c r="R877" s="70"/>
      <c r="S877" s="70"/>
      <c r="T877" s="70"/>
      <c r="U877" s="70"/>
      <c r="V877" s="70"/>
      <c r="W877" s="70"/>
      <c r="X877" s="70"/>
      <c r="Y877" s="70"/>
      <c r="Z877" s="70"/>
    </row>
    <row r="878" spans="1:26">
      <c r="A878" s="70" t="str">
        <f>IF('Item Setup Form'!$AF882="Yes",'Item Setup Form'!$E882,"")</f>
        <v/>
      </c>
      <c r="B878" s="70" t="str">
        <f>IF('Item Setup Form'!$AF882="Yes",'Item Setup Form'!D882,"")</f>
        <v/>
      </c>
      <c r="C878" s="81" t="str">
        <f>IF('Item Setup Form'!$AF882="Yes",'Item Setup Form'!L882,"")</f>
        <v/>
      </c>
      <c r="D878" s="81" t="str">
        <f>IF('Item Setup Form'!$AF882="Yes",'Item Setup Form'!M882,"")</f>
        <v/>
      </c>
      <c r="E878" s="70"/>
      <c r="F878" s="70" t="str">
        <f>IF('Item Setup Form'!$AF882="Yes",'Item Setup Form'!G882,"")</f>
        <v/>
      </c>
      <c r="G878" s="70" t="str">
        <f>IF('Item Setup Form'!$AF882="Yes",'Item Setup Form'!H882,"")</f>
        <v/>
      </c>
      <c r="H878" s="70" t="str">
        <f>IF('Item Setup Form'!$AF882="Yes",'Item Setup Form'!V882,"")</f>
        <v/>
      </c>
      <c r="I878" s="70"/>
      <c r="J878" s="70" t="str">
        <f>IF('Item Setup Form'!$AF882="Yes",'Item Setup Form'!U882,"")</f>
        <v/>
      </c>
      <c r="K878" s="70" t="str">
        <f>IF('Item Setup Form'!$AF882="Yes",'Item Setup Form'!V882,"")</f>
        <v/>
      </c>
      <c r="L878" s="70"/>
      <c r="M878" s="70" t="str">
        <f>IF('Item Setup Form'!$AF882="Yes",'Item Setup Form'!A882,"")</f>
        <v/>
      </c>
      <c r="N878" s="70"/>
      <c r="O878" s="70"/>
      <c r="P878" s="70"/>
      <c r="Q878" s="70"/>
      <c r="R878" s="70"/>
      <c r="S878" s="70"/>
      <c r="T878" s="70"/>
      <c r="U878" s="70"/>
      <c r="V878" s="70"/>
      <c r="W878" s="70"/>
      <c r="X878" s="70"/>
      <c r="Y878" s="70"/>
      <c r="Z878" s="70"/>
    </row>
    <row r="879" spans="1:26">
      <c r="A879" s="70" t="str">
        <f>IF('Item Setup Form'!$AF883="Yes",'Item Setup Form'!$E883,"")</f>
        <v/>
      </c>
      <c r="B879" s="70" t="str">
        <f>IF('Item Setup Form'!$AF883="Yes",'Item Setup Form'!D883,"")</f>
        <v/>
      </c>
      <c r="C879" s="81" t="str">
        <f>IF('Item Setup Form'!$AF883="Yes",'Item Setup Form'!L883,"")</f>
        <v/>
      </c>
      <c r="D879" s="81" t="str">
        <f>IF('Item Setup Form'!$AF883="Yes",'Item Setup Form'!M883,"")</f>
        <v/>
      </c>
      <c r="E879" s="70"/>
      <c r="F879" s="70" t="str">
        <f>IF('Item Setup Form'!$AF883="Yes",'Item Setup Form'!G883,"")</f>
        <v/>
      </c>
      <c r="G879" s="70" t="str">
        <f>IF('Item Setup Form'!$AF883="Yes",'Item Setup Form'!H883,"")</f>
        <v/>
      </c>
      <c r="H879" s="70" t="str">
        <f>IF('Item Setup Form'!$AF883="Yes",'Item Setup Form'!V883,"")</f>
        <v/>
      </c>
      <c r="I879" s="70"/>
      <c r="J879" s="70" t="str">
        <f>IF('Item Setup Form'!$AF883="Yes",'Item Setup Form'!U883,"")</f>
        <v/>
      </c>
      <c r="K879" s="70" t="str">
        <f>IF('Item Setup Form'!$AF883="Yes",'Item Setup Form'!V883,"")</f>
        <v/>
      </c>
      <c r="L879" s="70"/>
      <c r="M879" s="70" t="str">
        <f>IF('Item Setup Form'!$AF883="Yes",'Item Setup Form'!A883,"")</f>
        <v/>
      </c>
      <c r="N879" s="70"/>
      <c r="O879" s="70"/>
      <c r="P879" s="70"/>
      <c r="Q879" s="70"/>
      <c r="R879" s="70"/>
      <c r="S879" s="70"/>
      <c r="T879" s="70"/>
      <c r="U879" s="70"/>
      <c r="V879" s="70"/>
      <c r="W879" s="70"/>
      <c r="X879" s="70"/>
      <c r="Y879" s="70"/>
      <c r="Z879" s="70"/>
    </row>
    <row r="880" spans="1:26">
      <c r="A880" s="70" t="str">
        <f>IF('Item Setup Form'!$AF884="Yes",'Item Setup Form'!$E884,"")</f>
        <v/>
      </c>
      <c r="B880" s="70" t="str">
        <f>IF('Item Setup Form'!$AF884="Yes",'Item Setup Form'!D884,"")</f>
        <v/>
      </c>
      <c r="C880" s="81" t="str">
        <f>IF('Item Setup Form'!$AF884="Yes",'Item Setup Form'!L884,"")</f>
        <v/>
      </c>
      <c r="D880" s="81" t="str">
        <f>IF('Item Setup Form'!$AF884="Yes",'Item Setup Form'!M884,"")</f>
        <v/>
      </c>
      <c r="E880" s="70"/>
      <c r="F880" s="70" t="str">
        <f>IF('Item Setup Form'!$AF884="Yes",'Item Setup Form'!G884,"")</f>
        <v/>
      </c>
      <c r="G880" s="70" t="str">
        <f>IF('Item Setup Form'!$AF884="Yes",'Item Setup Form'!H884,"")</f>
        <v/>
      </c>
      <c r="H880" s="70" t="str">
        <f>IF('Item Setup Form'!$AF884="Yes",'Item Setup Form'!V884,"")</f>
        <v/>
      </c>
      <c r="I880" s="70"/>
      <c r="J880" s="70" t="str">
        <f>IF('Item Setup Form'!$AF884="Yes",'Item Setup Form'!U884,"")</f>
        <v/>
      </c>
      <c r="K880" s="70" t="str">
        <f>IF('Item Setup Form'!$AF884="Yes",'Item Setup Form'!V884,"")</f>
        <v/>
      </c>
      <c r="L880" s="70"/>
      <c r="M880" s="70" t="str">
        <f>IF('Item Setup Form'!$AF884="Yes",'Item Setup Form'!A884,"")</f>
        <v/>
      </c>
      <c r="N880" s="70"/>
      <c r="O880" s="70"/>
      <c r="P880" s="70"/>
      <c r="Q880" s="70"/>
      <c r="R880" s="70"/>
      <c r="S880" s="70"/>
      <c r="T880" s="70"/>
      <c r="U880" s="70"/>
      <c r="V880" s="70"/>
      <c r="W880" s="70"/>
      <c r="X880" s="70"/>
      <c r="Y880" s="70"/>
      <c r="Z880" s="70"/>
    </row>
    <row r="881" spans="1:26">
      <c r="A881" s="70" t="str">
        <f>IF('Item Setup Form'!$AF885="Yes",'Item Setup Form'!$E885,"")</f>
        <v/>
      </c>
      <c r="B881" s="70" t="str">
        <f>IF('Item Setup Form'!$AF885="Yes",'Item Setup Form'!D885,"")</f>
        <v/>
      </c>
      <c r="C881" s="81" t="str">
        <f>IF('Item Setup Form'!$AF885="Yes",'Item Setup Form'!L885,"")</f>
        <v/>
      </c>
      <c r="D881" s="81" t="str">
        <f>IF('Item Setup Form'!$AF885="Yes",'Item Setup Form'!M885,"")</f>
        <v/>
      </c>
      <c r="E881" s="70"/>
      <c r="F881" s="70" t="str">
        <f>IF('Item Setup Form'!$AF885="Yes",'Item Setup Form'!G885,"")</f>
        <v/>
      </c>
      <c r="G881" s="70" t="str">
        <f>IF('Item Setup Form'!$AF885="Yes",'Item Setup Form'!H885,"")</f>
        <v/>
      </c>
      <c r="H881" s="70" t="str">
        <f>IF('Item Setup Form'!$AF885="Yes",'Item Setup Form'!V885,"")</f>
        <v/>
      </c>
      <c r="I881" s="70"/>
      <c r="J881" s="70" t="str">
        <f>IF('Item Setup Form'!$AF885="Yes",'Item Setup Form'!U885,"")</f>
        <v/>
      </c>
      <c r="K881" s="70" t="str">
        <f>IF('Item Setup Form'!$AF885="Yes",'Item Setup Form'!V885,"")</f>
        <v/>
      </c>
      <c r="L881" s="70"/>
      <c r="M881" s="70" t="str">
        <f>IF('Item Setup Form'!$AF885="Yes",'Item Setup Form'!A885,"")</f>
        <v/>
      </c>
      <c r="N881" s="70"/>
      <c r="O881" s="70"/>
      <c r="P881" s="70"/>
      <c r="Q881" s="70"/>
      <c r="R881" s="70"/>
      <c r="S881" s="70"/>
      <c r="T881" s="70"/>
      <c r="U881" s="70"/>
      <c r="V881" s="70"/>
      <c r="W881" s="70"/>
      <c r="X881" s="70"/>
      <c r="Y881" s="70"/>
      <c r="Z881" s="70"/>
    </row>
    <row r="882" spans="1:26">
      <c r="A882" s="70" t="str">
        <f>IF('Item Setup Form'!$AF886="Yes",'Item Setup Form'!$E886,"")</f>
        <v/>
      </c>
      <c r="B882" s="70" t="str">
        <f>IF('Item Setup Form'!$AF886="Yes",'Item Setup Form'!D886,"")</f>
        <v/>
      </c>
      <c r="C882" s="81" t="str">
        <f>IF('Item Setup Form'!$AF886="Yes",'Item Setup Form'!L886,"")</f>
        <v/>
      </c>
      <c r="D882" s="81" t="str">
        <f>IF('Item Setup Form'!$AF886="Yes",'Item Setup Form'!M886,"")</f>
        <v/>
      </c>
      <c r="E882" s="70"/>
      <c r="F882" s="70" t="str">
        <f>IF('Item Setup Form'!$AF886="Yes",'Item Setup Form'!G886,"")</f>
        <v/>
      </c>
      <c r="G882" s="70" t="str">
        <f>IF('Item Setup Form'!$AF886="Yes",'Item Setup Form'!H886,"")</f>
        <v/>
      </c>
      <c r="H882" s="70" t="str">
        <f>IF('Item Setup Form'!$AF886="Yes",'Item Setup Form'!V886,"")</f>
        <v/>
      </c>
      <c r="I882" s="70"/>
      <c r="J882" s="70" t="str">
        <f>IF('Item Setup Form'!$AF886="Yes",'Item Setup Form'!U886,"")</f>
        <v/>
      </c>
      <c r="K882" s="70" t="str">
        <f>IF('Item Setup Form'!$AF886="Yes",'Item Setup Form'!V886,"")</f>
        <v/>
      </c>
      <c r="L882" s="70"/>
      <c r="M882" s="70" t="str">
        <f>IF('Item Setup Form'!$AF886="Yes",'Item Setup Form'!A886,"")</f>
        <v/>
      </c>
      <c r="N882" s="70"/>
      <c r="O882" s="70"/>
      <c r="P882" s="70"/>
      <c r="Q882" s="70"/>
      <c r="R882" s="70"/>
      <c r="S882" s="70"/>
      <c r="T882" s="70"/>
      <c r="U882" s="70"/>
      <c r="V882" s="70"/>
      <c r="W882" s="70"/>
      <c r="X882" s="70"/>
      <c r="Y882" s="70"/>
      <c r="Z882" s="70"/>
    </row>
    <row r="883" spans="1:26">
      <c r="A883" s="70" t="str">
        <f>IF('Item Setup Form'!$AF887="Yes",'Item Setup Form'!$E887,"")</f>
        <v/>
      </c>
      <c r="B883" s="70" t="str">
        <f>IF('Item Setup Form'!$AF887="Yes",'Item Setup Form'!D887,"")</f>
        <v/>
      </c>
      <c r="C883" s="81" t="str">
        <f>IF('Item Setup Form'!$AF887="Yes",'Item Setup Form'!L887,"")</f>
        <v/>
      </c>
      <c r="D883" s="81" t="str">
        <f>IF('Item Setup Form'!$AF887="Yes",'Item Setup Form'!M887,"")</f>
        <v/>
      </c>
      <c r="E883" s="70"/>
      <c r="F883" s="70" t="str">
        <f>IF('Item Setup Form'!$AF887="Yes",'Item Setup Form'!G887,"")</f>
        <v/>
      </c>
      <c r="G883" s="70" t="str">
        <f>IF('Item Setup Form'!$AF887="Yes",'Item Setup Form'!H887,"")</f>
        <v/>
      </c>
      <c r="H883" s="70" t="str">
        <f>IF('Item Setup Form'!$AF887="Yes",'Item Setup Form'!V887,"")</f>
        <v/>
      </c>
      <c r="I883" s="70"/>
      <c r="J883" s="70" t="str">
        <f>IF('Item Setup Form'!$AF887="Yes",'Item Setup Form'!U887,"")</f>
        <v/>
      </c>
      <c r="K883" s="70" t="str">
        <f>IF('Item Setup Form'!$AF887="Yes",'Item Setup Form'!V887,"")</f>
        <v/>
      </c>
      <c r="L883" s="70"/>
      <c r="M883" s="70" t="str">
        <f>IF('Item Setup Form'!$AF887="Yes",'Item Setup Form'!A887,"")</f>
        <v/>
      </c>
      <c r="N883" s="70"/>
      <c r="O883" s="70"/>
      <c r="P883" s="70"/>
      <c r="Q883" s="70"/>
      <c r="R883" s="70"/>
      <c r="S883" s="70"/>
      <c r="T883" s="70"/>
      <c r="U883" s="70"/>
      <c r="V883" s="70"/>
      <c r="W883" s="70"/>
      <c r="X883" s="70"/>
      <c r="Y883" s="70"/>
      <c r="Z883" s="70"/>
    </row>
    <row r="884" spans="1:26">
      <c r="A884" s="70" t="str">
        <f>IF('Item Setup Form'!$AF888="Yes",'Item Setup Form'!$E888,"")</f>
        <v/>
      </c>
      <c r="B884" s="70" t="str">
        <f>IF('Item Setup Form'!$AF888="Yes",'Item Setup Form'!D888,"")</f>
        <v/>
      </c>
      <c r="C884" s="81" t="str">
        <f>IF('Item Setup Form'!$AF888="Yes",'Item Setup Form'!L888,"")</f>
        <v/>
      </c>
      <c r="D884" s="81" t="str">
        <f>IF('Item Setup Form'!$AF888="Yes",'Item Setup Form'!M888,"")</f>
        <v/>
      </c>
      <c r="E884" s="70"/>
      <c r="F884" s="70" t="str">
        <f>IF('Item Setup Form'!$AF888="Yes",'Item Setup Form'!G888,"")</f>
        <v/>
      </c>
      <c r="G884" s="70" t="str">
        <f>IF('Item Setup Form'!$AF888="Yes",'Item Setup Form'!H888,"")</f>
        <v/>
      </c>
      <c r="H884" s="70" t="str">
        <f>IF('Item Setup Form'!$AF888="Yes",'Item Setup Form'!V888,"")</f>
        <v/>
      </c>
      <c r="I884" s="70"/>
      <c r="J884" s="70" t="str">
        <f>IF('Item Setup Form'!$AF888="Yes",'Item Setup Form'!U888,"")</f>
        <v/>
      </c>
      <c r="K884" s="70" t="str">
        <f>IF('Item Setup Form'!$AF888="Yes",'Item Setup Form'!V888,"")</f>
        <v/>
      </c>
      <c r="L884" s="70"/>
      <c r="M884" s="70" t="str">
        <f>IF('Item Setup Form'!$AF888="Yes",'Item Setup Form'!A888,"")</f>
        <v/>
      </c>
      <c r="N884" s="70"/>
      <c r="O884" s="70"/>
      <c r="P884" s="70"/>
      <c r="Q884" s="70"/>
      <c r="R884" s="70"/>
      <c r="S884" s="70"/>
      <c r="T884" s="70"/>
      <c r="U884" s="70"/>
      <c r="V884" s="70"/>
      <c r="W884" s="70"/>
      <c r="X884" s="70"/>
      <c r="Y884" s="70"/>
      <c r="Z884" s="70"/>
    </row>
    <row r="885" spans="1:26">
      <c r="A885" s="70" t="str">
        <f>IF('Item Setup Form'!$AF889="Yes",'Item Setup Form'!$E889,"")</f>
        <v/>
      </c>
      <c r="B885" s="70" t="str">
        <f>IF('Item Setup Form'!$AF889="Yes",'Item Setup Form'!D889,"")</f>
        <v/>
      </c>
      <c r="C885" s="81" t="str">
        <f>IF('Item Setup Form'!$AF889="Yes",'Item Setup Form'!L889,"")</f>
        <v/>
      </c>
      <c r="D885" s="81" t="str">
        <f>IF('Item Setup Form'!$AF889="Yes",'Item Setup Form'!M889,"")</f>
        <v/>
      </c>
      <c r="E885" s="70"/>
      <c r="F885" s="70" t="str">
        <f>IF('Item Setup Form'!$AF889="Yes",'Item Setup Form'!G889,"")</f>
        <v/>
      </c>
      <c r="G885" s="70" t="str">
        <f>IF('Item Setup Form'!$AF889="Yes",'Item Setup Form'!H889,"")</f>
        <v/>
      </c>
      <c r="H885" s="70" t="str">
        <f>IF('Item Setup Form'!$AF889="Yes",'Item Setup Form'!V889,"")</f>
        <v/>
      </c>
      <c r="I885" s="70"/>
      <c r="J885" s="70" t="str">
        <f>IF('Item Setup Form'!$AF889="Yes",'Item Setup Form'!U889,"")</f>
        <v/>
      </c>
      <c r="K885" s="70" t="str">
        <f>IF('Item Setup Form'!$AF889="Yes",'Item Setup Form'!V889,"")</f>
        <v/>
      </c>
      <c r="L885" s="70"/>
      <c r="M885" s="70" t="str">
        <f>IF('Item Setup Form'!$AF889="Yes",'Item Setup Form'!A889,"")</f>
        <v/>
      </c>
      <c r="N885" s="70"/>
      <c r="O885" s="70"/>
      <c r="P885" s="70"/>
      <c r="Q885" s="70"/>
      <c r="R885" s="70"/>
      <c r="S885" s="70"/>
      <c r="T885" s="70"/>
      <c r="U885" s="70"/>
      <c r="V885" s="70"/>
      <c r="W885" s="70"/>
      <c r="X885" s="70"/>
      <c r="Y885" s="70"/>
      <c r="Z885" s="70"/>
    </row>
    <row r="886" spans="1:26">
      <c r="A886" s="70" t="str">
        <f>IF('Item Setup Form'!$AF890="Yes",'Item Setup Form'!$E890,"")</f>
        <v/>
      </c>
      <c r="B886" s="70" t="str">
        <f>IF('Item Setup Form'!$AF890="Yes",'Item Setup Form'!D890,"")</f>
        <v/>
      </c>
      <c r="C886" s="81" t="str">
        <f>IF('Item Setup Form'!$AF890="Yes",'Item Setup Form'!L890,"")</f>
        <v/>
      </c>
      <c r="D886" s="81" t="str">
        <f>IF('Item Setup Form'!$AF890="Yes",'Item Setup Form'!M890,"")</f>
        <v/>
      </c>
      <c r="E886" s="70"/>
      <c r="F886" s="70" t="str">
        <f>IF('Item Setup Form'!$AF890="Yes",'Item Setup Form'!G890,"")</f>
        <v/>
      </c>
      <c r="G886" s="70" t="str">
        <f>IF('Item Setup Form'!$AF890="Yes",'Item Setup Form'!H890,"")</f>
        <v/>
      </c>
      <c r="H886" s="70" t="str">
        <f>IF('Item Setup Form'!$AF890="Yes",'Item Setup Form'!V890,"")</f>
        <v/>
      </c>
      <c r="I886" s="70"/>
      <c r="J886" s="70" t="str">
        <f>IF('Item Setup Form'!$AF890="Yes",'Item Setup Form'!U890,"")</f>
        <v/>
      </c>
      <c r="K886" s="70" t="str">
        <f>IF('Item Setup Form'!$AF890="Yes",'Item Setup Form'!V890,"")</f>
        <v/>
      </c>
      <c r="L886" s="70"/>
      <c r="M886" s="70" t="str">
        <f>IF('Item Setup Form'!$AF890="Yes",'Item Setup Form'!A890,"")</f>
        <v/>
      </c>
      <c r="N886" s="70"/>
      <c r="O886" s="70"/>
      <c r="P886" s="70"/>
      <c r="Q886" s="70"/>
      <c r="R886" s="70"/>
      <c r="S886" s="70"/>
      <c r="T886" s="70"/>
      <c r="U886" s="70"/>
      <c r="V886" s="70"/>
      <c r="W886" s="70"/>
      <c r="X886" s="70"/>
      <c r="Y886" s="70"/>
      <c r="Z886" s="70"/>
    </row>
    <row r="887" spans="1:26">
      <c r="A887" s="70" t="str">
        <f>IF('Item Setup Form'!$AF891="Yes",'Item Setup Form'!$E891,"")</f>
        <v/>
      </c>
      <c r="B887" s="70" t="str">
        <f>IF('Item Setup Form'!$AF891="Yes",'Item Setup Form'!D891,"")</f>
        <v/>
      </c>
      <c r="C887" s="81" t="str">
        <f>IF('Item Setup Form'!$AF891="Yes",'Item Setup Form'!L891,"")</f>
        <v/>
      </c>
      <c r="D887" s="81" t="str">
        <f>IF('Item Setup Form'!$AF891="Yes",'Item Setup Form'!M891,"")</f>
        <v/>
      </c>
      <c r="E887" s="70"/>
      <c r="F887" s="70" t="str">
        <f>IF('Item Setup Form'!$AF891="Yes",'Item Setup Form'!G891,"")</f>
        <v/>
      </c>
      <c r="G887" s="70" t="str">
        <f>IF('Item Setup Form'!$AF891="Yes",'Item Setup Form'!H891,"")</f>
        <v/>
      </c>
      <c r="H887" s="70" t="str">
        <f>IF('Item Setup Form'!$AF891="Yes",'Item Setup Form'!V891,"")</f>
        <v/>
      </c>
      <c r="I887" s="70"/>
      <c r="J887" s="70" t="str">
        <f>IF('Item Setup Form'!$AF891="Yes",'Item Setup Form'!U891,"")</f>
        <v/>
      </c>
      <c r="K887" s="70" t="str">
        <f>IF('Item Setup Form'!$AF891="Yes",'Item Setup Form'!V891,"")</f>
        <v/>
      </c>
      <c r="L887" s="70"/>
      <c r="M887" s="70" t="str">
        <f>IF('Item Setup Form'!$AF891="Yes",'Item Setup Form'!A891,"")</f>
        <v/>
      </c>
      <c r="N887" s="70"/>
      <c r="O887" s="70"/>
      <c r="P887" s="70"/>
      <c r="Q887" s="70"/>
      <c r="R887" s="70"/>
      <c r="S887" s="70"/>
      <c r="T887" s="70"/>
      <c r="U887" s="70"/>
      <c r="V887" s="70"/>
      <c r="W887" s="70"/>
      <c r="X887" s="70"/>
      <c r="Y887" s="70"/>
      <c r="Z887" s="70"/>
    </row>
    <row r="888" spans="1:26">
      <c r="A888" s="70" t="str">
        <f>IF('Item Setup Form'!$AF892="Yes",'Item Setup Form'!$E892,"")</f>
        <v/>
      </c>
      <c r="B888" s="70" t="str">
        <f>IF('Item Setup Form'!$AF892="Yes",'Item Setup Form'!D892,"")</f>
        <v/>
      </c>
      <c r="C888" s="81" t="str">
        <f>IF('Item Setup Form'!$AF892="Yes",'Item Setup Form'!L892,"")</f>
        <v/>
      </c>
      <c r="D888" s="81" t="str">
        <f>IF('Item Setup Form'!$AF892="Yes",'Item Setup Form'!M892,"")</f>
        <v/>
      </c>
      <c r="E888" s="70"/>
      <c r="F888" s="70" t="str">
        <f>IF('Item Setup Form'!$AF892="Yes",'Item Setup Form'!G892,"")</f>
        <v/>
      </c>
      <c r="G888" s="70" t="str">
        <f>IF('Item Setup Form'!$AF892="Yes",'Item Setup Form'!H892,"")</f>
        <v/>
      </c>
      <c r="H888" s="70" t="str">
        <f>IF('Item Setup Form'!$AF892="Yes",'Item Setup Form'!V892,"")</f>
        <v/>
      </c>
      <c r="I888" s="70"/>
      <c r="J888" s="70" t="str">
        <f>IF('Item Setup Form'!$AF892="Yes",'Item Setup Form'!U892,"")</f>
        <v/>
      </c>
      <c r="K888" s="70" t="str">
        <f>IF('Item Setup Form'!$AF892="Yes",'Item Setup Form'!V892,"")</f>
        <v/>
      </c>
      <c r="L888" s="70"/>
      <c r="M888" s="70" t="str">
        <f>IF('Item Setup Form'!$AF892="Yes",'Item Setup Form'!A892,"")</f>
        <v/>
      </c>
      <c r="N888" s="70"/>
      <c r="O888" s="70"/>
      <c r="P888" s="70"/>
      <c r="Q888" s="70"/>
      <c r="R888" s="70"/>
      <c r="S888" s="70"/>
      <c r="T888" s="70"/>
      <c r="U888" s="70"/>
      <c r="V888" s="70"/>
      <c r="W888" s="70"/>
      <c r="X888" s="70"/>
      <c r="Y888" s="70"/>
      <c r="Z888" s="70"/>
    </row>
    <row r="889" spans="1:26">
      <c r="A889" s="70" t="str">
        <f>IF('Item Setup Form'!$AF893="Yes",'Item Setup Form'!$E893,"")</f>
        <v/>
      </c>
      <c r="B889" s="70" t="str">
        <f>IF('Item Setup Form'!$AF893="Yes",'Item Setup Form'!D893,"")</f>
        <v/>
      </c>
      <c r="C889" s="81" t="str">
        <f>IF('Item Setup Form'!$AF893="Yes",'Item Setup Form'!L893,"")</f>
        <v/>
      </c>
      <c r="D889" s="81" t="str">
        <f>IF('Item Setup Form'!$AF893="Yes",'Item Setup Form'!M893,"")</f>
        <v/>
      </c>
      <c r="E889" s="70"/>
      <c r="F889" s="70" t="str">
        <f>IF('Item Setup Form'!$AF893="Yes",'Item Setup Form'!G893,"")</f>
        <v/>
      </c>
      <c r="G889" s="70" t="str">
        <f>IF('Item Setup Form'!$AF893="Yes",'Item Setup Form'!H893,"")</f>
        <v/>
      </c>
      <c r="H889" s="70" t="str">
        <f>IF('Item Setup Form'!$AF893="Yes",'Item Setup Form'!V893,"")</f>
        <v/>
      </c>
      <c r="I889" s="70"/>
      <c r="J889" s="70" t="str">
        <f>IF('Item Setup Form'!$AF893="Yes",'Item Setup Form'!U893,"")</f>
        <v/>
      </c>
      <c r="K889" s="70" t="str">
        <f>IF('Item Setup Form'!$AF893="Yes",'Item Setup Form'!V893,"")</f>
        <v/>
      </c>
      <c r="L889" s="70"/>
      <c r="M889" s="70" t="str">
        <f>IF('Item Setup Form'!$AF893="Yes",'Item Setup Form'!A893,"")</f>
        <v/>
      </c>
      <c r="N889" s="70"/>
      <c r="O889" s="70"/>
      <c r="P889" s="70"/>
      <c r="Q889" s="70"/>
      <c r="R889" s="70"/>
      <c r="S889" s="70"/>
      <c r="T889" s="70"/>
      <c r="U889" s="70"/>
      <c r="V889" s="70"/>
      <c r="W889" s="70"/>
      <c r="X889" s="70"/>
      <c r="Y889" s="70"/>
      <c r="Z889" s="70"/>
    </row>
    <row r="890" spans="1:26">
      <c r="A890" s="70" t="str">
        <f>IF('Item Setup Form'!$AF894="Yes",'Item Setup Form'!$E894,"")</f>
        <v/>
      </c>
      <c r="B890" s="70" t="str">
        <f>IF('Item Setup Form'!$AF894="Yes",'Item Setup Form'!D894,"")</f>
        <v/>
      </c>
      <c r="C890" s="81" t="str">
        <f>IF('Item Setup Form'!$AF894="Yes",'Item Setup Form'!L894,"")</f>
        <v/>
      </c>
      <c r="D890" s="81" t="str">
        <f>IF('Item Setup Form'!$AF894="Yes",'Item Setup Form'!M894,"")</f>
        <v/>
      </c>
      <c r="E890" s="70"/>
      <c r="F890" s="70" t="str">
        <f>IF('Item Setup Form'!$AF894="Yes",'Item Setup Form'!G894,"")</f>
        <v/>
      </c>
      <c r="G890" s="70" t="str">
        <f>IF('Item Setup Form'!$AF894="Yes",'Item Setup Form'!H894,"")</f>
        <v/>
      </c>
      <c r="H890" s="70" t="str">
        <f>IF('Item Setup Form'!$AF894="Yes",'Item Setup Form'!V894,"")</f>
        <v/>
      </c>
      <c r="I890" s="70"/>
      <c r="J890" s="70" t="str">
        <f>IF('Item Setup Form'!$AF894="Yes",'Item Setup Form'!U894,"")</f>
        <v/>
      </c>
      <c r="K890" s="70" t="str">
        <f>IF('Item Setup Form'!$AF894="Yes",'Item Setup Form'!V894,"")</f>
        <v/>
      </c>
      <c r="L890" s="70"/>
      <c r="M890" s="70" t="str">
        <f>IF('Item Setup Form'!$AF894="Yes",'Item Setup Form'!A894,"")</f>
        <v/>
      </c>
      <c r="N890" s="70"/>
      <c r="O890" s="70"/>
      <c r="P890" s="70"/>
      <c r="Q890" s="70"/>
      <c r="R890" s="70"/>
      <c r="S890" s="70"/>
      <c r="T890" s="70"/>
      <c r="U890" s="70"/>
      <c r="V890" s="70"/>
      <c r="W890" s="70"/>
      <c r="X890" s="70"/>
      <c r="Y890" s="70"/>
      <c r="Z890" s="70"/>
    </row>
    <row r="891" spans="1:26">
      <c r="A891" s="70" t="str">
        <f>IF('Item Setup Form'!$AF895="Yes",'Item Setup Form'!$E895,"")</f>
        <v/>
      </c>
      <c r="B891" s="70" t="str">
        <f>IF('Item Setup Form'!$AF895="Yes",'Item Setup Form'!D895,"")</f>
        <v/>
      </c>
      <c r="C891" s="81" t="str">
        <f>IF('Item Setup Form'!$AF895="Yes",'Item Setup Form'!L895,"")</f>
        <v/>
      </c>
      <c r="D891" s="81" t="str">
        <f>IF('Item Setup Form'!$AF895="Yes",'Item Setup Form'!M895,"")</f>
        <v/>
      </c>
      <c r="E891" s="70"/>
      <c r="F891" s="70" t="str">
        <f>IF('Item Setup Form'!$AF895="Yes",'Item Setup Form'!G895,"")</f>
        <v/>
      </c>
      <c r="G891" s="70" t="str">
        <f>IF('Item Setup Form'!$AF895="Yes",'Item Setup Form'!H895,"")</f>
        <v/>
      </c>
      <c r="H891" s="70" t="str">
        <f>IF('Item Setup Form'!$AF895="Yes",'Item Setup Form'!V895,"")</f>
        <v/>
      </c>
      <c r="I891" s="70"/>
      <c r="J891" s="70" t="str">
        <f>IF('Item Setup Form'!$AF895="Yes",'Item Setup Form'!U895,"")</f>
        <v/>
      </c>
      <c r="K891" s="70" t="str">
        <f>IF('Item Setup Form'!$AF895="Yes",'Item Setup Form'!V895,"")</f>
        <v/>
      </c>
      <c r="L891" s="70"/>
      <c r="M891" s="70" t="str">
        <f>IF('Item Setup Form'!$AF895="Yes",'Item Setup Form'!A895,"")</f>
        <v/>
      </c>
      <c r="N891" s="70"/>
      <c r="O891" s="70"/>
      <c r="P891" s="70"/>
      <c r="Q891" s="70"/>
      <c r="R891" s="70"/>
      <c r="S891" s="70"/>
      <c r="T891" s="70"/>
      <c r="U891" s="70"/>
      <c r="V891" s="70"/>
      <c r="W891" s="70"/>
      <c r="X891" s="70"/>
      <c r="Y891" s="70"/>
      <c r="Z891" s="70"/>
    </row>
    <row r="892" spans="1:26">
      <c r="A892" s="70" t="str">
        <f>IF('Item Setup Form'!$AF896="Yes",'Item Setup Form'!$E896,"")</f>
        <v/>
      </c>
      <c r="B892" s="70" t="str">
        <f>IF('Item Setup Form'!$AF896="Yes",'Item Setup Form'!D896,"")</f>
        <v/>
      </c>
      <c r="C892" s="81" t="str">
        <f>IF('Item Setup Form'!$AF896="Yes",'Item Setup Form'!L896,"")</f>
        <v/>
      </c>
      <c r="D892" s="81" t="str">
        <f>IF('Item Setup Form'!$AF896="Yes",'Item Setup Form'!M896,"")</f>
        <v/>
      </c>
      <c r="E892" s="70"/>
      <c r="F892" s="70" t="str">
        <f>IF('Item Setup Form'!$AF896="Yes",'Item Setup Form'!G896,"")</f>
        <v/>
      </c>
      <c r="G892" s="70" t="str">
        <f>IF('Item Setup Form'!$AF896="Yes",'Item Setup Form'!H896,"")</f>
        <v/>
      </c>
      <c r="H892" s="70" t="str">
        <f>IF('Item Setup Form'!$AF896="Yes",'Item Setup Form'!V896,"")</f>
        <v/>
      </c>
      <c r="I892" s="70"/>
      <c r="J892" s="70" t="str">
        <f>IF('Item Setup Form'!$AF896="Yes",'Item Setup Form'!U896,"")</f>
        <v/>
      </c>
      <c r="K892" s="70" t="str">
        <f>IF('Item Setup Form'!$AF896="Yes",'Item Setup Form'!V896,"")</f>
        <v/>
      </c>
      <c r="L892" s="70"/>
      <c r="M892" s="70" t="str">
        <f>IF('Item Setup Form'!$AF896="Yes",'Item Setup Form'!A896,"")</f>
        <v/>
      </c>
      <c r="N892" s="70"/>
      <c r="O892" s="70"/>
      <c r="P892" s="70"/>
      <c r="Q892" s="70"/>
      <c r="R892" s="70"/>
      <c r="S892" s="70"/>
      <c r="T892" s="70"/>
      <c r="U892" s="70"/>
      <c r="V892" s="70"/>
      <c r="W892" s="70"/>
      <c r="X892" s="70"/>
      <c r="Y892" s="70"/>
      <c r="Z892" s="70"/>
    </row>
    <row r="893" spans="1:26">
      <c r="A893" s="70" t="str">
        <f>IF('Item Setup Form'!$AF897="Yes",'Item Setup Form'!$E897,"")</f>
        <v/>
      </c>
      <c r="B893" s="70" t="str">
        <f>IF('Item Setup Form'!$AF897="Yes",'Item Setup Form'!D897,"")</f>
        <v/>
      </c>
      <c r="C893" s="81" t="str">
        <f>IF('Item Setup Form'!$AF897="Yes",'Item Setup Form'!L897,"")</f>
        <v/>
      </c>
      <c r="D893" s="81" t="str">
        <f>IF('Item Setup Form'!$AF897="Yes",'Item Setup Form'!M897,"")</f>
        <v/>
      </c>
      <c r="E893" s="70"/>
      <c r="F893" s="70" t="str">
        <f>IF('Item Setup Form'!$AF897="Yes",'Item Setup Form'!G897,"")</f>
        <v/>
      </c>
      <c r="G893" s="70" t="str">
        <f>IF('Item Setup Form'!$AF897="Yes",'Item Setup Form'!H897,"")</f>
        <v/>
      </c>
      <c r="H893" s="70" t="str">
        <f>IF('Item Setup Form'!$AF897="Yes",'Item Setup Form'!V897,"")</f>
        <v/>
      </c>
      <c r="I893" s="70"/>
      <c r="J893" s="70" t="str">
        <f>IF('Item Setup Form'!$AF897="Yes",'Item Setup Form'!U897,"")</f>
        <v/>
      </c>
      <c r="K893" s="70" t="str">
        <f>IF('Item Setup Form'!$AF897="Yes",'Item Setup Form'!V897,"")</f>
        <v/>
      </c>
      <c r="L893" s="70"/>
      <c r="M893" s="70" t="str">
        <f>IF('Item Setup Form'!$AF897="Yes",'Item Setup Form'!A897,"")</f>
        <v/>
      </c>
      <c r="N893" s="70"/>
      <c r="O893" s="70"/>
      <c r="P893" s="70"/>
      <c r="Q893" s="70"/>
      <c r="R893" s="70"/>
      <c r="S893" s="70"/>
      <c r="T893" s="70"/>
      <c r="U893" s="70"/>
      <c r="V893" s="70"/>
      <c r="W893" s="70"/>
      <c r="X893" s="70"/>
      <c r="Y893" s="70"/>
      <c r="Z893" s="70"/>
    </row>
    <row r="894" spans="1:26">
      <c r="A894" s="70" t="str">
        <f>IF('Item Setup Form'!$AF898="Yes",'Item Setup Form'!$E898,"")</f>
        <v/>
      </c>
      <c r="B894" s="70" t="str">
        <f>IF('Item Setup Form'!$AF898="Yes",'Item Setup Form'!D898,"")</f>
        <v/>
      </c>
      <c r="C894" s="81" t="str">
        <f>IF('Item Setup Form'!$AF898="Yes",'Item Setup Form'!L898,"")</f>
        <v/>
      </c>
      <c r="D894" s="81" t="str">
        <f>IF('Item Setup Form'!$AF898="Yes",'Item Setup Form'!M898,"")</f>
        <v/>
      </c>
      <c r="E894" s="70"/>
      <c r="F894" s="70" t="str">
        <f>IF('Item Setup Form'!$AF898="Yes",'Item Setup Form'!G898,"")</f>
        <v/>
      </c>
      <c r="G894" s="70" t="str">
        <f>IF('Item Setup Form'!$AF898="Yes",'Item Setup Form'!H898,"")</f>
        <v/>
      </c>
      <c r="H894" s="70" t="str">
        <f>IF('Item Setup Form'!$AF898="Yes",'Item Setup Form'!V898,"")</f>
        <v/>
      </c>
      <c r="I894" s="70"/>
      <c r="J894" s="70" t="str">
        <f>IF('Item Setup Form'!$AF898="Yes",'Item Setup Form'!U898,"")</f>
        <v/>
      </c>
      <c r="K894" s="70" t="str">
        <f>IF('Item Setup Form'!$AF898="Yes",'Item Setup Form'!V898,"")</f>
        <v/>
      </c>
      <c r="L894" s="70"/>
      <c r="M894" s="70" t="str">
        <f>IF('Item Setup Form'!$AF898="Yes",'Item Setup Form'!A898,"")</f>
        <v/>
      </c>
      <c r="N894" s="70"/>
      <c r="O894" s="70"/>
      <c r="P894" s="70"/>
      <c r="Q894" s="70"/>
      <c r="R894" s="70"/>
      <c r="S894" s="70"/>
      <c r="T894" s="70"/>
      <c r="U894" s="70"/>
      <c r="V894" s="70"/>
      <c r="W894" s="70"/>
      <c r="X894" s="70"/>
      <c r="Y894" s="70"/>
      <c r="Z894" s="70"/>
    </row>
    <row r="895" spans="1:26">
      <c r="A895" s="70" t="str">
        <f>IF('Item Setup Form'!$AF899="Yes",'Item Setup Form'!$E899,"")</f>
        <v/>
      </c>
      <c r="B895" s="70" t="str">
        <f>IF('Item Setup Form'!$AF899="Yes",'Item Setup Form'!D899,"")</f>
        <v/>
      </c>
      <c r="C895" s="81" t="str">
        <f>IF('Item Setup Form'!$AF899="Yes",'Item Setup Form'!L899,"")</f>
        <v/>
      </c>
      <c r="D895" s="81" t="str">
        <f>IF('Item Setup Form'!$AF899="Yes",'Item Setup Form'!M899,"")</f>
        <v/>
      </c>
      <c r="E895" s="70"/>
      <c r="F895" s="70" t="str">
        <f>IF('Item Setup Form'!$AF899="Yes",'Item Setup Form'!G899,"")</f>
        <v/>
      </c>
      <c r="G895" s="70" t="str">
        <f>IF('Item Setup Form'!$AF899="Yes",'Item Setup Form'!H899,"")</f>
        <v/>
      </c>
      <c r="H895" s="70" t="str">
        <f>IF('Item Setup Form'!$AF899="Yes",'Item Setup Form'!V899,"")</f>
        <v/>
      </c>
      <c r="I895" s="70"/>
      <c r="J895" s="70" t="str">
        <f>IF('Item Setup Form'!$AF899="Yes",'Item Setup Form'!U899,"")</f>
        <v/>
      </c>
      <c r="K895" s="70" t="str">
        <f>IF('Item Setup Form'!$AF899="Yes",'Item Setup Form'!V899,"")</f>
        <v/>
      </c>
      <c r="L895" s="70"/>
      <c r="M895" s="70" t="str">
        <f>IF('Item Setup Form'!$AF899="Yes",'Item Setup Form'!A899,"")</f>
        <v/>
      </c>
      <c r="N895" s="70"/>
      <c r="O895" s="70"/>
      <c r="P895" s="70"/>
      <c r="Q895" s="70"/>
      <c r="R895" s="70"/>
      <c r="S895" s="70"/>
      <c r="T895" s="70"/>
      <c r="U895" s="70"/>
      <c r="V895" s="70"/>
      <c r="W895" s="70"/>
      <c r="X895" s="70"/>
      <c r="Y895" s="70"/>
      <c r="Z895" s="70"/>
    </row>
    <row r="896" spans="1:26">
      <c r="A896" s="70" t="str">
        <f>IF('Item Setup Form'!$AF900="Yes",'Item Setup Form'!$E900,"")</f>
        <v/>
      </c>
      <c r="B896" s="70" t="str">
        <f>IF('Item Setup Form'!$AF900="Yes",'Item Setup Form'!D900,"")</f>
        <v/>
      </c>
      <c r="C896" s="81" t="str">
        <f>IF('Item Setup Form'!$AF900="Yes",'Item Setup Form'!L900,"")</f>
        <v/>
      </c>
      <c r="D896" s="81" t="str">
        <f>IF('Item Setup Form'!$AF900="Yes",'Item Setup Form'!M900,"")</f>
        <v/>
      </c>
      <c r="E896" s="70"/>
      <c r="F896" s="70" t="str">
        <f>IF('Item Setup Form'!$AF900="Yes",'Item Setup Form'!G900,"")</f>
        <v/>
      </c>
      <c r="G896" s="70" t="str">
        <f>IF('Item Setup Form'!$AF900="Yes",'Item Setup Form'!H900,"")</f>
        <v/>
      </c>
      <c r="H896" s="70" t="str">
        <f>IF('Item Setup Form'!$AF900="Yes",'Item Setup Form'!V900,"")</f>
        <v/>
      </c>
      <c r="I896" s="70"/>
      <c r="J896" s="70" t="str">
        <f>IF('Item Setup Form'!$AF900="Yes",'Item Setup Form'!U900,"")</f>
        <v/>
      </c>
      <c r="K896" s="70" t="str">
        <f>IF('Item Setup Form'!$AF900="Yes",'Item Setup Form'!V900,"")</f>
        <v/>
      </c>
      <c r="L896" s="70"/>
      <c r="M896" s="70" t="str">
        <f>IF('Item Setup Form'!$AF900="Yes",'Item Setup Form'!A900,"")</f>
        <v/>
      </c>
      <c r="N896" s="70"/>
      <c r="O896" s="70"/>
      <c r="P896" s="70"/>
      <c r="Q896" s="70"/>
      <c r="R896" s="70"/>
      <c r="S896" s="70"/>
      <c r="T896" s="70"/>
      <c r="U896" s="70"/>
      <c r="V896" s="70"/>
      <c r="W896" s="70"/>
      <c r="X896" s="70"/>
      <c r="Y896" s="70"/>
      <c r="Z896" s="70"/>
    </row>
    <row r="897" spans="1:26">
      <c r="A897" s="70" t="str">
        <f>IF('Item Setup Form'!$AF901="Yes",'Item Setup Form'!$E901,"")</f>
        <v/>
      </c>
      <c r="B897" s="70" t="str">
        <f>IF('Item Setup Form'!$AF901="Yes",'Item Setup Form'!D901,"")</f>
        <v/>
      </c>
      <c r="C897" s="81" t="str">
        <f>IF('Item Setup Form'!$AF901="Yes",'Item Setup Form'!L901,"")</f>
        <v/>
      </c>
      <c r="D897" s="81" t="str">
        <f>IF('Item Setup Form'!$AF901="Yes",'Item Setup Form'!M901,"")</f>
        <v/>
      </c>
      <c r="E897" s="70"/>
      <c r="F897" s="70" t="str">
        <f>IF('Item Setup Form'!$AF901="Yes",'Item Setup Form'!G901,"")</f>
        <v/>
      </c>
      <c r="G897" s="70" t="str">
        <f>IF('Item Setup Form'!$AF901="Yes",'Item Setup Form'!H901,"")</f>
        <v/>
      </c>
      <c r="H897" s="70" t="str">
        <f>IF('Item Setup Form'!$AF901="Yes",'Item Setup Form'!V901,"")</f>
        <v/>
      </c>
      <c r="I897" s="70"/>
      <c r="J897" s="70" t="str">
        <f>IF('Item Setup Form'!$AF901="Yes",'Item Setup Form'!U901,"")</f>
        <v/>
      </c>
      <c r="K897" s="70" t="str">
        <f>IF('Item Setup Form'!$AF901="Yes",'Item Setup Form'!V901,"")</f>
        <v/>
      </c>
      <c r="L897" s="70"/>
      <c r="M897" s="70" t="str">
        <f>IF('Item Setup Form'!$AF901="Yes",'Item Setup Form'!A901,"")</f>
        <v/>
      </c>
      <c r="N897" s="70"/>
      <c r="O897" s="70"/>
      <c r="P897" s="70"/>
      <c r="Q897" s="70"/>
      <c r="R897" s="70"/>
      <c r="S897" s="70"/>
      <c r="T897" s="70"/>
      <c r="U897" s="70"/>
      <c r="V897" s="70"/>
      <c r="W897" s="70"/>
      <c r="X897" s="70"/>
      <c r="Y897" s="70"/>
      <c r="Z897" s="70"/>
    </row>
    <row r="898" spans="1:26">
      <c r="A898" s="70" t="str">
        <f>IF('Item Setup Form'!$AF902="Yes",'Item Setup Form'!$E902,"")</f>
        <v/>
      </c>
      <c r="B898" s="70" t="str">
        <f>IF('Item Setup Form'!$AF902="Yes",'Item Setup Form'!D902,"")</f>
        <v/>
      </c>
      <c r="C898" s="81" t="str">
        <f>IF('Item Setup Form'!$AF902="Yes",'Item Setup Form'!L902,"")</f>
        <v/>
      </c>
      <c r="D898" s="81" t="str">
        <f>IF('Item Setup Form'!$AF902="Yes",'Item Setup Form'!M902,"")</f>
        <v/>
      </c>
      <c r="E898" s="70"/>
      <c r="F898" s="70" t="str">
        <f>IF('Item Setup Form'!$AF902="Yes",'Item Setup Form'!G902,"")</f>
        <v/>
      </c>
      <c r="G898" s="70" t="str">
        <f>IF('Item Setup Form'!$AF902="Yes",'Item Setup Form'!H902,"")</f>
        <v/>
      </c>
      <c r="H898" s="70" t="str">
        <f>IF('Item Setup Form'!$AF902="Yes",'Item Setup Form'!V902,"")</f>
        <v/>
      </c>
      <c r="I898" s="70"/>
      <c r="J898" s="70" t="str">
        <f>IF('Item Setup Form'!$AF902="Yes",'Item Setup Form'!U902,"")</f>
        <v/>
      </c>
      <c r="K898" s="70" t="str">
        <f>IF('Item Setup Form'!$AF902="Yes",'Item Setup Form'!V902,"")</f>
        <v/>
      </c>
      <c r="L898" s="70"/>
      <c r="M898" s="70" t="str">
        <f>IF('Item Setup Form'!$AF902="Yes",'Item Setup Form'!A902,"")</f>
        <v/>
      </c>
      <c r="N898" s="70"/>
      <c r="O898" s="70"/>
      <c r="P898" s="70"/>
      <c r="Q898" s="70"/>
      <c r="R898" s="70"/>
      <c r="S898" s="70"/>
      <c r="T898" s="70"/>
      <c r="U898" s="70"/>
      <c r="V898" s="70"/>
      <c r="W898" s="70"/>
      <c r="X898" s="70"/>
      <c r="Y898" s="70"/>
      <c r="Z898" s="70"/>
    </row>
    <row r="899" spans="1:26">
      <c r="A899" s="70" t="str">
        <f>IF('Item Setup Form'!$AF903="Yes",'Item Setup Form'!$E903,"")</f>
        <v/>
      </c>
      <c r="B899" s="70" t="str">
        <f>IF('Item Setup Form'!$AF903="Yes",'Item Setup Form'!D903,"")</f>
        <v/>
      </c>
      <c r="C899" s="81" t="str">
        <f>IF('Item Setup Form'!$AF903="Yes",'Item Setup Form'!L903,"")</f>
        <v/>
      </c>
      <c r="D899" s="81" t="str">
        <f>IF('Item Setup Form'!$AF903="Yes",'Item Setup Form'!M903,"")</f>
        <v/>
      </c>
      <c r="E899" s="70"/>
      <c r="F899" s="70" t="str">
        <f>IF('Item Setup Form'!$AF903="Yes",'Item Setup Form'!G903,"")</f>
        <v/>
      </c>
      <c r="G899" s="70" t="str">
        <f>IF('Item Setup Form'!$AF903="Yes",'Item Setup Form'!H903,"")</f>
        <v/>
      </c>
      <c r="H899" s="70" t="str">
        <f>IF('Item Setup Form'!$AF903="Yes",'Item Setup Form'!V903,"")</f>
        <v/>
      </c>
      <c r="I899" s="70"/>
      <c r="J899" s="70" t="str">
        <f>IF('Item Setup Form'!$AF903="Yes",'Item Setup Form'!U903,"")</f>
        <v/>
      </c>
      <c r="K899" s="70" t="str">
        <f>IF('Item Setup Form'!$AF903="Yes",'Item Setup Form'!V903,"")</f>
        <v/>
      </c>
      <c r="L899" s="70"/>
      <c r="M899" s="70" t="str">
        <f>IF('Item Setup Form'!$AF903="Yes",'Item Setup Form'!A903,"")</f>
        <v/>
      </c>
      <c r="N899" s="70"/>
      <c r="O899" s="70"/>
      <c r="P899" s="70"/>
      <c r="Q899" s="70"/>
      <c r="R899" s="70"/>
      <c r="S899" s="70"/>
      <c r="T899" s="70"/>
      <c r="U899" s="70"/>
      <c r="V899" s="70"/>
      <c r="W899" s="70"/>
      <c r="X899" s="70"/>
      <c r="Y899" s="70"/>
      <c r="Z899" s="70"/>
    </row>
    <row r="900" spans="1:26">
      <c r="A900" s="70" t="str">
        <f>IF('Item Setup Form'!$AF904="Yes",'Item Setup Form'!$E904,"")</f>
        <v/>
      </c>
      <c r="B900" s="70" t="str">
        <f>IF('Item Setup Form'!$AF904="Yes",'Item Setup Form'!D904,"")</f>
        <v/>
      </c>
      <c r="C900" s="81" t="str">
        <f>IF('Item Setup Form'!$AF904="Yes",'Item Setup Form'!L904,"")</f>
        <v/>
      </c>
      <c r="D900" s="81" t="str">
        <f>IF('Item Setup Form'!$AF904="Yes",'Item Setup Form'!M904,"")</f>
        <v/>
      </c>
      <c r="E900" s="70"/>
      <c r="F900" s="70" t="str">
        <f>IF('Item Setup Form'!$AF904="Yes",'Item Setup Form'!G904,"")</f>
        <v/>
      </c>
      <c r="G900" s="70" t="str">
        <f>IF('Item Setup Form'!$AF904="Yes",'Item Setup Form'!H904,"")</f>
        <v/>
      </c>
      <c r="H900" s="70" t="str">
        <f>IF('Item Setup Form'!$AF904="Yes",'Item Setup Form'!V904,"")</f>
        <v/>
      </c>
      <c r="I900" s="70"/>
      <c r="J900" s="70" t="str">
        <f>IF('Item Setup Form'!$AF904="Yes",'Item Setup Form'!U904,"")</f>
        <v/>
      </c>
      <c r="K900" s="70" t="str">
        <f>IF('Item Setup Form'!$AF904="Yes",'Item Setup Form'!V904,"")</f>
        <v/>
      </c>
      <c r="L900" s="70"/>
      <c r="M900" s="70" t="str">
        <f>IF('Item Setup Form'!$AF904="Yes",'Item Setup Form'!A904,"")</f>
        <v/>
      </c>
      <c r="N900" s="70"/>
      <c r="O900" s="70"/>
      <c r="P900" s="70"/>
      <c r="Q900" s="70"/>
      <c r="R900" s="70"/>
      <c r="S900" s="70"/>
      <c r="T900" s="70"/>
      <c r="U900" s="70"/>
      <c r="V900" s="70"/>
      <c r="W900" s="70"/>
      <c r="X900" s="70"/>
      <c r="Y900" s="70"/>
      <c r="Z900" s="70"/>
    </row>
    <row r="901" spans="1:26">
      <c r="A901" s="70" t="str">
        <f>IF('Item Setup Form'!$AF905="Yes",'Item Setup Form'!$E905,"")</f>
        <v/>
      </c>
      <c r="B901" s="70" t="str">
        <f>IF('Item Setup Form'!$AF905="Yes",'Item Setup Form'!D905,"")</f>
        <v/>
      </c>
      <c r="C901" s="81" t="str">
        <f>IF('Item Setup Form'!$AF905="Yes",'Item Setup Form'!L905,"")</f>
        <v/>
      </c>
      <c r="D901" s="81" t="str">
        <f>IF('Item Setup Form'!$AF905="Yes",'Item Setup Form'!M905,"")</f>
        <v/>
      </c>
      <c r="E901" s="70"/>
      <c r="F901" s="70" t="str">
        <f>IF('Item Setup Form'!$AF905="Yes",'Item Setup Form'!G905,"")</f>
        <v/>
      </c>
      <c r="G901" s="70" t="str">
        <f>IF('Item Setup Form'!$AF905="Yes",'Item Setup Form'!H905,"")</f>
        <v/>
      </c>
      <c r="H901" s="70" t="str">
        <f>IF('Item Setup Form'!$AF905="Yes",'Item Setup Form'!V905,"")</f>
        <v/>
      </c>
      <c r="I901" s="70"/>
      <c r="J901" s="70" t="str">
        <f>IF('Item Setup Form'!$AF905="Yes",'Item Setup Form'!U905,"")</f>
        <v/>
      </c>
      <c r="K901" s="70" t="str">
        <f>IF('Item Setup Form'!$AF905="Yes",'Item Setup Form'!V905,"")</f>
        <v/>
      </c>
      <c r="L901" s="70"/>
      <c r="M901" s="70" t="str">
        <f>IF('Item Setup Form'!$AF905="Yes",'Item Setup Form'!A905,"")</f>
        <v/>
      </c>
      <c r="N901" s="70"/>
      <c r="O901" s="70"/>
      <c r="P901" s="70"/>
      <c r="Q901" s="70"/>
      <c r="R901" s="70"/>
      <c r="S901" s="70"/>
      <c r="T901" s="70"/>
      <c r="U901" s="70"/>
      <c r="V901" s="70"/>
      <c r="W901" s="70"/>
      <c r="X901" s="70"/>
      <c r="Y901" s="70"/>
      <c r="Z901" s="70"/>
    </row>
    <row r="902" spans="1:26">
      <c r="A902" s="70" t="str">
        <f>IF('Item Setup Form'!$AF906="Yes",'Item Setup Form'!$E906,"")</f>
        <v/>
      </c>
      <c r="B902" s="70" t="str">
        <f>IF('Item Setup Form'!$AF906="Yes",'Item Setup Form'!D906,"")</f>
        <v/>
      </c>
      <c r="C902" s="81" t="str">
        <f>IF('Item Setup Form'!$AF906="Yes",'Item Setup Form'!L906,"")</f>
        <v/>
      </c>
      <c r="D902" s="81" t="str">
        <f>IF('Item Setup Form'!$AF906="Yes",'Item Setup Form'!M906,"")</f>
        <v/>
      </c>
      <c r="E902" s="70"/>
      <c r="F902" s="70" t="str">
        <f>IF('Item Setup Form'!$AF906="Yes",'Item Setup Form'!G906,"")</f>
        <v/>
      </c>
      <c r="G902" s="70" t="str">
        <f>IF('Item Setup Form'!$AF906="Yes",'Item Setup Form'!H906,"")</f>
        <v/>
      </c>
      <c r="H902" s="70" t="str">
        <f>IF('Item Setup Form'!$AF906="Yes",'Item Setup Form'!V906,"")</f>
        <v/>
      </c>
      <c r="I902" s="70"/>
      <c r="J902" s="70" t="str">
        <f>IF('Item Setup Form'!$AF906="Yes",'Item Setup Form'!U906,"")</f>
        <v/>
      </c>
      <c r="K902" s="70" t="str">
        <f>IF('Item Setup Form'!$AF906="Yes",'Item Setup Form'!V906,"")</f>
        <v/>
      </c>
      <c r="L902" s="70"/>
      <c r="M902" s="70" t="str">
        <f>IF('Item Setup Form'!$AF906="Yes",'Item Setup Form'!A906,"")</f>
        <v/>
      </c>
      <c r="N902" s="70"/>
      <c r="O902" s="70"/>
      <c r="P902" s="70"/>
      <c r="Q902" s="70"/>
      <c r="R902" s="70"/>
      <c r="S902" s="70"/>
      <c r="T902" s="70"/>
      <c r="U902" s="70"/>
      <c r="V902" s="70"/>
      <c r="W902" s="70"/>
      <c r="X902" s="70"/>
      <c r="Y902" s="70"/>
      <c r="Z902" s="70"/>
    </row>
    <row r="903" spans="1:26">
      <c r="A903" s="70" t="str">
        <f>IF('Item Setup Form'!$AF907="Yes",'Item Setup Form'!$E907,"")</f>
        <v/>
      </c>
      <c r="B903" s="70" t="str">
        <f>IF('Item Setup Form'!$AF907="Yes",'Item Setup Form'!D907,"")</f>
        <v/>
      </c>
      <c r="C903" s="81" t="str">
        <f>IF('Item Setup Form'!$AF907="Yes",'Item Setup Form'!L907,"")</f>
        <v/>
      </c>
      <c r="D903" s="81" t="str">
        <f>IF('Item Setup Form'!$AF907="Yes",'Item Setup Form'!M907,"")</f>
        <v/>
      </c>
      <c r="E903" s="70"/>
      <c r="F903" s="70" t="str">
        <f>IF('Item Setup Form'!$AF907="Yes",'Item Setup Form'!G907,"")</f>
        <v/>
      </c>
      <c r="G903" s="70" t="str">
        <f>IF('Item Setup Form'!$AF907="Yes",'Item Setup Form'!H907,"")</f>
        <v/>
      </c>
      <c r="H903" s="70" t="str">
        <f>IF('Item Setup Form'!$AF907="Yes",'Item Setup Form'!V907,"")</f>
        <v/>
      </c>
      <c r="I903" s="70"/>
      <c r="J903" s="70" t="str">
        <f>IF('Item Setup Form'!$AF907="Yes",'Item Setup Form'!U907,"")</f>
        <v/>
      </c>
      <c r="K903" s="70" t="str">
        <f>IF('Item Setup Form'!$AF907="Yes",'Item Setup Form'!V907,"")</f>
        <v/>
      </c>
      <c r="L903" s="70"/>
      <c r="M903" s="70" t="str">
        <f>IF('Item Setup Form'!$AF907="Yes",'Item Setup Form'!A907,"")</f>
        <v/>
      </c>
      <c r="N903" s="70"/>
      <c r="O903" s="70"/>
      <c r="P903" s="70"/>
      <c r="Q903" s="70"/>
      <c r="R903" s="70"/>
      <c r="S903" s="70"/>
      <c r="T903" s="70"/>
      <c r="U903" s="70"/>
      <c r="V903" s="70"/>
      <c r="W903" s="70"/>
      <c r="X903" s="70"/>
      <c r="Y903" s="70"/>
      <c r="Z903" s="70"/>
    </row>
    <row r="904" spans="1:26">
      <c r="A904" s="70" t="str">
        <f>IF('Item Setup Form'!$AF908="Yes",'Item Setup Form'!$E908,"")</f>
        <v/>
      </c>
      <c r="B904" s="70" t="str">
        <f>IF('Item Setup Form'!$AF908="Yes",'Item Setup Form'!D908,"")</f>
        <v/>
      </c>
      <c r="C904" s="81" t="str">
        <f>IF('Item Setup Form'!$AF908="Yes",'Item Setup Form'!L908,"")</f>
        <v/>
      </c>
      <c r="D904" s="81" t="str">
        <f>IF('Item Setup Form'!$AF908="Yes",'Item Setup Form'!M908,"")</f>
        <v/>
      </c>
      <c r="E904" s="70"/>
      <c r="F904" s="70" t="str">
        <f>IF('Item Setup Form'!$AF908="Yes",'Item Setup Form'!G908,"")</f>
        <v/>
      </c>
      <c r="G904" s="70" t="str">
        <f>IF('Item Setup Form'!$AF908="Yes",'Item Setup Form'!H908,"")</f>
        <v/>
      </c>
      <c r="H904" s="70" t="str">
        <f>IF('Item Setup Form'!$AF908="Yes",'Item Setup Form'!V908,"")</f>
        <v/>
      </c>
      <c r="I904" s="70"/>
      <c r="J904" s="70" t="str">
        <f>IF('Item Setup Form'!$AF908="Yes",'Item Setup Form'!U908,"")</f>
        <v/>
      </c>
      <c r="K904" s="70" t="str">
        <f>IF('Item Setup Form'!$AF908="Yes",'Item Setup Form'!V908,"")</f>
        <v/>
      </c>
      <c r="L904" s="70"/>
      <c r="M904" s="70" t="str">
        <f>IF('Item Setup Form'!$AF908="Yes",'Item Setup Form'!A908,"")</f>
        <v/>
      </c>
      <c r="N904" s="70"/>
      <c r="O904" s="70"/>
      <c r="P904" s="70"/>
      <c r="Q904" s="70"/>
      <c r="R904" s="70"/>
      <c r="S904" s="70"/>
      <c r="T904" s="70"/>
      <c r="U904" s="70"/>
      <c r="V904" s="70"/>
      <c r="W904" s="70"/>
      <c r="X904" s="70"/>
      <c r="Y904" s="70"/>
      <c r="Z904" s="70"/>
    </row>
    <row r="905" spans="1:26">
      <c r="A905" s="70" t="str">
        <f>IF('Item Setup Form'!$AF909="Yes",'Item Setup Form'!$E909,"")</f>
        <v/>
      </c>
      <c r="B905" s="70" t="str">
        <f>IF('Item Setup Form'!$AF909="Yes",'Item Setup Form'!D909,"")</f>
        <v/>
      </c>
      <c r="C905" s="81" t="str">
        <f>IF('Item Setup Form'!$AF909="Yes",'Item Setup Form'!L909,"")</f>
        <v/>
      </c>
      <c r="D905" s="81" t="str">
        <f>IF('Item Setup Form'!$AF909="Yes",'Item Setup Form'!M909,"")</f>
        <v/>
      </c>
      <c r="E905" s="70"/>
      <c r="F905" s="70" t="str">
        <f>IF('Item Setup Form'!$AF909="Yes",'Item Setup Form'!G909,"")</f>
        <v/>
      </c>
      <c r="G905" s="70" t="str">
        <f>IF('Item Setup Form'!$AF909="Yes",'Item Setup Form'!H909,"")</f>
        <v/>
      </c>
      <c r="H905" s="70" t="str">
        <f>IF('Item Setup Form'!$AF909="Yes",'Item Setup Form'!V909,"")</f>
        <v/>
      </c>
      <c r="I905" s="70"/>
      <c r="J905" s="70" t="str">
        <f>IF('Item Setup Form'!$AF909="Yes",'Item Setup Form'!U909,"")</f>
        <v/>
      </c>
      <c r="K905" s="70" t="str">
        <f>IF('Item Setup Form'!$AF909="Yes",'Item Setup Form'!V909,"")</f>
        <v/>
      </c>
      <c r="L905" s="70"/>
      <c r="M905" s="70" t="str">
        <f>IF('Item Setup Form'!$AF909="Yes",'Item Setup Form'!A909,"")</f>
        <v/>
      </c>
      <c r="N905" s="70"/>
      <c r="O905" s="70"/>
      <c r="P905" s="70"/>
      <c r="Q905" s="70"/>
      <c r="R905" s="70"/>
      <c r="S905" s="70"/>
      <c r="T905" s="70"/>
      <c r="U905" s="70"/>
      <c r="V905" s="70"/>
      <c r="W905" s="70"/>
      <c r="X905" s="70"/>
      <c r="Y905" s="70"/>
      <c r="Z905" s="70"/>
    </row>
    <row r="906" spans="1:26">
      <c r="A906" s="70" t="str">
        <f>IF('Item Setup Form'!$AF910="Yes",'Item Setup Form'!$E910,"")</f>
        <v/>
      </c>
      <c r="B906" s="70" t="str">
        <f>IF('Item Setup Form'!$AF910="Yes",'Item Setup Form'!D910,"")</f>
        <v/>
      </c>
      <c r="C906" s="81" t="str">
        <f>IF('Item Setup Form'!$AF910="Yes",'Item Setup Form'!L910,"")</f>
        <v/>
      </c>
      <c r="D906" s="81" t="str">
        <f>IF('Item Setup Form'!$AF910="Yes",'Item Setup Form'!M910,"")</f>
        <v/>
      </c>
      <c r="E906" s="70"/>
      <c r="F906" s="70" t="str">
        <f>IF('Item Setup Form'!$AF910="Yes",'Item Setup Form'!G910,"")</f>
        <v/>
      </c>
      <c r="G906" s="70" t="str">
        <f>IF('Item Setup Form'!$AF910="Yes",'Item Setup Form'!H910,"")</f>
        <v/>
      </c>
      <c r="H906" s="70" t="str">
        <f>IF('Item Setup Form'!$AF910="Yes",'Item Setup Form'!V910,"")</f>
        <v/>
      </c>
      <c r="I906" s="70"/>
      <c r="J906" s="70" t="str">
        <f>IF('Item Setup Form'!$AF910="Yes",'Item Setup Form'!U910,"")</f>
        <v/>
      </c>
      <c r="K906" s="70" t="str">
        <f>IF('Item Setup Form'!$AF910="Yes",'Item Setup Form'!V910,"")</f>
        <v/>
      </c>
      <c r="L906" s="70"/>
      <c r="M906" s="70" t="str">
        <f>IF('Item Setup Form'!$AF910="Yes",'Item Setup Form'!A910,"")</f>
        <v/>
      </c>
      <c r="N906" s="70"/>
      <c r="O906" s="70"/>
      <c r="P906" s="70"/>
      <c r="Q906" s="70"/>
      <c r="R906" s="70"/>
      <c r="S906" s="70"/>
      <c r="T906" s="70"/>
      <c r="U906" s="70"/>
      <c r="V906" s="70"/>
      <c r="W906" s="70"/>
      <c r="X906" s="70"/>
      <c r="Y906" s="70"/>
      <c r="Z906" s="70"/>
    </row>
    <row r="907" spans="1:26">
      <c r="A907" s="70" t="str">
        <f>IF('Item Setup Form'!$AF911="Yes",'Item Setup Form'!$E911,"")</f>
        <v/>
      </c>
      <c r="B907" s="70" t="str">
        <f>IF('Item Setup Form'!$AF911="Yes",'Item Setup Form'!D911,"")</f>
        <v/>
      </c>
      <c r="C907" s="81" t="str">
        <f>IF('Item Setup Form'!$AF911="Yes",'Item Setup Form'!L911,"")</f>
        <v/>
      </c>
      <c r="D907" s="81" t="str">
        <f>IF('Item Setup Form'!$AF911="Yes",'Item Setup Form'!M911,"")</f>
        <v/>
      </c>
      <c r="E907" s="70"/>
      <c r="F907" s="70" t="str">
        <f>IF('Item Setup Form'!$AF911="Yes",'Item Setup Form'!G911,"")</f>
        <v/>
      </c>
      <c r="G907" s="70" t="str">
        <f>IF('Item Setup Form'!$AF911="Yes",'Item Setup Form'!H911,"")</f>
        <v/>
      </c>
      <c r="H907" s="70" t="str">
        <f>IF('Item Setup Form'!$AF911="Yes",'Item Setup Form'!V911,"")</f>
        <v/>
      </c>
      <c r="I907" s="70"/>
      <c r="J907" s="70" t="str">
        <f>IF('Item Setup Form'!$AF911="Yes",'Item Setup Form'!U911,"")</f>
        <v/>
      </c>
      <c r="K907" s="70" t="str">
        <f>IF('Item Setup Form'!$AF911="Yes",'Item Setup Form'!V911,"")</f>
        <v/>
      </c>
      <c r="L907" s="70"/>
      <c r="M907" s="70" t="str">
        <f>IF('Item Setup Form'!$AF911="Yes",'Item Setup Form'!A911,"")</f>
        <v/>
      </c>
      <c r="N907" s="70"/>
      <c r="O907" s="70"/>
      <c r="P907" s="70"/>
      <c r="Q907" s="70"/>
      <c r="R907" s="70"/>
      <c r="S907" s="70"/>
      <c r="T907" s="70"/>
      <c r="U907" s="70"/>
      <c r="V907" s="70"/>
      <c r="W907" s="70"/>
      <c r="X907" s="70"/>
      <c r="Y907" s="70"/>
      <c r="Z907" s="70"/>
    </row>
    <row r="908" spans="1:26">
      <c r="A908" s="70" t="str">
        <f>IF('Item Setup Form'!$AF912="Yes",'Item Setup Form'!$E912,"")</f>
        <v/>
      </c>
      <c r="B908" s="70" t="str">
        <f>IF('Item Setup Form'!$AF912="Yes",'Item Setup Form'!D912,"")</f>
        <v/>
      </c>
      <c r="C908" s="81" t="str">
        <f>IF('Item Setup Form'!$AF912="Yes",'Item Setup Form'!L912,"")</f>
        <v/>
      </c>
      <c r="D908" s="81" t="str">
        <f>IF('Item Setup Form'!$AF912="Yes",'Item Setup Form'!M912,"")</f>
        <v/>
      </c>
      <c r="E908" s="70"/>
      <c r="F908" s="70" t="str">
        <f>IF('Item Setup Form'!$AF912="Yes",'Item Setup Form'!G912,"")</f>
        <v/>
      </c>
      <c r="G908" s="70" t="str">
        <f>IF('Item Setup Form'!$AF912="Yes",'Item Setup Form'!H912,"")</f>
        <v/>
      </c>
      <c r="H908" s="70" t="str">
        <f>IF('Item Setup Form'!$AF912="Yes",'Item Setup Form'!V912,"")</f>
        <v/>
      </c>
      <c r="I908" s="70"/>
      <c r="J908" s="70" t="str">
        <f>IF('Item Setup Form'!$AF912="Yes",'Item Setup Form'!U912,"")</f>
        <v/>
      </c>
      <c r="K908" s="70" t="str">
        <f>IF('Item Setup Form'!$AF912="Yes",'Item Setup Form'!V912,"")</f>
        <v/>
      </c>
      <c r="L908" s="70"/>
      <c r="M908" s="70" t="str">
        <f>IF('Item Setup Form'!$AF912="Yes",'Item Setup Form'!A912,"")</f>
        <v/>
      </c>
      <c r="N908" s="70"/>
      <c r="O908" s="70"/>
      <c r="P908" s="70"/>
      <c r="Q908" s="70"/>
      <c r="R908" s="70"/>
      <c r="S908" s="70"/>
      <c r="T908" s="70"/>
      <c r="U908" s="70"/>
      <c r="V908" s="70"/>
      <c r="W908" s="70"/>
      <c r="X908" s="70"/>
      <c r="Y908" s="70"/>
      <c r="Z908" s="70"/>
    </row>
    <row r="909" spans="1:26">
      <c r="A909" s="70" t="str">
        <f>IF('Item Setup Form'!$AF913="Yes",'Item Setup Form'!$E913,"")</f>
        <v/>
      </c>
      <c r="B909" s="70" t="str">
        <f>IF('Item Setup Form'!$AF913="Yes",'Item Setup Form'!D913,"")</f>
        <v/>
      </c>
      <c r="C909" s="81" t="str">
        <f>IF('Item Setup Form'!$AF913="Yes",'Item Setup Form'!L913,"")</f>
        <v/>
      </c>
      <c r="D909" s="81" t="str">
        <f>IF('Item Setup Form'!$AF913="Yes",'Item Setup Form'!M913,"")</f>
        <v/>
      </c>
      <c r="E909" s="70"/>
      <c r="F909" s="70" t="str">
        <f>IF('Item Setup Form'!$AF913="Yes",'Item Setup Form'!G913,"")</f>
        <v/>
      </c>
      <c r="G909" s="70" t="str">
        <f>IF('Item Setup Form'!$AF913="Yes",'Item Setup Form'!H913,"")</f>
        <v/>
      </c>
      <c r="H909" s="70" t="str">
        <f>IF('Item Setup Form'!$AF913="Yes",'Item Setup Form'!V913,"")</f>
        <v/>
      </c>
      <c r="I909" s="70"/>
      <c r="J909" s="70" t="str">
        <f>IF('Item Setup Form'!$AF913="Yes",'Item Setup Form'!U913,"")</f>
        <v/>
      </c>
      <c r="K909" s="70" t="str">
        <f>IF('Item Setup Form'!$AF913="Yes",'Item Setup Form'!V913,"")</f>
        <v/>
      </c>
      <c r="L909" s="70"/>
      <c r="M909" s="70" t="str">
        <f>IF('Item Setup Form'!$AF913="Yes",'Item Setup Form'!A913,"")</f>
        <v/>
      </c>
      <c r="N909" s="70"/>
      <c r="O909" s="70"/>
      <c r="P909" s="70"/>
      <c r="Q909" s="70"/>
      <c r="R909" s="70"/>
      <c r="S909" s="70"/>
      <c r="T909" s="70"/>
      <c r="U909" s="70"/>
      <c r="V909" s="70"/>
      <c r="W909" s="70"/>
      <c r="X909" s="70"/>
      <c r="Y909" s="70"/>
      <c r="Z909" s="70"/>
    </row>
    <row r="910" spans="1:26">
      <c r="A910" s="70" t="str">
        <f>IF('Item Setup Form'!$AF914="Yes",'Item Setup Form'!$E914,"")</f>
        <v/>
      </c>
      <c r="B910" s="70" t="str">
        <f>IF('Item Setup Form'!$AF914="Yes",'Item Setup Form'!D914,"")</f>
        <v/>
      </c>
      <c r="C910" s="81" t="str">
        <f>IF('Item Setup Form'!$AF914="Yes",'Item Setup Form'!L914,"")</f>
        <v/>
      </c>
      <c r="D910" s="81" t="str">
        <f>IF('Item Setup Form'!$AF914="Yes",'Item Setup Form'!M914,"")</f>
        <v/>
      </c>
      <c r="E910" s="70"/>
      <c r="F910" s="70" t="str">
        <f>IF('Item Setup Form'!$AF914="Yes",'Item Setup Form'!G914,"")</f>
        <v/>
      </c>
      <c r="G910" s="70" t="str">
        <f>IF('Item Setup Form'!$AF914="Yes",'Item Setup Form'!H914,"")</f>
        <v/>
      </c>
      <c r="H910" s="70" t="str">
        <f>IF('Item Setup Form'!$AF914="Yes",'Item Setup Form'!V914,"")</f>
        <v/>
      </c>
      <c r="I910" s="70"/>
      <c r="J910" s="70" t="str">
        <f>IF('Item Setup Form'!$AF914="Yes",'Item Setup Form'!U914,"")</f>
        <v/>
      </c>
      <c r="K910" s="70" t="str">
        <f>IF('Item Setup Form'!$AF914="Yes",'Item Setup Form'!V914,"")</f>
        <v/>
      </c>
      <c r="L910" s="70"/>
      <c r="M910" s="70" t="str">
        <f>IF('Item Setup Form'!$AF914="Yes",'Item Setup Form'!A914,"")</f>
        <v/>
      </c>
      <c r="N910" s="70"/>
      <c r="O910" s="70"/>
      <c r="P910" s="70"/>
      <c r="Q910" s="70"/>
      <c r="R910" s="70"/>
      <c r="S910" s="70"/>
      <c r="T910" s="70"/>
      <c r="U910" s="70"/>
      <c r="V910" s="70"/>
      <c r="W910" s="70"/>
      <c r="X910" s="70"/>
      <c r="Y910" s="70"/>
      <c r="Z910" s="70"/>
    </row>
    <row r="911" spans="1:26">
      <c r="A911" s="70" t="str">
        <f>IF('Item Setup Form'!$AF915="Yes",'Item Setup Form'!$E915,"")</f>
        <v/>
      </c>
      <c r="B911" s="70" t="str">
        <f>IF('Item Setup Form'!$AF915="Yes",'Item Setup Form'!D915,"")</f>
        <v/>
      </c>
      <c r="C911" s="81" t="str">
        <f>IF('Item Setup Form'!$AF915="Yes",'Item Setup Form'!L915,"")</f>
        <v/>
      </c>
      <c r="D911" s="81" t="str">
        <f>IF('Item Setup Form'!$AF915="Yes",'Item Setup Form'!M915,"")</f>
        <v/>
      </c>
      <c r="E911" s="70"/>
      <c r="F911" s="70" t="str">
        <f>IF('Item Setup Form'!$AF915="Yes",'Item Setup Form'!G915,"")</f>
        <v/>
      </c>
      <c r="G911" s="70" t="str">
        <f>IF('Item Setup Form'!$AF915="Yes",'Item Setup Form'!H915,"")</f>
        <v/>
      </c>
      <c r="H911" s="70" t="str">
        <f>IF('Item Setup Form'!$AF915="Yes",'Item Setup Form'!V915,"")</f>
        <v/>
      </c>
      <c r="I911" s="70"/>
      <c r="J911" s="70" t="str">
        <f>IF('Item Setup Form'!$AF915="Yes",'Item Setup Form'!U915,"")</f>
        <v/>
      </c>
      <c r="K911" s="70" t="str">
        <f>IF('Item Setup Form'!$AF915="Yes",'Item Setup Form'!V915,"")</f>
        <v/>
      </c>
      <c r="L911" s="70"/>
      <c r="M911" s="70" t="str">
        <f>IF('Item Setup Form'!$AF915="Yes",'Item Setup Form'!A915,"")</f>
        <v/>
      </c>
      <c r="N911" s="70"/>
      <c r="O911" s="70"/>
      <c r="P911" s="70"/>
      <c r="Q911" s="70"/>
      <c r="R911" s="70"/>
      <c r="S911" s="70"/>
      <c r="T911" s="70"/>
      <c r="U911" s="70"/>
      <c r="V911" s="70"/>
      <c r="W911" s="70"/>
      <c r="X911" s="70"/>
      <c r="Y911" s="70"/>
      <c r="Z911" s="70"/>
    </row>
    <row r="912" spans="1:26">
      <c r="A912" s="70" t="str">
        <f>IF('Item Setup Form'!$AF916="Yes",'Item Setup Form'!$E916,"")</f>
        <v/>
      </c>
      <c r="B912" s="70" t="str">
        <f>IF('Item Setup Form'!$AF916="Yes",'Item Setup Form'!D916,"")</f>
        <v/>
      </c>
      <c r="C912" s="81" t="str">
        <f>IF('Item Setup Form'!$AF916="Yes",'Item Setup Form'!L916,"")</f>
        <v/>
      </c>
      <c r="D912" s="81" t="str">
        <f>IF('Item Setup Form'!$AF916="Yes",'Item Setup Form'!M916,"")</f>
        <v/>
      </c>
      <c r="E912" s="70"/>
      <c r="F912" s="70" t="str">
        <f>IF('Item Setup Form'!$AF916="Yes",'Item Setup Form'!G916,"")</f>
        <v/>
      </c>
      <c r="G912" s="70" t="str">
        <f>IF('Item Setup Form'!$AF916="Yes",'Item Setup Form'!H916,"")</f>
        <v/>
      </c>
      <c r="H912" s="70" t="str">
        <f>IF('Item Setup Form'!$AF916="Yes",'Item Setup Form'!V916,"")</f>
        <v/>
      </c>
      <c r="I912" s="70"/>
      <c r="J912" s="70" t="str">
        <f>IF('Item Setup Form'!$AF916="Yes",'Item Setup Form'!U916,"")</f>
        <v/>
      </c>
      <c r="K912" s="70" t="str">
        <f>IF('Item Setup Form'!$AF916="Yes",'Item Setup Form'!V916,"")</f>
        <v/>
      </c>
      <c r="L912" s="70"/>
      <c r="M912" s="70" t="str">
        <f>IF('Item Setup Form'!$AF916="Yes",'Item Setup Form'!A916,"")</f>
        <v/>
      </c>
      <c r="N912" s="70"/>
      <c r="O912" s="70"/>
      <c r="P912" s="70"/>
      <c r="Q912" s="70"/>
      <c r="R912" s="70"/>
      <c r="S912" s="70"/>
      <c r="T912" s="70"/>
      <c r="U912" s="70"/>
      <c r="V912" s="70"/>
      <c r="W912" s="70"/>
      <c r="X912" s="70"/>
      <c r="Y912" s="70"/>
      <c r="Z912" s="70"/>
    </row>
    <row r="913" spans="1:26">
      <c r="A913" s="70" t="str">
        <f>IF('Item Setup Form'!$AF917="Yes",'Item Setup Form'!$E917,"")</f>
        <v/>
      </c>
      <c r="B913" s="70" t="str">
        <f>IF('Item Setup Form'!$AF917="Yes",'Item Setup Form'!D917,"")</f>
        <v/>
      </c>
      <c r="C913" s="81" t="str">
        <f>IF('Item Setup Form'!$AF917="Yes",'Item Setup Form'!L917,"")</f>
        <v/>
      </c>
      <c r="D913" s="81" t="str">
        <f>IF('Item Setup Form'!$AF917="Yes",'Item Setup Form'!M917,"")</f>
        <v/>
      </c>
      <c r="E913" s="70"/>
      <c r="F913" s="70" t="str">
        <f>IF('Item Setup Form'!$AF917="Yes",'Item Setup Form'!G917,"")</f>
        <v/>
      </c>
      <c r="G913" s="70" t="str">
        <f>IF('Item Setup Form'!$AF917="Yes",'Item Setup Form'!H917,"")</f>
        <v/>
      </c>
      <c r="H913" s="70" t="str">
        <f>IF('Item Setup Form'!$AF917="Yes",'Item Setup Form'!V917,"")</f>
        <v/>
      </c>
      <c r="I913" s="70"/>
      <c r="J913" s="70" t="str">
        <f>IF('Item Setup Form'!$AF917="Yes",'Item Setup Form'!U917,"")</f>
        <v/>
      </c>
      <c r="K913" s="70" t="str">
        <f>IF('Item Setup Form'!$AF917="Yes",'Item Setup Form'!V917,"")</f>
        <v/>
      </c>
      <c r="L913" s="70"/>
      <c r="M913" s="70" t="str">
        <f>IF('Item Setup Form'!$AF917="Yes",'Item Setup Form'!A917,"")</f>
        <v/>
      </c>
      <c r="N913" s="70"/>
      <c r="O913" s="70"/>
      <c r="P913" s="70"/>
      <c r="Q913" s="70"/>
      <c r="R913" s="70"/>
      <c r="S913" s="70"/>
      <c r="T913" s="70"/>
      <c r="U913" s="70"/>
      <c r="V913" s="70"/>
      <c r="W913" s="70"/>
      <c r="X913" s="70"/>
      <c r="Y913" s="70"/>
      <c r="Z913" s="70"/>
    </row>
    <row r="914" spans="1:26">
      <c r="A914" s="70" t="str">
        <f>IF('Item Setup Form'!$AF918="Yes",'Item Setup Form'!$E918,"")</f>
        <v/>
      </c>
      <c r="B914" s="70" t="str">
        <f>IF('Item Setup Form'!$AF918="Yes",'Item Setup Form'!D918,"")</f>
        <v/>
      </c>
      <c r="C914" s="81" t="str">
        <f>IF('Item Setup Form'!$AF918="Yes",'Item Setup Form'!L918,"")</f>
        <v/>
      </c>
      <c r="D914" s="81" t="str">
        <f>IF('Item Setup Form'!$AF918="Yes",'Item Setup Form'!M918,"")</f>
        <v/>
      </c>
      <c r="E914" s="70"/>
      <c r="F914" s="70" t="str">
        <f>IF('Item Setup Form'!$AF918="Yes",'Item Setup Form'!G918,"")</f>
        <v/>
      </c>
      <c r="G914" s="70" t="str">
        <f>IF('Item Setup Form'!$AF918="Yes",'Item Setup Form'!H918,"")</f>
        <v/>
      </c>
      <c r="H914" s="70" t="str">
        <f>IF('Item Setup Form'!$AF918="Yes",'Item Setup Form'!V918,"")</f>
        <v/>
      </c>
      <c r="I914" s="70"/>
      <c r="J914" s="70" t="str">
        <f>IF('Item Setup Form'!$AF918="Yes",'Item Setup Form'!U918,"")</f>
        <v/>
      </c>
      <c r="K914" s="70" t="str">
        <f>IF('Item Setup Form'!$AF918="Yes",'Item Setup Form'!V918,"")</f>
        <v/>
      </c>
      <c r="L914" s="70"/>
      <c r="M914" s="70" t="str">
        <f>IF('Item Setup Form'!$AF918="Yes",'Item Setup Form'!A918,"")</f>
        <v/>
      </c>
      <c r="N914" s="70"/>
      <c r="O914" s="70"/>
      <c r="P914" s="70"/>
      <c r="Q914" s="70"/>
      <c r="R914" s="70"/>
      <c r="S914" s="70"/>
      <c r="T914" s="70"/>
      <c r="U914" s="70"/>
      <c r="V914" s="70"/>
      <c r="W914" s="70"/>
      <c r="X914" s="70"/>
      <c r="Y914" s="70"/>
      <c r="Z914" s="70"/>
    </row>
    <row r="915" spans="1:26">
      <c r="A915" s="70" t="str">
        <f>IF('Item Setup Form'!$AF919="Yes",'Item Setup Form'!$E919,"")</f>
        <v/>
      </c>
      <c r="B915" s="70" t="str">
        <f>IF('Item Setup Form'!$AF919="Yes",'Item Setup Form'!D919,"")</f>
        <v/>
      </c>
      <c r="C915" s="81" t="str">
        <f>IF('Item Setup Form'!$AF919="Yes",'Item Setup Form'!L919,"")</f>
        <v/>
      </c>
      <c r="D915" s="81" t="str">
        <f>IF('Item Setup Form'!$AF919="Yes",'Item Setup Form'!M919,"")</f>
        <v/>
      </c>
      <c r="E915" s="70"/>
      <c r="F915" s="70" t="str">
        <f>IF('Item Setup Form'!$AF919="Yes",'Item Setup Form'!G919,"")</f>
        <v/>
      </c>
      <c r="G915" s="70" t="str">
        <f>IF('Item Setup Form'!$AF919="Yes",'Item Setup Form'!H919,"")</f>
        <v/>
      </c>
      <c r="H915" s="70" t="str">
        <f>IF('Item Setup Form'!$AF919="Yes",'Item Setup Form'!V919,"")</f>
        <v/>
      </c>
      <c r="I915" s="70"/>
      <c r="J915" s="70" t="str">
        <f>IF('Item Setup Form'!$AF919="Yes",'Item Setup Form'!U919,"")</f>
        <v/>
      </c>
      <c r="K915" s="70" t="str">
        <f>IF('Item Setup Form'!$AF919="Yes",'Item Setup Form'!V919,"")</f>
        <v/>
      </c>
      <c r="L915" s="70"/>
      <c r="M915" s="70" t="str">
        <f>IF('Item Setup Form'!$AF919="Yes",'Item Setup Form'!A919,"")</f>
        <v/>
      </c>
      <c r="N915" s="70"/>
      <c r="O915" s="70"/>
      <c r="P915" s="70"/>
      <c r="Q915" s="70"/>
      <c r="R915" s="70"/>
      <c r="S915" s="70"/>
      <c r="T915" s="70"/>
      <c r="U915" s="70"/>
      <c r="V915" s="70"/>
      <c r="W915" s="70"/>
      <c r="X915" s="70"/>
      <c r="Y915" s="70"/>
      <c r="Z915" s="70"/>
    </row>
    <row r="916" spans="1:26">
      <c r="A916" s="70" t="str">
        <f>IF('Item Setup Form'!$AF920="Yes",'Item Setup Form'!$E920,"")</f>
        <v/>
      </c>
      <c r="B916" s="70" t="str">
        <f>IF('Item Setup Form'!$AF920="Yes",'Item Setup Form'!D920,"")</f>
        <v/>
      </c>
      <c r="C916" s="81" t="str">
        <f>IF('Item Setup Form'!$AF920="Yes",'Item Setup Form'!L920,"")</f>
        <v/>
      </c>
      <c r="D916" s="81" t="str">
        <f>IF('Item Setup Form'!$AF920="Yes",'Item Setup Form'!M920,"")</f>
        <v/>
      </c>
      <c r="E916" s="70"/>
      <c r="F916" s="70" t="str">
        <f>IF('Item Setup Form'!$AF920="Yes",'Item Setup Form'!G920,"")</f>
        <v/>
      </c>
      <c r="G916" s="70" t="str">
        <f>IF('Item Setup Form'!$AF920="Yes",'Item Setup Form'!H920,"")</f>
        <v/>
      </c>
      <c r="H916" s="70" t="str">
        <f>IF('Item Setup Form'!$AF920="Yes",'Item Setup Form'!V920,"")</f>
        <v/>
      </c>
      <c r="I916" s="70"/>
      <c r="J916" s="70" t="str">
        <f>IF('Item Setup Form'!$AF920="Yes",'Item Setup Form'!U920,"")</f>
        <v/>
      </c>
      <c r="K916" s="70" t="str">
        <f>IF('Item Setup Form'!$AF920="Yes",'Item Setup Form'!V920,"")</f>
        <v/>
      </c>
      <c r="L916" s="70"/>
      <c r="M916" s="70" t="str">
        <f>IF('Item Setup Form'!$AF920="Yes",'Item Setup Form'!A920,"")</f>
        <v/>
      </c>
      <c r="N916" s="70"/>
      <c r="O916" s="70"/>
      <c r="P916" s="70"/>
      <c r="Q916" s="70"/>
      <c r="R916" s="70"/>
      <c r="S916" s="70"/>
      <c r="T916" s="70"/>
      <c r="U916" s="70"/>
      <c r="V916" s="70"/>
      <c r="W916" s="70"/>
      <c r="X916" s="70"/>
      <c r="Y916" s="70"/>
      <c r="Z916" s="70"/>
    </row>
    <row r="917" spans="1:26">
      <c r="A917" s="70" t="str">
        <f>IF('Item Setup Form'!$AF921="Yes",'Item Setup Form'!$E921,"")</f>
        <v/>
      </c>
      <c r="B917" s="70" t="str">
        <f>IF('Item Setup Form'!$AF921="Yes",'Item Setup Form'!D921,"")</f>
        <v/>
      </c>
      <c r="C917" s="81" t="str">
        <f>IF('Item Setup Form'!$AF921="Yes",'Item Setup Form'!L921,"")</f>
        <v/>
      </c>
      <c r="D917" s="81" t="str">
        <f>IF('Item Setup Form'!$AF921="Yes",'Item Setup Form'!M921,"")</f>
        <v/>
      </c>
      <c r="E917" s="70"/>
      <c r="F917" s="70" t="str">
        <f>IF('Item Setup Form'!$AF921="Yes",'Item Setup Form'!G921,"")</f>
        <v/>
      </c>
      <c r="G917" s="70" t="str">
        <f>IF('Item Setup Form'!$AF921="Yes",'Item Setup Form'!H921,"")</f>
        <v/>
      </c>
      <c r="H917" s="70" t="str">
        <f>IF('Item Setup Form'!$AF921="Yes",'Item Setup Form'!V921,"")</f>
        <v/>
      </c>
      <c r="I917" s="70"/>
      <c r="J917" s="70" t="str">
        <f>IF('Item Setup Form'!$AF921="Yes",'Item Setup Form'!U921,"")</f>
        <v/>
      </c>
      <c r="K917" s="70" t="str">
        <f>IF('Item Setup Form'!$AF921="Yes",'Item Setup Form'!V921,"")</f>
        <v/>
      </c>
      <c r="L917" s="70"/>
      <c r="M917" s="70" t="str">
        <f>IF('Item Setup Form'!$AF921="Yes",'Item Setup Form'!A921,"")</f>
        <v/>
      </c>
      <c r="N917" s="70"/>
      <c r="O917" s="70"/>
      <c r="P917" s="70"/>
      <c r="Q917" s="70"/>
      <c r="R917" s="70"/>
      <c r="S917" s="70"/>
      <c r="T917" s="70"/>
      <c r="U917" s="70"/>
      <c r="V917" s="70"/>
      <c r="W917" s="70"/>
      <c r="X917" s="70"/>
      <c r="Y917" s="70"/>
      <c r="Z917" s="70"/>
    </row>
    <row r="918" spans="1:26">
      <c r="A918" s="70" t="str">
        <f>IF('Item Setup Form'!$AF922="Yes",'Item Setup Form'!$E922,"")</f>
        <v/>
      </c>
      <c r="B918" s="70" t="str">
        <f>IF('Item Setup Form'!$AF922="Yes",'Item Setup Form'!D922,"")</f>
        <v/>
      </c>
      <c r="C918" s="81" t="str">
        <f>IF('Item Setup Form'!$AF922="Yes",'Item Setup Form'!L922,"")</f>
        <v/>
      </c>
      <c r="D918" s="81" t="str">
        <f>IF('Item Setup Form'!$AF922="Yes",'Item Setup Form'!M922,"")</f>
        <v/>
      </c>
      <c r="E918" s="70"/>
      <c r="F918" s="70" t="str">
        <f>IF('Item Setup Form'!$AF922="Yes",'Item Setup Form'!G922,"")</f>
        <v/>
      </c>
      <c r="G918" s="70" t="str">
        <f>IF('Item Setup Form'!$AF922="Yes",'Item Setup Form'!H922,"")</f>
        <v/>
      </c>
      <c r="H918" s="70" t="str">
        <f>IF('Item Setup Form'!$AF922="Yes",'Item Setup Form'!V922,"")</f>
        <v/>
      </c>
      <c r="I918" s="70"/>
      <c r="J918" s="70" t="str">
        <f>IF('Item Setup Form'!$AF922="Yes",'Item Setup Form'!U922,"")</f>
        <v/>
      </c>
      <c r="K918" s="70" t="str">
        <f>IF('Item Setup Form'!$AF922="Yes",'Item Setup Form'!V922,"")</f>
        <v/>
      </c>
      <c r="L918" s="70"/>
      <c r="M918" s="70" t="str">
        <f>IF('Item Setup Form'!$AF922="Yes",'Item Setup Form'!A922,"")</f>
        <v/>
      </c>
      <c r="N918" s="70"/>
      <c r="O918" s="70"/>
      <c r="P918" s="70"/>
      <c r="Q918" s="70"/>
      <c r="R918" s="70"/>
      <c r="S918" s="70"/>
      <c r="T918" s="70"/>
      <c r="U918" s="70"/>
      <c r="V918" s="70"/>
      <c r="W918" s="70"/>
      <c r="X918" s="70"/>
      <c r="Y918" s="70"/>
      <c r="Z918" s="70"/>
    </row>
    <row r="919" spans="1:26">
      <c r="A919" s="70" t="str">
        <f>IF('Item Setup Form'!$AF923="Yes",'Item Setup Form'!$E923,"")</f>
        <v/>
      </c>
      <c r="B919" s="70" t="str">
        <f>IF('Item Setup Form'!$AF923="Yes",'Item Setup Form'!D923,"")</f>
        <v/>
      </c>
      <c r="C919" s="81" t="str">
        <f>IF('Item Setup Form'!$AF923="Yes",'Item Setup Form'!L923,"")</f>
        <v/>
      </c>
      <c r="D919" s="81" t="str">
        <f>IF('Item Setup Form'!$AF923="Yes",'Item Setup Form'!M923,"")</f>
        <v/>
      </c>
      <c r="E919" s="70"/>
      <c r="F919" s="70" t="str">
        <f>IF('Item Setup Form'!$AF923="Yes",'Item Setup Form'!G923,"")</f>
        <v/>
      </c>
      <c r="G919" s="70" t="str">
        <f>IF('Item Setup Form'!$AF923="Yes",'Item Setup Form'!H923,"")</f>
        <v/>
      </c>
      <c r="H919" s="70" t="str">
        <f>IF('Item Setup Form'!$AF923="Yes",'Item Setup Form'!V923,"")</f>
        <v/>
      </c>
      <c r="I919" s="70"/>
      <c r="J919" s="70" t="str">
        <f>IF('Item Setup Form'!$AF923="Yes",'Item Setup Form'!U923,"")</f>
        <v/>
      </c>
      <c r="K919" s="70" t="str">
        <f>IF('Item Setup Form'!$AF923="Yes",'Item Setup Form'!V923,"")</f>
        <v/>
      </c>
      <c r="L919" s="70"/>
      <c r="M919" s="70" t="str">
        <f>IF('Item Setup Form'!$AF923="Yes",'Item Setup Form'!A923,"")</f>
        <v/>
      </c>
      <c r="N919" s="70"/>
      <c r="O919" s="70"/>
      <c r="P919" s="70"/>
      <c r="Q919" s="70"/>
      <c r="R919" s="70"/>
      <c r="S919" s="70"/>
      <c r="T919" s="70"/>
      <c r="U919" s="70"/>
      <c r="V919" s="70"/>
      <c r="W919" s="70"/>
      <c r="X919" s="70"/>
      <c r="Y919" s="70"/>
      <c r="Z919" s="70"/>
    </row>
    <row r="920" spans="1:26">
      <c r="A920" s="70" t="str">
        <f>IF('Item Setup Form'!$AF924="Yes",'Item Setup Form'!$E924,"")</f>
        <v/>
      </c>
      <c r="B920" s="70" t="str">
        <f>IF('Item Setup Form'!$AF924="Yes",'Item Setup Form'!D924,"")</f>
        <v/>
      </c>
      <c r="C920" s="81" t="str">
        <f>IF('Item Setup Form'!$AF924="Yes",'Item Setup Form'!L924,"")</f>
        <v/>
      </c>
      <c r="D920" s="81" t="str">
        <f>IF('Item Setup Form'!$AF924="Yes",'Item Setup Form'!M924,"")</f>
        <v/>
      </c>
      <c r="E920" s="70"/>
      <c r="F920" s="70" t="str">
        <f>IF('Item Setup Form'!$AF924="Yes",'Item Setup Form'!G924,"")</f>
        <v/>
      </c>
      <c r="G920" s="70" t="str">
        <f>IF('Item Setup Form'!$AF924="Yes",'Item Setup Form'!H924,"")</f>
        <v/>
      </c>
      <c r="H920" s="70" t="str">
        <f>IF('Item Setup Form'!$AF924="Yes",'Item Setup Form'!V924,"")</f>
        <v/>
      </c>
      <c r="I920" s="70"/>
      <c r="J920" s="70" t="str">
        <f>IF('Item Setup Form'!$AF924="Yes",'Item Setup Form'!U924,"")</f>
        <v/>
      </c>
      <c r="K920" s="70" t="str">
        <f>IF('Item Setup Form'!$AF924="Yes",'Item Setup Form'!V924,"")</f>
        <v/>
      </c>
      <c r="L920" s="70"/>
      <c r="M920" s="70" t="str">
        <f>IF('Item Setup Form'!$AF924="Yes",'Item Setup Form'!A924,"")</f>
        <v/>
      </c>
      <c r="N920" s="70"/>
      <c r="O920" s="70"/>
      <c r="P920" s="70"/>
      <c r="Q920" s="70"/>
      <c r="R920" s="70"/>
      <c r="S920" s="70"/>
      <c r="T920" s="70"/>
      <c r="U920" s="70"/>
      <c r="V920" s="70"/>
      <c r="W920" s="70"/>
      <c r="X920" s="70"/>
      <c r="Y920" s="70"/>
      <c r="Z920" s="70"/>
    </row>
    <row r="921" spans="1:26">
      <c r="A921" s="70" t="str">
        <f>IF('Item Setup Form'!$AF925="Yes",'Item Setup Form'!$E925,"")</f>
        <v/>
      </c>
      <c r="B921" s="70" t="str">
        <f>IF('Item Setup Form'!$AF925="Yes",'Item Setup Form'!D925,"")</f>
        <v/>
      </c>
      <c r="C921" s="81" t="str">
        <f>IF('Item Setup Form'!$AF925="Yes",'Item Setup Form'!L925,"")</f>
        <v/>
      </c>
      <c r="D921" s="81" t="str">
        <f>IF('Item Setup Form'!$AF925="Yes",'Item Setup Form'!M925,"")</f>
        <v/>
      </c>
      <c r="E921" s="70"/>
      <c r="F921" s="70" t="str">
        <f>IF('Item Setup Form'!$AF925="Yes",'Item Setup Form'!G925,"")</f>
        <v/>
      </c>
      <c r="G921" s="70" t="str">
        <f>IF('Item Setup Form'!$AF925="Yes",'Item Setup Form'!H925,"")</f>
        <v/>
      </c>
      <c r="H921" s="70" t="str">
        <f>IF('Item Setup Form'!$AF925="Yes",'Item Setup Form'!V925,"")</f>
        <v/>
      </c>
      <c r="I921" s="70"/>
      <c r="J921" s="70" t="str">
        <f>IF('Item Setup Form'!$AF925="Yes",'Item Setup Form'!U925,"")</f>
        <v/>
      </c>
      <c r="K921" s="70" t="str">
        <f>IF('Item Setup Form'!$AF925="Yes",'Item Setup Form'!V925,"")</f>
        <v/>
      </c>
      <c r="L921" s="70"/>
      <c r="M921" s="70" t="str">
        <f>IF('Item Setup Form'!$AF925="Yes",'Item Setup Form'!A925,"")</f>
        <v/>
      </c>
      <c r="N921" s="70"/>
      <c r="O921" s="70"/>
      <c r="P921" s="70"/>
      <c r="Q921" s="70"/>
      <c r="R921" s="70"/>
      <c r="S921" s="70"/>
      <c r="T921" s="70"/>
      <c r="U921" s="70"/>
      <c r="V921" s="70"/>
      <c r="W921" s="70"/>
      <c r="X921" s="70"/>
      <c r="Y921" s="70"/>
      <c r="Z921" s="70"/>
    </row>
    <row r="922" spans="1:26">
      <c r="A922" s="70" t="str">
        <f>IF('Item Setup Form'!$AF926="Yes",'Item Setup Form'!$E926,"")</f>
        <v/>
      </c>
      <c r="B922" s="70" t="str">
        <f>IF('Item Setup Form'!$AF926="Yes",'Item Setup Form'!D926,"")</f>
        <v/>
      </c>
      <c r="C922" s="81" t="str">
        <f>IF('Item Setup Form'!$AF926="Yes",'Item Setup Form'!L926,"")</f>
        <v/>
      </c>
      <c r="D922" s="81" t="str">
        <f>IF('Item Setup Form'!$AF926="Yes",'Item Setup Form'!M926,"")</f>
        <v/>
      </c>
      <c r="E922" s="70"/>
      <c r="F922" s="70" t="str">
        <f>IF('Item Setup Form'!$AF926="Yes",'Item Setup Form'!G926,"")</f>
        <v/>
      </c>
      <c r="G922" s="70" t="str">
        <f>IF('Item Setup Form'!$AF926="Yes",'Item Setup Form'!H926,"")</f>
        <v/>
      </c>
      <c r="H922" s="70" t="str">
        <f>IF('Item Setup Form'!$AF926="Yes",'Item Setup Form'!V926,"")</f>
        <v/>
      </c>
      <c r="I922" s="70"/>
      <c r="J922" s="70" t="str">
        <f>IF('Item Setup Form'!$AF926="Yes",'Item Setup Form'!U926,"")</f>
        <v/>
      </c>
      <c r="K922" s="70" t="str">
        <f>IF('Item Setup Form'!$AF926="Yes",'Item Setup Form'!V926,"")</f>
        <v/>
      </c>
      <c r="L922" s="70"/>
      <c r="M922" s="70" t="str">
        <f>IF('Item Setup Form'!$AF926="Yes",'Item Setup Form'!A926,"")</f>
        <v/>
      </c>
      <c r="N922" s="70"/>
      <c r="O922" s="70"/>
      <c r="P922" s="70"/>
      <c r="Q922" s="70"/>
      <c r="R922" s="70"/>
      <c r="S922" s="70"/>
      <c r="T922" s="70"/>
      <c r="U922" s="70"/>
      <c r="V922" s="70"/>
      <c r="W922" s="70"/>
      <c r="X922" s="70"/>
      <c r="Y922" s="70"/>
      <c r="Z922" s="70"/>
    </row>
    <row r="923" spans="1:26">
      <c r="A923" s="70" t="str">
        <f>IF('Item Setup Form'!$AF927="Yes",'Item Setup Form'!$E927,"")</f>
        <v/>
      </c>
      <c r="B923" s="70" t="str">
        <f>IF('Item Setup Form'!$AF927="Yes",'Item Setup Form'!D927,"")</f>
        <v/>
      </c>
      <c r="C923" s="81" t="str">
        <f>IF('Item Setup Form'!$AF927="Yes",'Item Setup Form'!L927,"")</f>
        <v/>
      </c>
      <c r="D923" s="81" t="str">
        <f>IF('Item Setup Form'!$AF927="Yes",'Item Setup Form'!M927,"")</f>
        <v/>
      </c>
      <c r="E923" s="70"/>
      <c r="F923" s="70" t="str">
        <f>IF('Item Setup Form'!$AF927="Yes",'Item Setup Form'!G927,"")</f>
        <v/>
      </c>
      <c r="G923" s="70" t="str">
        <f>IF('Item Setup Form'!$AF927="Yes",'Item Setup Form'!H927,"")</f>
        <v/>
      </c>
      <c r="H923" s="70" t="str">
        <f>IF('Item Setup Form'!$AF927="Yes",'Item Setup Form'!V927,"")</f>
        <v/>
      </c>
      <c r="I923" s="70"/>
      <c r="J923" s="70" t="str">
        <f>IF('Item Setup Form'!$AF927="Yes",'Item Setup Form'!U927,"")</f>
        <v/>
      </c>
      <c r="K923" s="70" t="str">
        <f>IF('Item Setup Form'!$AF927="Yes",'Item Setup Form'!V927,"")</f>
        <v/>
      </c>
      <c r="L923" s="70"/>
      <c r="M923" s="70" t="str">
        <f>IF('Item Setup Form'!$AF927="Yes",'Item Setup Form'!A927,"")</f>
        <v/>
      </c>
      <c r="N923" s="70"/>
      <c r="O923" s="70"/>
      <c r="P923" s="70"/>
      <c r="Q923" s="70"/>
      <c r="R923" s="70"/>
      <c r="S923" s="70"/>
      <c r="T923" s="70"/>
      <c r="U923" s="70"/>
      <c r="V923" s="70"/>
      <c r="W923" s="70"/>
      <c r="X923" s="70"/>
      <c r="Y923" s="70"/>
      <c r="Z923" s="70"/>
    </row>
    <row r="924" spans="1:26">
      <c r="A924" s="70" t="str">
        <f>IF('Item Setup Form'!$AF928="Yes",'Item Setup Form'!$E928,"")</f>
        <v/>
      </c>
      <c r="B924" s="70" t="str">
        <f>IF('Item Setup Form'!$AF928="Yes",'Item Setup Form'!D928,"")</f>
        <v/>
      </c>
      <c r="C924" s="81" t="str">
        <f>IF('Item Setup Form'!$AF928="Yes",'Item Setup Form'!L928,"")</f>
        <v/>
      </c>
      <c r="D924" s="81" t="str">
        <f>IF('Item Setup Form'!$AF928="Yes",'Item Setup Form'!M928,"")</f>
        <v/>
      </c>
      <c r="E924" s="70"/>
      <c r="F924" s="70" t="str">
        <f>IF('Item Setup Form'!$AF928="Yes",'Item Setup Form'!G928,"")</f>
        <v/>
      </c>
      <c r="G924" s="70" t="str">
        <f>IF('Item Setup Form'!$AF928="Yes",'Item Setup Form'!H928,"")</f>
        <v/>
      </c>
      <c r="H924" s="70" t="str">
        <f>IF('Item Setup Form'!$AF928="Yes",'Item Setup Form'!V928,"")</f>
        <v/>
      </c>
      <c r="I924" s="70"/>
      <c r="J924" s="70" t="str">
        <f>IF('Item Setup Form'!$AF928="Yes",'Item Setup Form'!U928,"")</f>
        <v/>
      </c>
      <c r="K924" s="70" t="str">
        <f>IF('Item Setup Form'!$AF928="Yes",'Item Setup Form'!V928,"")</f>
        <v/>
      </c>
      <c r="L924" s="70"/>
      <c r="M924" s="70" t="str">
        <f>IF('Item Setup Form'!$AF928="Yes",'Item Setup Form'!A928,"")</f>
        <v/>
      </c>
      <c r="N924" s="70"/>
      <c r="O924" s="70"/>
      <c r="P924" s="70"/>
      <c r="Q924" s="70"/>
      <c r="R924" s="70"/>
      <c r="S924" s="70"/>
      <c r="T924" s="70"/>
      <c r="U924" s="70"/>
      <c r="V924" s="70"/>
      <c r="W924" s="70"/>
      <c r="X924" s="70"/>
      <c r="Y924" s="70"/>
      <c r="Z924" s="70"/>
    </row>
    <row r="925" spans="1:26">
      <c r="A925" s="70" t="str">
        <f>IF('Item Setup Form'!$AF929="Yes",'Item Setup Form'!$E929,"")</f>
        <v/>
      </c>
      <c r="B925" s="70" t="str">
        <f>IF('Item Setup Form'!$AF929="Yes",'Item Setup Form'!D929,"")</f>
        <v/>
      </c>
      <c r="C925" s="81" t="str">
        <f>IF('Item Setup Form'!$AF929="Yes",'Item Setup Form'!L929,"")</f>
        <v/>
      </c>
      <c r="D925" s="81" t="str">
        <f>IF('Item Setup Form'!$AF929="Yes",'Item Setup Form'!M929,"")</f>
        <v/>
      </c>
      <c r="E925" s="70"/>
      <c r="F925" s="70" t="str">
        <f>IF('Item Setup Form'!$AF929="Yes",'Item Setup Form'!G929,"")</f>
        <v/>
      </c>
      <c r="G925" s="70" t="str">
        <f>IF('Item Setup Form'!$AF929="Yes",'Item Setup Form'!H929,"")</f>
        <v/>
      </c>
      <c r="H925" s="70" t="str">
        <f>IF('Item Setup Form'!$AF929="Yes",'Item Setup Form'!V929,"")</f>
        <v/>
      </c>
      <c r="I925" s="70"/>
      <c r="J925" s="70" t="str">
        <f>IF('Item Setup Form'!$AF929="Yes",'Item Setup Form'!U929,"")</f>
        <v/>
      </c>
      <c r="K925" s="70" t="str">
        <f>IF('Item Setup Form'!$AF929="Yes",'Item Setup Form'!V929,"")</f>
        <v/>
      </c>
      <c r="L925" s="70"/>
      <c r="M925" s="70" t="str">
        <f>IF('Item Setup Form'!$AF929="Yes",'Item Setup Form'!A929,"")</f>
        <v/>
      </c>
      <c r="N925" s="70"/>
      <c r="O925" s="70"/>
      <c r="P925" s="70"/>
      <c r="Q925" s="70"/>
      <c r="R925" s="70"/>
      <c r="S925" s="70"/>
      <c r="T925" s="70"/>
      <c r="U925" s="70"/>
      <c r="V925" s="70"/>
      <c r="W925" s="70"/>
      <c r="X925" s="70"/>
      <c r="Y925" s="70"/>
      <c r="Z925" s="70"/>
    </row>
    <row r="926" spans="1:26">
      <c r="A926" s="70" t="str">
        <f>IF('Item Setup Form'!$AF930="Yes",'Item Setup Form'!$E930,"")</f>
        <v/>
      </c>
      <c r="B926" s="70" t="str">
        <f>IF('Item Setup Form'!$AF930="Yes",'Item Setup Form'!D930,"")</f>
        <v/>
      </c>
      <c r="C926" s="81" t="str">
        <f>IF('Item Setup Form'!$AF930="Yes",'Item Setup Form'!L930,"")</f>
        <v/>
      </c>
      <c r="D926" s="81" t="str">
        <f>IF('Item Setup Form'!$AF930="Yes",'Item Setup Form'!M930,"")</f>
        <v/>
      </c>
      <c r="E926" s="70"/>
      <c r="F926" s="70" t="str">
        <f>IF('Item Setup Form'!$AF930="Yes",'Item Setup Form'!G930,"")</f>
        <v/>
      </c>
      <c r="G926" s="70" t="str">
        <f>IF('Item Setup Form'!$AF930="Yes",'Item Setup Form'!H930,"")</f>
        <v/>
      </c>
      <c r="H926" s="70" t="str">
        <f>IF('Item Setup Form'!$AF930="Yes",'Item Setup Form'!V930,"")</f>
        <v/>
      </c>
      <c r="I926" s="70"/>
      <c r="J926" s="70" t="str">
        <f>IF('Item Setup Form'!$AF930="Yes",'Item Setup Form'!U930,"")</f>
        <v/>
      </c>
      <c r="K926" s="70" t="str">
        <f>IF('Item Setup Form'!$AF930="Yes",'Item Setup Form'!V930,"")</f>
        <v/>
      </c>
      <c r="L926" s="70"/>
      <c r="M926" s="70" t="str">
        <f>IF('Item Setup Form'!$AF930="Yes",'Item Setup Form'!A930,"")</f>
        <v/>
      </c>
      <c r="N926" s="70"/>
      <c r="O926" s="70"/>
      <c r="P926" s="70"/>
      <c r="Q926" s="70"/>
      <c r="R926" s="70"/>
      <c r="S926" s="70"/>
      <c r="T926" s="70"/>
      <c r="U926" s="70"/>
      <c r="V926" s="70"/>
      <c r="W926" s="70"/>
      <c r="X926" s="70"/>
      <c r="Y926" s="70"/>
      <c r="Z926" s="70"/>
    </row>
    <row r="927" spans="1:26">
      <c r="A927" s="70" t="str">
        <f>IF('Item Setup Form'!$AF931="Yes",'Item Setup Form'!$E931,"")</f>
        <v/>
      </c>
      <c r="B927" s="70" t="str">
        <f>IF('Item Setup Form'!$AF931="Yes",'Item Setup Form'!D931,"")</f>
        <v/>
      </c>
      <c r="C927" s="81" t="str">
        <f>IF('Item Setup Form'!$AF931="Yes",'Item Setup Form'!L931,"")</f>
        <v/>
      </c>
      <c r="D927" s="81" t="str">
        <f>IF('Item Setup Form'!$AF931="Yes",'Item Setup Form'!M931,"")</f>
        <v/>
      </c>
      <c r="E927" s="70"/>
      <c r="F927" s="70" t="str">
        <f>IF('Item Setup Form'!$AF931="Yes",'Item Setup Form'!G931,"")</f>
        <v/>
      </c>
      <c r="G927" s="70" t="str">
        <f>IF('Item Setup Form'!$AF931="Yes",'Item Setup Form'!H931,"")</f>
        <v/>
      </c>
      <c r="H927" s="70" t="str">
        <f>IF('Item Setup Form'!$AF931="Yes",'Item Setup Form'!V931,"")</f>
        <v/>
      </c>
      <c r="I927" s="70"/>
      <c r="J927" s="70" t="str">
        <f>IF('Item Setup Form'!$AF931="Yes",'Item Setup Form'!U931,"")</f>
        <v/>
      </c>
      <c r="K927" s="70" t="str">
        <f>IF('Item Setup Form'!$AF931="Yes",'Item Setup Form'!V931,"")</f>
        <v/>
      </c>
      <c r="L927" s="70"/>
      <c r="M927" s="70" t="str">
        <f>IF('Item Setup Form'!$AF931="Yes",'Item Setup Form'!A931,"")</f>
        <v/>
      </c>
      <c r="N927" s="70"/>
      <c r="O927" s="70"/>
      <c r="P927" s="70"/>
      <c r="Q927" s="70"/>
      <c r="R927" s="70"/>
      <c r="S927" s="70"/>
      <c r="T927" s="70"/>
      <c r="U927" s="70"/>
      <c r="V927" s="70"/>
      <c r="W927" s="70"/>
      <c r="X927" s="70"/>
      <c r="Y927" s="70"/>
      <c r="Z927" s="70"/>
    </row>
    <row r="928" spans="1:26">
      <c r="A928" s="70" t="str">
        <f>IF('Item Setup Form'!$AF932="Yes",'Item Setup Form'!$E932,"")</f>
        <v/>
      </c>
      <c r="B928" s="70" t="str">
        <f>IF('Item Setup Form'!$AF932="Yes",'Item Setup Form'!D932,"")</f>
        <v/>
      </c>
      <c r="C928" s="81" t="str">
        <f>IF('Item Setup Form'!$AF932="Yes",'Item Setup Form'!L932,"")</f>
        <v/>
      </c>
      <c r="D928" s="81" t="str">
        <f>IF('Item Setup Form'!$AF932="Yes",'Item Setup Form'!M932,"")</f>
        <v/>
      </c>
      <c r="E928" s="70"/>
      <c r="F928" s="70" t="str">
        <f>IF('Item Setup Form'!$AF932="Yes",'Item Setup Form'!G932,"")</f>
        <v/>
      </c>
      <c r="G928" s="70" t="str">
        <f>IF('Item Setup Form'!$AF932="Yes",'Item Setup Form'!H932,"")</f>
        <v/>
      </c>
      <c r="H928" s="70" t="str">
        <f>IF('Item Setup Form'!$AF932="Yes",'Item Setup Form'!V932,"")</f>
        <v/>
      </c>
      <c r="I928" s="70"/>
      <c r="J928" s="70" t="str">
        <f>IF('Item Setup Form'!$AF932="Yes",'Item Setup Form'!U932,"")</f>
        <v/>
      </c>
      <c r="K928" s="70" t="str">
        <f>IF('Item Setup Form'!$AF932="Yes",'Item Setup Form'!V932,"")</f>
        <v/>
      </c>
      <c r="L928" s="70"/>
      <c r="M928" s="70" t="str">
        <f>IF('Item Setup Form'!$AF932="Yes",'Item Setup Form'!A932,"")</f>
        <v/>
      </c>
      <c r="N928" s="70"/>
      <c r="O928" s="70"/>
      <c r="P928" s="70"/>
      <c r="Q928" s="70"/>
      <c r="R928" s="70"/>
      <c r="S928" s="70"/>
      <c r="T928" s="70"/>
      <c r="U928" s="70"/>
      <c r="V928" s="70"/>
      <c r="W928" s="70"/>
      <c r="X928" s="70"/>
      <c r="Y928" s="70"/>
      <c r="Z928" s="70"/>
    </row>
    <row r="929" spans="1:26">
      <c r="A929" s="70" t="str">
        <f>IF('Item Setup Form'!$AF933="Yes",'Item Setup Form'!$E933,"")</f>
        <v/>
      </c>
      <c r="B929" s="70" t="str">
        <f>IF('Item Setup Form'!$AF933="Yes",'Item Setup Form'!D933,"")</f>
        <v/>
      </c>
      <c r="C929" s="81" t="str">
        <f>IF('Item Setup Form'!$AF933="Yes",'Item Setup Form'!L933,"")</f>
        <v/>
      </c>
      <c r="D929" s="81" t="str">
        <f>IF('Item Setup Form'!$AF933="Yes",'Item Setup Form'!M933,"")</f>
        <v/>
      </c>
      <c r="E929" s="70"/>
      <c r="F929" s="70" t="str">
        <f>IF('Item Setup Form'!$AF933="Yes",'Item Setup Form'!G933,"")</f>
        <v/>
      </c>
      <c r="G929" s="70" t="str">
        <f>IF('Item Setup Form'!$AF933="Yes",'Item Setup Form'!H933,"")</f>
        <v/>
      </c>
      <c r="H929" s="70" t="str">
        <f>IF('Item Setup Form'!$AF933="Yes",'Item Setup Form'!V933,"")</f>
        <v/>
      </c>
      <c r="I929" s="70"/>
      <c r="J929" s="70" t="str">
        <f>IF('Item Setup Form'!$AF933="Yes",'Item Setup Form'!U933,"")</f>
        <v/>
      </c>
      <c r="K929" s="70" t="str">
        <f>IF('Item Setup Form'!$AF933="Yes",'Item Setup Form'!V933,"")</f>
        <v/>
      </c>
      <c r="L929" s="70"/>
      <c r="M929" s="70" t="str">
        <f>IF('Item Setup Form'!$AF933="Yes",'Item Setup Form'!A933,"")</f>
        <v/>
      </c>
      <c r="N929" s="70"/>
      <c r="O929" s="70"/>
      <c r="P929" s="70"/>
      <c r="Q929" s="70"/>
      <c r="R929" s="70"/>
      <c r="S929" s="70"/>
      <c r="T929" s="70"/>
      <c r="U929" s="70"/>
      <c r="V929" s="70"/>
      <c r="W929" s="70"/>
      <c r="X929" s="70"/>
      <c r="Y929" s="70"/>
      <c r="Z929" s="70"/>
    </row>
    <row r="930" spans="1:26">
      <c r="A930" s="70" t="str">
        <f>IF('Item Setup Form'!$AF934="Yes",'Item Setup Form'!$E934,"")</f>
        <v/>
      </c>
      <c r="B930" s="70" t="str">
        <f>IF('Item Setup Form'!$AF934="Yes",'Item Setup Form'!D934,"")</f>
        <v/>
      </c>
      <c r="C930" s="81" t="str">
        <f>IF('Item Setup Form'!$AF934="Yes",'Item Setup Form'!L934,"")</f>
        <v/>
      </c>
      <c r="D930" s="81" t="str">
        <f>IF('Item Setup Form'!$AF934="Yes",'Item Setup Form'!M934,"")</f>
        <v/>
      </c>
      <c r="E930" s="70"/>
      <c r="F930" s="70" t="str">
        <f>IF('Item Setup Form'!$AF934="Yes",'Item Setup Form'!G934,"")</f>
        <v/>
      </c>
      <c r="G930" s="70" t="str">
        <f>IF('Item Setup Form'!$AF934="Yes",'Item Setup Form'!H934,"")</f>
        <v/>
      </c>
      <c r="H930" s="70" t="str">
        <f>IF('Item Setup Form'!$AF934="Yes",'Item Setup Form'!V934,"")</f>
        <v/>
      </c>
      <c r="I930" s="70"/>
      <c r="J930" s="70" t="str">
        <f>IF('Item Setup Form'!$AF934="Yes",'Item Setup Form'!U934,"")</f>
        <v/>
      </c>
      <c r="K930" s="70" t="str">
        <f>IF('Item Setup Form'!$AF934="Yes",'Item Setup Form'!V934,"")</f>
        <v/>
      </c>
      <c r="L930" s="70"/>
      <c r="M930" s="70" t="str">
        <f>IF('Item Setup Form'!$AF934="Yes",'Item Setup Form'!A934,"")</f>
        <v/>
      </c>
      <c r="N930" s="70"/>
      <c r="O930" s="70"/>
      <c r="P930" s="70"/>
      <c r="Q930" s="70"/>
      <c r="R930" s="70"/>
      <c r="S930" s="70"/>
      <c r="T930" s="70"/>
      <c r="U930" s="70"/>
      <c r="V930" s="70"/>
      <c r="W930" s="70"/>
      <c r="X930" s="70"/>
      <c r="Y930" s="70"/>
      <c r="Z930" s="70"/>
    </row>
    <row r="931" spans="1:26">
      <c r="A931" s="70" t="str">
        <f>IF('Item Setup Form'!$AF935="Yes",'Item Setup Form'!$E935,"")</f>
        <v/>
      </c>
      <c r="B931" s="70" t="str">
        <f>IF('Item Setup Form'!$AF935="Yes",'Item Setup Form'!D935,"")</f>
        <v/>
      </c>
      <c r="C931" s="81" t="str">
        <f>IF('Item Setup Form'!$AF935="Yes",'Item Setup Form'!L935,"")</f>
        <v/>
      </c>
      <c r="D931" s="81" t="str">
        <f>IF('Item Setup Form'!$AF935="Yes",'Item Setup Form'!M935,"")</f>
        <v/>
      </c>
      <c r="E931" s="70"/>
      <c r="F931" s="70" t="str">
        <f>IF('Item Setup Form'!$AF935="Yes",'Item Setup Form'!G935,"")</f>
        <v/>
      </c>
      <c r="G931" s="70" t="str">
        <f>IF('Item Setup Form'!$AF935="Yes",'Item Setup Form'!H935,"")</f>
        <v/>
      </c>
      <c r="H931" s="70" t="str">
        <f>IF('Item Setup Form'!$AF935="Yes",'Item Setup Form'!V935,"")</f>
        <v/>
      </c>
      <c r="I931" s="70"/>
      <c r="J931" s="70" t="str">
        <f>IF('Item Setup Form'!$AF935="Yes",'Item Setup Form'!U935,"")</f>
        <v/>
      </c>
      <c r="K931" s="70" t="str">
        <f>IF('Item Setup Form'!$AF935="Yes",'Item Setup Form'!V935,"")</f>
        <v/>
      </c>
      <c r="L931" s="70"/>
      <c r="M931" s="70" t="str">
        <f>IF('Item Setup Form'!$AF935="Yes",'Item Setup Form'!A935,"")</f>
        <v/>
      </c>
      <c r="N931" s="70"/>
      <c r="O931" s="70"/>
      <c r="P931" s="70"/>
      <c r="Q931" s="70"/>
      <c r="R931" s="70"/>
      <c r="S931" s="70"/>
      <c r="T931" s="70"/>
      <c r="U931" s="70"/>
      <c r="V931" s="70"/>
      <c r="W931" s="70"/>
      <c r="X931" s="70"/>
      <c r="Y931" s="70"/>
      <c r="Z931" s="70"/>
    </row>
    <row r="932" spans="1:26">
      <c r="A932" s="70" t="str">
        <f>IF('Item Setup Form'!$AF936="Yes",'Item Setup Form'!$E936,"")</f>
        <v/>
      </c>
      <c r="B932" s="70" t="str">
        <f>IF('Item Setup Form'!$AF936="Yes",'Item Setup Form'!D936,"")</f>
        <v/>
      </c>
      <c r="C932" s="81" t="str">
        <f>IF('Item Setup Form'!$AF936="Yes",'Item Setup Form'!L936,"")</f>
        <v/>
      </c>
      <c r="D932" s="81" t="str">
        <f>IF('Item Setup Form'!$AF936="Yes",'Item Setup Form'!M936,"")</f>
        <v/>
      </c>
      <c r="E932" s="70"/>
      <c r="F932" s="70" t="str">
        <f>IF('Item Setup Form'!$AF936="Yes",'Item Setup Form'!G936,"")</f>
        <v/>
      </c>
      <c r="G932" s="70" t="str">
        <f>IF('Item Setup Form'!$AF936="Yes",'Item Setup Form'!H936,"")</f>
        <v/>
      </c>
      <c r="H932" s="70" t="str">
        <f>IF('Item Setup Form'!$AF936="Yes",'Item Setup Form'!V936,"")</f>
        <v/>
      </c>
      <c r="I932" s="70"/>
      <c r="J932" s="70" t="str">
        <f>IF('Item Setup Form'!$AF936="Yes",'Item Setup Form'!U936,"")</f>
        <v/>
      </c>
      <c r="K932" s="70" t="str">
        <f>IF('Item Setup Form'!$AF936="Yes",'Item Setup Form'!V936,"")</f>
        <v/>
      </c>
      <c r="L932" s="70"/>
      <c r="M932" s="70" t="str">
        <f>IF('Item Setup Form'!$AF936="Yes",'Item Setup Form'!A936,"")</f>
        <v/>
      </c>
      <c r="N932" s="70"/>
      <c r="O932" s="70"/>
      <c r="P932" s="70"/>
      <c r="Q932" s="70"/>
      <c r="R932" s="70"/>
      <c r="S932" s="70"/>
      <c r="T932" s="70"/>
      <c r="U932" s="70"/>
      <c r="V932" s="70"/>
      <c r="W932" s="70"/>
      <c r="X932" s="70"/>
      <c r="Y932" s="70"/>
      <c r="Z932" s="70"/>
    </row>
    <row r="933" spans="1:26">
      <c r="A933" s="70" t="str">
        <f>IF('Item Setup Form'!$AF937="Yes",'Item Setup Form'!$E937,"")</f>
        <v/>
      </c>
      <c r="B933" s="70" t="str">
        <f>IF('Item Setup Form'!$AF937="Yes",'Item Setup Form'!D937,"")</f>
        <v/>
      </c>
      <c r="C933" s="81" t="str">
        <f>IF('Item Setup Form'!$AF937="Yes",'Item Setup Form'!L937,"")</f>
        <v/>
      </c>
      <c r="D933" s="81" t="str">
        <f>IF('Item Setup Form'!$AF937="Yes",'Item Setup Form'!M937,"")</f>
        <v/>
      </c>
      <c r="E933" s="70"/>
      <c r="F933" s="70" t="str">
        <f>IF('Item Setup Form'!$AF937="Yes",'Item Setup Form'!G937,"")</f>
        <v/>
      </c>
      <c r="G933" s="70" t="str">
        <f>IF('Item Setup Form'!$AF937="Yes",'Item Setup Form'!H937,"")</f>
        <v/>
      </c>
      <c r="H933" s="70" t="str">
        <f>IF('Item Setup Form'!$AF937="Yes",'Item Setup Form'!V937,"")</f>
        <v/>
      </c>
      <c r="I933" s="70"/>
      <c r="J933" s="70" t="str">
        <f>IF('Item Setup Form'!$AF937="Yes",'Item Setup Form'!U937,"")</f>
        <v/>
      </c>
      <c r="K933" s="70" t="str">
        <f>IF('Item Setup Form'!$AF937="Yes",'Item Setup Form'!V937,"")</f>
        <v/>
      </c>
      <c r="L933" s="70"/>
      <c r="M933" s="70" t="str">
        <f>IF('Item Setup Form'!$AF937="Yes",'Item Setup Form'!A937,"")</f>
        <v/>
      </c>
      <c r="N933" s="70"/>
      <c r="O933" s="70"/>
      <c r="P933" s="70"/>
      <c r="Q933" s="70"/>
      <c r="R933" s="70"/>
      <c r="S933" s="70"/>
      <c r="T933" s="70"/>
      <c r="U933" s="70"/>
      <c r="V933" s="70"/>
      <c r="W933" s="70"/>
      <c r="X933" s="70"/>
      <c r="Y933" s="70"/>
      <c r="Z933" s="70"/>
    </row>
    <row r="934" spans="1:26">
      <c r="A934" s="70" t="str">
        <f>IF('Item Setup Form'!$AF938="Yes",'Item Setup Form'!$E938,"")</f>
        <v/>
      </c>
      <c r="B934" s="70" t="str">
        <f>IF('Item Setup Form'!$AF938="Yes",'Item Setup Form'!D938,"")</f>
        <v/>
      </c>
      <c r="C934" s="81" t="str">
        <f>IF('Item Setup Form'!$AF938="Yes",'Item Setup Form'!L938,"")</f>
        <v/>
      </c>
      <c r="D934" s="81" t="str">
        <f>IF('Item Setup Form'!$AF938="Yes",'Item Setup Form'!M938,"")</f>
        <v/>
      </c>
      <c r="E934" s="70"/>
      <c r="F934" s="70" t="str">
        <f>IF('Item Setup Form'!$AF938="Yes",'Item Setup Form'!G938,"")</f>
        <v/>
      </c>
      <c r="G934" s="70" t="str">
        <f>IF('Item Setup Form'!$AF938="Yes",'Item Setup Form'!H938,"")</f>
        <v/>
      </c>
      <c r="H934" s="70" t="str">
        <f>IF('Item Setup Form'!$AF938="Yes",'Item Setup Form'!V938,"")</f>
        <v/>
      </c>
      <c r="I934" s="70"/>
      <c r="J934" s="70" t="str">
        <f>IF('Item Setup Form'!$AF938="Yes",'Item Setup Form'!U938,"")</f>
        <v/>
      </c>
      <c r="K934" s="70" t="str">
        <f>IF('Item Setup Form'!$AF938="Yes",'Item Setup Form'!V938,"")</f>
        <v/>
      </c>
      <c r="L934" s="70"/>
      <c r="M934" s="70" t="str">
        <f>IF('Item Setup Form'!$AF938="Yes",'Item Setup Form'!A938,"")</f>
        <v/>
      </c>
      <c r="N934" s="70"/>
      <c r="O934" s="70"/>
      <c r="P934" s="70"/>
      <c r="Q934" s="70"/>
      <c r="R934" s="70"/>
      <c r="S934" s="70"/>
      <c r="T934" s="70"/>
      <c r="U934" s="70"/>
      <c r="V934" s="70"/>
      <c r="W934" s="70"/>
      <c r="X934" s="70"/>
      <c r="Y934" s="70"/>
      <c r="Z934" s="70"/>
    </row>
    <row r="935" spans="1:26">
      <c r="A935" s="70" t="str">
        <f>IF('Item Setup Form'!$AF939="Yes",'Item Setup Form'!$E939,"")</f>
        <v/>
      </c>
      <c r="B935" s="70" t="str">
        <f>IF('Item Setup Form'!$AF939="Yes",'Item Setup Form'!D939,"")</f>
        <v/>
      </c>
      <c r="C935" s="81" t="str">
        <f>IF('Item Setup Form'!$AF939="Yes",'Item Setup Form'!L939,"")</f>
        <v/>
      </c>
      <c r="D935" s="81" t="str">
        <f>IF('Item Setup Form'!$AF939="Yes",'Item Setup Form'!M939,"")</f>
        <v/>
      </c>
      <c r="E935" s="70"/>
      <c r="F935" s="70" t="str">
        <f>IF('Item Setup Form'!$AF939="Yes",'Item Setup Form'!G939,"")</f>
        <v/>
      </c>
      <c r="G935" s="70" t="str">
        <f>IF('Item Setup Form'!$AF939="Yes",'Item Setup Form'!H939,"")</f>
        <v/>
      </c>
      <c r="H935" s="70" t="str">
        <f>IF('Item Setup Form'!$AF939="Yes",'Item Setup Form'!V939,"")</f>
        <v/>
      </c>
      <c r="I935" s="70"/>
      <c r="J935" s="70" t="str">
        <f>IF('Item Setup Form'!$AF939="Yes",'Item Setup Form'!U939,"")</f>
        <v/>
      </c>
      <c r="K935" s="70" t="str">
        <f>IF('Item Setup Form'!$AF939="Yes",'Item Setup Form'!V939,"")</f>
        <v/>
      </c>
      <c r="L935" s="70"/>
      <c r="M935" s="70" t="str">
        <f>IF('Item Setup Form'!$AF939="Yes",'Item Setup Form'!A939,"")</f>
        <v/>
      </c>
      <c r="N935" s="70"/>
      <c r="O935" s="70"/>
      <c r="P935" s="70"/>
      <c r="Q935" s="70"/>
      <c r="R935" s="70"/>
      <c r="S935" s="70"/>
      <c r="T935" s="70"/>
      <c r="U935" s="70"/>
      <c r="V935" s="70"/>
      <c r="W935" s="70"/>
      <c r="X935" s="70"/>
      <c r="Y935" s="70"/>
      <c r="Z935" s="70"/>
    </row>
    <row r="936" spans="1:26">
      <c r="A936" s="70" t="str">
        <f>IF('Item Setup Form'!$AF940="Yes",'Item Setup Form'!$E940,"")</f>
        <v/>
      </c>
      <c r="B936" s="70" t="str">
        <f>IF('Item Setup Form'!$AF940="Yes",'Item Setup Form'!D940,"")</f>
        <v/>
      </c>
      <c r="C936" s="81" t="str">
        <f>IF('Item Setup Form'!$AF940="Yes",'Item Setup Form'!L940,"")</f>
        <v/>
      </c>
      <c r="D936" s="81" t="str">
        <f>IF('Item Setup Form'!$AF940="Yes",'Item Setup Form'!M940,"")</f>
        <v/>
      </c>
      <c r="E936" s="70"/>
      <c r="F936" s="70" t="str">
        <f>IF('Item Setup Form'!$AF940="Yes",'Item Setup Form'!G940,"")</f>
        <v/>
      </c>
      <c r="G936" s="70" t="str">
        <f>IF('Item Setup Form'!$AF940="Yes",'Item Setup Form'!H940,"")</f>
        <v/>
      </c>
      <c r="H936" s="70" t="str">
        <f>IF('Item Setup Form'!$AF940="Yes",'Item Setup Form'!V940,"")</f>
        <v/>
      </c>
      <c r="I936" s="70"/>
      <c r="J936" s="70" t="str">
        <f>IF('Item Setup Form'!$AF940="Yes",'Item Setup Form'!U940,"")</f>
        <v/>
      </c>
      <c r="K936" s="70" t="str">
        <f>IF('Item Setup Form'!$AF940="Yes",'Item Setup Form'!V940,"")</f>
        <v/>
      </c>
      <c r="L936" s="70"/>
      <c r="M936" s="70" t="str">
        <f>IF('Item Setup Form'!$AF940="Yes",'Item Setup Form'!A940,"")</f>
        <v/>
      </c>
      <c r="N936" s="70"/>
      <c r="O936" s="70"/>
      <c r="P936" s="70"/>
      <c r="Q936" s="70"/>
      <c r="R936" s="70"/>
      <c r="S936" s="70"/>
      <c r="T936" s="70"/>
      <c r="U936" s="70"/>
      <c r="V936" s="70"/>
      <c r="W936" s="70"/>
      <c r="X936" s="70"/>
      <c r="Y936" s="70"/>
      <c r="Z936" s="70"/>
    </row>
    <row r="937" spans="1:26">
      <c r="A937" s="70" t="str">
        <f>IF('Item Setup Form'!$AF941="Yes",'Item Setup Form'!$E941,"")</f>
        <v/>
      </c>
      <c r="B937" s="70" t="str">
        <f>IF('Item Setup Form'!$AF941="Yes",'Item Setup Form'!D941,"")</f>
        <v/>
      </c>
      <c r="C937" s="81" t="str">
        <f>IF('Item Setup Form'!$AF941="Yes",'Item Setup Form'!L941,"")</f>
        <v/>
      </c>
      <c r="D937" s="81" t="str">
        <f>IF('Item Setup Form'!$AF941="Yes",'Item Setup Form'!M941,"")</f>
        <v/>
      </c>
      <c r="E937" s="70"/>
      <c r="F937" s="70" t="str">
        <f>IF('Item Setup Form'!$AF941="Yes",'Item Setup Form'!G941,"")</f>
        <v/>
      </c>
      <c r="G937" s="70" t="str">
        <f>IF('Item Setup Form'!$AF941="Yes",'Item Setup Form'!H941,"")</f>
        <v/>
      </c>
      <c r="H937" s="70" t="str">
        <f>IF('Item Setup Form'!$AF941="Yes",'Item Setup Form'!V941,"")</f>
        <v/>
      </c>
      <c r="I937" s="70"/>
      <c r="J937" s="70" t="str">
        <f>IF('Item Setup Form'!$AF941="Yes",'Item Setup Form'!U941,"")</f>
        <v/>
      </c>
      <c r="K937" s="70" t="str">
        <f>IF('Item Setup Form'!$AF941="Yes",'Item Setup Form'!V941,"")</f>
        <v/>
      </c>
      <c r="L937" s="70"/>
      <c r="M937" s="70" t="str">
        <f>IF('Item Setup Form'!$AF941="Yes",'Item Setup Form'!A941,"")</f>
        <v/>
      </c>
      <c r="N937" s="70"/>
      <c r="O937" s="70"/>
      <c r="P937" s="70"/>
      <c r="Q937" s="70"/>
      <c r="R937" s="70"/>
      <c r="S937" s="70"/>
      <c r="T937" s="70"/>
      <c r="U937" s="70"/>
      <c r="V937" s="70"/>
      <c r="W937" s="70"/>
      <c r="X937" s="70"/>
      <c r="Y937" s="70"/>
      <c r="Z937" s="70"/>
    </row>
    <row r="938" spans="1:26">
      <c r="A938" s="70" t="str">
        <f>IF('Item Setup Form'!$AF942="Yes",'Item Setup Form'!$E942,"")</f>
        <v/>
      </c>
      <c r="B938" s="70" t="str">
        <f>IF('Item Setup Form'!$AF942="Yes",'Item Setup Form'!D942,"")</f>
        <v/>
      </c>
      <c r="C938" s="81" t="str">
        <f>IF('Item Setup Form'!$AF942="Yes",'Item Setup Form'!L942,"")</f>
        <v/>
      </c>
      <c r="D938" s="81" t="str">
        <f>IF('Item Setup Form'!$AF942="Yes",'Item Setup Form'!M942,"")</f>
        <v/>
      </c>
      <c r="E938" s="70"/>
      <c r="F938" s="70" t="str">
        <f>IF('Item Setup Form'!$AF942="Yes",'Item Setup Form'!G942,"")</f>
        <v/>
      </c>
      <c r="G938" s="70" t="str">
        <f>IF('Item Setup Form'!$AF942="Yes",'Item Setup Form'!H942,"")</f>
        <v/>
      </c>
      <c r="H938" s="70" t="str">
        <f>IF('Item Setup Form'!$AF942="Yes",'Item Setup Form'!V942,"")</f>
        <v/>
      </c>
      <c r="I938" s="70"/>
      <c r="J938" s="70" t="str">
        <f>IF('Item Setup Form'!$AF942="Yes",'Item Setup Form'!U942,"")</f>
        <v/>
      </c>
      <c r="K938" s="70" t="str">
        <f>IF('Item Setup Form'!$AF942="Yes",'Item Setup Form'!V942,"")</f>
        <v/>
      </c>
      <c r="L938" s="70"/>
      <c r="M938" s="70" t="str">
        <f>IF('Item Setup Form'!$AF942="Yes",'Item Setup Form'!A942,"")</f>
        <v/>
      </c>
      <c r="N938" s="70"/>
      <c r="O938" s="70"/>
      <c r="P938" s="70"/>
      <c r="Q938" s="70"/>
      <c r="R938" s="70"/>
      <c r="S938" s="70"/>
      <c r="T938" s="70"/>
      <c r="U938" s="70"/>
      <c r="V938" s="70"/>
      <c r="W938" s="70"/>
      <c r="X938" s="70"/>
      <c r="Y938" s="70"/>
      <c r="Z938" s="70"/>
    </row>
    <row r="939" spans="1:26">
      <c r="A939" s="70" t="str">
        <f>IF('Item Setup Form'!$AF943="Yes",'Item Setup Form'!$E943,"")</f>
        <v/>
      </c>
      <c r="B939" s="70" t="str">
        <f>IF('Item Setup Form'!$AF943="Yes",'Item Setup Form'!D943,"")</f>
        <v/>
      </c>
      <c r="C939" s="81" t="str">
        <f>IF('Item Setup Form'!$AF943="Yes",'Item Setup Form'!L943,"")</f>
        <v/>
      </c>
      <c r="D939" s="81" t="str">
        <f>IF('Item Setup Form'!$AF943="Yes",'Item Setup Form'!M943,"")</f>
        <v/>
      </c>
      <c r="E939" s="70"/>
      <c r="F939" s="70" t="str">
        <f>IF('Item Setup Form'!$AF943="Yes",'Item Setup Form'!G943,"")</f>
        <v/>
      </c>
      <c r="G939" s="70" t="str">
        <f>IF('Item Setup Form'!$AF943="Yes",'Item Setup Form'!H943,"")</f>
        <v/>
      </c>
      <c r="H939" s="70" t="str">
        <f>IF('Item Setup Form'!$AF943="Yes",'Item Setup Form'!V943,"")</f>
        <v/>
      </c>
      <c r="I939" s="70"/>
      <c r="J939" s="70" t="str">
        <f>IF('Item Setup Form'!$AF943="Yes",'Item Setup Form'!U943,"")</f>
        <v/>
      </c>
      <c r="K939" s="70" t="str">
        <f>IF('Item Setup Form'!$AF943="Yes",'Item Setup Form'!V943,"")</f>
        <v/>
      </c>
      <c r="L939" s="70"/>
      <c r="M939" s="70" t="str">
        <f>IF('Item Setup Form'!$AF943="Yes",'Item Setup Form'!A943,"")</f>
        <v/>
      </c>
      <c r="N939" s="70"/>
      <c r="O939" s="70"/>
      <c r="P939" s="70"/>
      <c r="Q939" s="70"/>
      <c r="R939" s="70"/>
      <c r="S939" s="70"/>
      <c r="T939" s="70"/>
      <c r="U939" s="70"/>
      <c r="V939" s="70"/>
      <c r="W939" s="70"/>
      <c r="X939" s="70"/>
      <c r="Y939" s="70"/>
      <c r="Z939" s="70"/>
    </row>
    <row r="940" spans="1:26">
      <c r="A940" s="70" t="str">
        <f>IF('Item Setup Form'!$AF944="Yes",'Item Setup Form'!$E944,"")</f>
        <v/>
      </c>
      <c r="B940" s="70" t="str">
        <f>IF('Item Setup Form'!$AF944="Yes",'Item Setup Form'!D944,"")</f>
        <v/>
      </c>
      <c r="C940" s="81" t="str">
        <f>IF('Item Setup Form'!$AF944="Yes",'Item Setup Form'!L944,"")</f>
        <v/>
      </c>
      <c r="D940" s="81" t="str">
        <f>IF('Item Setup Form'!$AF944="Yes",'Item Setup Form'!M944,"")</f>
        <v/>
      </c>
      <c r="E940" s="70"/>
      <c r="F940" s="70" t="str">
        <f>IF('Item Setup Form'!$AF944="Yes",'Item Setup Form'!G944,"")</f>
        <v/>
      </c>
      <c r="G940" s="70" t="str">
        <f>IF('Item Setup Form'!$AF944="Yes",'Item Setup Form'!H944,"")</f>
        <v/>
      </c>
      <c r="H940" s="70" t="str">
        <f>IF('Item Setup Form'!$AF944="Yes",'Item Setup Form'!V944,"")</f>
        <v/>
      </c>
      <c r="I940" s="70"/>
      <c r="J940" s="70" t="str">
        <f>IF('Item Setup Form'!$AF944="Yes",'Item Setup Form'!U944,"")</f>
        <v/>
      </c>
      <c r="K940" s="70" t="str">
        <f>IF('Item Setup Form'!$AF944="Yes",'Item Setup Form'!V944,"")</f>
        <v/>
      </c>
      <c r="L940" s="70"/>
      <c r="M940" s="70" t="str">
        <f>IF('Item Setup Form'!$AF944="Yes",'Item Setup Form'!A944,"")</f>
        <v/>
      </c>
      <c r="N940" s="70"/>
      <c r="O940" s="70"/>
      <c r="P940" s="70"/>
      <c r="Q940" s="70"/>
      <c r="R940" s="70"/>
      <c r="S940" s="70"/>
      <c r="T940" s="70"/>
      <c r="U940" s="70"/>
      <c r="V940" s="70"/>
      <c r="W940" s="70"/>
      <c r="X940" s="70"/>
      <c r="Y940" s="70"/>
      <c r="Z940" s="70"/>
    </row>
    <row r="941" spans="1:26">
      <c r="A941" s="70" t="str">
        <f>IF('Item Setup Form'!$AF945="Yes",'Item Setup Form'!$E945,"")</f>
        <v/>
      </c>
      <c r="B941" s="70" t="str">
        <f>IF('Item Setup Form'!$AF945="Yes",'Item Setup Form'!D945,"")</f>
        <v/>
      </c>
      <c r="C941" s="81" t="str">
        <f>IF('Item Setup Form'!$AF945="Yes",'Item Setup Form'!L945,"")</f>
        <v/>
      </c>
      <c r="D941" s="81" t="str">
        <f>IF('Item Setup Form'!$AF945="Yes",'Item Setup Form'!M945,"")</f>
        <v/>
      </c>
      <c r="E941" s="70"/>
      <c r="F941" s="70" t="str">
        <f>IF('Item Setup Form'!$AF945="Yes",'Item Setup Form'!G945,"")</f>
        <v/>
      </c>
      <c r="G941" s="70" t="str">
        <f>IF('Item Setup Form'!$AF945="Yes",'Item Setup Form'!H945,"")</f>
        <v/>
      </c>
      <c r="H941" s="70" t="str">
        <f>IF('Item Setup Form'!$AF945="Yes",'Item Setup Form'!V945,"")</f>
        <v/>
      </c>
      <c r="I941" s="70"/>
      <c r="J941" s="70" t="str">
        <f>IF('Item Setup Form'!$AF945="Yes",'Item Setup Form'!U945,"")</f>
        <v/>
      </c>
      <c r="K941" s="70" t="str">
        <f>IF('Item Setup Form'!$AF945="Yes",'Item Setup Form'!V945,"")</f>
        <v/>
      </c>
      <c r="L941" s="70"/>
      <c r="M941" s="70" t="str">
        <f>IF('Item Setup Form'!$AF945="Yes",'Item Setup Form'!A945,"")</f>
        <v/>
      </c>
      <c r="N941" s="70"/>
      <c r="O941" s="70"/>
      <c r="P941" s="70"/>
      <c r="Q941" s="70"/>
      <c r="R941" s="70"/>
      <c r="S941" s="70"/>
      <c r="T941" s="70"/>
      <c r="U941" s="70"/>
      <c r="V941" s="70"/>
      <c r="W941" s="70"/>
      <c r="X941" s="70"/>
      <c r="Y941" s="70"/>
      <c r="Z941" s="70"/>
    </row>
    <row r="942" spans="1:26">
      <c r="A942" s="70" t="str">
        <f>IF('Item Setup Form'!$AF946="Yes",'Item Setup Form'!$E946,"")</f>
        <v/>
      </c>
      <c r="B942" s="70" t="str">
        <f>IF('Item Setup Form'!$AF946="Yes",'Item Setup Form'!D946,"")</f>
        <v/>
      </c>
      <c r="C942" s="81" t="str">
        <f>IF('Item Setup Form'!$AF946="Yes",'Item Setup Form'!L946,"")</f>
        <v/>
      </c>
      <c r="D942" s="81" t="str">
        <f>IF('Item Setup Form'!$AF946="Yes",'Item Setup Form'!M946,"")</f>
        <v/>
      </c>
      <c r="E942" s="70"/>
      <c r="F942" s="70" t="str">
        <f>IF('Item Setup Form'!$AF946="Yes",'Item Setup Form'!G946,"")</f>
        <v/>
      </c>
      <c r="G942" s="70" t="str">
        <f>IF('Item Setup Form'!$AF946="Yes",'Item Setup Form'!H946,"")</f>
        <v/>
      </c>
      <c r="H942" s="70" t="str">
        <f>IF('Item Setup Form'!$AF946="Yes",'Item Setup Form'!V946,"")</f>
        <v/>
      </c>
      <c r="I942" s="70"/>
      <c r="J942" s="70" t="str">
        <f>IF('Item Setup Form'!$AF946="Yes",'Item Setup Form'!U946,"")</f>
        <v/>
      </c>
      <c r="K942" s="70" t="str">
        <f>IF('Item Setup Form'!$AF946="Yes",'Item Setup Form'!V946,"")</f>
        <v/>
      </c>
      <c r="L942" s="70"/>
      <c r="M942" s="70" t="str">
        <f>IF('Item Setup Form'!$AF946="Yes",'Item Setup Form'!A946,"")</f>
        <v/>
      </c>
      <c r="N942" s="70"/>
      <c r="O942" s="70"/>
      <c r="P942" s="70"/>
      <c r="Q942" s="70"/>
      <c r="R942" s="70"/>
      <c r="S942" s="70"/>
      <c r="T942" s="70"/>
      <c r="U942" s="70"/>
      <c r="V942" s="70"/>
      <c r="W942" s="70"/>
      <c r="X942" s="70"/>
      <c r="Y942" s="70"/>
      <c r="Z942" s="70"/>
    </row>
    <row r="943" spans="1:26">
      <c r="A943" s="70" t="str">
        <f>IF('Item Setup Form'!$AF947="Yes",'Item Setup Form'!$E947,"")</f>
        <v/>
      </c>
      <c r="B943" s="70" t="str">
        <f>IF('Item Setup Form'!$AF947="Yes",'Item Setup Form'!D947,"")</f>
        <v/>
      </c>
      <c r="C943" s="81" t="str">
        <f>IF('Item Setup Form'!$AF947="Yes",'Item Setup Form'!L947,"")</f>
        <v/>
      </c>
      <c r="D943" s="81" t="str">
        <f>IF('Item Setup Form'!$AF947="Yes",'Item Setup Form'!M947,"")</f>
        <v/>
      </c>
      <c r="E943" s="70"/>
      <c r="F943" s="70" t="str">
        <f>IF('Item Setup Form'!$AF947="Yes",'Item Setup Form'!G947,"")</f>
        <v/>
      </c>
      <c r="G943" s="70" t="str">
        <f>IF('Item Setup Form'!$AF947="Yes",'Item Setup Form'!H947,"")</f>
        <v/>
      </c>
      <c r="H943" s="70" t="str">
        <f>IF('Item Setup Form'!$AF947="Yes",'Item Setup Form'!V947,"")</f>
        <v/>
      </c>
      <c r="I943" s="70"/>
      <c r="J943" s="70" t="str">
        <f>IF('Item Setup Form'!$AF947="Yes",'Item Setup Form'!U947,"")</f>
        <v/>
      </c>
      <c r="K943" s="70" t="str">
        <f>IF('Item Setup Form'!$AF947="Yes",'Item Setup Form'!V947,"")</f>
        <v/>
      </c>
      <c r="L943" s="70"/>
      <c r="M943" s="70" t="str">
        <f>IF('Item Setup Form'!$AF947="Yes",'Item Setup Form'!A947,"")</f>
        <v/>
      </c>
      <c r="N943" s="70"/>
      <c r="O943" s="70"/>
      <c r="P943" s="70"/>
      <c r="Q943" s="70"/>
      <c r="R943" s="70"/>
      <c r="S943" s="70"/>
      <c r="T943" s="70"/>
      <c r="U943" s="70"/>
      <c r="V943" s="70"/>
      <c r="W943" s="70"/>
      <c r="X943" s="70"/>
      <c r="Y943" s="70"/>
      <c r="Z943" s="70"/>
    </row>
    <row r="944" spans="1:26">
      <c r="A944" s="70" t="str">
        <f>IF('Item Setup Form'!$AF948="Yes",'Item Setup Form'!$E948,"")</f>
        <v/>
      </c>
      <c r="B944" s="70" t="str">
        <f>IF('Item Setup Form'!$AF948="Yes",'Item Setup Form'!D948,"")</f>
        <v/>
      </c>
      <c r="C944" s="81" t="str">
        <f>IF('Item Setup Form'!$AF948="Yes",'Item Setup Form'!L948,"")</f>
        <v/>
      </c>
      <c r="D944" s="81" t="str">
        <f>IF('Item Setup Form'!$AF948="Yes",'Item Setup Form'!M948,"")</f>
        <v/>
      </c>
      <c r="E944" s="70"/>
      <c r="F944" s="70" t="str">
        <f>IF('Item Setup Form'!$AF948="Yes",'Item Setup Form'!G948,"")</f>
        <v/>
      </c>
      <c r="G944" s="70" t="str">
        <f>IF('Item Setup Form'!$AF948="Yes",'Item Setup Form'!H948,"")</f>
        <v/>
      </c>
      <c r="H944" s="70" t="str">
        <f>IF('Item Setup Form'!$AF948="Yes",'Item Setup Form'!V948,"")</f>
        <v/>
      </c>
      <c r="I944" s="70"/>
      <c r="J944" s="70" t="str">
        <f>IF('Item Setup Form'!$AF948="Yes",'Item Setup Form'!U948,"")</f>
        <v/>
      </c>
      <c r="K944" s="70" t="str">
        <f>IF('Item Setup Form'!$AF948="Yes",'Item Setup Form'!V948,"")</f>
        <v/>
      </c>
      <c r="L944" s="70"/>
      <c r="M944" s="70" t="str">
        <f>IF('Item Setup Form'!$AF948="Yes",'Item Setup Form'!A948,"")</f>
        <v/>
      </c>
      <c r="N944" s="70"/>
      <c r="O944" s="70"/>
      <c r="P944" s="70"/>
      <c r="Q944" s="70"/>
      <c r="R944" s="70"/>
      <c r="S944" s="70"/>
      <c r="T944" s="70"/>
      <c r="U944" s="70"/>
      <c r="V944" s="70"/>
      <c r="W944" s="70"/>
      <c r="X944" s="70"/>
      <c r="Y944" s="70"/>
      <c r="Z944" s="70"/>
    </row>
    <row r="945" spans="1:26">
      <c r="A945" s="70" t="str">
        <f>IF('Item Setup Form'!$AF949="Yes",'Item Setup Form'!$E949,"")</f>
        <v/>
      </c>
      <c r="B945" s="70" t="str">
        <f>IF('Item Setup Form'!$AF949="Yes",'Item Setup Form'!D949,"")</f>
        <v/>
      </c>
      <c r="C945" s="81" t="str">
        <f>IF('Item Setup Form'!$AF949="Yes",'Item Setup Form'!L949,"")</f>
        <v/>
      </c>
      <c r="D945" s="81" t="str">
        <f>IF('Item Setup Form'!$AF949="Yes",'Item Setup Form'!M949,"")</f>
        <v/>
      </c>
      <c r="E945" s="70"/>
      <c r="F945" s="70" t="str">
        <f>IF('Item Setup Form'!$AF949="Yes",'Item Setup Form'!G949,"")</f>
        <v/>
      </c>
      <c r="G945" s="70" t="str">
        <f>IF('Item Setup Form'!$AF949="Yes",'Item Setup Form'!H949,"")</f>
        <v/>
      </c>
      <c r="H945" s="70" t="str">
        <f>IF('Item Setup Form'!$AF949="Yes",'Item Setup Form'!V949,"")</f>
        <v/>
      </c>
      <c r="I945" s="70"/>
      <c r="J945" s="70" t="str">
        <f>IF('Item Setup Form'!$AF949="Yes",'Item Setup Form'!U949,"")</f>
        <v/>
      </c>
      <c r="K945" s="70" t="str">
        <f>IF('Item Setup Form'!$AF949="Yes",'Item Setup Form'!V949,"")</f>
        <v/>
      </c>
      <c r="L945" s="70"/>
      <c r="M945" s="70" t="str">
        <f>IF('Item Setup Form'!$AF949="Yes",'Item Setup Form'!A949,"")</f>
        <v/>
      </c>
      <c r="N945" s="70"/>
      <c r="O945" s="70"/>
      <c r="P945" s="70"/>
      <c r="Q945" s="70"/>
      <c r="R945" s="70"/>
      <c r="S945" s="70"/>
      <c r="T945" s="70"/>
      <c r="U945" s="70"/>
      <c r="V945" s="70"/>
      <c r="W945" s="70"/>
      <c r="X945" s="70"/>
      <c r="Y945" s="70"/>
      <c r="Z945" s="70"/>
    </row>
    <row r="946" spans="1:26">
      <c r="A946" s="70" t="str">
        <f>IF('Item Setup Form'!$AF950="Yes",'Item Setup Form'!$E950,"")</f>
        <v/>
      </c>
      <c r="B946" s="70" t="str">
        <f>IF('Item Setup Form'!$AF950="Yes",'Item Setup Form'!D950,"")</f>
        <v/>
      </c>
      <c r="C946" s="81" t="str">
        <f>IF('Item Setup Form'!$AF950="Yes",'Item Setup Form'!L950,"")</f>
        <v/>
      </c>
      <c r="D946" s="81" t="str">
        <f>IF('Item Setup Form'!$AF950="Yes",'Item Setup Form'!M950,"")</f>
        <v/>
      </c>
      <c r="E946" s="70"/>
      <c r="F946" s="70" t="str">
        <f>IF('Item Setup Form'!$AF950="Yes",'Item Setup Form'!G950,"")</f>
        <v/>
      </c>
      <c r="G946" s="70" t="str">
        <f>IF('Item Setup Form'!$AF950="Yes",'Item Setup Form'!H950,"")</f>
        <v/>
      </c>
      <c r="H946" s="70" t="str">
        <f>IF('Item Setup Form'!$AF950="Yes",'Item Setup Form'!V950,"")</f>
        <v/>
      </c>
      <c r="I946" s="70"/>
      <c r="J946" s="70" t="str">
        <f>IF('Item Setup Form'!$AF950="Yes",'Item Setup Form'!U950,"")</f>
        <v/>
      </c>
      <c r="K946" s="70" t="str">
        <f>IF('Item Setup Form'!$AF950="Yes",'Item Setup Form'!V950,"")</f>
        <v/>
      </c>
      <c r="L946" s="70"/>
      <c r="M946" s="70" t="str">
        <f>IF('Item Setup Form'!$AF950="Yes",'Item Setup Form'!A950,"")</f>
        <v/>
      </c>
      <c r="N946" s="70"/>
      <c r="O946" s="70"/>
      <c r="P946" s="70"/>
      <c r="Q946" s="70"/>
      <c r="R946" s="70"/>
      <c r="S946" s="70"/>
      <c r="T946" s="70"/>
      <c r="U946" s="70"/>
      <c r="V946" s="70"/>
      <c r="W946" s="70"/>
      <c r="X946" s="70"/>
      <c r="Y946" s="70"/>
      <c r="Z946" s="70"/>
    </row>
    <row r="947" spans="1:26">
      <c r="A947" s="70" t="str">
        <f>IF('Item Setup Form'!$AF951="Yes",'Item Setup Form'!$E951,"")</f>
        <v/>
      </c>
      <c r="B947" s="70" t="str">
        <f>IF('Item Setup Form'!$AF951="Yes",'Item Setup Form'!D951,"")</f>
        <v/>
      </c>
      <c r="C947" s="81" t="str">
        <f>IF('Item Setup Form'!$AF951="Yes",'Item Setup Form'!L951,"")</f>
        <v/>
      </c>
      <c r="D947" s="81" t="str">
        <f>IF('Item Setup Form'!$AF951="Yes",'Item Setup Form'!M951,"")</f>
        <v/>
      </c>
      <c r="E947" s="70"/>
      <c r="F947" s="70" t="str">
        <f>IF('Item Setup Form'!$AF951="Yes",'Item Setup Form'!G951,"")</f>
        <v/>
      </c>
      <c r="G947" s="70" t="str">
        <f>IF('Item Setup Form'!$AF951="Yes",'Item Setup Form'!H951,"")</f>
        <v/>
      </c>
      <c r="H947" s="70" t="str">
        <f>IF('Item Setup Form'!$AF951="Yes",'Item Setup Form'!V951,"")</f>
        <v/>
      </c>
      <c r="I947" s="70"/>
      <c r="J947" s="70" t="str">
        <f>IF('Item Setup Form'!$AF951="Yes",'Item Setup Form'!U951,"")</f>
        <v/>
      </c>
      <c r="K947" s="70" t="str">
        <f>IF('Item Setup Form'!$AF951="Yes",'Item Setup Form'!V951,"")</f>
        <v/>
      </c>
      <c r="L947" s="70"/>
      <c r="M947" s="70" t="str">
        <f>IF('Item Setup Form'!$AF951="Yes",'Item Setup Form'!A951,"")</f>
        <v/>
      </c>
      <c r="N947" s="70"/>
      <c r="O947" s="70"/>
      <c r="P947" s="70"/>
      <c r="Q947" s="70"/>
      <c r="R947" s="70"/>
      <c r="S947" s="70"/>
      <c r="T947" s="70"/>
      <c r="U947" s="70"/>
      <c r="V947" s="70"/>
      <c r="W947" s="70"/>
      <c r="X947" s="70"/>
      <c r="Y947" s="70"/>
      <c r="Z947" s="70"/>
    </row>
    <row r="948" spans="1:26">
      <c r="A948" s="70" t="str">
        <f>IF('Item Setup Form'!$AF952="Yes",'Item Setup Form'!$E952,"")</f>
        <v/>
      </c>
      <c r="B948" s="70" t="str">
        <f>IF('Item Setup Form'!$AF952="Yes",'Item Setup Form'!D952,"")</f>
        <v/>
      </c>
      <c r="C948" s="81" t="str">
        <f>IF('Item Setup Form'!$AF952="Yes",'Item Setup Form'!L952,"")</f>
        <v/>
      </c>
      <c r="D948" s="81" t="str">
        <f>IF('Item Setup Form'!$AF952="Yes",'Item Setup Form'!M952,"")</f>
        <v/>
      </c>
      <c r="E948" s="70"/>
      <c r="F948" s="70" t="str">
        <f>IF('Item Setup Form'!$AF952="Yes",'Item Setup Form'!G952,"")</f>
        <v/>
      </c>
      <c r="G948" s="70" t="str">
        <f>IF('Item Setup Form'!$AF952="Yes",'Item Setup Form'!H952,"")</f>
        <v/>
      </c>
      <c r="H948" s="70" t="str">
        <f>IF('Item Setup Form'!$AF952="Yes",'Item Setup Form'!V952,"")</f>
        <v/>
      </c>
      <c r="I948" s="70"/>
      <c r="J948" s="70" t="str">
        <f>IF('Item Setup Form'!$AF952="Yes",'Item Setup Form'!U952,"")</f>
        <v/>
      </c>
      <c r="K948" s="70" t="str">
        <f>IF('Item Setup Form'!$AF952="Yes",'Item Setup Form'!V952,"")</f>
        <v/>
      </c>
      <c r="L948" s="70"/>
      <c r="M948" s="70" t="str">
        <f>IF('Item Setup Form'!$AF952="Yes",'Item Setup Form'!A952,"")</f>
        <v/>
      </c>
      <c r="N948" s="70"/>
      <c r="O948" s="70"/>
      <c r="P948" s="70"/>
      <c r="Q948" s="70"/>
      <c r="R948" s="70"/>
      <c r="S948" s="70"/>
      <c r="T948" s="70"/>
      <c r="U948" s="70"/>
      <c r="V948" s="70"/>
      <c r="W948" s="70"/>
      <c r="X948" s="70"/>
      <c r="Y948" s="70"/>
      <c r="Z948" s="70"/>
    </row>
    <row r="949" spans="1:26">
      <c r="A949" s="70" t="str">
        <f>IF('Item Setup Form'!$AF953="Yes",'Item Setup Form'!$E953,"")</f>
        <v/>
      </c>
      <c r="B949" s="70" t="str">
        <f>IF('Item Setup Form'!$AF953="Yes",'Item Setup Form'!D953,"")</f>
        <v/>
      </c>
      <c r="C949" s="81" t="str">
        <f>IF('Item Setup Form'!$AF953="Yes",'Item Setup Form'!L953,"")</f>
        <v/>
      </c>
      <c r="D949" s="81" t="str">
        <f>IF('Item Setup Form'!$AF953="Yes",'Item Setup Form'!M953,"")</f>
        <v/>
      </c>
      <c r="E949" s="70"/>
      <c r="F949" s="70" t="str">
        <f>IF('Item Setup Form'!$AF953="Yes",'Item Setup Form'!G953,"")</f>
        <v/>
      </c>
      <c r="G949" s="70" t="str">
        <f>IF('Item Setup Form'!$AF953="Yes",'Item Setup Form'!H953,"")</f>
        <v/>
      </c>
      <c r="H949" s="70" t="str">
        <f>IF('Item Setup Form'!$AF953="Yes",'Item Setup Form'!V953,"")</f>
        <v/>
      </c>
      <c r="I949" s="70"/>
      <c r="J949" s="70" t="str">
        <f>IF('Item Setup Form'!$AF953="Yes",'Item Setup Form'!U953,"")</f>
        <v/>
      </c>
      <c r="K949" s="70" t="str">
        <f>IF('Item Setup Form'!$AF953="Yes",'Item Setup Form'!V953,"")</f>
        <v/>
      </c>
      <c r="L949" s="70"/>
      <c r="M949" s="70" t="str">
        <f>IF('Item Setup Form'!$AF953="Yes",'Item Setup Form'!A953,"")</f>
        <v/>
      </c>
      <c r="N949" s="70"/>
      <c r="O949" s="70"/>
      <c r="P949" s="70"/>
      <c r="Q949" s="70"/>
      <c r="R949" s="70"/>
      <c r="S949" s="70"/>
      <c r="T949" s="70"/>
      <c r="U949" s="70"/>
      <c r="V949" s="70"/>
      <c r="W949" s="70"/>
      <c r="X949" s="70"/>
      <c r="Y949" s="70"/>
      <c r="Z949" s="70"/>
    </row>
    <row r="950" spans="1:26">
      <c r="A950" s="70" t="str">
        <f>IF('Item Setup Form'!$AF954="Yes",'Item Setup Form'!$E954,"")</f>
        <v/>
      </c>
      <c r="B950" s="70" t="str">
        <f>IF('Item Setup Form'!$AF954="Yes",'Item Setup Form'!D954,"")</f>
        <v/>
      </c>
      <c r="C950" s="81" t="str">
        <f>IF('Item Setup Form'!$AF954="Yes",'Item Setup Form'!L954,"")</f>
        <v/>
      </c>
      <c r="D950" s="81" t="str">
        <f>IF('Item Setup Form'!$AF954="Yes",'Item Setup Form'!M954,"")</f>
        <v/>
      </c>
      <c r="E950" s="70"/>
      <c r="F950" s="70" t="str">
        <f>IF('Item Setup Form'!$AF954="Yes",'Item Setup Form'!G954,"")</f>
        <v/>
      </c>
      <c r="G950" s="70" t="str">
        <f>IF('Item Setup Form'!$AF954="Yes",'Item Setup Form'!H954,"")</f>
        <v/>
      </c>
      <c r="H950" s="70" t="str">
        <f>IF('Item Setup Form'!$AF954="Yes",'Item Setup Form'!V954,"")</f>
        <v/>
      </c>
      <c r="I950" s="70"/>
      <c r="J950" s="70" t="str">
        <f>IF('Item Setup Form'!$AF954="Yes",'Item Setup Form'!U954,"")</f>
        <v/>
      </c>
      <c r="K950" s="70" t="str">
        <f>IF('Item Setup Form'!$AF954="Yes",'Item Setup Form'!V954,"")</f>
        <v/>
      </c>
      <c r="L950" s="70"/>
      <c r="M950" s="70" t="str">
        <f>IF('Item Setup Form'!$AF954="Yes",'Item Setup Form'!A954,"")</f>
        <v/>
      </c>
      <c r="N950" s="70"/>
      <c r="O950" s="70"/>
      <c r="P950" s="70"/>
      <c r="Q950" s="70"/>
      <c r="R950" s="70"/>
      <c r="S950" s="70"/>
      <c r="T950" s="70"/>
      <c r="U950" s="70"/>
      <c r="V950" s="70"/>
      <c r="W950" s="70"/>
      <c r="X950" s="70"/>
      <c r="Y950" s="70"/>
      <c r="Z950" s="70"/>
    </row>
    <row r="951" spans="1:26">
      <c r="A951" s="70" t="str">
        <f>IF('Item Setup Form'!$AF955="Yes",'Item Setup Form'!$E955,"")</f>
        <v/>
      </c>
      <c r="B951" s="70" t="str">
        <f>IF('Item Setup Form'!$AF955="Yes",'Item Setup Form'!D955,"")</f>
        <v/>
      </c>
      <c r="C951" s="81" t="str">
        <f>IF('Item Setup Form'!$AF955="Yes",'Item Setup Form'!L955,"")</f>
        <v/>
      </c>
      <c r="D951" s="81" t="str">
        <f>IF('Item Setup Form'!$AF955="Yes",'Item Setup Form'!M955,"")</f>
        <v/>
      </c>
      <c r="E951" s="70"/>
      <c r="F951" s="70" t="str">
        <f>IF('Item Setup Form'!$AF955="Yes",'Item Setup Form'!G955,"")</f>
        <v/>
      </c>
      <c r="G951" s="70" t="str">
        <f>IF('Item Setup Form'!$AF955="Yes",'Item Setup Form'!H955,"")</f>
        <v/>
      </c>
      <c r="H951" s="70" t="str">
        <f>IF('Item Setup Form'!$AF955="Yes",'Item Setup Form'!V955,"")</f>
        <v/>
      </c>
      <c r="I951" s="70"/>
      <c r="J951" s="70" t="str">
        <f>IF('Item Setup Form'!$AF955="Yes",'Item Setup Form'!U955,"")</f>
        <v/>
      </c>
      <c r="K951" s="70" t="str">
        <f>IF('Item Setup Form'!$AF955="Yes",'Item Setup Form'!V955,"")</f>
        <v/>
      </c>
      <c r="L951" s="70"/>
      <c r="M951" s="70" t="str">
        <f>IF('Item Setup Form'!$AF955="Yes",'Item Setup Form'!A955,"")</f>
        <v/>
      </c>
      <c r="N951" s="70"/>
      <c r="O951" s="70"/>
      <c r="P951" s="70"/>
      <c r="Q951" s="70"/>
      <c r="R951" s="70"/>
      <c r="S951" s="70"/>
      <c r="T951" s="70"/>
      <c r="U951" s="70"/>
      <c r="V951" s="70"/>
      <c r="W951" s="70"/>
      <c r="X951" s="70"/>
      <c r="Y951" s="70"/>
      <c r="Z951" s="70"/>
    </row>
    <row r="952" spans="1:26">
      <c r="A952" s="70" t="str">
        <f>IF('Item Setup Form'!$AF956="Yes",'Item Setup Form'!$E956,"")</f>
        <v/>
      </c>
      <c r="B952" s="70" t="str">
        <f>IF('Item Setup Form'!$AF956="Yes",'Item Setup Form'!D956,"")</f>
        <v/>
      </c>
      <c r="C952" s="81" t="str">
        <f>IF('Item Setup Form'!$AF956="Yes",'Item Setup Form'!L956,"")</f>
        <v/>
      </c>
      <c r="D952" s="81" t="str">
        <f>IF('Item Setup Form'!$AF956="Yes",'Item Setup Form'!M956,"")</f>
        <v/>
      </c>
      <c r="E952" s="70"/>
      <c r="F952" s="70" t="str">
        <f>IF('Item Setup Form'!$AF956="Yes",'Item Setup Form'!G956,"")</f>
        <v/>
      </c>
      <c r="G952" s="70" t="str">
        <f>IF('Item Setup Form'!$AF956="Yes",'Item Setup Form'!H956,"")</f>
        <v/>
      </c>
      <c r="H952" s="70" t="str">
        <f>IF('Item Setup Form'!$AF956="Yes",'Item Setup Form'!V956,"")</f>
        <v/>
      </c>
      <c r="I952" s="70"/>
      <c r="J952" s="70" t="str">
        <f>IF('Item Setup Form'!$AF956="Yes",'Item Setup Form'!U956,"")</f>
        <v/>
      </c>
      <c r="K952" s="70" t="str">
        <f>IF('Item Setup Form'!$AF956="Yes",'Item Setup Form'!V956,"")</f>
        <v/>
      </c>
      <c r="L952" s="70"/>
      <c r="M952" s="70" t="str">
        <f>IF('Item Setup Form'!$AF956="Yes",'Item Setup Form'!A956,"")</f>
        <v/>
      </c>
      <c r="N952" s="70"/>
      <c r="O952" s="70"/>
      <c r="P952" s="70"/>
      <c r="Q952" s="70"/>
      <c r="R952" s="70"/>
      <c r="S952" s="70"/>
      <c r="T952" s="70"/>
      <c r="U952" s="70"/>
      <c r="V952" s="70"/>
      <c r="W952" s="70"/>
      <c r="X952" s="70"/>
      <c r="Y952" s="70"/>
      <c r="Z952" s="70"/>
    </row>
    <row r="953" spans="1:26">
      <c r="A953" s="70" t="str">
        <f>IF('Item Setup Form'!$AF957="Yes",'Item Setup Form'!$E957,"")</f>
        <v/>
      </c>
      <c r="B953" s="70" t="str">
        <f>IF('Item Setup Form'!$AF957="Yes",'Item Setup Form'!D957,"")</f>
        <v/>
      </c>
      <c r="C953" s="81" t="str">
        <f>IF('Item Setup Form'!$AF957="Yes",'Item Setup Form'!L957,"")</f>
        <v/>
      </c>
      <c r="D953" s="81" t="str">
        <f>IF('Item Setup Form'!$AF957="Yes",'Item Setup Form'!M957,"")</f>
        <v/>
      </c>
      <c r="E953" s="70"/>
      <c r="F953" s="70" t="str">
        <f>IF('Item Setup Form'!$AF957="Yes",'Item Setup Form'!G957,"")</f>
        <v/>
      </c>
      <c r="G953" s="70" t="str">
        <f>IF('Item Setup Form'!$AF957="Yes",'Item Setup Form'!H957,"")</f>
        <v/>
      </c>
      <c r="H953" s="70" t="str">
        <f>IF('Item Setup Form'!$AF957="Yes",'Item Setup Form'!V957,"")</f>
        <v/>
      </c>
      <c r="I953" s="70"/>
      <c r="J953" s="70" t="str">
        <f>IF('Item Setup Form'!$AF957="Yes",'Item Setup Form'!U957,"")</f>
        <v/>
      </c>
      <c r="K953" s="70" t="str">
        <f>IF('Item Setup Form'!$AF957="Yes",'Item Setup Form'!V957,"")</f>
        <v/>
      </c>
      <c r="L953" s="70"/>
      <c r="M953" s="70" t="str">
        <f>IF('Item Setup Form'!$AF957="Yes",'Item Setup Form'!A957,"")</f>
        <v/>
      </c>
      <c r="N953" s="70"/>
      <c r="O953" s="70"/>
      <c r="P953" s="70"/>
      <c r="Q953" s="70"/>
      <c r="R953" s="70"/>
      <c r="S953" s="70"/>
      <c r="T953" s="70"/>
      <c r="U953" s="70"/>
      <c r="V953" s="70"/>
      <c r="W953" s="70"/>
      <c r="X953" s="70"/>
      <c r="Y953" s="70"/>
      <c r="Z953" s="70"/>
    </row>
    <row r="954" spans="1:26">
      <c r="A954" s="70" t="str">
        <f>IF('Item Setup Form'!$AF958="Yes",'Item Setup Form'!$E958,"")</f>
        <v/>
      </c>
      <c r="B954" s="70" t="str">
        <f>IF('Item Setup Form'!$AF958="Yes",'Item Setup Form'!D958,"")</f>
        <v/>
      </c>
      <c r="C954" s="81" t="str">
        <f>IF('Item Setup Form'!$AF958="Yes",'Item Setup Form'!L958,"")</f>
        <v/>
      </c>
      <c r="D954" s="81" t="str">
        <f>IF('Item Setup Form'!$AF958="Yes",'Item Setup Form'!M958,"")</f>
        <v/>
      </c>
      <c r="E954" s="70"/>
      <c r="F954" s="70" t="str">
        <f>IF('Item Setup Form'!$AF958="Yes",'Item Setup Form'!G958,"")</f>
        <v/>
      </c>
      <c r="G954" s="70" t="str">
        <f>IF('Item Setup Form'!$AF958="Yes",'Item Setup Form'!H958,"")</f>
        <v/>
      </c>
      <c r="H954" s="70" t="str">
        <f>IF('Item Setup Form'!$AF958="Yes",'Item Setup Form'!V958,"")</f>
        <v/>
      </c>
      <c r="I954" s="70"/>
      <c r="J954" s="70" t="str">
        <f>IF('Item Setup Form'!$AF958="Yes",'Item Setup Form'!U958,"")</f>
        <v/>
      </c>
      <c r="K954" s="70" t="str">
        <f>IF('Item Setup Form'!$AF958="Yes",'Item Setup Form'!V958,"")</f>
        <v/>
      </c>
      <c r="L954" s="70"/>
      <c r="M954" s="70" t="str">
        <f>IF('Item Setup Form'!$AF958="Yes",'Item Setup Form'!A958,"")</f>
        <v/>
      </c>
      <c r="N954" s="70"/>
      <c r="O954" s="70"/>
      <c r="P954" s="70"/>
      <c r="Q954" s="70"/>
      <c r="R954" s="70"/>
      <c r="S954" s="70"/>
      <c r="T954" s="70"/>
      <c r="U954" s="70"/>
      <c r="V954" s="70"/>
      <c r="W954" s="70"/>
      <c r="X954" s="70"/>
      <c r="Y954" s="70"/>
      <c r="Z954" s="70"/>
    </row>
    <row r="955" spans="1:26">
      <c r="A955" s="70" t="str">
        <f>IF('Item Setup Form'!$AF959="Yes",'Item Setup Form'!$E959,"")</f>
        <v/>
      </c>
      <c r="B955" s="70" t="str">
        <f>IF('Item Setup Form'!$AF959="Yes",'Item Setup Form'!D959,"")</f>
        <v/>
      </c>
      <c r="C955" s="81" t="str">
        <f>IF('Item Setup Form'!$AF959="Yes",'Item Setup Form'!L959,"")</f>
        <v/>
      </c>
      <c r="D955" s="81" t="str">
        <f>IF('Item Setup Form'!$AF959="Yes",'Item Setup Form'!M959,"")</f>
        <v/>
      </c>
      <c r="E955" s="70"/>
      <c r="F955" s="70" t="str">
        <f>IF('Item Setup Form'!$AF959="Yes",'Item Setup Form'!G959,"")</f>
        <v/>
      </c>
      <c r="G955" s="70" t="str">
        <f>IF('Item Setup Form'!$AF959="Yes",'Item Setup Form'!H959,"")</f>
        <v/>
      </c>
      <c r="H955" s="70" t="str">
        <f>IF('Item Setup Form'!$AF959="Yes",'Item Setup Form'!V959,"")</f>
        <v/>
      </c>
      <c r="I955" s="70"/>
      <c r="J955" s="70" t="str">
        <f>IF('Item Setup Form'!$AF959="Yes",'Item Setup Form'!U959,"")</f>
        <v/>
      </c>
      <c r="K955" s="70" t="str">
        <f>IF('Item Setup Form'!$AF959="Yes",'Item Setup Form'!V959,"")</f>
        <v/>
      </c>
      <c r="L955" s="70"/>
      <c r="M955" s="70" t="str">
        <f>IF('Item Setup Form'!$AF959="Yes",'Item Setup Form'!A959,"")</f>
        <v/>
      </c>
      <c r="N955" s="70"/>
      <c r="O955" s="70"/>
      <c r="P955" s="70"/>
      <c r="Q955" s="70"/>
      <c r="R955" s="70"/>
      <c r="S955" s="70"/>
      <c r="T955" s="70"/>
      <c r="U955" s="70"/>
      <c r="V955" s="70"/>
      <c r="W955" s="70"/>
      <c r="X955" s="70"/>
      <c r="Y955" s="70"/>
      <c r="Z955" s="70"/>
    </row>
    <row r="956" spans="1:26">
      <c r="A956" s="70" t="str">
        <f>IF('Item Setup Form'!$AF960="Yes",'Item Setup Form'!$E960,"")</f>
        <v/>
      </c>
      <c r="B956" s="70" t="str">
        <f>IF('Item Setup Form'!$AF960="Yes",'Item Setup Form'!D960,"")</f>
        <v/>
      </c>
      <c r="C956" s="81" t="str">
        <f>IF('Item Setup Form'!$AF960="Yes",'Item Setup Form'!L960,"")</f>
        <v/>
      </c>
      <c r="D956" s="81" t="str">
        <f>IF('Item Setup Form'!$AF960="Yes",'Item Setup Form'!M960,"")</f>
        <v/>
      </c>
      <c r="E956" s="70"/>
      <c r="F956" s="70" t="str">
        <f>IF('Item Setup Form'!$AF960="Yes",'Item Setup Form'!G960,"")</f>
        <v/>
      </c>
      <c r="G956" s="70" t="str">
        <f>IF('Item Setup Form'!$AF960="Yes",'Item Setup Form'!H960,"")</f>
        <v/>
      </c>
      <c r="H956" s="70" t="str">
        <f>IF('Item Setup Form'!$AF960="Yes",'Item Setup Form'!V960,"")</f>
        <v/>
      </c>
      <c r="I956" s="70"/>
      <c r="J956" s="70" t="str">
        <f>IF('Item Setup Form'!$AF960="Yes",'Item Setup Form'!U960,"")</f>
        <v/>
      </c>
      <c r="K956" s="70" t="str">
        <f>IF('Item Setup Form'!$AF960="Yes",'Item Setup Form'!V960,"")</f>
        <v/>
      </c>
      <c r="L956" s="70"/>
      <c r="M956" s="70" t="str">
        <f>IF('Item Setup Form'!$AF960="Yes",'Item Setup Form'!A960,"")</f>
        <v/>
      </c>
      <c r="N956" s="70"/>
      <c r="O956" s="70"/>
      <c r="P956" s="70"/>
      <c r="Q956" s="70"/>
      <c r="R956" s="70"/>
      <c r="S956" s="70"/>
      <c r="T956" s="70"/>
      <c r="U956" s="70"/>
      <c r="V956" s="70"/>
      <c r="W956" s="70"/>
      <c r="X956" s="70"/>
      <c r="Y956" s="70"/>
      <c r="Z956" s="70"/>
    </row>
    <row r="957" spans="1:26">
      <c r="A957" s="70" t="str">
        <f>IF('Item Setup Form'!$AF961="Yes",'Item Setup Form'!$E961,"")</f>
        <v/>
      </c>
      <c r="B957" s="70" t="str">
        <f>IF('Item Setup Form'!$AF961="Yes",'Item Setup Form'!D961,"")</f>
        <v/>
      </c>
      <c r="C957" s="81" t="str">
        <f>IF('Item Setup Form'!$AF961="Yes",'Item Setup Form'!L961,"")</f>
        <v/>
      </c>
      <c r="D957" s="81" t="str">
        <f>IF('Item Setup Form'!$AF961="Yes",'Item Setup Form'!M961,"")</f>
        <v/>
      </c>
      <c r="E957" s="70"/>
      <c r="F957" s="70" t="str">
        <f>IF('Item Setup Form'!$AF961="Yes",'Item Setup Form'!G961,"")</f>
        <v/>
      </c>
      <c r="G957" s="70" t="str">
        <f>IF('Item Setup Form'!$AF961="Yes",'Item Setup Form'!H961,"")</f>
        <v/>
      </c>
      <c r="H957" s="70" t="str">
        <f>IF('Item Setup Form'!$AF961="Yes",'Item Setup Form'!V961,"")</f>
        <v/>
      </c>
      <c r="I957" s="70"/>
      <c r="J957" s="70" t="str">
        <f>IF('Item Setup Form'!$AF961="Yes",'Item Setup Form'!U961,"")</f>
        <v/>
      </c>
      <c r="K957" s="70" t="str">
        <f>IF('Item Setup Form'!$AF961="Yes",'Item Setup Form'!V961,"")</f>
        <v/>
      </c>
      <c r="L957" s="70"/>
      <c r="M957" s="70" t="str">
        <f>IF('Item Setup Form'!$AF961="Yes",'Item Setup Form'!A961,"")</f>
        <v/>
      </c>
      <c r="N957" s="70"/>
      <c r="O957" s="70"/>
      <c r="P957" s="70"/>
      <c r="Q957" s="70"/>
      <c r="R957" s="70"/>
      <c r="S957" s="70"/>
      <c r="T957" s="70"/>
      <c r="U957" s="70"/>
      <c r="V957" s="70"/>
      <c r="W957" s="70"/>
      <c r="X957" s="70"/>
      <c r="Y957" s="70"/>
      <c r="Z957" s="70"/>
    </row>
    <row r="958" spans="1:26">
      <c r="A958" s="70" t="str">
        <f>IF('Item Setup Form'!$AF962="Yes",'Item Setup Form'!$E962,"")</f>
        <v/>
      </c>
      <c r="B958" s="70" t="str">
        <f>IF('Item Setup Form'!$AF962="Yes",'Item Setup Form'!D962,"")</f>
        <v/>
      </c>
      <c r="C958" s="81" t="str">
        <f>IF('Item Setup Form'!$AF962="Yes",'Item Setup Form'!L962,"")</f>
        <v/>
      </c>
      <c r="D958" s="81" t="str">
        <f>IF('Item Setup Form'!$AF962="Yes",'Item Setup Form'!M962,"")</f>
        <v/>
      </c>
      <c r="E958" s="70"/>
      <c r="F958" s="70" t="str">
        <f>IF('Item Setup Form'!$AF962="Yes",'Item Setup Form'!G962,"")</f>
        <v/>
      </c>
      <c r="G958" s="70" t="str">
        <f>IF('Item Setup Form'!$AF962="Yes",'Item Setup Form'!H962,"")</f>
        <v/>
      </c>
      <c r="H958" s="70" t="str">
        <f>IF('Item Setup Form'!$AF962="Yes",'Item Setup Form'!V962,"")</f>
        <v/>
      </c>
      <c r="I958" s="70"/>
      <c r="J958" s="70" t="str">
        <f>IF('Item Setup Form'!$AF962="Yes",'Item Setup Form'!U962,"")</f>
        <v/>
      </c>
      <c r="K958" s="70" t="str">
        <f>IF('Item Setup Form'!$AF962="Yes",'Item Setup Form'!V962,"")</f>
        <v/>
      </c>
      <c r="L958" s="70"/>
      <c r="M958" s="70" t="str">
        <f>IF('Item Setup Form'!$AF962="Yes",'Item Setup Form'!A962,"")</f>
        <v/>
      </c>
      <c r="N958" s="70"/>
      <c r="O958" s="70"/>
      <c r="P958" s="70"/>
      <c r="Q958" s="70"/>
      <c r="R958" s="70"/>
      <c r="S958" s="70"/>
      <c r="T958" s="70"/>
      <c r="U958" s="70"/>
      <c r="V958" s="70"/>
      <c r="W958" s="70"/>
      <c r="X958" s="70"/>
      <c r="Y958" s="70"/>
      <c r="Z958" s="70"/>
    </row>
    <row r="959" spans="1:26">
      <c r="A959" s="70" t="str">
        <f>IF('Item Setup Form'!$AF963="Yes",'Item Setup Form'!$E963,"")</f>
        <v/>
      </c>
      <c r="B959" s="70" t="str">
        <f>IF('Item Setup Form'!$AF963="Yes",'Item Setup Form'!D963,"")</f>
        <v/>
      </c>
      <c r="C959" s="81" t="str">
        <f>IF('Item Setup Form'!$AF963="Yes",'Item Setup Form'!L963,"")</f>
        <v/>
      </c>
      <c r="D959" s="81" t="str">
        <f>IF('Item Setup Form'!$AF963="Yes",'Item Setup Form'!M963,"")</f>
        <v/>
      </c>
      <c r="E959" s="70"/>
      <c r="F959" s="70" t="str">
        <f>IF('Item Setup Form'!$AF963="Yes",'Item Setup Form'!G963,"")</f>
        <v/>
      </c>
      <c r="G959" s="70" t="str">
        <f>IF('Item Setup Form'!$AF963="Yes",'Item Setup Form'!H963,"")</f>
        <v/>
      </c>
      <c r="H959" s="70" t="str">
        <f>IF('Item Setup Form'!$AF963="Yes",'Item Setup Form'!V963,"")</f>
        <v/>
      </c>
      <c r="I959" s="70"/>
      <c r="J959" s="70" t="str">
        <f>IF('Item Setup Form'!$AF963="Yes",'Item Setup Form'!U963,"")</f>
        <v/>
      </c>
      <c r="K959" s="70" t="str">
        <f>IF('Item Setup Form'!$AF963="Yes",'Item Setup Form'!V963,"")</f>
        <v/>
      </c>
      <c r="L959" s="70"/>
      <c r="M959" s="70" t="str">
        <f>IF('Item Setup Form'!$AF963="Yes",'Item Setup Form'!A963,"")</f>
        <v/>
      </c>
      <c r="N959" s="70"/>
      <c r="O959" s="70"/>
      <c r="P959" s="70"/>
      <c r="Q959" s="70"/>
      <c r="R959" s="70"/>
      <c r="S959" s="70"/>
      <c r="T959" s="70"/>
      <c r="U959" s="70"/>
      <c r="V959" s="70"/>
      <c r="W959" s="70"/>
      <c r="X959" s="70"/>
      <c r="Y959" s="70"/>
      <c r="Z959" s="70"/>
    </row>
    <row r="960" spans="1:26">
      <c r="A960" s="70" t="str">
        <f>IF('Item Setup Form'!$AF964="Yes",'Item Setup Form'!$E964,"")</f>
        <v/>
      </c>
      <c r="B960" s="70" t="str">
        <f>IF('Item Setup Form'!$AF964="Yes",'Item Setup Form'!D964,"")</f>
        <v/>
      </c>
      <c r="C960" s="81" t="str">
        <f>IF('Item Setup Form'!$AF964="Yes",'Item Setup Form'!L964,"")</f>
        <v/>
      </c>
      <c r="D960" s="81" t="str">
        <f>IF('Item Setup Form'!$AF964="Yes",'Item Setup Form'!M964,"")</f>
        <v/>
      </c>
      <c r="E960" s="70"/>
      <c r="F960" s="70" t="str">
        <f>IF('Item Setup Form'!$AF964="Yes",'Item Setup Form'!G964,"")</f>
        <v/>
      </c>
      <c r="G960" s="70" t="str">
        <f>IF('Item Setup Form'!$AF964="Yes",'Item Setup Form'!H964,"")</f>
        <v/>
      </c>
      <c r="H960" s="70" t="str">
        <f>IF('Item Setup Form'!$AF964="Yes",'Item Setup Form'!V964,"")</f>
        <v/>
      </c>
      <c r="I960" s="70"/>
      <c r="J960" s="70" t="str">
        <f>IF('Item Setup Form'!$AF964="Yes",'Item Setup Form'!U964,"")</f>
        <v/>
      </c>
      <c r="K960" s="70" t="str">
        <f>IF('Item Setup Form'!$AF964="Yes",'Item Setup Form'!V964,"")</f>
        <v/>
      </c>
      <c r="L960" s="70"/>
      <c r="M960" s="70" t="str">
        <f>IF('Item Setup Form'!$AF964="Yes",'Item Setup Form'!A964,"")</f>
        <v/>
      </c>
      <c r="N960" s="70"/>
      <c r="O960" s="70"/>
      <c r="P960" s="70"/>
      <c r="Q960" s="70"/>
      <c r="R960" s="70"/>
      <c r="S960" s="70"/>
      <c r="T960" s="70"/>
      <c r="U960" s="70"/>
      <c r="V960" s="70"/>
      <c r="W960" s="70"/>
      <c r="X960" s="70"/>
      <c r="Y960" s="70"/>
      <c r="Z960" s="70"/>
    </row>
    <row r="961" spans="1:26">
      <c r="A961" s="70" t="str">
        <f>IF('Item Setup Form'!$AF965="Yes",'Item Setup Form'!$E965,"")</f>
        <v/>
      </c>
      <c r="B961" s="70" t="str">
        <f>IF('Item Setup Form'!$AF965="Yes",'Item Setup Form'!D965,"")</f>
        <v/>
      </c>
      <c r="C961" s="81" t="str">
        <f>IF('Item Setup Form'!$AF965="Yes",'Item Setup Form'!L965,"")</f>
        <v/>
      </c>
      <c r="D961" s="81" t="str">
        <f>IF('Item Setup Form'!$AF965="Yes",'Item Setup Form'!M965,"")</f>
        <v/>
      </c>
      <c r="E961" s="70"/>
      <c r="F961" s="70" t="str">
        <f>IF('Item Setup Form'!$AF965="Yes",'Item Setup Form'!G965,"")</f>
        <v/>
      </c>
      <c r="G961" s="70" t="str">
        <f>IF('Item Setup Form'!$AF965="Yes",'Item Setup Form'!H965,"")</f>
        <v/>
      </c>
      <c r="H961" s="70" t="str">
        <f>IF('Item Setup Form'!$AF965="Yes",'Item Setup Form'!V965,"")</f>
        <v/>
      </c>
      <c r="I961" s="70"/>
      <c r="J961" s="70" t="str">
        <f>IF('Item Setup Form'!$AF965="Yes",'Item Setup Form'!U965,"")</f>
        <v/>
      </c>
      <c r="K961" s="70" t="str">
        <f>IF('Item Setup Form'!$AF965="Yes",'Item Setup Form'!V965,"")</f>
        <v/>
      </c>
      <c r="L961" s="70"/>
      <c r="M961" s="70" t="str">
        <f>IF('Item Setup Form'!$AF965="Yes",'Item Setup Form'!A965,"")</f>
        <v/>
      </c>
      <c r="N961" s="70"/>
      <c r="O961" s="70"/>
      <c r="P961" s="70"/>
      <c r="Q961" s="70"/>
      <c r="R961" s="70"/>
      <c r="S961" s="70"/>
      <c r="T961" s="70"/>
      <c r="U961" s="70"/>
      <c r="V961" s="70"/>
      <c r="W961" s="70"/>
      <c r="X961" s="70"/>
      <c r="Y961" s="70"/>
      <c r="Z961" s="70"/>
    </row>
    <row r="962" spans="1:26">
      <c r="A962" s="70" t="str">
        <f>IF('Item Setup Form'!$AF966="Yes",'Item Setup Form'!$E966,"")</f>
        <v/>
      </c>
      <c r="B962" s="70" t="str">
        <f>IF('Item Setup Form'!$AF966="Yes",'Item Setup Form'!D966,"")</f>
        <v/>
      </c>
      <c r="C962" s="81" t="str">
        <f>IF('Item Setup Form'!$AF966="Yes",'Item Setup Form'!L966,"")</f>
        <v/>
      </c>
      <c r="D962" s="81" t="str">
        <f>IF('Item Setup Form'!$AF966="Yes",'Item Setup Form'!M966,"")</f>
        <v/>
      </c>
      <c r="E962" s="70"/>
      <c r="F962" s="70" t="str">
        <f>IF('Item Setup Form'!$AF966="Yes",'Item Setup Form'!G966,"")</f>
        <v/>
      </c>
      <c r="G962" s="70" t="str">
        <f>IF('Item Setup Form'!$AF966="Yes",'Item Setup Form'!H966,"")</f>
        <v/>
      </c>
      <c r="H962" s="70" t="str">
        <f>IF('Item Setup Form'!$AF966="Yes",'Item Setup Form'!V966,"")</f>
        <v/>
      </c>
      <c r="I962" s="70"/>
      <c r="J962" s="70" t="str">
        <f>IF('Item Setup Form'!$AF966="Yes",'Item Setup Form'!U966,"")</f>
        <v/>
      </c>
      <c r="K962" s="70" t="str">
        <f>IF('Item Setup Form'!$AF966="Yes",'Item Setup Form'!V966,"")</f>
        <v/>
      </c>
      <c r="L962" s="70"/>
      <c r="M962" s="70" t="str">
        <f>IF('Item Setup Form'!$AF966="Yes",'Item Setup Form'!A966,"")</f>
        <v/>
      </c>
      <c r="N962" s="70"/>
      <c r="O962" s="70"/>
      <c r="P962" s="70"/>
      <c r="Q962" s="70"/>
      <c r="R962" s="70"/>
      <c r="S962" s="70"/>
      <c r="T962" s="70"/>
      <c r="U962" s="70"/>
      <c r="V962" s="70"/>
      <c r="W962" s="70"/>
      <c r="X962" s="70"/>
      <c r="Y962" s="70"/>
      <c r="Z962" s="70"/>
    </row>
    <row r="963" spans="1:26">
      <c r="A963" s="70" t="str">
        <f>IF('Item Setup Form'!$AF967="Yes",'Item Setup Form'!$E967,"")</f>
        <v/>
      </c>
      <c r="B963" s="70" t="str">
        <f>IF('Item Setup Form'!$AF967="Yes",'Item Setup Form'!D967,"")</f>
        <v/>
      </c>
      <c r="C963" s="81" t="str">
        <f>IF('Item Setup Form'!$AF967="Yes",'Item Setup Form'!L967,"")</f>
        <v/>
      </c>
      <c r="D963" s="81" t="str">
        <f>IF('Item Setup Form'!$AF967="Yes",'Item Setup Form'!M967,"")</f>
        <v/>
      </c>
      <c r="E963" s="70"/>
      <c r="F963" s="70" t="str">
        <f>IF('Item Setup Form'!$AF967="Yes",'Item Setup Form'!G967,"")</f>
        <v/>
      </c>
      <c r="G963" s="70" t="str">
        <f>IF('Item Setup Form'!$AF967="Yes",'Item Setup Form'!H967,"")</f>
        <v/>
      </c>
      <c r="H963" s="70" t="str">
        <f>IF('Item Setup Form'!$AF967="Yes",'Item Setup Form'!V967,"")</f>
        <v/>
      </c>
      <c r="I963" s="70"/>
      <c r="J963" s="70" t="str">
        <f>IF('Item Setup Form'!$AF967="Yes",'Item Setup Form'!U967,"")</f>
        <v/>
      </c>
      <c r="K963" s="70" t="str">
        <f>IF('Item Setup Form'!$AF967="Yes",'Item Setup Form'!V967,"")</f>
        <v/>
      </c>
      <c r="L963" s="70"/>
      <c r="M963" s="70" t="str">
        <f>IF('Item Setup Form'!$AF967="Yes",'Item Setup Form'!A967,"")</f>
        <v/>
      </c>
      <c r="N963" s="70"/>
      <c r="O963" s="70"/>
      <c r="P963" s="70"/>
      <c r="Q963" s="70"/>
      <c r="R963" s="70"/>
      <c r="S963" s="70"/>
      <c r="T963" s="70"/>
      <c r="U963" s="70"/>
      <c r="V963" s="70"/>
      <c r="W963" s="70"/>
      <c r="X963" s="70"/>
      <c r="Y963" s="70"/>
      <c r="Z963" s="70"/>
    </row>
    <row r="964" spans="1:26">
      <c r="A964" s="70" t="str">
        <f>IF('Item Setup Form'!$AF968="Yes",'Item Setup Form'!$E968,"")</f>
        <v/>
      </c>
      <c r="B964" s="70" t="str">
        <f>IF('Item Setup Form'!$AF968="Yes",'Item Setup Form'!D968,"")</f>
        <v/>
      </c>
      <c r="C964" s="81" t="str">
        <f>IF('Item Setup Form'!$AF968="Yes",'Item Setup Form'!L968,"")</f>
        <v/>
      </c>
      <c r="D964" s="81" t="str">
        <f>IF('Item Setup Form'!$AF968="Yes",'Item Setup Form'!M968,"")</f>
        <v/>
      </c>
      <c r="E964" s="70"/>
      <c r="F964" s="70" t="str">
        <f>IF('Item Setup Form'!$AF968="Yes",'Item Setup Form'!G968,"")</f>
        <v/>
      </c>
      <c r="G964" s="70" t="str">
        <f>IF('Item Setup Form'!$AF968="Yes",'Item Setup Form'!H968,"")</f>
        <v/>
      </c>
      <c r="H964" s="70" t="str">
        <f>IF('Item Setup Form'!$AF968="Yes",'Item Setup Form'!V968,"")</f>
        <v/>
      </c>
      <c r="I964" s="70"/>
      <c r="J964" s="70" t="str">
        <f>IF('Item Setup Form'!$AF968="Yes",'Item Setup Form'!U968,"")</f>
        <v/>
      </c>
      <c r="K964" s="70" t="str">
        <f>IF('Item Setup Form'!$AF968="Yes",'Item Setup Form'!V968,"")</f>
        <v/>
      </c>
      <c r="L964" s="70"/>
      <c r="M964" s="70" t="str">
        <f>IF('Item Setup Form'!$AF968="Yes",'Item Setup Form'!A968,"")</f>
        <v/>
      </c>
      <c r="N964" s="70"/>
      <c r="O964" s="70"/>
      <c r="P964" s="70"/>
      <c r="Q964" s="70"/>
      <c r="R964" s="70"/>
      <c r="S964" s="70"/>
      <c r="T964" s="70"/>
      <c r="U964" s="70"/>
      <c r="V964" s="70"/>
      <c r="W964" s="70"/>
      <c r="X964" s="70"/>
      <c r="Y964" s="70"/>
      <c r="Z964" s="70"/>
    </row>
    <row r="965" spans="1:26">
      <c r="A965" s="70" t="str">
        <f>IF('Item Setup Form'!$AF969="Yes",'Item Setup Form'!$E969,"")</f>
        <v/>
      </c>
      <c r="B965" s="70" t="str">
        <f>IF('Item Setup Form'!$AF969="Yes",'Item Setup Form'!D969,"")</f>
        <v/>
      </c>
      <c r="C965" s="81" t="str">
        <f>IF('Item Setup Form'!$AF969="Yes",'Item Setup Form'!L969,"")</f>
        <v/>
      </c>
      <c r="D965" s="81" t="str">
        <f>IF('Item Setup Form'!$AF969="Yes",'Item Setup Form'!M969,"")</f>
        <v/>
      </c>
      <c r="E965" s="70"/>
      <c r="F965" s="70" t="str">
        <f>IF('Item Setup Form'!$AF969="Yes",'Item Setup Form'!G969,"")</f>
        <v/>
      </c>
      <c r="G965" s="70" t="str">
        <f>IF('Item Setup Form'!$AF969="Yes",'Item Setup Form'!H969,"")</f>
        <v/>
      </c>
      <c r="H965" s="70" t="str">
        <f>IF('Item Setup Form'!$AF969="Yes",'Item Setup Form'!V969,"")</f>
        <v/>
      </c>
      <c r="I965" s="70"/>
      <c r="J965" s="70" t="str">
        <f>IF('Item Setup Form'!$AF969="Yes",'Item Setup Form'!U969,"")</f>
        <v/>
      </c>
      <c r="K965" s="70" t="str">
        <f>IF('Item Setup Form'!$AF969="Yes",'Item Setup Form'!V969,"")</f>
        <v/>
      </c>
      <c r="L965" s="70"/>
      <c r="M965" s="70" t="str">
        <f>IF('Item Setup Form'!$AF969="Yes",'Item Setup Form'!A969,"")</f>
        <v/>
      </c>
      <c r="N965" s="70"/>
      <c r="O965" s="70"/>
      <c r="P965" s="70"/>
      <c r="Q965" s="70"/>
      <c r="R965" s="70"/>
      <c r="S965" s="70"/>
      <c r="T965" s="70"/>
      <c r="U965" s="70"/>
      <c r="V965" s="70"/>
      <c r="W965" s="70"/>
      <c r="X965" s="70"/>
      <c r="Y965" s="70"/>
      <c r="Z965" s="70"/>
    </row>
    <row r="966" spans="1:26">
      <c r="A966" s="70" t="str">
        <f>IF('Item Setup Form'!$AF970="Yes",'Item Setup Form'!$E970,"")</f>
        <v/>
      </c>
      <c r="B966" s="70" t="str">
        <f>IF('Item Setup Form'!$AF970="Yes",'Item Setup Form'!D970,"")</f>
        <v/>
      </c>
      <c r="C966" s="81" t="str">
        <f>IF('Item Setup Form'!$AF970="Yes",'Item Setup Form'!L970,"")</f>
        <v/>
      </c>
      <c r="D966" s="81" t="str">
        <f>IF('Item Setup Form'!$AF970="Yes",'Item Setup Form'!M970,"")</f>
        <v/>
      </c>
      <c r="E966" s="70"/>
      <c r="F966" s="70" t="str">
        <f>IF('Item Setup Form'!$AF970="Yes",'Item Setup Form'!G970,"")</f>
        <v/>
      </c>
      <c r="G966" s="70" t="str">
        <f>IF('Item Setup Form'!$AF970="Yes",'Item Setup Form'!H970,"")</f>
        <v/>
      </c>
      <c r="H966" s="70" t="str">
        <f>IF('Item Setup Form'!$AF970="Yes",'Item Setup Form'!V970,"")</f>
        <v/>
      </c>
      <c r="I966" s="70"/>
      <c r="J966" s="70" t="str">
        <f>IF('Item Setup Form'!$AF970="Yes",'Item Setup Form'!U970,"")</f>
        <v/>
      </c>
      <c r="K966" s="70" t="str">
        <f>IF('Item Setup Form'!$AF970="Yes",'Item Setup Form'!V970,"")</f>
        <v/>
      </c>
      <c r="L966" s="70"/>
      <c r="M966" s="70" t="str">
        <f>IF('Item Setup Form'!$AF970="Yes",'Item Setup Form'!A970,"")</f>
        <v/>
      </c>
      <c r="N966" s="70"/>
      <c r="O966" s="70"/>
      <c r="P966" s="70"/>
      <c r="Q966" s="70"/>
      <c r="R966" s="70"/>
      <c r="S966" s="70"/>
      <c r="T966" s="70"/>
      <c r="U966" s="70"/>
      <c r="V966" s="70"/>
      <c r="W966" s="70"/>
      <c r="X966" s="70"/>
      <c r="Y966" s="70"/>
      <c r="Z966" s="70"/>
    </row>
    <row r="967" spans="1:26">
      <c r="A967" s="70" t="str">
        <f>IF('Item Setup Form'!$AF971="Yes",'Item Setup Form'!$E971,"")</f>
        <v/>
      </c>
      <c r="B967" s="70" t="str">
        <f>IF('Item Setup Form'!$AF971="Yes",'Item Setup Form'!D971,"")</f>
        <v/>
      </c>
      <c r="C967" s="81" t="str">
        <f>IF('Item Setup Form'!$AF971="Yes",'Item Setup Form'!L971,"")</f>
        <v/>
      </c>
      <c r="D967" s="81" t="str">
        <f>IF('Item Setup Form'!$AF971="Yes",'Item Setup Form'!M971,"")</f>
        <v/>
      </c>
      <c r="E967" s="70"/>
      <c r="F967" s="70" t="str">
        <f>IF('Item Setup Form'!$AF971="Yes",'Item Setup Form'!G971,"")</f>
        <v/>
      </c>
      <c r="G967" s="70" t="str">
        <f>IF('Item Setup Form'!$AF971="Yes",'Item Setup Form'!H971,"")</f>
        <v/>
      </c>
      <c r="H967" s="70" t="str">
        <f>IF('Item Setup Form'!$AF971="Yes",'Item Setup Form'!V971,"")</f>
        <v/>
      </c>
      <c r="I967" s="70"/>
      <c r="J967" s="70" t="str">
        <f>IF('Item Setup Form'!$AF971="Yes",'Item Setup Form'!U971,"")</f>
        <v/>
      </c>
      <c r="K967" s="70" t="str">
        <f>IF('Item Setup Form'!$AF971="Yes",'Item Setup Form'!V971,"")</f>
        <v/>
      </c>
      <c r="L967" s="70"/>
      <c r="M967" s="70" t="str">
        <f>IF('Item Setup Form'!$AF971="Yes",'Item Setup Form'!A971,"")</f>
        <v/>
      </c>
      <c r="N967" s="70"/>
      <c r="O967" s="70"/>
      <c r="P967" s="70"/>
      <c r="Q967" s="70"/>
      <c r="R967" s="70"/>
      <c r="S967" s="70"/>
      <c r="T967" s="70"/>
      <c r="U967" s="70"/>
      <c r="V967" s="70"/>
      <c r="W967" s="70"/>
      <c r="X967" s="70"/>
      <c r="Y967" s="70"/>
      <c r="Z967" s="70"/>
    </row>
    <row r="968" spans="1:26">
      <c r="A968" s="70" t="str">
        <f>IF('Item Setup Form'!$AF972="Yes",'Item Setup Form'!$E972,"")</f>
        <v/>
      </c>
      <c r="B968" s="70" t="str">
        <f>IF('Item Setup Form'!$AF972="Yes",'Item Setup Form'!D972,"")</f>
        <v/>
      </c>
      <c r="C968" s="81" t="str">
        <f>IF('Item Setup Form'!$AF972="Yes",'Item Setup Form'!L972,"")</f>
        <v/>
      </c>
      <c r="D968" s="81" t="str">
        <f>IF('Item Setup Form'!$AF972="Yes",'Item Setup Form'!M972,"")</f>
        <v/>
      </c>
      <c r="E968" s="70"/>
      <c r="F968" s="70" t="str">
        <f>IF('Item Setup Form'!$AF972="Yes",'Item Setup Form'!G972,"")</f>
        <v/>
      </c>
      <c r="G968" s="70" t="str">
        <f>IF('Item Setup Form'!$AF972="Yes",'Item Setup Form'!H972,"")</f>
        <v/>
      </c>
      <c r="H968" s="70" t="str">
        <f>IF('Item Setup Form'!$AF972="Yes",'Item Setup Form'!V972,"")</f>
        <v/>
      </c>
      <c r="I968" s="70"/>
      <c r="J968" s="70" t="str">
        <f>IF('Item Setup Form'!$AF972="Yes",'Item Setup Form'!U972,"")</f>
        <v/>
      </c>
      <c r="K968" s="70" t="str">
        <f>IF('Item Setup Form'!$AF972="Yes",'Item Setup Form'!V972,"")</f>
        <v/>
      </c>
      <c r="L968" s="70"/>
      <c r="M968" s="70" t="str">
        <f>IF('Item Setup Form'!$AF972="Yes",'Item Setup Form'!A972,"")</f>
        <v/>
      </c>
      <c r="N968" s="70"/>
      <c r="O968" s="70"/>
      <c r="P968" s="70"/>
      <c r="Q968" s="70"/>
      <c r="R968" s="70"/>
      <c r="S968" s="70"/>
      <c r="T968" s="70"/>
      <c r="U968" s="70"/>
      <c r="V968" s="70"/>
      <c r="W968" s="70"/>
      <c r="X968" s="70"/>
      <c r="Y968" s="70"/>
      <c r="Z968" s="70"/>
    </row>
    <row r="969" spans="1:26">
      <c r="A969" s="70" t="str">
        <f>IF('Item Setup Form'!$AF973="Yes",'Item Setup Form'!$E973,"")</f>
        <v/>
      </c>
      <c r="B969" s="70" t="str">
        <f>IF('Item Setup Form'!$AF973="Yes",'Item Setup Form'!D973,"")</f>
        <v/>
      </c>
      <c r="C969" s="81" t="str">
        <f>IF('Item Setup Form'!$AF973="Yes",'Item Setup Form'!L973,"")</f>
        <v/>
      </c>
      <c r="D969" s="81" t="str">
        <f>IF('Item Setup Form'!$AF973="Yes",'Item Setup Form'!M973,"")</f>
        <v/>
      </c>
      <c r="E969" s="70"/>
      <c r="F969" s="70" t="str">
        <f>IF('Item Setup Form'!$AF973="Yes",'Item Setup Form'!G973,"")</f>
        <v/>
      </c>
      <c r="G969" s="70" t="str">
        <f>IF('Item Setup Form'!$AF973="Yes",'Item Setup Form'!H973,"")</f>
        <v/>
      </c>
      <c r="H969" s="70" t="str">
        <f>IF('Item Setup Form'!$AF973="Yes",'Item Setup Form'!V973,"")</f>
        <v/>
      </c>
      <c r="I969" s="70"/>
      <c r="J969" s="70" t="str">
        <f>IF('Item Setup Form'!$AF973="Yes",'Item Setup Form'!U973,"")</f>
        <v/>
      </c>
      <c r="K969" s="70" t="str">
        <f>IF('Item Setup Form'!$AF973="Yes",'Item Setup Form'!V973,"")</f>
        <v/>
      </c>
      <c r="L969" s="70"/>
      <c r="M969" s="70" t="str">
        <f>IF('Item Setup Form'!$AF973="Yes",'Item Setup Form'!A973,"")</f>
        <v/>
      </c>
      <c r="N969" s="70"/>
      <c r="O969" s="70"/>
      <c r="P969" s="70"/>
      <c r="Q969" s="70"/>
      <c r="R969" s="70"/>
      <c r="S969" s="70"/>
      <c r="T969" s="70"/>
      <c r="U969" s="70"/>
      <c r="V969" s="70"/>
      <c r="W969" s="70"/>
      <c r="X969" s="70"/>
      <c r="Y969" s="70"/>
      <c r="Z969" s="70"/>
    </row>
    <row r="970" spans="1:26">
      <c r="A970" s="70" t="str">
        <f>IF('Item Setup Form'!$AF974="Yes",'Item Setup Form'!$E974,"")</f>
        <v/>
      </c>
      <c r="B970" s="70" t="str">
        <f>IF('Item Setup Form'!$AF974="Yes",'Item Setup Form'!D974,"")</f>
        <v/>
      </c>
      <c r="C970" s="81" t="str">
        <f>IF('Item Setup Form'!$AF974="Yes",'Item Setup Form'!L974,"")</f>
        <v/>
      </c>
      <c r="D970" s="81" t="str">
        <f>IF('Item Setup Form'!$AF974="Yes",'Item Setup Form'!M974,"")</f>
        <v/>
      </c>
      <c r="E970" s="70"/>
      <c r="F970" s="70" t="str">
        <f>IF('Item Setup Form'!$AF974="Yes",'Item Setup Form'!G974,"")</f>
        <v/>
      </c>
      <c r="G970" s="70" t="str">
        <f>IF('Item Setup Form'!$AF974="Yes",'Item Setup Form'!H974,"")</f>
        <v/>
      </c>
      <c r="H970" s="70" t="str">
        <f>IF('Item Setup Form'!$AF974="Yes",'Item Setup Form'!V974,"")</f>
        <v/>
      </c>
      <c r="I970" s="70"/>
      <c r="J970" s="70" t="str">
        <f>IF('Item Setup Form'!$AF974="Yes",'Item Setup Form'!U974,"")</f>
        <v/>
      </c>
      <c r="K970" s="70" t="str">
        <f>IF('Item Setup Form'!$AF974="Yes",'Item Setup Form'!V974,"")</f>
        <v/>
      </c>
      <c r="L970" s="70"/>
      <c r="M970" s="70" t="str">
        <f>IF('Item Setup Form'!$AF974="Yes",'Item Setup Form'!A974,"")</f>
        <v/>
      </c>
      <c r="N970" s="70"/>
      <c r="O970" s="70"/>
      <c r="P970" s="70"/>
      <c r="Q970" s="70"/>
      <c r="R970" s="70"/>
      <c r="S970" s="70"/>
      <c r="T970" s="70"/>
      <c r="U970" s="70"/>
      <c r="V970" s="70"/>
      <c r="W970" s="70"/>
      <c r="X970" s="70"/>
      <c r="Y970" s="70"/>
      <c r="Z970" s="70"/>
    </row>
    <row r="971" spans="1:26">
      <c r="A971" s="70" t="str">
        <f>IF('Item Setup Form'!$AF975="Yes",'Item Setup Form'!$E975,"")</f>
        <v/>
      </c>
      <c r="B971" s="70" t="str">
        <f>IF('Item Setup Form'!$AF975="Yes",'Item Setup Form'!D975,"")</f>
        <v/>
      </c>
      <c r="C971" s="81" t="str">
        <f>IF('Item Setup Form'!$AF975="Yes",'Item Setup Form'!L975,"")</f>
        <v/>
      </c>
      <c r="D971" s="81" t="str">
        <f>IF('Item Setup Form'!$AF975="Yes",'Item Setup Form'!M975,"")</f>
        <v/>
      </c>
      <c r="E971" s="70"/>
      <c r="F971" s="70" t="str">
        <f>IF('Item Setup Form'!$AF975="Yes",'Item Setup Form'!G975,"")</f>
        <v/>
      </c>
      <c r="G971" s="70" t="str">
        <f>IF('Item Setup Form'!$AF975="Yes",'Item Setup Form'!H975,"")</f>
        <v/>
      </c>
      <c r="H971" s="70" t="str">
        <f>IF('Item Setup Form'!$AF975="Yes",'Item Setup Form'!V975,"")</f>
        <v/>
      </c>
      <c r="I971" s="70"/>
      <c r="J971" s="70" t="str">
        <f>IF('Item Setup Form'!$AF975="Yes",'Item Setup Form'!U975,"")</f>
        <v/>
      </c>
      <c r="K971" s="70" t="str">
        <f>IF('Item Setup Form'!$AF975="Yes",'Item Setup Form'!V975,"")</f>
        <v/>
      </c>
      <c r="L971" s="70"/>
      <c r="M971" s="70" t="str">
        <f>IF('Item Setup Form'!$AF975="Yes",'Item Setup Form'!A975,"")</f>
        <v/>
      </c>
      <c r="N971" s="70"/>
      <c r="O971" s="70"/>
      <c r="P971" s="70"/>
      <c r="Q971" s="70"/>
      <c r="R971" s="70"/>
      <c r="S971" s="70"/>
      <c r="T971" s="70"/>
      <c r="U971" s="70"/>
      <c r="V971" s="70"/>
      <c r="W971" s="70"/>
      <c r="X971" s="70"/>
      <c r="Y971" s="70"/>
      <c r="Z971" s="70"/>
    </row>
    <row r="972" spans="1:26">
      <c r="A972" s="70" t="str">
        <f>IF('Item Setup Form'!$AF976="Yes",'Item Setup Form'!$E976,"")</f>
        <v/>
      </c>
      <c r="B972" s="70" t="str">
        <f>IF('Item Setup Form'!$AF976="Yes",'Item Setup Form'!D976,"")</f>
        <v/>
      </c>
      <c r="C972" s="81" t="str">
        <f>IF('Item Setup Form'!$AF976="Yes",'Item Setup Form'!L976,"")</f>
        <v/>
      </c>
      <c r="D972" s="81" t="str">
        <f>IF('Item Setup Form'!$AF976="Yes",'Item Setup Form'!M976,"")</f>
        <v/>
      </c>
      <c r="E972" s="70"/>
      <c r="F972" s="70" t="str">
        <f>IF('Item Setup Form'!$AF976="Yes",'Item Setup Form'!G976,"")</f>
        <v/>
      </c>
      <c r="G972" s="70" t="str">
        <f>IF('Item Setup Form'!$AF976="Yes",'Item Setup Form'!H976,"")</f>
        <v/>
      </c>
      <c r="H972" s="70" t="str">
        <f>IF('Item Setup Form'!$AF976="Yes",'Item Setup Form'!V976,"")</f>
        <v/>
      </c>
      <c r="I972" s="70"/>
      <c r="J972" s="70" t="str">
        <f>IF('Item Setup Form'!$AF976="Yes",'Item Setup Form'!U976,"")</f>
        <v/>
      </c>
      <c r="K972" s="70" t="str">
        <f>IF('Item Setup Form'!$AF976="Yes",'Item Setup Form'!V976,"")</f>
        <v/>
      </c>
      <c r="L972" s="70"/>
      <c r="M972" s="70" t="str">
        <f>IF('Item Setup Form'!$AF976="Yes",'Item Setup Form'!A976,"")</f>
        <v/>
      </c>
      <c r="N972" s="70"/>
      <c r="O972" s="70"/>
      <c r="P972" s="70"/>
      <c r="Q972" s="70"/>
      <c r="R972" s="70"/>
      <c r="S972" s="70"/>
      <c r="T972" s="70"/>
      <c r="U972" s="70"/>
      <c r="V972" s="70"/>
      <c r="W972" s="70"/>
      <c r="X972" s="70"/>
      <c r="Y972" s="70"/>
      <c r="Z972" s="70"/>
    </row>
    <row r="973" spans="1:26">
      <c r="A973" s="70" t="str">
        <f>IF('Item Setup Form'!$AF977="Yes",'Item Setup Form'!$E977,"")</f>
        <v/>
      </c>
      <c r="B973" s="70" t="str">
        <f>IF('Item Setup Form'!$AF977="Yes",'Item Setup Form'!D977,"")</f>
        <v/>
      </c>
      <c r="C973" s="81" t="str">
        <f>IF('Item Setup Form'!$AF977="Yes",'Item Setup Form'!L977,"")</f>
        <v/>
      </c>
      <c r="D973" s="81" t="str">
        <f>IF('Item Setup Form'!$AF977="Yes",'Item Setup Form'!M977,"")</f>
        <v/>
      </c>
      <c r="E973" s="70"/>
      <c r="F973" s="70" t="str">
        <f>IF('Item Setup Form'!$AF977="Yes",'Item Setup Form'!G977,"")</f>
        <v/>
      </c>
      <c r="G973" s="70" t="str">
        <f>IF('Item Setup Form'!$AF977="Yes",'Item Setup Form'!H977,"")</f>
        <v/>
      </c>
      <c r="H973" s="70" t="str">
        <f>IF('Item Setup Form'!$AF977="Yes",'Item Setup Form'!V977,"")</f>
        <v/>
      </c>
      <c r="I973" s="70"/>
      <c r="J973" s="70" t="str">
        <f>IF('Item Setup Form'!$AF977="Yes",'Item Setup Form'!U977,"")</f>
        <v/>
      </c>
      <c r="K973" s="70" t="str">
        <f>IF('Item Setup Form'!$AF977="Yes",'Item Setup Form'!V977,"")</f>
        <v/>
      </c>
      <c r="L973" s="70"/>
      <c r="M973" s="70" t="str">
        <f>IF('Item Setup Form'!$AF977="Yes",'Item Setup Form'!A977,"")</f>
        <v/>
      </c>
      <c r="N973" s="70"/>
      <c r="O973" s="70"/>
      <c r="P973" s="70"/>
      <c r="Q973" s="70"/>
      <c r="R973" s="70"/>
      <c r="S973" s="70"/>
      <c r="T973" s="70"/>
      <c r="U973" s="70"/>
      <c r="V973" s="70"/>
      <c r="W973" s="70"/>
      <c r="X973" s="70"/>
      <c r="Y973" s="70"/>
      <c r="Z973" s="70"/>
    </row>
    <row r="974" spans="1:26">
      <c r="A974" s="70" t="str">
        <f>IF('Item Setup Form'!$AF978="Yes",'Item Setup Form'!$E978,"")</f>
        <v/>
      </c>
      <c r="B974" s="70" t="str">
        <f>IF('Item Setup Form'!$AF978="Yes",'Item Setup Form'!D978,"")</f>
        <v/>
      </c>
      <c r="C974" s="81" t="str">
        <f>IF('Item Setup Form'!$AF978="Yes",'Item Setup Form'!L978,"")</f>
        <v/>
      </c>
      <c r="D974" s="81" t="str">
        <f>IF('Item Setup Form'!$AF978="Yes",'Item Setup Form'!M978,"")</f>
        <v/>
      </c>
      <c r="E974" s="70"/>
      <c r="F974" s="70" t="str">
        <f>IF('Item Setup Form'!$AF978="Yes",'Item Setup Form'!G978,"")</f>
        <v/>
      </c>
      <c r="G974" s="70" t="str">
        <f>IF('Item Setup Form'!$AF978="Yes",'Item Setup Form'!H978,"")</f>
        <v/>
      </c>
      <c r="H974" s="70" t="str">
        <f>IF('Item Setup Form'!$AF978="Yes",'Item Setup Form'!V978,"")</f>
        <v/>
      </c>
      <c r="I974" s="70"/>
      <c r="J974" s="70" t="str">
        <f>IF('Item Setup Form'!$AF978="Yes",'Item Setup Form'!U978,"")</f>
        <v/>
      </c>
      <c r="K974" s="70" t="str">
        <f>IF('Item Setup Form'!$AF978="Yes",'Item Setup Form'!V978,"")</f>
        <v/>
      </c>
      <c r="L974" s="70"/>
      <c r="M974" s="70" t="str">
        <f>IF('Item Setup Form'!$AF978="Yes",'Item Setup Form'!A978,"")</f>
        <v/>
      </c>
      <c r="N974" s="70"/>
      <c r="O974" s="70"/>
      <c r="P974" s="70"/>
      <c r="Q974" s="70"/>
      <c r="R974" s="70"/>
      <c r="S974" s="70"/>
      <c r="T974" s="70"/>
      <c r="U974" s="70"/>
      <c r="V974" s="70"/>
      <c r="W974" s="70"/>
      <c r="X974" s="70"/>
      <c r="Y974" s="70"/>
      <c r="Z974" s="70"/>
    </row>
    <row r="975" spans="1:26">
      <c r="A975" s="70" t="str">
        <f>IF('Item Setup Form'!$AF979="Yes",'Item Setup Form'!$E979,"")</f>
        <v/>
      </c>
      <c r="B975" s="70" t="str">
        <f>IF('Item Setup Form'!$AF979="Yes",'Item Setup Form'!D979,"")</f>
        <v/>
      </c>
      <c r="C975" s="81" t="str">
        <f>IF('Item Setup Form'!$AF979="Yes",'Item Setup Form'!L979,"")</f>
        <v/>
      </c>
      <c r="D975" s="81" t="str">
        <f>IF('Item Setup Form'!$AF979="Yes",'Item Setup Form'!M979,"")</f>
        <v/>
      </c>
      <c r="E975" s="70"/>
      <c r="F975" s="70" t="str">
        <f>IF('Item Setup Form'!$AF979="Yes",'Item Setup Form'!G979,"")</f>
        <v/>
      </c>
      <c r="G975" s="70" t="str">
        <f>IF('Item Setup Form'!$AF979="Yes",'Item Setup Form'!H979,"")</f>
        <v/>
      </c>
      <c r="H975" s="70" t="str">
        <f>IF('Item Setup Form'!$AF979="Yes",'Item Setup Form'!V979,"")</f>
        <v/>
      </c>
      <c r="I975" s="70"/>
      <c r="J975" s="70" t="str">
        <f>IF('Item Setup Form'!$AF979="Yes",'Item Setup Form'!U979,"")</f>
        <v/>
      </c>
      <c r="K975" s="70" t="str">
        <f>IF('Item Setup Form'!$AF979="Yes",'Item Setup Form'!V979,"")</f>
        <v/>
      </c>
      <c r="L975" s="70"/>
      <c r="M975" s="70" t="str">
        <f>IF('Item Setup Form'!$AF979="Yes",'Item Setup Form'!A979,"")</f>
        <v/>
      </c>
      <c r="N975" s="70"/>
      <c r="O975" s="70"/>
      <c r="P975" s="70"/>
      <c r="Q975" s="70"/>
      <c r="R975" s="70"/>
      <c r="S975" s="70"/>
      <c r="T975" s="70"/>
      <c r="U975" s="70"/>
      <c r="V975" s="70"/>
      <c r="W975" s="70"/>
      <c r="X975" s="70"/>
      <c r="Y975" s="70"/>
      <c r="Z975" s="70"/>
    </row>
  </sheetData>
  <mergeCells count="1">
    <mergeCell ref="A1:Q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1"/>
  </sheetPr>
  <dimension ref="A4:W6"/>
  <sheetViews>
    <sheetView workbookViewId="0"/>
  </sheetViews>
  <sheetFormatPr defaultRowHeight="12.75"/>
  <cols>
    <col min="1" max="1" customWidth="true" width="14.7109375" collapsed="false"/>
    <col min="2" max="2" bestFit="true" customWidth="true" width="20.7109375" collapsed="false"/>
    <col min="3" max="3" bestFit="true" customWidth="true" width="24.5703125" collapsed="false"/>
    <col min="4" max="4" bestFit="true" customWidth="true" width="24.7109375" collapsed="false"/>
    <col min="5" max="5" bestFit="true" customWidth="true" width="28.5703125" collapsed="false"/>
    <col min="6" max="6" bestFit="true" customWidth="true" width="15.5703125" collapsed="false"/>
    <col min="7" max="7" bestFit="true" customWidth="true" width="19.42578125" collapsed="false"/>
    <col min="8" max="9" customWidth="true" width="19.42578125" collapsed="false"/>
    <col min="10" max="10" bestFit="true" customWidth="true" width="15.140625" collapsed="false"/>
    <col min="11" max="11" bestFit="true" customWidth="true" width="23.42578125" collapsed="false"/>
    <col min="12" max="12" bestFit="true" customWidth="true" width="20.85546875" collapsed="false"/>
    <col min="13" max="13" bestFit="true" customWidth="true" width="19.7109375" collapsed="false"/>
    <col min="14" max="15" customWidth="true" width="19.7109375" collapsed="false"/>
    <col min="19" max="19" customWidth="true" width="12.7109375" collapsed="false"/>
    <col min="21" max="21" bestFit="true" customWidth="true" width="18.85546875" collapsed="false"/>
    <col min="22" max="22" bestFit="true" customWidth="true" width="13.0" collapsed="false"/>
  </cols>
  <sheetData>
    <row r="4" spans="1:23" ht="13.5" thickBot="1">
      <c r="A4" s="8" t="s">
        <v>7</v>
      </c>
      <c r="B4" s="8" t="s">
        <v>24</v>
      </c>
      <c r="C4" s="8" t="s">
        <v>25</v>
      </c>
      <c r="D4" s="8" t="s">
        <v>26</v>
      </c>
      <c r="E4" s="8" t="s">
        <v>27</v>
      </c>
      <c r="F4" s="8" t="s">
        <v>28</v>
      </c>
      <c r="G4" s="8" t="s">
        <v>29</v>
      </c>
      <c r="H4" s="8" t="s">
        <v>45</v>
      </c>
      <c r="I4" s="8" t="s">
        <v>44</v>
      </c>
      <c r="J4" s="8" t="s">
        <v>30</v>
      </c>
      <c r="K4" s="8" t="s">
        <v>31</v>
      </c>
      <c r="L4" s="82" t="s">
        <v>33</v>
      </c>
      <c r="M4" s="8" t="s">
        <v>32</v>
      </c>
      <c r="N4" s="8" t="s">
        <v>46</v>
      </c>
      <c r="O4" s="8" t="s">
        <v>47</v>
      </c>
      <c r="P4" s="12" t="s">
        <v>43</v>
      </c>
      <c r="Q4" s="8" t="s">
        <v>57</v>
      </c>
      <c r="R4" s="8" t="s">
        <v>58</v>
      </c>
      <c r="S4" s="8" t="s">
        <v>70</v>
      </c>
      <c r="T4" s="8" t="s">
        <v>69</v>
      </c>
      <c r="U4" s="8" t="s">
        <v>71</v>
      </c>
      <c r="V4" s="8" t="s">
        <v>130</v>
      </c>
      <c r="W4" s="8" t="s">
        <v>186</v>
      </c>
    </row>
    <row r="5" spans="1:23" ht="13.5" thickTop="1">
      <c r="A5" s="9">
        <v>791964418832</v>
      </c>
      <c r="B5" s="8" t="s">
        <v>137</v>
      </c>
      <c r="C5" s="8" t="s">
        <v>138</v>
      </c>
      <c r="D5" s="8" t="s">
        <v>139</v>
      </c>
      <c r="E5" s="8" t="s">
        <v>138</v>
      </c>
      <c r="F5" s="8" t="s">
        <v>139</v>
      </c>
      <c r="G5" s="8" t="s">
        <v>140</v>
      </c>
      <c r="H5" s="8" t="s">
        <v>141</v>
      </c>
      <c r="I5" s="8" t="s">
        <v>142</v>
      </c>
      <c r="J5" s="8" t="s">
        <v>143</v>
      </c>
      <c r="K5" s="8" t="s">
        <v>144</v>
      </c>
      <c r="L5" s="8">
        <v>185</v>
      </c>
      <c r="M5" s="8">
        <v>379.99</v>
      </c>
      <c r="N5" s="8">
        <v>14568473</v>
      </c>
      <c r="O5" s="8" t="s">
        <v>145</v>
      </c>
      <c r="P5" s="8">
        <v>17105560</v>
      </c>
      <c r="Q5" s="8">
        <v>26709156</v>
      </c>
      <c r="R5" s="8" t="s">
        <v>146</v>
      </c>
      <c r="S5" s="8" t="s">
        <v>147</v>
      </c>
      <c r="T5" s="8">
        <v>299.99</v>
      </c>
      <c r="U5" s="8">
        <v>299.99</v>
      </c>
      <c r="V5" s="8" t="s">
        <v>148</v>
      </c>
      <c r="W5" s="8"/>
    </row>
    <row r="6" spans="1:23">
      <c r="A6" s="98"/>
      <c r="B6" s="99"/>
      <c r="C6" s="99"/>
      <c r="D6" s="99"/>
      <c r="E6" s="99"/>
      <c r="F6" s="99"/>
      <c r="G6" s="99"/>
      <c r="H6" s="99"/>
      <c r="I6" s="99"/>
      <c r="J6" s="99"/>
      <c r="K6" s="99"/>
      <c r="L6" s="99"/>
      <c r="M6" s="99"/>
      <c r="N6" s="99"/>
      <c r="O6" s="99"/>
      <c r="P6" s="99"/>
      <c r="Q6" s="99"/>
      <c r="R6" s="99"/>
      <c r="S6" s="99"/>
      <c r="T6" s="99"/>
      <c r="U6" s="99"/>
      <c r="V6" s="8"/>
      <c r="W6" s="8"/>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D11"/>
  <sheetViews>
    <sheetView workbookViewId="0">
      <selection activeCell="E13" sqref="E13"/>
    </sheetView>
  </sheetViews>
  <sheetFormatPr defaultRowHeight="12.75"/>
  <sheetData>
    <row r="1" spans="1:4" ht="15">
      <c r="A1" s="22" t="s">
        <v>61</v>
      </c>
      <c r="B1">
        <v>1</v>
      </c>
      <c r="D1" s="77" t="s">
        <v>78</v>
      </c>
    </row>
    <row r="2" spans="1:4" ht="15">
      <c r="A2" s="22" t="s">
        <v>62</v>
      </c>
      <c r="B2">
        <v>2</v>
      </c>
      <c r="D2" s="77" t="s">
        <v>79</v>
      </c>
    </row>
    <row r="3" spans="1:4" ht="15">
      <c r="B3">
        <v>3</v>
      </c>
      <c r="D3" s="77" t="s">
        <v>80</v>
      </c>
    </row>
    <row r="4" spans="1:4" ht="15">
      <c r="D4" s="77" t="s">
        <v>81</v>
      </c>
    </row>
    <row r="5" spans="1:4" ht="15">
      <c r="D5" s="77" t="s">
        <v>82</v>
      </c>
    </row>
    <row r="6" spans="1:4" ht="15">
      <c r="D6" s="77" t="s">
        <v>83</v>
      </c>
    </row>
    <row r="7" spans="1:4" ht="15">
      <c r="D7" s="77" t="s">
        <v>84</v>
      </c>
    </row>
    <row r="8" spans="1:4" ht="15">
      <c r="D8" s="77" t="s">
        <v>85</v>
      </c>
    </row>
    <row r="9" spans="1:4" ht="15">
      <c r="D9" s="77" t="s">
        <v>86</v>
      </c>
    </row>
    <row r="10" spans="1:4" ht="15">
      <c r="D10" s="77" t="s">
        <v>87</v>
      </c>
    </row>
    <row r="11" spans="1:4" ht="15">
      <c r="D11" s="77" t="s">
        <v>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theme="6"/>
  </sheetPr>
  <dimension ref="A1:K71"/>
  <sheetViews>
    <sheetView workbookViewId="0">
      <selection activeCell="G5" sqref="G5"/>
    </sheetView>
  </sheetViews>
  <sheetFormatPr defaultRowHeight="12.75"/>
  <cols>
    <col min="5" max="5" customWidth="true" width="10.85546875" collapsed="false"/>
    <col min="6" max="6" customWidth="true" width="11.85546875" collapsed="false"/>
    <col min="9" max="9" customWidth="true" width="26.5703125" collapsed="false"/>
    <col min="10" max="11" bestFit="true" customWidth="true" width="27.85546875" collapsed="false"/>
  </cols>
  <sheetData>
    <row r="1" spans="1:10" ht="15.75">
      <c r="A1" s="4" t="s">
        <v>178</v>
      </c>
    </row>
    <row r="2" spans="1:10">
      <c r="A2" s="22" t="s">
        <v>166</v>
      </c>
    </row>
    <row r="3" spans="1:10">
      <c r="A3" s="22"/>
    </row>
    <row r="4" spans="1:10">
      <c r="A4" s="22" t="s">
        <v>179</v>
      </c>
    </row>
    <row r="5" spans="1:10">
      <c r="A5" s="22"/>
    </row>
    <row r="6" spans="1:10">
      <c r="A6" s="37" t="s">
        <v>167</v>
      </c>
    </row>
    <row r="7" spans="1:10" ht="13.5" thickBot="1">
      <c r="A7" s="22"/>
    </row>
    <row r="8" spans="1:10" ht="13.5" thickBot="1">
      <c r="A8" s="22" t="s">
        <v>168</v>
      </c>
      <c r="E8" s="149"/>
      <c r="F8" s="150"/>
      <c r="J8" s="109" t="s">
        <v>169</v>
      </c>
    </row>
    <row r="9" spans="1:10" ht="13.5" thickBot="1">
      <c r="A9" s="22"/>
    </row>
    <row r="10" spans="1:10" ht="13.5" thickBot="1">
      <c r="A10" s="22" t="s">
        <v>180</v>
      </c>
      <c r="G10" s="107"/>
      <c r="H10" s="108"/>
      <c r="I10" s="108"/>
    </row>
    <row r="11" spans="1:10">
      <c r="A11" s="22" t="s">
        <v>182</v>
      </c>
    </row>
    <row r="12" spans="1:10">
      <c r="A12" s="22"/>
    </row>
    <row r="13" spans="1:10" ht="13.5" thickBot="1">
      <c r="A13" s="22" t="s">
        <v>181</v>
      </c>
      <c r="I13" s="22"/>
    </row>
    <row r="14" spans="1:10" ht="15.75" thickBot="1">
      <c r="A14" s="151" t="s">
        <v>170</v>
      </c>
      <c r="B14" s="152"/>
      <c r="C14" s="152"/>
      <c r="D14" s="152"/>
      <c r="E14" s="152"/>
      <c r="F14" s="152"/>
      <c r="G14" s="152"/>
      <c r="H14" s="152"/>
      <c r="I14" s="153"/>
    </row>
    <row r="15" spans="1:10" ht="13.5" thickBot="1">
      <c r="A15" s="110" t="s">
        <v>53</v>
      </c>
      <c r="B15" s="111" t="s">
        <v>53</v>
      </c>
      <c r="C15" s="112" t="s">
        <v>53</v>
      </c>
      <c r="D15" s="111" t="s">
        <v>53</v>
      </c>
      <c r="E15" s="111" t="s">
        <v>53</v>
      </c>
      <c r="F15" s="111" t="s">
        <v>53</v>
      </c>
      <c r="G15" s="111" t="s">
        <v>53</v>
      </c>
      <c r="H15" s="113" t="s">
        <v>53</v>
      </c>
      <c r="I15" s="114" t="s">
        <v>171</v>
      </c>
    </row>
    <row r="16" spans="1:10" ht="55.5" thickBot="1">
      <c r="A16" s="115" t="s">
        <v>0</v>
      </c>
      <c r="B16" s="116" t="s">
        <v>1</v>
      </c>
      <c r="C16" s="117" t="s">
        <v>2</v>
      </c>
      <c r="D16" s="118" t="s">
        <v>7</v>
      </c>
      <c r="E16" s="116" t="s">
        <v>52</v>
      </c>
      <c r="F16" s="116" t="s">
        <v>14</v>
      </c>
      <c r="G16" s="116" t="s">
        <v>15</v>
      </c>
      <c r="H16" s="118" t="s">
        <v>16</v>
      </c>
      <c r="I16" s="119" t="s">
        <v>172</v>
      </c>
    </row>
    <row r="17" spans="1:9">
      <c r="A17" s="120"/>
      <c r="B17" s="120"/>
      <c r="C17" s="120"/>
      <c r="D17" s="120"/>
      <c r="E17" s="120"/>
      <c r="F17" s="120"/>
      <c r="G17" s="120"/>
      <c r="H17" s="120"/>
      <c r="I17" s="123"/>
    </row>
    <row r="18" spans="1:9">
      <c r="A18" s="120"/>
      <c r="B18" s="120"/>
      <c r="C18" s="120"/>
      <c r="D18" s="120"/>
      <c r="E18" s="120"/>
      <c r="F18" s="120"/>
      <c r="G18" s="120"/>
      <c r="H18" s="120"/>
      <c r="I18" s="123"/>
    </row>
    <row r="19" spans="1:9">
      <c r="A19" s="120"/>
      <c r="B19" s="120"/>
      <c r="C19" s="120"/>
      <c r="D19" s="120"/>
      <c r="E19" s="120"/>
      <c r="F19" s="120"/>
      <c r="G19" s="120"/>
      <c r="H19" s="120"/>
      <c r="I19" s="123"/>
    </row>
    <row r="20" spans="1:9">
      <c r="A20" s="120"/>
      <c r="B20" s="120"/>
      <c r="C20" s="120"/>
      <c r="D20" s="120"/>
      <c r="E20" s="120"/>
      <c r="F20" s="120"/>
      <c r="G20" s="120"/>
      <c r="H20" s="120"/>
      <c r="I20" s="123"/>
    </row>
    <row r="21" spans="1:9">
      <c r="A21" s="120"/>
      <c r="B21" s="120"/>
      <c r="C21" s="120"/>
      <c r="D21" s="120"/>
      <c r="E21" s="120"/>
      <c r="F21" s="120"/>
      <c r="G21" s="120"/>
      <c r="H21" s="120"/>
      <c r="I21" s="123"/>
    </row>
    <row r="22" spans="1:9">
      <c r="A22" s="120"/>
      <c r="B22" s="120"/>
      <c r="C22" s="120"/>
      <c r="D22" s="120"/>
      <c r="E22" s="120"/>
      <c r="F22" s="120"/>
      <c r="G22" s="120"/>
      <c r="H22" s="120"/>
      <c r="I22" s="123"/>
    </row>
    <row r="23" spans="1:9">
      <c r="A23" s="120"/>
      <c r="B23" s="120"/>
      <c r="C23" s="120"/>
      <c r="D23" s="120"/>
      <c r="E23" s="120"/>
      <c r="F23" s="120"/>
      <c r="G23" s="120"/>
      <c r="H23" s="120"/>
      <c r="I23" s="123"/>
    </row>
    <row r="24" spans="1:9">
      <c r="A24" s="120"/>
      <c r="B24" s="120"/>
      <c r="C24" s="120"/>
      <c r="D24" s="120"/>
      <c r="E24" s="120"/>
      <c r="F24" s="120"/>
      <c r="G24" s="120"/>
      <c r="H24" s="120"/>
      <c r="I24" s="123"/>
    </row>
    <row r="25" spans="1:9">
      <c r="A25" s="120"/>
      <c r="B25" s="120"/>
      <c r="C25" s="120"/>
      <c r="D25" s="120"/>
      <c r="E25" s="120"/>
      <c r="F25" s="120"/>
      <c r="G25" s="120"/>
      <c r="H25" s="120"/>
      <c r="I25" s="123"/>
    </row>
    <row r="26" spans="1:9">
      <c r="A26" s="120"/>
      <c r="B26" s="120"/>
      <c r="C26" s="120"/>
      <c r="D26" s="120"/>
      <c r="E26" s="120"/>
      <c r="F26" s="120"/>
      <c r="G26" s="120"/>
      <c r="H26" s="120"/>
      <c r="I26" s="123"/>
    </row>
    <row r="27" spans="1:9">
      <c r="A27" s="120"/>
      <c r="B27" s="120"/>
      <c r="C27" s="120"/>
      <c r="D27" s="120"/>
      <c r="E27" s="120"/>
      <c r="F27" s="120"/>
      <c r="G27" s="120"/>
      <c r="H27" s="120"/>
      <c r="I27" s="123"/>
    </row>
    <row r="28" spans="1:9">
      <c r="A28" s="120"/>
      <c r="B28" s="120"/>
      <c r="C28" s="120"/>
      <c r="D28" s="120"/>
      <c r="E28" s="120"/>
      <c r="F28" s="120"/>
      <c r="G28" s="120"/>
      <c r="H28" s="120"/>
      <c r="I28" s="123"/>
    </row>
    <row r="29" spans="1:9">
      <c r="A29" s="120"/>
      <c r="B29" s="120"/>
      <c r="C29" s="120"/>
      <c r="D29" s="120"/>
      <c r="E29" s="120"/>
      <c r="F29" s="120"/>
      <c r="G29" s="120"/>
      <c r="H29" s="120"/>
      <c r="I29" s="123"/>
    </row>
    <row r="30" spans="1:9">
      <c r="A30" s="120"/>
      <c r="B30" s="120"/>
      <c r="C30" s="120"/>
      <c r="D30" s="120"/>
      <c r="E30" s="120"/>
      <c r="F30" s="120"/>
      <c r="G30" s="120"/>
      <c r="H30" s="120"/>
      <c r="I30" s="123"/>
    </row>
    <row r="31" spans="1:9">
      <c r="A31" s="120"/>
      <c r="B31" s="120"/>
      <c r="C31" s="120"/>
      <c r="D31" s="120"/>
      <c r="E31" s="120"/>
      <c r="F31" s="120"/>
      <c r="G31" s="120"/>
      <c r="H31" s="120"/>
      <c r="I31" s="123"/>
    </row>
    <row r="33" spans="1:10" ht="13.5" thickBot="1"/>
    <row r="34" spans="1:10" ht="15.75" thickBot="1">
      <c r="A34" s="151" t="s">
        <v>173</v>
      </c>
      <c r="B34" s="152"/>
      <c r="C34" s="152"/>
      <c r="D34" s="152"/>
      <c r="E34" s="152"/>
      <c r="F34" s="152"/>
      <c r="G34" s="152"/>
      <c r="H34" s="152"/>
      <c r="I34" s="152"/>
      <c r="J34" s="153"/>
    </row>
    <row r="35" spans="1:10" ht="13.5" thickBot="1">
      <c r="A35" s="110" t="s">
        <v>53</v>
      </c>
      <c r="B35" s="111" t="s">
        <v>53</v>
      </c>
      <c r="C35" s="112" t="s">
        <v>53</v>
      </c>
      <c r="D35" s="111" t="s">
        <v>53</v>
      </c>
      <c r="E35" s="111" t="s">
        <v>53</v>
      </c>
      <c r="F35" s="111" t="s">
        <v>53</v>
      </c>
      <c r="G35" s="111" t="s">
        <v>53</v>
      </c>
      <c r="H35" s="113" t="s">
        <v>53</v>
      </c>
      <c r="I35" s="121" t="s">
        <v>171</v>
      </c>
      <c r="J35" s="114" t="s">
        <v>171</v>
      </c>
    </row>
    <row r="36" spans="1:10" ht="55.5" thickBot="1">
      <c r="A36" s="115" t="s">
        <v>0</v>
      </c>
      <c r="B36" s="116" t="s">
        <v>1</v>
      </c>
      <c r="C36" s="117" t="s">
        <v>2</v>
      </c>
      <c r="D36" s="118" t="s">
        <v>7</v>
      </c>
      <c r="E36" s="116" t="s">
        <v>52</v>
      </c>
      <c r="F36" s="116" t="s">
        <v>14</v>
      </c>
      <c r="G36" s="116" t="s">
        <v>15</v>
      </c>
      <c r="H36" s="118" t="s">
        <v>16</v>
      </c>
      <c r="I36" s="122" t="s">
        <v>174</v>
      </c>
      <c r="J36" s="119" t="s">
        <v>175</v>
      </c>
    </row>
    <row r="37" spans="1:10">
      <c r="A37" s="120"/>
      <c r="B37" s="120"/>
      <c r="C37" s="120"/>
      <c r="D37" s="120"/>
      <c r="E37" s="120"/>
      <c r="F37" s="120"/>
      <c r="G37" s="120"/>
      <c r="H37" s="120"/>
      <c r="I37" s="123"/>
      <c r="J37" s="123"/>
    </row>
    <row r="38" spans="1:10">
      <c r="A38" s="120"/>
      <c r="B38" s="120"/>
      <c r="C38" s="120"/>
      <c r="D38" s="120"/>
      <c r="E38" s="120"/>
      <c r="F38" s="120"/>
      <c r="G38" s="120"/>
      <c r="H38" s="120"/>
      <c r="I38" s="123"/>
      <c r="J38" s="123"/>
    </row>
    <row r="39" spans="1:10">
      <c r="A39" s="120"/>
      <c r="B39" s="120"/>
      <c r="C39" s="120"/>
      <c r="D39" s="120"/>
      <c r="E39" s="120"/>
      <c r="F39" s="120"/>
      <c r="G39" s="120"/>
      <c r="H39" s="120"/>
      <c r="I39" s="123"/>
      <c r="J39" s="123"/>
    </row>
    <row r="40" spans="1:10">
      <c r="A40" s="120"/>
      <c r="B40" s="120"/>
      <c r="C40" s="120"/>
      <c r="D40" s="120"/>
      <c r="E40" s="120"/>
      <c r="F40" s="120"/>
      <c r="G40" s="120"/>
      <c r="H40" s="120"/>
      <c r="I40" s="123"/>
      <c r="J40" s="123"/>
    </row>
    <row r="41" spans="1:10">
      <c r="A41" s="120"/>
      <c r="B41" s="120"/>
      <c r="C41" s="120"/>
      <c r="D41" s="120"/>
      <c r="E41" s="120"/>
      <c r="F41" s="120"/>
      <c r="G41" s="120"/>
      <c r="H41" s="120"/>
      <c r="I41" s="123"/>
      <c r="J41" s="123"/>
    </row>
    <row r="42" spans="1:10">
      <c r="A42" s="120"/>
      <c r="B42" s="120"/>
      <c r="C42" s="120"/>
      <c r="D42" s="120"/>
      <c r="E42" s="120"/>
      <c r="F42" s="120"/>
      <c r="G42" s="120"/>
      <c r="H42" s="120"/>
      <c r="I42" s="123"/>
      <c r="J42" s="123"/>
    </row>
    <row r="43" spans="1:10">
      <c r="A43" s="120"/>
      <c r="B43" s="120"/>
      <c r="C43" s="120"/>
      <c r="D43" s="120"/>
      <c r="E43" s="120"/>
      <c r="F43" s="120"/>
      <c r="G43" s="120"/>
      <c r="H43" s="120"/>
      <c r="I43" s="123"/>
      <c r="J43" s="123"/>
    </row>
    <row r="44" spans="1:10">
      <c r="A44" s="120"/>
      <c r="B44" s="120"/>
      <c r="C44" s="120"/>
      <c r="D44" s="120"/>
      <c r="E44" s="120"/>
      <c r="F44" s="120"/>
      <c r="G44" s="120"/>
      <c r="H44" s="120"/>
      <c r="I44" s="123"/>
      <c r="J44" s="123"/>
    </row>
    <row r="45" spans="1:10">
      <c r="A45" s="120"/>
      <c r="B45" s="120"/>
      <c r="C45" s="120"/>
      <c r="D45" s="120"/>
      <c r="E45" s="120"/>
      <c r="F45" s="120"/>
      <c r="G45" s="120"/>
      <c r="H45" s="120"/>
      <c r="I45" s="123"/>
      <c r="J45" s="123"/>
    </row>
    <row r="46" spans="1:10">
      <c r="A46" s="120"/>
      <c r="B46" s="120"/>
      <c r="C46" s="120"/>
      <c r="D46" s="120"/>
      <c r="E46" s="120"/>
      <c r="F46" s="120"/>
      <c r="G46" s="120"/>
      <c r="H46" s="120"/>
      <c r="I46" s="123"/>
      <c r="J46" s="123"/>
    </row>
    <row r="47" spans="1:10">
      <c r="A47" s="120"/>
      <c r="B47" s="120"/>
      <c r="C47" s="120"/>
      <c r="D47" s="120"/>
      <c r="E47" s="120"/>
      <c r="F47" s="120"/>
      <c r="G47" s="120"/>
      <c r="H47" s="120"/>
      <c r="I47" s="123"/>
      <c r="J47" s="123"/>
    </row>
    <row r="48" spans="1:10">
      <c r="A48" s="120"/>
      <c r="B48" s="120"/>
      <c r="C48" s="120"/>
      <c r="D48" s="120"/>
      <c r="E48" s="120"/>
      <c r="F48" s="120"/>
      <c r="G48" s="120"/>
      <c r="H48" s="120"/>
      <c r="I48" s="123"/>
      <c r="J48" s="123"/>
    </row>
    <row r="49" spans="1:11">
      <c r="A49" s="120"/>
      <c r="B49" s="120"/>
      <c r="C49" s="120"/>
      <c r="D49" s="120"/>
      <c r="E49" s="120"/>
      <c r="F49" s="120"/>
      <c r="G49" s="120"/>
      <c r="H49" s="120"/>
      <c r="I49" s="123"/>
      <c r="J49" s="123"/>
    </row>
    <row r="50" spans="1:11">
      <c r="A50" s="120"/>
      <c r="B50" s="120"/>
      <c r="C50" s="120"/>
      <c r="D50" s="120"/>
      <c r="E50" s="120"/>
      <c r="F50" s="120"/>
      <c r="G50" s="120"/>
      <c r="H50" s="120"/>
      <c r="I50" s="123"/>
      <c r="J50" s="123"/>
    </row>
    <row r="51" spans="1:11">
      <c r="A51" s="120"/>
      <c r="B51" s="120"/>
      <c r="C51" s="120"/>
      <c r="D51" s="120"/>
      <c r="E51" s="120"/>
      <c r="F51" s="120"/>
      <c r="G51" s="120"/>
      <c r="H51" s="120"/>
      <c r="I51" s="123"/>
      <c r="J51" s="123"/>
    </row>
    <row r="53" spans="1:11" ht="13.5" thickBot="1"/>
    <row r="54" spans="1:11" ht="15.75" thickBot="1">
      <c r="A54" s="151" t="s">
        <v>176</v>
      </c>
      <c r="B54" s="152"/>
      <c r="C54" s="152"/>
      <c r="D54" s="152"/>
      <c r="E54" s="152"/>
      <c r="F54" s="152"/>
      <c r="G54" s="152"/>
      <c r="H54" s="152"/>
      <c r="I54" s="152"/>
      <c r="J54" s="152"/>
      <c r="K54" s="153"/>
    </row>
    <row r="55" spans="1:11" ht="13.5" thickBot="1">
      <c r="A55" s="110" t="s">
        <v>53</v>
      </c>
      <c r="B55" s="111" t="s">
        <v>53</v>
      </c>
      <c r="C55" s="112" t="s">
        <v>53</v>
      </c>
      <c r="D55" s="111" t="s">
        <v>53</v>
      </c>
      <c r="E55" s="111" t="s">
        <v>53</v>
      </c>
      <c r="F55" s="111" t="s">
        <v>53</v>
      </c>
      <c r="G55" s="111" t="s">
        <v>53</v>
      </c>
      <c r="H55" s="113" t="s">
        <v>53</v>
      </c>
      <c r="I55" s="121" t="s">
        <v>171</v>
      </c>
      <c r="J55" s="121" t="s">
        <v>171</v>
      </c>
      <c r="K55" s="114" t="s">
        <v>171</v>
      </c>
    </row>
    <row r="56" spans="1:11" ht="55.5" thickBot="1">
      <c r="A56" s="115" t="s">
        <v>0</v>
      </c>
      <c r="B56" s="116" t="s">
        <v>1</v>
      </c>
      <c r="C56" s="117" t="s">
        <v>2</v>
      </c>
      <c r="D56" s="118" t="s">
        <v>7</v>
      </c>
      <c r="E56" s="116" t="s">
        <v>52</v>
      </c>
      <c r="F56" s="116" t="s">
        <v>14</v>
      </c>
      <c r="G56" s="116" t="s">
        <v>15</v>
      </c>
      <c r="H56" s="118" t="s">
        <v>16</v>
      </c>
      <c r="I56" s="122" t="s">
        <v>174</v>
      </c>
      <c r="J56" s="119" t="s">
        <v>175</v>
      </c>
      <c r="K56" s="119" t="s">
        <v>177</v>
      </c>
    </row>
    <row r="57" spans="1:11">
      <c r="A57" s="120"/>
      <c r="B57" s="120"/>
      <c r="C57" s="120"/>
      <c r="D57" s="120"/>
      <c r="E57" s="120"/>
      <c r="F57" s="120"/>
      <c r="G57" s="120"/>
      <c r="H57" s="120"/>
      <c r="I57" s="123"/>
      <c r="J57" s="123"/>
      <c r="K57" s="123"/>
    </row>
    <row r="58" spans="1:11">
      <c r="A58" s="120"/>
      <c r="B58" s="120"/>
      <c r="C58" s="120"/>
      <c r="D58" s="120"/>
      <c r="E58" s="120"/>
      <c r="F58" s="120"/>
      <c r="G58" s="120"/>
      <c r="H58" s="120"/>
      <c r="I58" s="123"/>
      <c r="J58" s="123"/>
      <c r="K58" s="123"/>
    </row>
    <row r="59" spans="1:11">
      <c r="A59" s="120"/>
      <c r="B59" s="120"/>
      <c r="C59" s="120"/>
      <c r="D59" s="120"/>
      <c r="E59" s="120"/>
      <c r="F59" s="120"/>
      <c r="G59" s="120"/>
      <c r="H59" s="120"/>
      <c r="I59" s="123"/>
      <c r="J59" s="123"/>
      <c r="K59" s="123"/>
    </row>
    <row r="60" spans="1:11">
      <c r="A60" s="120"/>
      <c r="B60" s="120"/>
      <c r="C60" s="120"/>
      <c r="D60" s="120"/>
      <c r="E60" s="120"/>
      <c r="F60" s="120"/>
      <c r="G60" s="120"/>
      <c r="H60" s="120"/>
      <c r="I60" s="123"/>
      <c r="J60" s="123"/>
      <c r="K60" s="123"/>
    </row>
    <row r="61" spans="1:11">
      <c r="A61" s="120"/>
      <c r="B61" s="120"/>
      <c r="C61" s="120"/>
      <c r="D61" s="120"/>
      <c r="E61" s="120"/>
      <c r="F61" s="120"/>
      <c r="G61" s="120"/>
      <c r="H61" s="120"/>
      <c r="I61" s="123"/>
      <c r="J61" s="123"/>
      <c r="K61" s="123"/>
    </row>
    <row r="62" spans="1:11">
      <c r="A62" s="120"/>
      <c r="B62" s="120"/>
      <c r="C62" s="120"/>
      <c r="D62" s="120"/>
      <c r="E62" s="120"/>
      <c r="F62" s="120"/>
      <c r="G62" s="120"/>
      <c r="H62" s="120"/>
      <c r="I62" s="123"/>
      <c r="J62" s="123"/>
      <c r="K62" s="123"/>
    </row>
    <row r="63" spans="1:11">
      <c r="A63" s="120"/>
      <c r="B63" s="120"/>
      <c r="C63" s="120"/>
      <c r="D63" s="120"/>
      <c r="E63" s="120"/>
      <c r="F63" s="120"/>
      <c r="G63" s="120"/>
      <c r="H63" s="120"/>
      <c r="I63" s="123"/>
      <c r="J63" s="123"/>
      <c r="K63" s="123"/>
    </row>
    <row r="64" spans="1:11">
      <c r="A64" s="120"/>
      <c r="B64" s="120"/>
      <c r="C64" s="120"/>
      <c r="D64" s="120"/>
      <c r="E64" s="120"/>
      <c r="F64" s="120"/>
      <c r="G64" s="120"/>
      <c r="H64" s="120"/>
      <c r="I64" s="123"/>
      <c r="J64" s="123"/>
      <c r="K64" s="123"/>
    </row>
    <row r="65" spans="1:11">
      <c r="A65" s="120"/>
      <c r="B65" s="120"/>
      <c r="C65" s="120"/>
      <c r="D65" s="120"/>
      <c r="E65" s="120"/>
      <c r="F65" s="120"/>
      <c r="G65" s="120"/>
      <c r="H65" s="120"/>
      <c r="I65" s="123"/>
      <c r="J65" s="123"/>
      <c r="K65" s="123"/>
    </row>
    <row r="66" spans="1:11">
      <c r="A66" s="120"/>
      <c r="B66" s="120"/>
      <c r="C66" s="120"/>
      <c r="D66" s="120"/>
      <c r="E66" s="120"/>
      <c r="F66" s="120"/>
      <c r="G66" s="120"/>
      <c r="H66" s="120"/>
      <c r="I66" s="123"/>
      <c r="J66" s="123"/>
      <c r="K66" s="123"/>
    </row>
    <row r="67" spans="1:11">
      <c r="A67" s="120"/>
      <c r="B67" s="120"/>
      <c r="C67" s="120"/>
      <c r="D67" s="120"/>
      <c r="E67" s="120"/>
      <c r="F67" s="120"/>
      <c r="G67" s="120"/>
      <c r="H67" s="120"/>
      <c r="I67" s="123"/>
      <c r="J67" s="123"/>
      <c r="K67" s="123"/>
    </row>
    <row r="68" spans="1:11">
      <c r="A68" s="120"/>
      <c r="B68" s="120"/>
      <c r="C68" s="120"/>
      <c r="D68" s="120"/>
      <c r="E68" s="120"/>
      <c r="F68" s="120"/>
      <c r="G68" s="120"/>
      <c r="H68" s="120"/>
      <c r="I68" s="123"/>
      <c r="J68" s="123"/>
      <c r="K68" s="123"/>
    </row>
    <row r="69" spans="1:11">
      <c r="A69" s="120"/>
      <c r="B69" s="120"/>
      <c r="C69" s="120"/>
      <c r="D69" s="120"/>
      <c r="E69" s="120"/>
      <c r="F69" s="120"/>
      <c r="G69" s="120"/>
      <c r="H69" s="120"/>
      <c r="I69" s="123"/>
      <c r="J69" s="123"/>
      <c r="K69" s="123"/>
    </row>
    <row r="70" spans="1:11">
      <c r="A70" s="120"/>
      <c r="B70" s="120"/>
      <c r="C70" s="120"/>
      <c r="D70" s="120"/>
      <c r="E70" s="120"/>
      <c r="F70" s="120"/>
      <c r="G70" s="120"/>
      <c r="H70" s="120"/>
      <c r="I70" s="123"/>
      <c r="J70" s="123"/>
      <c r="K70" s="123"/>
    </row>
    <row r="71" spans="1:11">
      <c r="A71" s="120"/>
      <c r="B71" s="120"/>
      <c r="C71" s="120"/>
      <c r="D71" s="120"/>
      <c r="E71" s="120"/>
      <c r="F71" s="120"/>
      <c r="G71" s="120"/>
      <c r="H71" s="120"/>
      <c r="I71" s="123"/>
      <c r="J71" s="123"/>
      <c r="K71" s="123"/>
    </row>
  </sheetData>
  <mergeCells count="4">
    <mergeCell ref="E8:F8"/>
    <mergeCell ref="A14:I14"/>
    <mergeCell ref="A34:J34"/>
    <mergeCell ref="A54:K5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Instructions</vt:lpstr>
      <vt:lpstr>Item Setup Form</vt:lpstr>
      <vt:lpstr>Product Creation</vt:lpstr>
      <vt:lpstr>data</vt:lpstr>
      <vt:lpstr>Validation</vt:lpstr>
      <vt:lpstr>LTL Form</vt:lpstr>
      <vt:lpstr>'Item Setup Form'!Print_Area</vt:lpstr>
      <vt:lpstr>UPC</vt:lpstr>
      <vt:lpstr>upcinput</vt:lpstr>
    </vt:vector>
  </TitlesOfParts>
  <LinksUpToDate>false</LinksUpToDate>
  <SharedDoc>false</SharedDoc>
  <HyperlinksChanged>false</HyperlinksChanged>
  <AppVersion>14.0300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2002-06-12T18:53:50Z</dcterms:created>
  <dc:creator>Dick's Sporting Goods</dc:creator>
  <lastModifiedBy>dev</lastModifiedBy>
  <lastPrinted>2012-08-15T16:39:15Z</lastPrinted>
  <dcterms:modified xsi:type="dcterms:W3CDTF">2016-07-30T06:05:59Z</dcterms:modified>
  <dc:title>VDV Product Setup Sheet v15.1.0</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